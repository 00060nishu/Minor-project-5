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cky\Desktop\minor-5\"/>
    </mc:Choice>
  </mc:AlternateContent>
  <xr:revisionPtr revIDLastSave="0" documentId="13_ncr:1_{BE5A9B28-BBCA-4A4B-B623-A427ED6BFECF}" xr6:coauthVersionLast="47" xr6:coauthVersionMax="47" xr10:uidLastSave="{00000000-0000-0000-0000-000000000000}"/>
  <bookViews>
    <workbookView xWindow="4320" yWindow="4290" windowWidth="19200" windowHeight="11710" firstSheet="6" activeTab="9" xr2:uid="{00000000-000D-0000-FFFF-FFFF00000000}"/>
  </bookViews>
  <sheets>
    <sheet name="Orders" sheetId="2" r:id="rId1"/>
    <sheet name="Customers" sheetId="3" r:id="rId2"/>
    <sheet name="Products" sheetId="4" r:id="rId3"/>
    <sheet name="Sales_Reps" sheetId="5" r:id="rId4"/>
    <sheet name="Targets" sheetId="6" r:id="rId5"/>
    <sheet name="Q1_Lookups" sheetId="7" r:id="rId6"/>
    <sheet name="Q2_Cleaning" sheetId="8" r:id="rId7"/>
    <sheet name="Q3_Aggregation" sheetId="9" r:id="rId8"/>
    <sheet name="Q4_Pivot" sheetId="10" r:id="rId9"/>
    <sheet name="Q5_Advanced" sheetId="11" r:id="rId10"/>
    <sheet name="Calculations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01" i="12" l="1"/>
  <c r="J2001" i="12"/>
  <c r="I2001" i="12"/>
  <c r="H2001" i="12"/>
  <c r="G2001" i="12"/>
  <c r="F2001" i="12"/>
  <c r="E2001" i="12"/>
  <c r="N2001" i="12" s="1"/>
  <c r="D2001" i="12"/>
  <c r="C2001" i="12"/>
  <c r="B2001" i="12"/>
  <c r="A2001" i="12"/>
  <c r="K2000" i="12"/>
  <c r="J2000" i="12"/>
  <c r="I2000" i="12"/>
  <c r="H2000" i="12"/>
  <c r="G2000" i="12"/>
  <c r="F2000" i="12"/>
  <c r="E2000" i="12"/>
  <c r="N2000" i="12" s="1"/>
  <c r="D2000" i="12"/>
  <c r="C2000" i="12"/>
  <c r="B2000" i="12"/>
  <c r="A2000" i="12"/>
  <c r="K1999" i="12"/>
  <c r="J1999" i="12"/>
  <c r="I1999" i="12"/>
  <c r="H1999" i="12"/>
  <c r="G1999" i="12"/>
  <c r="F1999" i="12"/>
  <c r="E1999" i="12"/>
  <c r="N1999" i="12" s="1"/>
  <c r="D1999" i="12"/>
  <c r="C1999" i="12"/>
  <c r="B1999" i="12"/>
  <c r="A1999" i="12"/>
  <c r="K1998" i="12"/>
  <c r="J1998" i="12"/>
  <c r="I1998" i="12"/>
  <c r="H1998" i="12"/>
  <c r="G1998" i="12"/>
  <c r="F1998" i="12"/>
  <c r="E1998" i="12"/>
  <c r="N1998" i="12" s="1"/>
  <c r="D1998" i="12"/>
  <c r="C1998" i="12"/>
  <c r="B1998" i="12"/>
  <c r="A1998" i="12"/>
  <c r="K1997" i="12"/>
  <c r="J1997" i="12"/>
  <c r="I1997" i="12"/>
  <c r="H1997" i="12"/>
  <c r="G1997" i="12"/>
  <c r="F1997" i="12"/>
  <c r="E1997" i="12"/>
  <c r="N1997" i="12" s="1"/>
  <c r="D1997" i="12"/>
  <c r="C1997" i="12"/>
  <c r="B1997" i="12"/>
  <c r="A1997" i="12"/>
  <c r="K1996" i="12"/>
  <c r="J1996" i="12"/>
  <c r="I1996" i="12"/>
  <c r="H1996" i="12"/>
  <c r="G1996" i="12"/>
  <c r="F1996" i="12"/>
  <c r="E1996" i="12"/>
  <c r="N1996" i="12" s="1"/>
  <c r="D1996" i="12"/>
  <c r="C1996" i="12"/>
  <c r="B1996" i="12"/>
  <c r="A1996" i="12"/>
  <c r="K1995" i="12"/>
  <c r="J1995" i="12"/>
  <c r="I1995" i="12"/>
  <c r="H1995" i="12"/>
  <c r="G1995" i="12"/>
  <c r="F1995" i="12"/>
  <c r="E1995" i="12"/>
  <c r="N1995" i="12" s="1"/>
  <c r="D1995" i="12"/>
  <c r="C1995" i="12"/>
  <c r="B1995" i="12"/>
  <c r="A1995" i="12"/>
  <c r="K1994" i="12"/>
  <c r="J1994" i="12"/>
  <c r="I1994" i="12"/>
  <c r="H1994" i="12"/>
  <c r="G1994" i="12"/>
  <c r="F1994" i="12"/>
  <c r="E1994" i="12"/>
  <c r="N1994" i="12" s="1"/>
  <c r="D1994" i="12"/>
  <c r="C1994" i="12"/>
  <c r="B1994" i="12"/>
  <c r="A1994" i="12"/>
  <c r="K1993" i="12"/>
  <c r="J1993" i="12"/>
  <c r="I1993" i="12"/>
  <c r="H1993" i="12"/>
  <c r="G1993" i="12"/>
  <c r="F1993" i="12"/>
  <c r="E1993" i="12"/>
  <c r="N1993" i="12" s="1"/>
  <c r="D1993" i="12"/>
  <c r="C1993" i="12"/>
  <c r="B1993" i="12"/>
  <c r="A1993" i="12"/>
  <c r="K1992" i="12"/>
  <c r="J1992" i="12"/>
  <c r="I1992" i="12"/>
  <c r="H1992" i="12"/>
  <c r="G1992" i="12"/>
  <c r="F1992" i="12"/>
  <c r="E1992" i="12"/>
  <c r="N1992" i="12" s="1"/>
  <c r="D1992" i="12"/>
  <c r="C1992" i="12"/>
  <c r="B1992" i="12"/>
  <c r="A1992" i="12"/>
  <c r="K1991" i="12"/>
  <c r="J1991" i="12"/>
  <c r="I1991" i="12"/>
  <c r="H1991" i="12"/>
  <c r="G1991" i="12"/>
  <c r="F1991" i="12"/>
  <c r="E1991" i="12"/>
  <c r="N1991" i="12" s="1"/>
  <c r="D1991" i="12"/>
  <c r="C1991" i="12"/>
  <c r="B1991" i="12"/>
  <c r="A1991" i="12"/>
  <c r="K1990" i="12"/>
  <c r="J1990" i="12"/>
  <c r="I1990" i="12"/>
  <c r="H1990" i="12"/>
  <c r="G1990" i="12"/>
  <c r="F1990" i="12"/>
  <c r="E1990" i="12"/>
  <c r="N1990" i="12" s="1"/>
  <c r="D1990" i="12"/>
  <c r="C1990" i="12"/>
  <c r="B1990" i="12"/>
  <c r="A1990" i="12"/>
  <c r="K1989" i="12"/>
  <c r="J1989" i="12"/>
  <c r="I1989" i="12"/>
  <c r="H1989" i="12"/>
  <c r="G1989" i="12"/>
  <c r="F1989" i="12"/>
  <c r="E1989" i="12"/>
  <c r="N1989" i="12" s="1"/>
  <c r="D1989" i="12"/>
  <c r="C1989" i="12"/>
  <c r="B1989" i="12"/>
  <c r="A1989" i="12"/>
  <c r="K1988" i="12"/>
  <c r="J1988" i="12"/>
  <c r="I1988" i="12"/>
  <c r="H1988" i="12"/>
  <c r="G1988" i="12"/>
  <c r="F1988" i="12"/>
  <c r="E1988" i="12"/>
  <c r="N1988" i="12" s="1"/>
  <c r="D1988" i="12"/>
  <c r="C1988" i="12"/>
  <c r="B1988" i="12"/>
  <c r="A1988" i="12"/>
  <c r="K1987" i="12"/>
  <c r="J1987" i="12"/>
  <c r="I1987" i="12"/>
  <c r="H1987" i="12"/>
  <c r="G1987" i="12"/>
  <c r="F1987" i="12"/>
  <c r="E1987" i="12"/>
  <c r="N1987" i="12" s="1"/>
  <c r="D1987" i="12"/>
  <c r="C1987" i="12"/>
  <c r="B1987" i="12"/>
  <c r="A1987" i="12"/>
  <c r="K1986" i="12"/>
  <c r="J1986" i="12"/>
  <c r="I1986" i="12"/>
  <c r="H1986" i="12"/>
  <c r="G1986" i="12"/>
  <c r="F1986" i="12"/>
  <c r="E1986" i="12"/>
  <c r="N1986" i="12" s="1"/>
  <c r="D1986" i="12"/>
  <c r="C1986" i="12"/>
  <c r="B1986" i="12"/>
  <c r="A1986" i="12"/>
  <c r="K1985" i="12"/>
  <c r="J1985" i="12"/>
  <c r="I1985" i="12"/>
  <c r="H1985" i="12"/>
  <c r="G1985" i="12"/>
  <c r="F1985" i="12"/>
  <c r="E1985" i="12"/>
  <c r="N1985" i="12" s="1"/>
  <c r="D1985" i="12"/>
  <c r="C1985" i="12"/>
  <c r="B1985" i="12"/>
  <c r="A1985" i="12"/>
  <c r="K1984" i="12"/>
  <c r="J1984" i="12"/>
  <c r="I1984" i="12"/>
  <c r="H1984" i="12"/>
  <c r="G1984" i="12"/>
  <c r="F1984" i="12"/>
  <c r="E1984" i="12"/>
  <c r="N1984" i="12" s="1"/>
  <c r="D1984" i="12"/>
  <c r="C1984" i="12"/>
  <c r="B1984" i="12"/>
  <c r="A1984" i="12"/>
  <c r="K1983" i="12"/>
  <c r="J1983" i="12"/>
  <c r="I1983" i="12"/>
  <c r="H1983" i="12"/>
  <c r="G1983" i="12"/>
  <c r="F1983" i="12"/>
  <c r="E1983" i="12"/>
  <c r="N1983" i="12" s="1"/>
  <c r="D1983" i="12"/>
  <c r="C1983" i="12"/>
  <c r="B1983" i="12"/>
  <c r="A1983" i="12"/>
  <c r="K1982" i="12"/>
  <c r="J1982" i="12"/>
  <c r="I1982" i="12"/>
  <c r="H1982" i="12"/>
  <c r="G1982" i="12"/>
  <c r="F1982" i="12"/>
  <c r="E1982" i="12"/>
  <c r="N1982" i="12" s="1"/>
  <c r="D1982" i="12"/>
  <c r="C1982" i="12"/>
  <c r="B1982" i="12"/>
  <c r="A1982" i="12"/>
  <c r="K1981" i="12"/>
  <c r="J1981" i="12"/>
  <c r="I1981" i="12"/>
  <c r="H1981" i="12"/>
  <c r="G1981" i="12"/>
  <c r="F1981" i="12"/>
  <c r="E1981" i="12"/>
  <c r="N1981" i="12" s="1"/>
  <c r="D1981" i="12"/>
  <c r="C1981" i="12"/>
  <c r="B1981" i="12"/>
  <c r="A1981" i="12"/>
  <c r="K1980" i="12"/>
  <c r="J1980" i="12"/>
  <c r="I1980" i="12"/>
  <c r="H1980" i="12"/>
  <c r="G1980" i="12"/>
  <c r="F1980" i="12"/>
  <c r="E1980" i="12"/>
  <c r="N1980" i="12" s="1"/>
  <c r="D1980" i="12"/>
  <c r="C1980" i="12"/>
  <c r="B1980" i="12"/>
  <c r="A1980" i="12"/>
  <c r="K1979" i="12"/>
  <c r="J1979" i="12"/>
  <c r="I1979" i="12"/>
  <c r="H1979" i="12"/>
  <c r="G1979" i="12"/>
  <c r="F1979" i="12"/>
  <c r="E1979" i="12"/>
  <c r="N1979" i="12" s="1"/>
  <c r="D1979" i="12"/>
  <c r="C1979" i="12"/>
  <c r="B1979" i="12"/>
  <c r="A1979" i="12"/>
  <c r="K1978" i="12"/>
  <c r="J1978" i="12"/>
  <c r="I1978" i="12"/>
  <c r="H1978" i="12"/>
  <c r="G1978" i="12"/>
  <c r="F1978" i="12"/>
  <c r="E1978" i="12"/>
  <c r="N1978" i="12" s="1"/>
  <c r="D1978" i="12"/>
  <c r="C1978" i="12"/>
  <c r="B1978" i="12"/>
  <c r="A1978" i="12"/>
  <c r="K1977" i="12"/>
  <c r="J1977" i="12"/>
  <c r="I1977" i="12"/>
  <c r="H1977" i="12"/>
  <c r="G1977" i="12"/>
  <c r="F1977" i="12"/>
  <c r="E1977" i="12"/>
  <c r="N1977" i="12" s="1"/>
  <c r="D1977" i="12"/>
  <c r="C1977" i="12"/>
  <c r="B1977" i="12"/>
  <c r="A1977" i="12"/>
  <c r="K1976" i="12"/>
  <c r="J1976" i="12"/>
  <c r="I1976" i="12"/>
  <c r="H1976" i="12"/>
  <c r="G1976" i="12"/>
  <c r="F1976" i="12"/>
  <c r="E1976" i="12"/>
  <c r="N1976" i="12" s="1"/>
  <c r="D1976" i="12"/>
  <c r="C1976" i="12"/>
  <c r="B1976" i="12"/>
  <c r="A1976" i="12"/>
  <c r="K1975" i="12"/>
  <c r="J1975" i="12"/>
  <c r="I1975" i="12"/>
  <c r="H1975" i="12"/>
  <c r="G1975" i="12"/>
  <c r="F1975" i="12"/>
  <c r="E1975" i="12"/>
  <c r="N1975" i="12" s="1"/>
  <c r="D1975" i="12"/>
  <c r="C1975" i="12"/>
  <c r="B1975" i="12"/>
  <c r="A1975" i="12"/>
  <c r="K1974" i="12"/>
  <c r="J1974" i="12"/>
  <c r="I1974" i="12"/>
  <c r="H1974" i="12"/>
  <c r="G1974" i="12"/>
  <c r="F1974" i="12"/>
  <c r="E1974" i="12"/>
  <c r="N1974" i="12" s="1"/>
  <c r="D1974" i="12"/>
  <c r="C1974" i="12"/>
  <c r="B1974" i="12"/>
  <c r="A1974" i="12"/>
  <c r="K1973" i="12"/>
  <c r="J1973" i="12"/>
  <c r="I1973" i="12"/>
  <c r="H1973" i="12"/>
  <c r="G1973" i="12"/>
  <c r="F1973" i="12"/>
  <c r="E1973" i="12"/>
  <c r="N1973" i="12" s="1"/>
  <c r="D1973" i="12"/>
  <c r="C1973" i="12"/>
  <c r="B1973" i="12"/>
  <c r="A1973" i="12"/>
  <c r="K1972" i="12"/>
  <c r="J1972" i="12"/>
  <c r="I1972" i="12"/>
  <c r="H1972" i="12"/>
  <c r="G1972" i="12"/>
  <c r="F1972" i="12"/>
  <c r="E1972" i="12"/>
  <c r="N1972" i="12" s="1"/>
  <c r="D1972" i="12"/>
  <c r="C1972" i="12"/>
  <c r="B1972" i="12"/>
  <c r="A1972" i="12"/>
  <c r="K1971" i="12"/>
  <c r="J1971" i="12"/>
  <c r="I1971" i="12"/>
  <c r="H1971" i="12"/>
  <c r="G1971" i="12"/>
  <c r="F1971" i="12"/>
  <c r="E1971" i="12"/>
  <c r="N1971" i="12" s="1"/>
  <c r="D1971" i="12"/>
  <c r="C1971" i="12"/>
  <c r="B1971" i="12"/>
  <c r="A1971" i="12"/>
  <c r="K1970" i="12"/>
  <c r="J1970" i="12"/>
  <c r="I1970" i="12"/>
  <c r="H1970" i="12"/>
  <c r="G1970" i="12"/>
  <c r="F1970" i="12"/>
  <c r="E1970" i="12"/>
  <c r="N1970" i="12" s="1"/>
  <c r="D1970" i="12"/>
  <c r="C1970" i="12"/>
  <c r="B1970" i="12"/>
  <c r="A1970" i="12"/>
  <c r="K1969" i="12"/>
  <c r="J1969" i="12"/>
  <c r="I1969" i="12"/>
  <c r="H1969" i="12"/>
  <c r="G1969" i="12"/>
  <c r="F1969" i="12"/>
  <c r="E1969" i="12"/>
  <c r="N1969" i="12" s="1"/>
  <c r="D1969" i="12"/>
  <c r="C1969" i="12"/>
  <c r="B1969" i="12"/>
  <c r="A1969" i="12"/>
  <c r="K1968" i="12"/>
  <c r="J1968" i="12"/>
  <c r="I1968" i="12"/>
  <c r="H1968" i="12"/>
  <c r="G1968" i="12"/>
  <c r="F1968" i="12"/>
  <c r="E1968" i="12"/>
  <c r="N1968" i="12" s="1"/>
  <c r="D1968" i="12"/>
  <c r="C1968" i="12"/>
  <c r="B1968" i="12"/>
  <c r="A1968" i="12"/>
  <c r="K1967" i="12"/>
  <c r="J1967" i="12"/>
  <c r="I1967" i="12"/>
  <c r="H1967" i="12"/>
  <c r="G1967" i="12"/>
  <c r="F1967" i="12"/>
  <c r="E1967" i="12"/>
  <c r="N1967" i="12" s="1"/>
  <c r="D1967" i="12"/>
  <c r="C1967" i="12"/>
  <c r="B1967" i="12"/>
  <c r="A1967" i="12"/>
  <c r="K1966" i="12"/>
  <c r="J1966" i="12"/>
  <c r="I1966" i="12"/>
  <c r="H1966" i="12"/>
  <c r="G1966" i="12"/>
  <c r="F1966" i="12"/>
  <c r="E1966" i="12"/>
  <c r="N1966" i="12" s="1"/>
  <c r="D1966" i="12"/>
  <c r="C1966" i="12"/>
  <c r="B1966" i="12"/>
  <c r="A1966" i="12"/>
  <c r="K1965" i="12"/>
  <c r="J1965" i="12"/>
  <c r="I1965" i="12"/>
  <c r="H1965" i="12"/>
  <c r="G1965" i="12"/>
  <c r="F1965" i="12"/>
  <c r="E1965" i="12"/>
  <c r="N1965" i="12" s="1"/>
  <c r="D1965" i="12"/>
  <c r="C1965" i="12"/>
  <c r="B1965" i="12"/>
  <c r="A1965" i="12"/>
  <c r="K1964" i="12"/>
  <c r="J1964" i="12"/>
  <c r="I1964" i="12"/>
  <c r="H1964" i="12"/>
  <c r="G1964" i="12"/>
  <c r="F1964" i="12"/>
  <c r="E1964" i="12"/>
  <c r="N1964" i="12" s="1"/>
  <c r="D1964" i="12"/>
  <c r="C1964" i="12"/>
  <c r="B1964" i="12"/>
  <c r="A1964" i="12"/>
  <c r="K1963" i="12"/>
  <c r="J1963" i="12"/>
  <c r="I1963" i="12"/>
  <c r="H1963" i="12"/>
  <c r="G1963" i="12"/>
  <c r="F1963" i="12"/>
  <c r="E1963" i="12"/>
  <c r="N1963" i="12" s="1"/>
  <c r="D1963" i="12"/>
  <c r="C1963" i="12"/>
  <c r="B1963" i="12"/>
  <c r="A1963" i="12"/>
  <c r="K1962" i="12"/>
  <c r="J1962" i="12"/>
  <c r="I1962" i="12"/>
  <c r="H1962" i="12"/>
  <c r="G1962" i="12"/>
  <c r="F1962" i="12"/>
  <c r="E1962" i="12"/>
  <c r="N1962" i="12" s="1"/>
  <c r="D1962" i="12"/>
  <c r="C1962" i="12"/>
  <c r="B1962" i="12"/>
  <c r="A1962" i="12"/>
  <c r="K1961" i="12"/>
  <c r="J1961" i="12"/>
  <c r="I1961" i="12"/>
  <c r="H1961" i="12"/>
  <c r="G1961" i="12"/>
  <c r="F1961" i="12"/>
  <c r="E1961" i="12"/>
  <c r="N1961" i="12" s="1"/>
  <c r="D1961" i="12"/>
  <c r="C1961" i="12"/>
  <c r="B1961" i="12"/>
  <c r="A1961" i="12"/>
  <c r="K1960" i="12"/>
  <c r="J1960" i="12"/>
  <c r="I1960" i="12"/>
  <c r="H1960" i="12"/>
  <c r="G1960" i="12"/>
  <c r="F1960" i="12"/>
  <c r="E1960" i="12"/>
  <c r="N1960" i="12" s="1"/>
  <c r="D1960" i="12"/>
  <c r="C1960" i="12"/>
  <c r="B1960" i="12"/>
  <c r="A1960" i="12"/>
  <c r="K1959" i="12"/>
  <c r="J1959" i="12"/>
  <c r="I1959" i="12"/>
  <c r="H1959" i="12"/>
  <c r="G1959" i="12"/>
  <c r="F1959" i="12"/>
  <c r="E1959" i="12"/>
  <c r="N1959" i="12" s="1"/>
  <c r="D1959" i="12"/>
  <c r="C1959" i="12"/>
  <c r="B1959" i="12"/>
  <c r="A1959" i="12"/>
  <c r="K1958" i="12"/>
  <c r="J1958" i="12"/>
  <c r="I1958" i="12"/>
  <c r="H1958" i="12"/>
  <c r="G1958" i="12"/>
  <c r="F1958" i="12"/>
  <c r="E1958" i="12"/>
  <c r="N1958" i="12" s="1"/>
  <c r="D1958" i="12"/>
  <c r="C1958" i="12"/>
  <c r="B1958" i="12"/>
  <c r="A1958" i="12"/>
  <c r="K1957" i="12"/>
  <c r="J1957" i="12"/>
  <c r="I1957" i="12"/>
  <c r="H1957" i="12"/>
  <c r="G1957" i="12"/>
  <c r="F1957" i="12"/>
  <c r="E1957" i="12"/>
  <c r="N1957" i="12" s="1"/>
  <c r="D1957" i="12"/>
  <c r="C1957" i="12"/>
  <c r="B1957" i="12"/>
  <c r="A1957" i="12"/>
  <c r="K1956" i="12"/>
  <c r="J1956" i="12"/>
  <c r="I1956" i="12"/>
  <c r="H1956" i="12"/>
  <c r="G1956" i="12"/>
  <c r="F1956" i="12"/>
  <c r="E1956" i="12"/>
  <c r="N1956" i="12" s="1"/>
  <c r="D1956" i="12"/>
  <c r="C1956" i="12"/>
  <c r="B1956" i="12"/>
  <c r="A1956" i="12"/>
  <c r="K1955" i="12"/>
  <c r="J1955" i="12"/>
  <c r="I1955" i="12"/>
  <c r="H1955" i="12"/>
  <c r="G1955" i="12"/>
  <c r="F1955" i="12"/>
  <c r="E1955" i="12"/>
  <c r="N1955" i="12" s="1"/>
  <c r="D1955" i="12"/>
  <c r="C1955" i="12"/>
  <c r="B1955" i="12"/>
  <c r="A1955" i="12"/>
  <c r="K1954" i="12"/>
  <c r="J1954" i="12"/>
  <c r="I1954" i="12"/>
  <c r="H1954" i="12"/>
  <c r="G1954" i="12"/>
  <c r="F1954" i="12"/>
  <c r="E1954" i="12"/>
  <c r="N1954" i="12" s="1"/>
  <c r="D1954" i="12"/>
  <c r="C1954" i="12"/>
  <c r="B1954" i="12"/>
  <c r="A1954" i="12"/>
  <c r="K1953" i="12"/>
  <c r="J1953" i="12"/>
  <c r="I1953" i="12"/>
  <c r="H1953" i="12"/>
  <c r="G1953" i="12"/>
  <c r="F1953" i="12"/>
  <c r="E1953" i="12"/>
  <c r="N1953" i="12" s="1"/>
  <c r="D1953" i="12"/>
  <c r="C1953" i="12"/>
  <c r="B1953" i="12"/>
  <c r="A1953" i="12"/>
  <c r="K1952" i="12"/>
  <c r="J1952" i="12"/>
  <c r="I1952" i="12"/>
  <c r="H1952" i="12"/>
  <c r="G1952" i="12"/>
  <c r="F1952" i="12"/>
  <c r="E1952" i="12"/>
  <c r="N1952" i="12" s="1"/>
  <c r="D1952" i="12"/>
  <c r="C1952" i="12"/>
  <c r="B1952" i="12"/>
  <c r="A1952" i="12"/>
  <c r="K1951" i="12"/>
  <c r="J1951" i="12"/>
  <c r="I1951" i="12"/>
  <c r="H1951" i="12"/>
  <c r="G1951" i="12"/>
  <c r="F1951" i="12"/>
  <c r="E1951" i="12"/>
  <c r="N1951" i="12" s="1"/>
  <c r="D1951" i="12"/>
  <c r="C1951" i="12"/>
  <c r="B1951" i="12"/>
  <c r="A1951" i="12"/>
  <c r="K1950" i="12"/>
  <c r="J1950" i="12"/>
  <c r="I1950" i="12"/>
  <c r="H1950" i="12"/>
  <c r="G1950" i="12"/>
  <c r="F1950" i="12"/>
  <c r="E1950" i="12"/>
  <c r="N1950" i="12" s="1"/>
  <c r="D1950" i="12"/>
  <c r="C1950" i="12"/>
  <c r="B1950" i="12"/>
  <c r="A1950" i="12"/>
  <c r="K1949" i="12"/>
  <c r="J1949" i="12"/>
  <c r="I1949" i="12"/>
  <c r="H1949" i="12"/>
  <c r="G1949" i="12"/>
  <c r="F1949" i="12"/>
  <c r="E1949" i="12"/>
  <c r="N1949" i="12" s="1"/>
  <c r="D1949" i="12"/>
  <c r="C1949" i="12"/>
  <c r="B1949" i="12"/>
  <c r="A1949" i="12"/>
  <c r="K1948" i="12"/>
  <c r="J1948" i="12"/>
  <c r="I1948" i="12"/>
  <c r="H1948" i="12"/>
  <c r="G1948" i="12"/>
  <c r="F1948" i="12"/>
  <c r="E1948" i="12"/>
  <c r="N1948" i="12" s="1"/>
  <c r="D1948" i="12"/>
  <c r="C1948" i="12"/>
  <c r="B1948" i="12"/>
  <c r="A1948" i="12"/>
  <c r="K1947" i="12"/>
  <c r="J1947" i="12"/>
  <c r="I1947" i="12"/>
  <c r="H1947" i="12"/>
  <c r="G1947" i="12"/>
  <c r="F1947" i="12"/>
  <c r="E1947" i="12"/>
  <c r="N1947" i="12" s="1"/>
  <c r="D1947" i="12"/>
  <c r="C1947" i="12"/>
  <c r="B1947" i="12"/>
  <c r="A1947" i="12"/>
  <c r="K1946" i="12"/>
  <c r="J1946" i="12"/>
  <c r="I1946" i="12"/>
  <c r="H1946" i="12"/>
  <c r="G1946" i="12"/>
  <c r="F1946" i="12"/>
  <c r="E1946" i="12"/>
  <c r="N1946" i="12" s="1"/>
  <c r="D1946" i="12"/>
  <c r="C1946" i="12"/>
  <c r="B1946" i="12"/>
  <c r="A1946" i="12"/>
  <c r="K1945" i="12"/>
  <c r="J1945" i="12"/>
  <c r="I1945" i="12"/>
  <c r="H1945" i="12"/>
  <c r="G1945" i="12"/>
  <c r="F1945" i="12"/>
  <c r="E1945" i="12"/>
  <c r="N1945" i="12" s="1"/>
  <c r="D1945" i="12"/>
  <c r="C1945" i="12"/>
  <c r="B1945" i="12"/>
  <c r="A1945" i="12"/>
  <c r="K1944" i="12"/>
  <c r="J1944" i="12"/>
  <c r="I1944" i="12"/>
  <c r="H1944" i="12"/>
  <c r="G1944" i="12"/>
  <c r="F1944" i="12"/>
  <c r="E1944" i="12"/>
  <c r="N1944" i="12" s="1"/>
  <c r="D1944" i="12"/>
  <c r="C1944" i="12"/>
  <c r="B1944" i="12"/>
  <c r="A1944" i="12"/>
  <c r="K1943" i="12"/>
  <c r="J1943" i="12"/>
  <c r="I1943" i="12"/>
  <c r="H1943" i="12"/>
  <c r="G1943" i="12"/>
  <c r="F1943" i="12"/>
  <c r="E1943" i="12"/>
  <c r="N1943" i="12" s="1"/>
  <c r="D1943" i="12"/>
  <c r="C1943" i="12"/>
  <c r="B1943" i="12"/>
  <c r="A1943" i="12"/>
  <c r="K1942" i="12"/>
  <c r="J1942" i="12"/>
  <c r="I1942" i="12"/>
  <c r="H1942" i="12"/>
  <c r="G1942" i="12"/>
  <c r="F1942" i="12"/>
  <c r="E1942" i="12"/>
  <c r="N1942" i="12" s="1"/>
  <c r="D1942" i="12"/>
  <c r="C1942" i="12"/>
  <c r="B1942" i="12"/>
  <c r="A1942" i="12"/>
  <c r="K1941" i="12"/>
  <c r="J1941" i="12"/>
  <c r="I1941" i="12"/>
  <c r="H1941" i="12"/>
  <c r="G1941" i="12"/>
  <c r="F1941" i="12"/>
  <c r="E1941" i="12"/>
  <c r="N1941" i="12" s="1"/>
  <c r="D1941" i="12"/>
  <c r="C1941" i="12"/>
  <c r="B1941" i="12"/>
  <c r="A1941" i="12"/>
  <c r="K1940" i="12"/>
  <c r="J1940" i="12"/>
  <c r="I1940" i="12"/>
  <c r="H1940" i="12"/>
  <c r="G1940" i="12"/>
  <c r="F1940" i="12"/>
  <c r="E1940" i="12"/>
  <c r="N1940" i="12" s="1"/>
  <c r="D1940" i="12"/>
  <c r="C1940" i="12"/>
  <c r="B1940" i="12"/>
  <c r="A1940" i="12"/>
  <c r="K1939" i="12"/>
  <c r="J1939" i="12"/>
  <c r="I1939" i="12"/>
  <c r="H1939" i="12"/>
  <c r="G1939" i="12"/>
  <c r="F1939" i="12"/>
  <c r="E1939" i="12"/>
  <c r="N1939" i="12" s="1"/>
  <c r="D1939" i="12"/>
  <c r="C1939" i="12"/>
  <c r="B1939" i="12"/>
  <c r="A1939" i="12"/>
  <c r="S1938" i="12"/>
  <c r="R1938" i="12"/>
  <c r="P1938" i="12"/>
  <c r="O1938" i="12"/>
  <c r="M1938" i="12"/>
  <c r="L1938" i="12"/>
  <c r="K1938" i="12"/>
  <c r="J1938" i="12"/>
  <c r="I1938" i="12"/>
  <c r="H1938" i="12"/>
  <c r="G1938" i="12"/>
  <c r="Q1938" i="12" s="1"/>
  <c r="F1938" i="12"/>
  <c r="E1938" i="12"/>
  <c r="N1938" i="12" s="1"/>
  <c r="D1938" i="12"/>
  <c r="C1938" i="12"/>
  <c r="B1938" i="12"/>
  <c r="A1938" i="12"/>
  <c r="K1937" i="12"/>
  <c r="J1937" i="12"/>
  <c r="I1937" i="12"/>
  <c r="H1937" i="12"/>
  <c r="G1937" i="12"/>
  <c r="F1937" i="12"/>
  <c r="E1937" i="12"/>
  <c r="N1937" i="12" s="1"/>
  <c r="D1937" i="12"/>
  <c r="C1937" i="12"/>
  <c r="B1937" i="12"/>
  <c r="A1937" i="12"/>
  <c r="K1936" i="12"/>
  <c r="J1936" i="12"/>
  <c r="I1936" i="12"/>
  <c r="H1936" i="12"/>
  <c r="G1936" i="12"/>
  <c r="F1936" i="12"/>
  <c r="E1936" i="12"/>
  <c r="N1936" i="12" s="1"/>
  <c r="D1936" i="12"/>
  <c r="C1936" i="12"/>
  <c r="B1936" i="12"/>
  <c r="A1936" i="12"/>
  <c r="K1935" i="12"/>
  <c r="J1935" i="12"/>
  <c r="I1935" i="12"/>
  <c r="H1935" i="12"/>
  <c r="G1935" i="12"/>
  <c r="F1935" i="12"/>
  <c r="E1935" i="12"/>
  <c r="N1935" i="12" s="1"/>
  <c r="D1935" i="12"/>
  <c r="C1935" i="12"/>
  <c r="B1935" i="12"/>
  <c r="A1935" i="12"/>
  <c r="K1934" i="12"/>
  <c r="J1934" i="12"/>
  <c r="I1934" i="12"/>
  <c r="H1934" i="12"/>
  <c r="G1934" i="12"/>
  <c r="F1934" i="12"/>
  <c r="E1934" i="12"/>
  <c r="N1934" i="12" s="1"/>
  <c r="D1934" i="12"/>
  <c r="C1934" i="12"/>
  <c r="B1934" i="12"/>
  <c r="A1934" i="12"/>
  <c r="K1933" i="12"/>
  <c r="J1933" i="12"/>
  <c r="I1933" i="12"/>
  <c r="H1933" i="12"/>
  <c r="G1933" i="12"/>
  <c r="F1933" i="12"/>
  <c r="E1933" i="12"/>
  <c r="N1933" i="12" s="1"/>
  <c r="D1933" i="12"/>
  <c r="C1933" i="12"/>
  <c r="B1933" i="12"/>
  <c r="A1933" i="12"/>
  <c r="K1932" i="12"/>
  <c r="J1932" i="12"/>
  <c r="I1932" i="12"/>
  <c r="H1932" i="12"/>
  <c r="G1932" i="12"/>
  <c r="F1932" i="12"/>
  <c r="E1932" i="12"/>
  <c r="N1932" i="12" s="1"/>
  <c r="D1932" i="12"/>
  <c r="C1932" i="12"/>
  <c r="B1932" i="12"/>
  <c r="A1932" i="12"/>
  <c r="K1931" i="12"/>
  <c r="J1931" i="12"/>
  <c r="I1931" i="12"/>
  <c r="H1931" i="12"/>
  <c r="G1931" i="12"/>
  <c r="F1931" i="12"/>
  <c r="E1931" i="12"/>
  <c r="N1931" i="12" s="1"/>
  <c r="D1931" i="12"/>
  <c r="C1931" i="12"/>
  <c r="B1931" i="12"/>
  <c r="A1931" i="12"/>
  <c r="K1930" i="12"/>
  <c r="J1930" i="12"/>
  <c r="I1930" i="12"/>
  <c r="H1930" i="12"/>
  <c r="G1930" i="12"/>
  <c r="F1930" i="12"/>
  <c r="E1930" i="12"/>
  <c r="N1930" i="12" s="1"/>
  <c r="D1930" i="12"/>
  <c r="C1930" i="12"/>
  <c r="B1930" i="12"/>
  <c r="A1930" i="12"/>
  <c r="K1929" i="12"/>
  <c r="J1929" i="12"/>
  <c r="I1929" i="12"/>
  <c r="H1929" i="12"/>
  <c r="G1929" i="12"/>
  <c r="F1929" i="12"/>
  <c r="E1929" i="12"/>
  <c r="N1929" i="12" s="1"/>
  <c r="D1929" i="12"/>
  <c r="C1929" i="12"/>
  <c r="B1929" i="12"/>
  <c r="A1929" i="12"/>
  <c r="K1928" i="12"/>
  <c r="J1928" i="12"/>
  <c r="I1928" i="12"/>
  <c r="H1928" i="12"/>
  <c r="G1928" i="12"/>
  <c r="F1928" i="12"/>
  <c r="E1928" i="12"/>
  <c r="N1928" i="12" s="1"/>
  <c r="D1928" i="12"/>
  <c r="C1928" i="12"/>
  <c r="B1928" i="12"/>
  <c r="A1928" i="12"/>
  <c r="K1927" i="12"/>
  <c r="J1927" i="12"/>
  <c r="I1927" i="12"/>
  <c r="H1927" i="12"/>
  <c r="G1927" i="12"/>
  <c r="F1927" i="12"/>
  <c r="E1927" i="12"/>
  <c r="N1927" i="12" s="1"/>
  <c r="D1927" i="12"/>
  <c r="C1927" i="12"/>
  <c r="B1927" i="12"/>
  <c r="A1927" i="12"/>
  <c r="K1926" i="12"/>
  <c r="J1926" i="12"/>
  <c r="I1926" i="12"/>
  <c r="H1926" i="12"/>
  <c r="G1926" i="12"/>
  <c r="F1926" i="12"/>
  <c r="E1926" i="12"/>
  <c r="N1926" i="12" s="1"/>
  <c r="D1926" i="12"/>
  <c r="C1926" i="12"/>
  <c r="B1926" i="12"/>
  <c r="A1926" i="12"/>
  <c r="K1925" i="12"/>
  <c r="J1925" i="12"/>
  <c r="I1925" i="12"/>
  <c r="H1925" i="12"/>
  <c r="G1925" i="12"/>
  <c r="F1925" i="12"/>
  <c r="E1925" i="12"/>
  <c r="N1925" i="12" s="1"/>
  <c r="D1925" i="12"/>
  <c r="C1925" i="12"/>
  <c r="B1925" i="12"/>
  <c r="A1925" i="12"/>
  <c r="K1924" i="12"/>
  <c r="J1924" i="12"/>
  <c r="I1924" i="12"/>
  <c r="H1924" i="12"/>
  <c r="G1924" i="12"/>
  <c r="F1924" i="12"/>
  <c r="E1924" i="12"/>
  <c r="N1924" i="12" s="1"/>
  <c r="D1924" i="12"/>
  <c r="C1924" i="12"/>
  <c r="B1924" i="12"/>
  <c r="A1924" i="12"/>
  <c r="K1923" i="12"/>
  <c r="J1923" i="12"/>
  <c r="I1923" i="12"/>
  <c r="H1923" i="12"/>
  <c r="G1923" i="12"/>
  <c r="F1923" i="12"/>
  <c r="E1923" i="12"/>
  <c r="N1923" i="12" s="1"/>
  <c r="D1923" i="12"/>
  <c r="C1923" i="12"/>
  <c r="B1923" i="12"/>
  <c r="A1923" i="12"/>
  <c r="K1922" i="12"/>
  <c r="J1922" i="12"/>
  <c r="I1922" i="12"/>
  <c r="H1922" i="12"/>
  <c r="G1922" i="12"/>
  <c r="F1922" i="12"/>
  <c r="E1922" i="12"/>
  <c r="N1922" i="12" s="1"/>
  <c r="D1922" i="12"/>
  <c r="C1922" i="12"/>
  <c r="B1922" i="12"/>
  <c r="A1922" i="12"/>
  <c r="K1921" i="12"/>
  <c r="J1921" i="12"/>
  <c r="I1921" i="12"/>
  <c r="H1921" i="12"/>
  <c r="G1921" i="12"/>
  <c r="F1921" i="12"/>
  <c r="E1921" i="12"/>
  <c r="N1921" i="12" s="1"/>
  <c r="D1921" i="12"/>
  <c r="C1921" i="12"/>
  <c r="B1921" i="12"/>
  <c r="A1921" i="12"/>
  <c r="K1920" i="12"/>
  <c r="J1920" i="12"/>
  <c r="I1920" i="12"/>
  <c r="H1920" i="12"/>
  <c r="G1920" i="12"/>
  <c r="F1920" i="12"/>
  <c r="E1920" i="12"/>
  <c r="N1920" i="12" s="1"/>
  <c r="D1920" i="12"/>
  <c r="C1920" i="12"/>
  <c r="B1920" i="12"/>
  <c r="A1920" i="12"/>
  <c r="K1919" i="12"/>
  <c r="J1919" i="12"/>
  <c r="I1919" i="12"/>
  <c r="H1919" i="12"/>
  <c r="G1919" i="12"/>
  <c r="F1919" i="12"/>
  <c r="E1919" i="12"/>
  <c r="N1919" i="12" s="1"/>
  <c r="D1919" i="12"/>
  <c r="C1919" i="12"/>
  <c r="B1919" i="12"/>
  <c r="A1919" i="12"/>
  <c r="K1918" i="12"/>
  <c r="J1918" i="12"/>
  <c r="I1918" i="12"/>
  <c r="H1918" i="12"/>
  <c r="G1918" i="12"/>
  <c r="F1918" i="12"/>
  <c r="E1918" i="12"/>
  <c r="N1918" i="12" s="1"/>
  <c r="D1918" i="12"/>
  <c r="C1918" i="12"/>
  <c r="B1918" i="12"/>
  <c r="A1918" i="12"/>
  <c r="K1917" i="12"/>
  <c r="J1917" i="12"/>
  <c r="I1917" i="12"/>
  <c r="H1917" i="12"/>
  <c r="G1917" i="12"/>
  <c r="F1917" i="12"/>
  <c r="E1917" i="12"/>
  <c r="N1917" i="12" s="1"/>
  <c r="D1917" i="12"/>
  <c r="C1917" i="12"/>
  <c r="B1917" i="12"/>
  <c r="A1917" i="12"/>
  <c r="K1916" i="12"/>
  <c r="J1916" i="12"/>
  <c r="I1916" i="12"/>
  <c r="H1916" i="12"/>
  <c r="G1916" i="12"/>
  <c r="F1916" i="12"/>
  <c r="E1916" i="12"/>
  <c r="N1916" i="12" s="1"/>
  <c r="D1916" i="12"/>
  <c r="C1916" i="12"/>
  <c r="B1916" i="12"/>
  <c r="A1916" i="12"/>
  <c r="K1915" i="12"/>
  <c r="J1915" i="12"/>
  <c r="I1915" i="12"/>
  <c r="H1915" i="12"/>
  <c r="G1915" i="12"/>
  <c r="F1915" i="12"/>
  <c r="E1915" i="12"/>
  <c r="N1915" i="12" s="1"/>
  <c r="D1915" i="12"/>
  <c r="C1915" i="12"/>
  <c r="B1915" i="12"/>
  <c r="A1915" i="12"/>
  <c r="K1914" i="12"/>
  <c r="J1914" i="12"/>
  <c r="I1914" i="12"/>
  <c r="H1914" i="12"/>
  <c r="G1914" i="12"/>
  <c r="F1914" i="12"/>
  <c r="E1914" i="12"/>
  <c r="N1914" i="12" s="1"/>
  <c r="D1914" i="12"/>
  <c r="C1914" i="12"/>
  <c r="B1914" i="12"/>
  <c r="A1914" i="12"/>
  <c r="K1913" i="12"/>
  <c r="J1913" i="12"/>
  <c r="I1913" i="12"/>
  <c r="H1913" i="12"/>
  <c r="G1913" i="12"/>
  <c r="F1913" i="12"/>
  <c r="E1913" i="12"/>
  <c r="N1913" i="12" s="1"/>
  <c r="D1913" i="12"/>
  <c r="C1913" i="12"/>
  <c r="B1913" i="12"/>
  <c r="A1913" i="12"/>
  <c r="K1912" i="12"/>
  <c r="J1912" i="12"/>
  <c r="I1912" i="12"/>
  <c r="H1912" i="12"/>
  <c r="G1912" i="12"/>
  <c r="F1912" i="12"/>
  <c r="E1912" i="12"/>
  <c r="N1912" i="12" s="1"/>
  <c r="D1912" i="12"/>
  <c r="C1912" i="12"/>
  <c r="B1912" i="12"/>
  <c r="A1912" i="12"/>
  <c r="K1911" i="12"/>
  <c r="J1911" i="12"/>
  <c r="I1911" i="12"/>
  <c r="H1911" i="12"/>
  <c r="G1911" i="12"/>
  <c r="F1911" i="12"/>
  <c r="E1911" i="12"/>
  <c r="N1911" i="12" s="1"/>
  <c r="D1911" i="12"/>
  <c r="C1911" i="12"/>
  <c r="B1911" i="12"/>
  <c r="A1911" i="12"/>
  <c r="K1910" i="12"/>
  <c r="J1910" i="12"/>
  <c r="I1910" i="12"/>
  <c r="H1910" i="12"/>
  <c r="G1910" i="12"/>
  <c r="F1910" i="12"/>
  <c r="E1910" i="12"/>
  <c r="N1910" i="12" s="1"/>
  <c r="D1910" i="12"/>
  <c r="C1910" i="12"/>
  <c r="B1910" i="12"/>
  <c r="A1910" i="12"/>
  <c r="K1909" i="12"/>
  <c r="J1909" i="12"/>
  <c r="I1909" i="12"/>
  <c r="H1909" i="12"/>
  <c r="G1909" i="12"/>
  <c r="F1909" i="12"/>
  <c r="E1909" i="12"/>
  <c r="N1909" i="12" s="1"/>
  <c r="D1909" i="12"/>
  <c r="C1909" i="12"/>
  <c r="B1909" i="12"/>
  <c r="A1909" i="12"/>
  <c r="K1908" i="12"/>
  <c r="J1908" i="12"/>
  <c r="I1908" i="12"/>
  <c r="H1908" i="12"/>
  <c r="G1908" i="12"/>
  <c r="F1908" i="12"/>
  <c r="E1908" i="12"/>
  <c r="N1908" i="12" s="1"/>
  <c r="D1908" i="12"/>
  <c r="C1908" i="12"/>
  <c r="B1908" i="12"/>
  <c r="A1908" i="12"/>
  <c r="K1907" i="12"/>
  <c r="J1907" i="12"/>
  <c r="I1907" i="12"/>
  <c r="H1907" i="12"/>
  <c r="G1907" i="12"/>
  <c r="F1907" i="12"/>
  <c r="E1907" i="12"/>
  <c r="N1907" i="12" s="1"/>
  <c r="D1907" i="12"/>
  <c r="C1907" i="12"/>
  <c r="B1907" i="12"/>
  <c r="A1907" i="12"/>
  <c r="K1906" i="12"/>
  <c r="J1906" i="12"/>
  <c r="I1906" i="12"/>
  <c r="H1906" i="12"/>
  <c r="G1906" i="12"/>
  <c r="F1906" i="12"/>
  <c r="E1906" i="12"/>
  <c r="N1906" i="12" s="1"/>
  <c r="D1906" i="12"/>
  <c r="C1906" i="12"/>
  <c r="B1906" i="12"/>
  <c r="A1906" i="12"/>
  <c r="K1905" i="12"/>
  <c r="J1905" i="12"/>
  <c r="I1905" i="12"/>
  <c r="H1905" i="12"/>
  <c r="G1905" i="12"/>
  <c r="F1905" i="12"/>
  <c r="E1905" i="12"/>
  <c r="N1905" i="12" s="1"/>
  <c r="D1905" i="12"/>
  <c r="C1905" i="12"/>
  <c r="B1905" i="12"/>
  <c r="A1905" i="12"/>
  <c r="K1904" i="12"/>
  <c r="J1904" i="12"/>
  <c r="I1904" i="12"/>
  <c r="H1904" i="12"/>
  <c r="G1904" i="12"/>
  <c r="F1904" i="12"/>
  <c r="E1904" i="12"/>
  <c r="N1904" i="12" s="1"/>
  <c r="D1904" i="12"/>
  <c r="C1904" i="12"/>
  <c r="B1904" i="12"/>
  <c r="A1904" i="12"/>
  <c r="K1903" i="12"/>
  <c r="J1903" i="12"/>
  <c r="I1903" i="12"/>
  <c r="H1903" i="12"/>
  <c r="G1903" i="12"/>
  <c r="F1903" i="12"/>
  <c r="E1903" i="12"/>
  <c r="N1903" i="12" s="1"/>
  <c r="D1903" i="12"/>
  <c r="C1903" i="12"/>
  <c r="B1903" i="12"/>
  <c r="A1903" i="12"/>
  <c r="K1902" i="12"/>
  <c r="J1902" i="12"/>
  <c r="I1902" i="12"/>
  <c r="H1902" i="12"/>
  <c r="G1902" i="12"/>
  <c r="F1902" i="12"/>
  <c r="E1902" i="12"/>
  <c r="N1902" i="12" s="1"/>
  <c r="D1902" i="12"/>
  <c r="C1902" i="12"/>
  <c r="B1902" i="12"/>
  <c r="A1902" i="12"/>
  <c r="K1901" i="12"/>
  <c r="J1901" i="12"/>
  <c r="I1901" i="12"/>
  <c r="H1901" i="12"/>
  <c r="G1901" i="12"/>
  <c r="F1901" i="12"/>
  <c r="E1901" i="12"/>
  <c r="N1901" i="12" s="1"/>
  <c r="D1901" i="12"/>
  <c r="C1901" i="12"/>
  <c r="B1901" i="12"/>
  <c r="A1901" i="12"/>
  <c r="K1900" i="12"/>
  <c r="J1900" i="12"/>
  <c r="I1900" i="12"/>
  <c r="H1900" i="12"/>
  <c r="G1900" i="12"/>
  <c r="F1900" i="12"/>
  <c r="E1900" i="12"/>
  <c r="N1900" i="12" s="1"/>
  <c r="D1900" i="12"/>
  <c r="C1900" i="12"/>
  <c r="B1900" i="12"/>
  <c r="A1900" i="12"/>
  <c r="K1899" i="12"/>
  <c r="J1899" i="12"/>
  <c r="I1899" i="12"/>
  <c r="H1899" i="12"/>
  <c r="G1899" i="12"/>
  <c r="F1899" i="12"/>
  <c r="E1899" i="12"/>
  <c r="N1899" i="12" s="1"/>
  <c r="D1899" i="12"/>
  <c r="C1899" i="12"/>
  <c r="B1899" i="12"/>
  <c r="A1899" i="12"/>
  <c r="K1898" i="12"/>
  <c r="J1898" i="12"/>
  <c r="I1898" i="12"/>
  <c r="H1898" i="12"/>
  <c r="G1898" i="12"/>
  <c r="F1898" i="12"/>
  <c r="E1898" i="12"/>
  <c r="N1898" i="12" s="1"/>
  <c r="D1898" i="12"/>
  <c r="C1898" i="12"/>
  <c r="B1898" i="12"/>
  <c r="A1898" i="12"/>
  <c r="K1897" i="12"/>
  <c r="J1897" i="12"/>
  <c r="I1897" i="12"/>
  <c r="H1897" i="12"/>
  <c r="G1897" i="12"/>
  <c r="F1897" i="12"/>
  <c r="E1897" i="12"/>
  <c r="N1897" i="12" s="1"/>
  <c r="D1897" i="12"/>
  <c r="C1897" i="12"/>
  <c r="B1897" i="12"/>
  <c r="A1897" i="12"/>
  <c r="K1896" i="12"/>
  <c r="J1896" i="12"/>
  <c r="I1896" i="12"/>
  <c r="H1896" i="12"/>
  <c r="G1896" i="12"/>
  <c r="F1896" i="12"/>
  <c r="E1896" i="12"/>
  <c r="N1896" i="12" s="1"/>
  <c r="D1896" i="12"/>
  <c r="C1896" i="12"/>
  <c r="B1896" i="12"/>
  <c r="A1896" i="12"/>
  <c r="K1895" i="12"/>
  <c r="J1895" i="12"/>
  <c r="I1895" i="12"/>
  <c r="H1895" i="12"/>
  <c r="G1895" i="12"/>
  <c r="F1895" i="12"/>
  <c r="E1895" i="12"/>
  <c r="N1895" i="12" s="1"/>
  <c r="D1895" i="12"/>
  <c r="C1895" i="12"/>
  <c r="B1895" i="12"/>
  <c r="A1895" i="12"/>
  <c r="K1894" i="12"/>
  <c r="J1894" i="12"/>
  <c r="I1894" i="12"/>
  <c r="H1894" i="12"/>
  <c r="G1894" i="12"/>
  <c r="F1894" i="12"/>
  <c r="E1894" i="12"/>
  <c r="N1894" i="12" s="1"/>
  <c r="D1894" i="12"/>
  <c r="C1894" i="12"/>
  <c r="B1894" i="12"/>
  <c r="A1894" i="12"/>
  <c r="K1893" i="12"/>
  <c r="J1893" i="12"/>
  <c r="I1893" i="12"/>
  <c r="H1893" i="12"/>
  <c r="G1893" i="12"/>
  <c r="F1893" i="12"/>
  <c r="E1893" i="12"/>
  <c r="N1893" i="12" s="1"/>
  <c r="D1893" i="12"/>
  <c r="C1893" i="12"/>
  <c r="B1893" i="12"/>
  <c r="A1893" i="12"/>
  <c r="K1892" i="12"/>
  <c r="J1892" i="12"/>
  <c r="I1892" i="12"/>
  <c r="H1892" i="12"/>
  <c r="G1892" i="12"/>
  <c r="F1892" i="12"/>
  <c r="E1892" i="12"/>
  <c r="N1892" i="12" s="1"/>
  <c r="D1892" i="12"/>
  <c r="C1892" i="12"/>
  <c r="B1892" i="12"/>
  <c r="A1892" i="12"/>
  <c r="K1891" i="12"/>
  <c r="J1891" i="12"/>
  <c r="I1891" i="12"/>
  <c r="H1891" i="12"/>
  <c r="G1891" i="12"/>
  <c r="F1891" i="12"/>
  <c r="E1891" i="12"/>
  <c r="N1891" i="12" s="1"/>
  <c r="D1891" i="12"/>
  <c r="C1891" i="12"/>
  <c r="B1891" i="12"/>
  <c r="A1891" i="12"/>
  <c r="K1890" i="12"/>
  <c r="J1890" i="12"/>
  <c r="I1890" i="12"/>
  <c r="H1890" i="12"/>
  <c r="G1890" i="12"/>
  <c r="F1890" i="12"/>
  <c r="E1890" i="12"/>
  <c r="N1890" i="12" s="1"/>
  <c r="D1890" i="12"/>
  <c r="C1890" i="12"/>
  <c r="B1890" i="12"/>
  <c r="A1890" i="12"/>
  <c r="K1889" i="12"/>
  <c r="J1889" i="12"/>
  <c r="I1889" i="12"/>
  <c r="H1889" i="12"/>
  <c r="G1889" i="12"/>
  <c r="F1889" i="12"/>
  <c r="E1889" i="12"/>
  <c r="N1889" i="12" s="1"/>
  <c r="D1889" i="12"/>
  <c r="C1889" i="12"/>
  <c r="B1889" i="12"/>
  <c r="A1889" i="12"/>
  <c r="K1888" i="12"/>
  <c r="J1888" i="12"/>
  <c r="I1888" i="12"/>
  <c r="H1888" i="12"/>
  <c r="G1888" i="12"/>
  <c r="F1888" i="12"/>
  <c r="E1888" i="12"/>
  <c r="N1888" i="12" s="1"/>
  <c r="D1888" i="12"/>
  <c r="C1888" i="12"/>
  <c r="B1888" i="12"/>
  <c r="A1888" i="12"/>
  <c r="K1887" i="12"/>
  <c r="J1887" i="12"/>
  <c r="I1887" i="12"/>
  <c r="H1887" i="12"/>
  <c r="G1887" i="12"/>
  <c r="F1887" i="12"/>
  <c r="E1887" i="12"/>
  <c r="N1887" i="12" s="1"/>
  <c r="D1887" i="12"/>
  <c r="C1887" i="12"/>
  <c r="B1887" i="12"/>
  <c r="A1887" i="12"/>
  <c r="K1886" i="12"/>
  <c r="J1886" i="12"/>
  <c r="I1886" i="12"/>
  <c r="H1886" i="12"/>
  <c r="G1886" i="12"/>
  <c r="F1886" i="12"/>
  <c r="E1886" i="12"/>
  <c r="N1886" i="12" s="1"/>
  <c r="D1886" i="12"/>
  <c r="C1886" i="12"/>
  <c r="B1886" i="12"/>
  <c r="A1886" i="12"/>
  <c r="K1885" i="12"/>
  <c r="J1885" i="12"/>
  <c r="I1885" i="12"/>
  <c r="H1885" i="12"/>
  <c r="G1885" i="12"/>
  <c r="F1885" i="12"/>
  <c r="E1885" i="12"/>
  <c r="N1885" i="12" s="1"/>
  <c r="D1885" i="12"/>
  <c r="C1885" i="12"/>
  <c r="B1885" i="12"/>
  <c r="A1885" i="12"/>
  <c r="K1884" i="12"/>
  <c r="J1884" i="12"/>
  <c r="I1884" i="12"/>
  <c r="H1884" i="12"/>
  <c r="G1884" i="12"/>
  <c r="F1884" i="12"/>
  <c r="E1884" i="12"/>
  <c r="N1884" i="12" s="1"/>
  <c r="D1884" i="12"/>
  <c r="C1884" i="12"/>
  <c r="B1884" i="12"/>
  <c r="A1884" i="12"/>
  <c r="K1883" i="12"/>
  <c r="J1883" i="12"/>
  <c r="I1883" i="12"/>
  <c r="H1883" i="12"/>
  <c r="G1883" i="12"/>
  <c r="F1883" i="12"/>
  <c r="E1883" i="12"/>
  <c r="N1883" i="12" s="1"/>
  <c r="D1883" i="12"/>
  <c r="C1883" i="12"/>
  <c r="B1883" i="12"/>
  <c r="A1883" i="12"/>
  <c r="K1882" i="12"/>
  <c r="J1882" i="12"/>
  <c r="I1882" i="12"/>
  <c r="H1882" i="12"/>
  <c r="G1882" i="12"/>
  <c r="F1882" i="12"/>
  <c r="E1882" i="12"/>
  <c r="N1882" i="12" s="1"/>
  <c r="D1882" i="12"/>
  <c r="C1882" i="12"/>
  <c r="B1882" i="12"/>
  <c r="A1882" i="12"/>
  <c r="K1881" i="12"/>
  <c r="J1881" i="12"/>
  <c r="I1881" i="12"/>
  <c r="H1881" i="12"/>
  <c r="G1881" i="12"/>
  <c r="F1881" i="12"/>
  <c r="E1881" i="12"/>
  <c r="N1881" i="12" s="1"/>
  <c r="D1881" i="12"/>
  <c r="C1881" i="12"/>
  <c r="B1881" i="12"/>
  <c r="A1881" i="12"/>
  <c r="K1880" i="12"/>
  <c r="J1880" i="12"/>
  <c r="I1880" i="12"/>
  <c r="H1880" i="12"/>
  <c r="G1880" i="12"/>
  <c r="F1880" i="12"/>
  <c r="E1880" i="12"/>
  <c r="N1880" i="12" s="1"/>
  <c r="D1880" i="12"/>
  <c r="C1880" i="12"/>
  <c r="B1880" i="12"/>
  <c r="A1880" i="12"/>
  <c r="K1879" i="12"/>
  <c r="J1879" i="12"/>
  <c r="I1879" i="12"/>
  <c r="H1879" i="12"/>
  <c r="G1879" i="12"/>
  <c r="F1879" i="12"/>
  <c r="E1879" i="12"/>
  <c r="N1879" i="12" s="1"/>
  <c r="D1879" i="12"/>
  <c r="C1879" i="12"/>
  <c r="B1879" i="12"/>
  <c r="A1879" i="12"/>
  <c r="K1878" i="12"/>
  <c r="J1878" i="12"/>
  <c r="I1878" i="12"/>
  <c r="H1878" i="12"/>
  <c r="G1878" i="12"/>
  <c r="F1878" i="12"/>
  <c r="E1878" i="12"/>
  <c r="N1878" i="12" s="1"/>
  <c r="D1878" i="12"/>
  <c r="C1878" i="12"/>
  <c r="B1878" i="12"/>
  <c r="A1878" i="12"/>
  <c r="K1877" i="12"/>
  <c r="J1877" i="12"/>
  <c r="I1877" i="12"/>
  <c r="H1877" i="12"/>
  <c r="G1877" i="12"/>
  <c r="F1877" i="12"/>
  <c r="E1877" i="12"/>
  <c r="N1877" i="12" s="1"/>
  <c r="D1877" i="12"/>
  <c r="C1877" i="12"/>
  <c r="B1877" i="12"/>
  <c r="A1877" i="12"/>
  <c r="K1876" i="12"/>
  <c r="J1876" i="12"/>
  <c r="I1876" i="12"/>
  <c r="H1876" i="12"/>
  <c r="G1876" i="12"/>
  <c r="F1876" i="12"/>
  <c r="E1876" i="12"/>
  <c r="N1876" i="12" s="1"/>
  <c r="D1876" i="12"/>
  <c r="C1876" i="12"/>
  <c r="B1876" i="12"/>
  <c r="A1876" i="12"/>
  <c r="K1875" i="12"/>
  <c r="J1875" i="12"/>
  <c r="I1875" i="12"/>
  <c r="H1875" i="12"/>
  <c r="G1875" i="12"/>
  <c r="F1875" i="12"/>
  <c r="E1875" i="12"/>
  <c r="N1875" i="12" s="1"/>
  <c r="D1875" i="12"/>
  <c r="C1875" i="12"/>
  <c r="B1875" i="12"/>
  <c r="A1875" i="12"/>
  <c r="S1874" i="12"/>
  <c r="R1874" i="12"/>
  <c r="P1874" i="12"/>
  <c r="O1874" i="12"/>
  <c r="N1874" i="12"/>
  <c r="M1874" i="12"/>
  <c r="Q1874" i="12" s="1"/>
  <c r="L1874" i="12"/>
  <c r="K1874" i="12"/>
  <c r="J1874" i="12"/>
  <c r="I1874" i="12"/>
  <c r="H1874" i="12"/>
  <c r="G1874" i="12"/>
  <c r="F1874" i="12"/>
  <c r="E1874" i="12"/>
  <c r="D1874" i="12"/>
  <c r="C1874" i="12"/>
  <c r="B1874" i="12"/>
  <c r="A1874" i="12"/>
  <c r="K1873" i="12"/>
  <c r="J1873" i="12"/>
  <c r="I1873" i="12"/>
  <c r="H1873" i="12"/>
  <c r="G1873" i="12"/>
  <c r="F1873" i="12"/>
  <c r="E1873" i="12"/>
  <c r="N1873" i="12" s="1"/>
  <c r="D1873" i="12"/>
  <c r="C1873" i="12"/>
  <c r="B1873" i="12"/>
  <c r="A1873" i="12"/>
  <c r="K1872" i="12"/>
  <c r="J1872" i="12"/>
  <c r="I1872" i="12"/>
  <c r="H1872" i="12"/>
  <c r="G1872" i="12"/>
  <c r="F1872" i="12"/>
  <c r="E1872" i="12"/>
  <c r="N1872" i="12" s="1"/>
  <c r="D1872" i="12"/>
  <c r="C1872" i="12"/>
  <c r="B1872" i="12"/>
  <c r="A1872" i="12"/>
  <c r="K1871" i="12"/>
  <c r="J1871" i="12"/>
  <c r="I1871" i="12"/>
  <c r="H1871" i="12"/>
  <c r="G1871" i="12"/>
  <c r="F1871" i="12"/>
  <c r="E1871" i="12"/>
  <c r="N1871" i="12" s="1"/>
  <c r="D1871" i="12"/>
  <c r="C1871" i="12"/>
  <c r="B1871" i="12"/>
  <c r="A1871" i="12"/>
  <c r="K1870" i="12"/>
  <c r="J1870" i="12"/>
  <c r="I1870" i="12"/>
  <c r="H1870" i="12"/>
  <c r="G1870" i="12"/>
  <c r="F1870" i="12"/>
  <c r="E1870" i="12"/>
  <c r="N1870" i="12" s="1"/>
  <c r="D1870" i="12"/>
  <c r="C1870" i="12"/>
  <c r="B1870" i="12"/>
  <c r="A1870" i="12"/>
  <c r="K1869" i="12"/>
  <c r="J1869" i="12"/>
  <c r="I1869" i="12"/>
  <c r="H1869" i="12"/>
  <c r="G1869" i="12"/>
  <c r="F1869" i="12"/>
  <c r="E1869" i="12"/>
  <c r="N1869" i="12" s="1"/>
  <c r="D1869" i="12"/>
  <c r="C1869" i="12"/>
  <c r="B1869" i="12"/>
  <c r="A1869" i="12"/>
  <c r="K1868" i="12"/>
  <c r="J1868" i="12"/>
  <c r="I1868" i="12"/>
  <c r="H1868" i="12"/>
  <c r="G1868" i="12"/>
  <c r="F1868" i="12"/>
  <c r="E1868" i="12"/>
  <c r="N1868" i="12" s="1"/>
  <c r="D1868" i="12"/>
  <c r="C1868" i="12"/>
  <c r="B1868" i="12"/>
  <c r="A1868" i="12"/>
  <c r="K1867" i="12"/>
  <c r="J1867" i="12"/>
  <c r="I1867" i="12"/>
  <c r="H1867" i="12"/>
  <c r="G1867" i="12"/>
  <c r="F1867" i="12"/>
  <c r="E1867" i="12"/>
  <c r="N1867" i="12" s="1"/>
  <c r="D1867" i="12"/>
  <c r="C1867" i="12"/>
  <c r="B1867" i="12"/>
  <c r="A1867" i="12"/>
  <c r="K1866" i="12"/>
  <c r="J1866" i="12"/>
  <c r="I1866" i="12"/>
  <c r="H1866" i="12"/>
  <c r="G1866" i="12"/>
  <c r="F1866" i="12"/>
  <c r="E1866" i="12"/>
  <c r="N1866" i="12" s="1"/>
  <c r="D1866" i="12"/>
  <c r="C1866" i="12"/>
  <c r="B1866" i="12"/>
  <c r="A1866" i="12"/>
  <c r="K1865" i="12"/>
  <c r="J1865" i="12"/>
  <c r="I1865" i="12"/>
  <c r="H1865" i="12"/>
  <c r="G1865" i="12"/>
  <c r="F1865" i="12"/>
  <c r="E1865" i="12"/>
  <c r="N1865" i="12" s="1"/>
  <c r="D1865" i="12"/>
  <c r="C1865" i="12"/>
  <c r="B1865" i="12"/>
  <c r="A1865" i="12"/>
  <c r="K1864" i="12"/>
  <c r="J1864" i="12"/>
  <c r="I1864" i="12"/>
  <c r="H1864" i="12"/>
  <c r="G1864" i="12"/>
  <c r="F1864" i="12"/>
  <c r="E1864" i="12"/>
  <c r="N1864" i="12" s="1"/>
  <c r="D1864" i="12"/>
  <c r="C1864" i="12"/>
  <c r="B1864" i="12"/>
  <c r="A1864" i="12"/>
  <c r="K1863" i="12"/>
  <c r="J1863" i="12"/>
  <c r="I1863" i="12"/>
  <c r="H1863" i="12"/>
  <c r="G1863" i="12"/>
  <c r="F1863" i="12"/>
  <c r="E1863" i="12"/>
  <c r="N1863" i="12" s="1"/>
  <c r="D1863" i="12"/>
  <c r="C1863" i="12"/>
  <c r="B1863" i="12"/>
  <c r="A1863" i="12"/>
  <c r="K1862" i="12"/>
  <c r="J1862" i="12"/>
  <c r="I1862" i="12"/>
  <c r="H1862" i="12"/>
  <c r="G1862" i="12"/>
  <c r="F1862" i="12"/>
  <c r="E1862" i="12"/>
  <c r="N1862" i="12" s="1"/>
  <c r="D1862" i="12"/>
  <c r="C1862" i="12"/>
  <c r="B1862" i="12"/>
  <c r="A1862" i="12"/>
  <c r="K1861" i="12"/>
  <c r="J1861" i="12"/>
  <c r="I1861" i="12"/>
  <c r="H1861" i="12"/>
  <c r="G1861" i="12"/>
  <c r="F1861" i="12"/>
  <c r="E1861" i="12"/>
  <c r="N1861" i="12" s="1"/>
  <c r="D1861" i="12"/>
  <c r="C1861" i="12"/>
  <c r="B1861" i="12"/>
  <c r="A1861" i="12"/>
  <c r="K1860" i="12"/>
  <c r="J1860" i="12"/>
  <c r="I1860" i="12"/>
  <c r="H1860" i="12"/>
  <c r="G1860" i="12"/>
  <c r="F1860" i="12"/>
  <c r="E1860" i="12"/>
  <c r="N1860" i="12" s="1"/>
  <c r="D1860" i="12"/>
  <c r="C1860" i="12"/>
  <c r="B1860" i="12"/>
  <c r="A1860" i="12"/>
  <c r="K1859" i="12"/>
  <c r="J1859" i="12"/>
  <c r="I1859" i="12"/>
  <c r="H1859" i="12"/>
  <c r="G1859" i="12"/>
  <c r="F1859" i="12"/>
  <c r="E1859" i="12"/>
  <c r="N1859" i="12" s="1"/>
  <c r="D1859" i="12"/>
  <c r="C1859" i="12"/>
  <c r="B1859" i="12"/>
  <c r="A1859" i="12"/>
  <c r="K1858" i="12"/>
  <c r="J1858" i="12"/>
  <c r="I1858" i="12"/>
  <c r="H1858" i="12"/>
  <c r="G1858" i="12"/>
  <c r="F1858" i="12"/>
  <c r="E1858" i="12"/>
  <c r="N1858" i="12" s="1"/>
  <c r="D1858" i="12"/>
  <c r="C1858" i="12"/>
  <c r="B1858" i="12"/>
  <c r="A1858" i="12"/>
  <c r="K1857" i="12"/>
  <c r="J1857" i="12"/>
  <c r="I1857" i="12"/>
  <c r="H1857" i="12"/>
  <c r="G1857" i="12"/>
  <c r="F1857" i="12"/>
  <c r="E1857" i="12"/>
  <c r="N1857" i="12" s="1"/>
  <c r="D1857" i="12"/>
  <c r="C1857" i="12"/>
  <c r="B1857" i="12"/>
  <c r="A1857" i="12"/>
  <c r="K1856" i="12"/>
  <c r="J1856" i="12"/>
  <c r="I1856" i="12"/>
  <c r="H1856" i="12"/>
  <c r="G1856" i="12"/>
  <c r="F1856" i="12"/>
  <c r="E1856" i="12"/>
  <c r="N1856" i="12" s="1"/>
  <c r="D1856" i="12"/>
  <c r="C1856" i="12"/>
  <c r="B1856" i="12"/>
  <c r="A1856" i="12"/>
  <c r="K1855" i="12"/>
  <c r="J1855" i="12"/>
  <c r="I1855" i="12"/>
  <c r="H1855" i="12"/>
  <c r="G1855" i="12"/>
  <c r="F1855" i="12"/>
  <c r="E1855" i="12"/>
  <c r="N1855" i="12" s="1"/>
  <c r="D1855" i="12"/>
  <c r="C1855" i="12"/>
  <c r="B1855" i="12"/>
  <c r="A1855" i="12"/>
  <c r="K1854" i="12"/>
  <c r="J1854" i="12"/>
  <c r="I1854" i="12"/>
  <c r="H1854" i="12"/>
  <c r="G1854" i="12"/>
  <c r="F1854" i="12"/>
  <c r="E1854" i="12"/>
  <c r="N1854" i="12" s="1"/>
  <c r="D1854" i="12"/>
  <c r="C1854" i="12"/>
  <c r="B1854" i="12"/>
  <c r="A1854" i="12"/>
  <c r="K1853" i="12"/>
  <c r="J1853" i="12"/>
  <c r="I1853" i="12"/>
  <c r="H1853" i="12"/>
  <c r="G1853" i="12"/>
  <c r="F1853" i="12"/>
  <c r="E1853" i="12"/>
  <c r="N1853" i="12" s="1"/>
  <c r="D1853" i="12"/>
  <c r="C1853" i="12"/>
  <c r="B1853" i="12"/>
  <c r="A1853" i="12"/>
  <c r="K1852" i="12"/>
  <c r="J1852" i="12"/>
  <c r="I1852" i="12"/>
  <c r="H1852" i="12"/>
  <c r="G1852" i="12"/>
  <c r="F1852" i="12"/>
  <c r="E1852" i="12"/>
  <c r="N1852" i="12" s="1"/>
  <c r="D1852" i="12"/>
  <c r="C1852" i="12"/>
  <c r="B1852" i="12"/>
  <c r="A1852" i="12"/>
  <c r="K1851" i="12"/>
  <c r="J1851" i="12"/>
  <c r="I1851" i="12"/>
  <c r="H1851" i="12"/>
  <c r="G1851" i="12"/>
  <c r="F1851" i="12"/>
  <c r="E1851" i="12"/>
  <c r="N1851" i="12" s="1"/>
  <c r="D1851" i="12"/>
  <c r="C1851" i="12"/>
  <c r="B1851" i="12"/>
  <c r="A1851" i="12"/>
  <c r="K1850" i="12"/>
  <c r="J1850" i="12"/>
  <c r="I1850" i="12"/>
  <c r="H1850" i="12"/>
  <c r="G1850" i="12"/>
  <c r="F1850" i="12"/>
  <c r="E1850" i="12"/>
  <c r="N1850" i="12" s="1"/>
  <c r="D1850" i="12"/>
  <c r="C1850" i="12"/>
  <c r="B1850" i="12"/>
  <c r="A1850" i="12"/>
  <c r="K1849" i="12"/>
  <c r="J1849" i="12"/>
  <c r="I1849" i="12"/>
  <c r="H1849" i="12"/>
  <c r="G1849" i="12"/>
  <c r="F1849" i="12"/>
  <c r="E1849" i="12"/>
  <c r="N1849" i="12" s="1"/>
  <c r="D1849" i="12"/>
  <c r="C1849" i="12"/>
  <c r="B1849" i="12"/>
  <c r="A1849" i="12"/>
  <c r="K1848" i="12"/>
  <c r="J1848" i="12"/>
  <c r="I1848" i="12"/>
  <c r="H1848" i="12"/>
  <c r="G1848" i="12"/>
  <c r="F1848" i="12"/>
  <c r="E1848" i="12"/>
  <c r="N1848" i="12" s="1"/>
  <c r="D1848" i="12"/>
  <c r="C1848" i="12"/>
  <c r="B1848" i="12"/>
  <c r="A1848" i="12"/>
  <c r="K1847" i="12"/>
  <c r="J1847" i="12"/>
  <c r="I1847" i="12"/>
  <c r="H1847" i="12"/>
  <c r="G1847" i="12"/>
  <c r="F1847" i="12"/>
  <c r="E1847" i="12"/>
  <c r="N1847" i="12" s="1"/>
  <c r="D1847" i="12"/>
  <c r="C1847" i="12"/>
  <c r="B1847" i="12"/>
  <c r="A1847" i="12"/>
  <c r="K1846" i="12"/>
  <c r="J1846" i="12"/>
  <c r="I1846" i="12"/>
  <c r="H1846" i="12"/>
  <c r="G1846" i="12"/>
  <c r="F1846" i="12"/>
  <c r="E1846" i="12"/>
  <c r="N1846" i="12" s="1"/>
  <c r="D1846" i="12"/>
  <c r="C1846" i="12"/>
  <c r="B1846" i="12"/>
  <c r="A1846" i="12"/>
  <c r="K1845" i="12"/>
  <c r="J1845" i="12"/>
  <c r="I1845" i="12"/>
  <c r="H1845" i="12"/>
  <c r="G1845" i="12"/>
  <c r="F1845" i="12"/>
  <c r="E1845" i="12"/>
  <c r="N1845" i="12" s="1"/>
  <c r="D1845" i="12"/>
  <c r="C1845" i="12"/>
  <c r="B1845" i="12"/>
  <c r="A1845" i="12"/>
  <c r="K1844" i="12"/>
  <c r="J1844" i="12"/>
  <c r="I1844" i="12"/>
  <c r="H1844" i="12"/>
  <c r="G1844" i="12"/>
  <c r="F1844" i="12"/>
  <c r="E1844" i="12"/>
  <c r="N1844" i="12" s="1"/>
  <c r="D1844" i="12"/>
  <c r="C1844" i="12"/>
  <c r="B1844" i="12"/>
  <c r="A1844" i="12"/>
  <c r="K1843" i="12"/>
  <c r="J1843" i="12"/>
  <c r="I1843" i="12"/>
  <c r="H1843" i="12"/>
  <c r="G1843" i="12"/>
  <c r="F1843" i="12"/>
  <c r="E1843" i="12"/>
  <c r="N1843" i="12" s="1"/>
  <c r="D1843" i="12"/>
  <c r="C1843" i="12"/>
  <c r="B1843" i="12"/>
  <c r="A1843" i="12"/>
  <c r="K1842" i="12"/>
  <c r="J1842" i="12"/>
  <c r="I1842" i="12"/>
  <c r="H1842" i="12"/>
  <c r="G1842" i="12"/>
  <c r="F1842" i="12"/>
  <c r="E1842" i="12"/>
  <c r="N1842" i="12" s="1"/>
  <c r="D1842" i="12"/>
  <c r="C1842" i="12"/>
  <c r="B1842" i="12"/>
  <c r="A1842" i="12"/>
  <c r="K1841" i="12"/>
  <c r="J1841" i="12"/>
  <c r="I1841" i="12"/>
  <c r="H1841" i="12"/>
  <c r="G1841" i="12"/>
  <c r="F1841" i="12"/>
  <c r="E1841" i="12"/>
  <c r="N1841" i="12" s="1"/>
  <c r="D1841" i="12"/>
  <c r="C1841" i="12"/>
  <c r="B1841" i="12"/>
  <c r="A1841" i="12"/>
  <c r="K1840" i="12"/>
  <c r="J1840" i="12"/>
  <c r="I1840" i="12"/>
  <c r="H1840" i="12"/>
  <c r="G1840" i="12"/>
  <c r="F1840" i="12"/>
  <c r="E1840" i="12"/>
  <c r="N1840" i="12" s="1"/>
  <c r="D1840" i="12"/>
  <c r="C1840" i="12"/>
  <c r="B1840" i="12"/>
  <c r="A1840" i="12"/>
  <c r="K1839" i="12"/>
  <c r="J1839" i="12"/>
  <c r="I1839" i="12"/>
  <c r="H1839" i="12"/>
  <c r="G1839" i="12"/>
  <c r="F1839" i="12"/>
  <c r="E1839" i="12"/>
  <c r="N1839" i="12" s="1"/>
  <c r="D1839" i="12"/>
  <c r="C1839" i="12"/>
  <c r="B1839" i="12"/>
  <c r="A1839" i="12"/>
  <c r="K1838" i="12"/>
  <c r="J1838" i="12"/>
  <c r="I1838" i="12"/>
  <c r="H1838" i="12"/>
  <c r="G1838" i="12"/>
  <c r="F1838" i="12"/>
  <c r="E1838" i="12"/>
  <c r="N1838" i="12" s="1"/>
  <c r="D1838" i="12"/>
  <c r="C1838" i="12"/>
  <c r="B1838" i="12"/>
  <c r="A1838" i="12"/>
  <c r="K1837" i="12"/>
  <c r="J1837" i="12"/>
  <c r="I1837" i="12"/>
  <c r="H1837" i="12"/>
  <c r="G1837" i="12"/>
  <c r="F1837" i="12"/>
  <c r="E1837" i="12"/>
  <c r="N1837" i="12" s="1"/>
  <c r="D1837" i="12"/>
  <c r="C1837" i="12"/>
  <c r="B1837" i="12"/>
  <c r="A1837" i="12"/>
  <c r="K1836" i="12"/>
  <c r="J1836" i="12"/>
  <c r="I1836" i="12"/>
  <c r="H1836" i="12"/>
  <c r="G1836" i="12"/>
  <c r="F1836" i="12"/>
  <c r="E1836" i="12"/>
  <c r="N1836" i="12" s="1"/>
  <c r="D1836" i="12"/>
  <c r="C1836" i="12"/>
  <c r="B1836" i="12"/>
  <c r="A1836" i="12"/>
  <c r="K1835" i="12"/>
  <c r="J1835" i="12"/>
  <c r="I1835" i="12"/>
  <c r="H1835" i="12"/>
  <c r="G1835" i="12"/>
  <c r="F1835" i="12"/>
  <c r="E1835" i="12"/>
  <c r="N1835" i="12" s="1"/>
  <c r="D1835" i="12"/>
  <c r="C1835" i="12"/>
  <c r="B1835" i="12"/>
  <c r="A1835" i="12"/>
  <c r="K1834" i="12"/>
  <c r="J1834" i="12"/>
  <c r="I1834" i="12"/>
  <c r="H1834" i="12"/>
  <c r="G1834" i="12"/>
  <c r="F1834" i="12"/>
  <c r="E1834" i="12"/>
  <c r="N1834" i="12" s="1"/>
  <c r="D1834" i="12"/>
  <c r="C1834" i="12"/>
  <c r="B1834" i="12"/>
  <c r="A1834" i="12"/>
  <c r="K1833" i="12"/>
  <c r="J1833" i="12"/>
  <c r="I1833" i="12"/>
  <c r="H1833" i="12"/>
  <c r="G1833" i="12"/>
  <c r="F1833" i="12"/>
  <c r="E1833" i="12"/>
  <c r="N1833" i="12" s="1"/>
  <c r="D1833" i="12"/>
  <c r="C1833" i="12"/>
  <c r="B1833" i="12"/>
  <c r="A1833" i="12"/>
  <c r="K1832" i="12"/>
  <c r="J1832" i="12"/>
  <c r="I1832" i="12"/>
  <c r="H1832" i="12"/>
  <c r="G1832" i="12"/>
  <c r="F1832" i="12"/>
  <c r="E1832" i="12"/>
  <c r="N1832" i="12" s="1"/>
  <c r="D1832" i="12"/>
  <c r="C1832" i="12"/>
  <c r="B1832" i="12"/>
  <c r="A1832" i="12"/>
  <c r="K1831" i="12"/>
  <c r="J1831" i="12"/>
  <c r="I1831" i="12"/>
  <c r="H1831" i="12"/>
  <c r="G1831" i="12"/>
  <c r="F1831" i="12"/>
  <c r="E1831" i="12"/>
  <c r="N1831" i="12" s="1"/>
  <c r="D1831" i="12"/>
  <c r="C1831" i="12"/>
  <c r="B1831" i="12"/>
  <c r="A1831" i="12"/>
  <c r="K1830" i="12"/>
  <c r="J1830" i="12"/>
  <c r="I1830" i="12"/>
  <c r="H1830" i="12"/>
  <c r="G1830" i="12"/>
  <c r="F1830" i="12"/>
  <c r="E1830" i="12"/>
  <c r="N1830" i="12" s="1"/>
  <c r="D1830" i="12"/>
  <c r="C1830" i="12"/>
  <c r="B1830" i="12"/>
  <c r="A1830" i="12"/>
  <c r="K1829" i="12"/>
  <c r="J1829" i="12"/>
  <c r="I1829" i="12"/>
  <c r="H1829" i="12"/>
  <c r="G1829" i="12"/>
  <c r="F1829" i="12"/>
  <c r="E1829" i="12"/>
  <c r="N1829" i="12" s="1"/>
  <c r="D1829" i="12"/>
  <c r="C1829" i="12"/>
  <c r="B1829" i="12"/>
  <c r="A1829" i="12"/>
  <c r="K1828" i="12"/>
  <c r="J1828" i="12"/>
  <c r="I1828" i="12"/>
  <c r="H1828" i="12"/>
  <c r="G1828" i="12"/>
  <c r="F1828" i="12"/>
  <c r="E1828" i="12"/>
  <c r="N1828" i="12" s="1"/>
  <c r="D1828" i="12"/>
  <c r="C1828" i="12"/>
  <c r="B1828" i="12"/>
  <c r="A1828" i="12"/>
  <c r="K1827" i="12"/>
  <c r="J1827" i="12"/>
  <c r="I1827" i="12"/>
  <c r="H1827" i="12"/>
  <c r="G1827" i="12"/>
  <c r="F1827" i="12"/>
  <c r="E1827" i="12"/>
  <c r="N1827" i="12" s="1"/>
  <c r="D1827" i="12"/>
  <c r="C1827" i="12"/>
  <c r="B1827" i="12"/>
  <c r="A1827" i="12"/>
  <c r="K1826" i="12"/>
  <c r="J1826" i="12"/>
  <c r="I1826" i="12"/>
  <c r="H1826" i="12"/>
  <c r="G1826" i="12"/>
  <c r="F1826" i="12"/>
  <c r="E1826" i="12"/>
  <c r="N1826" i="12" s="1"/>
  <c r="D1826" i="12"/>
  <c r="C1826" i="12"/>
  <c r="B1826" i="12"/>
  <c r="A1826" i="12"/>
  <c r="K1825" i="12"/>
  <c r="J1825" i="12"/>
  <c r="I1825" i="12"/>
  <c r="H1825" i="12"/>
  <c r="G1825" i="12"/>
  <c r="F1825" i="12"/>
  <c r="E1825" i="12"/>
  <c r="N1825" i="12" s="1"/>
  <c r="D1825" i="12"/>
  <c r="C1825" i="12"/>
  <c r="B1825" i="12"/>
  <c r="A1825" i="12"/>
  <c r="K1824" i="12"/>
  <c r="J1824" i="12"/>
  <c r="I1824" i="12"/>
  <c r="H1824" i="12"/>
  <c r="G1824" i="12"/>
  <c r="F1824" i="12"/>
  <c r="E1824" i="12"/>
  <c r="N1824" i="12" s="1"/>
  <c r="D1824" i="12"/>
  <c r="C1824" i="12"/>
  <c r="B1824" i="12"/>
  <c r="A1824" i="12"/>
  <c r="K1823" i="12"/>
  <c r="J1823" i="12"/>
  <c r="I1823" i="12"/>
  <c r="H1823" i="12"/>
  <c r="G1823" i="12"/>
  <c r="F1823" i="12"/>
  <c r="E1823" i="12"/>
  <c r="N1823" i="12" s="1"/>
  <c r="D1823" i="12"/>
  <c r="C1823" i="12"/>
  <c r="B1823" i="12"/>
  <c r="A1823" i="12"/>
  <c r="K1822" i="12"/>
  <c r="J1822" i="12"/>
  <c r="I1822" i="12"/>
  <c r="H1822" i="12"/>
  <c r="G1822" i="12"/>
  <c r="F1822" i="12"/>
  <c r="E1822" i="12"/>
  <c r="N1822" i="12" s="1"/>
  <c r="D1822" i="12"/>
  <c r="C1822" i="12"/>
  <c r="B1822" i="12"/>
  <c r="A1822" i="12"/>
  <c r="K1821" i="12"/>
  <c r="J1821" i="12"/>
  <c r="I1821" i="12"/>
  <c r="H1821" i="12"/>
  <c r="G1821" i="12"/>
  <c r="F1821" i="12"/>
  <c r="E1821" i="12"/>
  <c r="N1821" i="12" s="1"/>
  <c r="D1821" i="12"/>
  <c r="C1821" i="12"/>
  <c r="B1821" i="12"/>
  <c r="A1821" i="12"/>
  <c r="K1820" i="12"/>
  <c r="J1820" i="12"/>
  <c r="I1820" i="12"/>
  <c r="H1820" i="12"/>
  <c r="G1820" i="12"/>
  <c r="F1820" i="12"/>
  <c r="E1820" i="12"/>
  <c r="N1820" i="12" s="1"/>
  <c r="D1820" i="12"/>
  <c r="C1820" i="12"/>
  <c r="B1820" i="12"/>
  <c r="A1820" i="12"/>
  <c r="K1819" i="12"/>
  <c r="J1819" i="12"/>
  <c r="I1819" i="12"/>
  <c r="H1819" i="12"/>
  <c r="G1819" i="12"/>
  <c r="F1819" i="12"/>
  <c r="E1819" i="12"/>
  <c r="N1819" i="12" s="1"/>
  <c r="D1819" i="12"/>
  <c r="C1819" i="12"/>
  <c r="B1819" i="12"/>
  <c r="A1819" i="12"/>
  <c r="K1818" i="12"/>
  <c r="J1818" i="12"/>
  <c r="I1818" i="12"/>
  <c r="H1818" i="12"/>
  <c r="G1818" i="12"/>
  <c r="F1818" i="12"/>
  <c r="E1818" i="12"/>
  <c r="N1818" i="12" s="1"/>
  <c r="D1818" i="12"/>
  <c r="C1818" i="12"/>
  <c r="B1818" i="12"/>
  <c r="A1818" i="12"/>
  <c r="K1817" i="12"/>
  <c r="J1817" i="12"/>
  <c r="I1817" i="12"/>
  <c r="H1817" i="12"/>
  <c r="G1817" i="12"/>
  <c r="F1817" i="12"/>
  <c r="E1817" i="12"/>
  <c r="N1817" i="12" s="1"/>
  <c r="D1817" i="12"/>
  <c r="C1817" i="12"/>
  <c r="B1817" i="12"/>
  <c r="A1817" i="12"/>
  <c r="K1816" i="12"/>
  <c r="J1816" i="12"/>
  <c r="I1816" i="12"/>
  <c r="H1816" i="12"/>
  <c r="G1816" i="12"/>
  <c r="F1816" i="12"/>
  <c r="E1816" i="12"/>
  <c r="N1816" i="12" s="1"/>
  <c r="D1816" i="12"/>
  <c r="C1816" i="12"/>
  <c r="B1816" i="12"/>
  <c r="A1816" i="12"/>
  <c r="K1815" i="12"/>
  <c r="J1815" i="12"/>
  <c r="I1815" i="12"/>
  <c r="H1815" i="12"/>
  <c r="G1815" i="12"/>
  <c r="F1815" i="12"/>
  <c r="E1815" i="12"/>
  <c r="N1815" i="12" s="1"/>
  <c r="D1815" i="12"/>
  <c r="C1815" i="12"/>
  <c r="B1815" i="12"/>
  <c r="A1815" i="12"/>
  <c r="K1814" i="12"/>
  <c r="J1814" i="12"/>
  <c r="I1814" i="12"/>
  <c r="H1814" i="12"/>
  <c r="G1814" i="12"/>
  <c r="F1814" i="12"/>
  <c r="E1814" i="12"/>
  <c r="N1814" i="12" s="1"/>
  <c r="D1814" i="12"/>
  <c r="C1814" i="12"/>
  <c r="B1814" i="12"/>
  <c r="A1814" i="12"/>
  <c r="K1813" i="12"/>
  <c r="J1813" i="12"/>
  <c r="I1813" i="12"/>
  <c r="H1813" i="12"/>
  <c r="G1813" i="12"/>
  <c r="F1813" i="12"/>
  <c r="E1813" i="12"/>
  <c r="N1813" i="12" s="1"/>
  <c r="D1813" i="12"/>
  <c r="C1813" i="12"/>
  <c r="B1813" i="12"/>
  <c r="A1813" i="12"/>
  <c r="K1812" i="12"/>
  <c r="J1812" i="12"/>
  <c r="I1812" i="12"/>
  <c r="H1812" i="12"/>
  <c r="G1812" i="12"/>
  <c r="F1812" i="12"/>
  <c r="E1812" i="12"/>
  <c r="N1812" i="12" s="1"/>
  <c r="D1812" i="12"/>
  <c r="C1812" i="12"/>
  <c r="B1812" i="12"/>
  <c r="A1812" i="12"/>
  <c r="K1811" i="12"/>
  <c r="J1811" i="12"/>
  <c r="I1811" i="12"/>
  <c r="H1811" i="12"/>
  <c r="G1811" i="12"/>
  <c r="F1811" i="12"/>
  <c r="E1811" i="12"/>
  <c r="N1811" i="12" s="1"/>
  <c r="D1811" i="12"/>
  <c r="C1811" i="12"/>
  <c r="B1811" i="12"/>
  <c r="A1811" i="12"/>
  <c r="S1810" i="12"/>
  <c r="R1810" i="12"/>
  <c r="P1810" i="12"/>
  <c r="O1810" i="12"/>
  <c r="N1810" i="12"/>
  <c r="M1810" i="12"/>
  <c r="Q1810" i="12" s="1"/>
  <c r="K1810" i="12"/>
  <c r="J1810" i="12"/>
  <c r="I1810" i="12"/>
  <c r="H1810" i="12"/>
  <c r="G1810" i="12"/>
  <c r="F1810" i="12"/>
  <c r="E1810" i="12"/>
  <c r="D1810" i="12"/>
  <c r="L1810" i="12" s="1"/>
  <c r="C1810" i="12"/>
  <c r="B1810" i="12"/>
  <c r="A1810" i="12"/>
  <c r="K1809" i="12"/>
  <c r="J1809" i="12"/>
  <c r="I1809" i="12"/>
  <c r="H1809" i="12"/>
  <c r="G1809" i="12"/>
  <c r="F1809" i="12"/>
  <c r="E1809" i="12"/>
  <c r="N1809" i="12" s="1"/>
  <c r="D1809" i="12"/>
  <c r="C1809" i="12"/>
  <c r="B1809" i="12"/>
  <c r="A1809" i="12"/>
  <c r="K1808" i="12"/>
  <c r="J1808" i="12"/>
  <c r="I1808" i="12"/>
  <c r="H1808" i="12"/>
  <c r="G1808" i="12"/>
  <c r="F1808" i="12"/>
  <c r="E1808" i="12"/>
  <c r="N1808" i="12" s="1"/>
  <c r="D1808" i="12"/>
  <c r="C1808" i="12"/>
  <c r="B1808" i="12"/>
  <c r="A1808" i="12"/>
  <c r="K1807" i="12"/>
  <c r="J1807" i="12"/>
  <c r="I1807" i="12"/>
  <c r="H1807" i="12"/>
  <c r="G1807" i="12"/>
  <c r="F1807" i="12"/>
  <c r="E1807" i="12"/>
  <c r="N1807" i="12" s="1"/>
  <c r="D1807" i="12"/>
  <c r="C1807" i="12"/>
  <c r="B1807" i="12"/>
  <c r="A1807" i="12"/>
  <c r="K1806" i="12"/>
  <c r="J1806" i="12"/>
  <c r="I1806" i="12"/>
  <c r="H1806" i="12"/>
  <c r="G1806" i="12"/>
  <c r="F1806" i="12"/>
  <c r="E1806" i="12"/>
  <c r="N1806" i="12" s="1"/>
  <c r="D1806" i="12"/>
  <c r="C1806" i="12"/>
  <c r="B1806" i="12"/>
  <c r="A1806" i="12"/>
  <c r="K1805" i="12"/>
  <c r="J1805" i="12"/>
  <c r="I1805" i="12"/>
  <c r="H1805" i="12"/>
  <c r="G1805" i="12"/>
  <c r="F1805" i="12"/>
  <c r="E1805" i="12"/>
  <c r="N1805" i="12" s="1"/>
  <c r="D1805" i="12"/>
  <c r="C1805" i="12"/>
  <c r="B1805" i="12"/>
  <c r="A1805" i="12"/>
  <c r="K1804" i="12"/>
  <c r="J1804" i="12"/>
  <c r="I1804" i="12"/>
  <c r="H1804" i="12"/>
  <c r="G1804" i="12"/>
  <c r="F1804" i="12"/>
  <c r="E1804" i="12"/>
  <c r="N1804" i="12" s="1"/>
  <c r="D1804" i="12"/>
  <c r="C1804" i="12"/>
  <c r="B1804" i="12"/>
  <c r="A1804" i="12"/>
  <c r="K1803" i="12"/>
  <c r="J1803" i="12"/>
  <c r="I1803" i="12"/>
  <c r="H1803" i="12"/>
  <c r="G1803" i="12"/>
  <c r="F1803" i="12"/>
  <c r="E1803" i="12"/>
  <c r="N1803" i="12" s="1"/>
  <c r="D1803" i="12"/>
  <c r="C1803" i="12"/>
  <c r="B1803" i="12"/>
  <c r="A1803" i="12"/>
  <c r="K1802" i="12"/>
  <c r="J1802" i="12"/>
  <c r="I1802" i="12"/>
  <c r="H1802" i="12"/>
  <c r="G1802" i="12"/>
  <c r="F1802" i="12"/>
  <c r="E1802" i="12"/>
  <c r="N1802" i="12" s="1"/>
  <c r="D1802" i="12"/>
  <c r="C1802" i="12"/>
  <c r="B1802" i="12"/>
  <c r="A1802" i="12"/>
  <c r="K1801" i="12"/>
  <c r="J1801" i="12"/>
  <c r="I1801" i="12"/>
  <c r="H1801" i="12"/>
  <c r="G1801" i="12"/>
  <c r="F1801" i="12"/>
  <c r="E1801" i="12"/>
  <c r="N1801" i="12" s="1"/>
  <c r="D1801" i="12"/>
  <c r="C1801" i="12"/>
  <c r="B1801" i="12"/>
  <c r="A1801" i="12"/>
  <c r="K1800" i="12"/>
  <c r="J1800" i="12"/>
  <c r="I1800" i="12"/>
  <c r="H1800" i="12"/>
  <c r="G1800" i="12"/>
  <c r="F1800" i="12"/>
  <c r="E1800" i="12"/>
  <c r="N1800" i="12" s="1"/>
  <c r="D1800" i="12"/>
  <c r="C1800" i="12"/>
  <c r="B1800" i="12"/>
  <c r="A1800" i="12"/>
  <c r="K1799" i="12"/>
  <c r="J1799" i="12"/>
  <c r="I1799" i="12"/>
  <c r="H1799" i="12"/>
  <c r="G1799" i="12"/>
  <c r="F1799" i="12"/>
  <c r="E1799" i="12"/>
  <c r="N1799" i="12" s="1"/>
  <c r="D1799" i="12"/>
  <c r="C1799" i="12"/>
  <c r="B1799" i="12"/>
  <c r="A1799" i="12"/>
  <c r="K1798" i="12"/>
  <c r="J1798" i="12"/>
  <c r="I1798" i="12"/>
  <c r="H1798" i="12"/>
  <c r="G1798" i="12"/>
  <c r="F1798" i="12"/>
  <c r="E1798" i="12"/>
  <c r="N1798" i="12" s="1"/>
  <c r="D1798" i="12"/>
  <c r="C1798" i="12"/>
  <c r="B1798" i="12"/>
  <c r="A1798" i="12"/>
  <c r="K1797" i="12"/>
  <c r="J1797" i="12"/>
  <c r="I1797" i="12"/>
  <c r="H1797" i="12"/>
  <c r="G1797" i="12"/>
  <c r="F1797" i="12"/>
  <c r="E1797" i="12"/>
  <c r="N1797" i="12" s="1"/>
  <c r="D1797" i="12"/>
  <c r="C1797" i="12"/>
  <c r="B1797" i="12"/>
  <c r="A1797" i="12"/>
  <c r="K1796" i="12"/>
  <c r="J1796" i="12"/>
  <c r="I1796" i="12"/>
  <c r="H1796" i="12"/>
  <c r="G1796" i="12"/>
  <c r="F1796" i="12"/>
  <c r="E1796" i="12"/>
  <c r="N1796" i="12" s="1"/>
  <c r="D1796" i="12"/>
  <c r="C1796" i="12"/>
  <c r="B1796" i="12"/>
  <c r="A1796" i="12"/>
  <c r="K1795" i="12"/>
  <c r="J1795" i="12"/>
  <c r="I1795" i="12"/>
  <c r="H1795" i="12"/>
  <c r="G1795" i="12"/>
  <c r="F1795" i="12"/>
  <c r="E1795" i="12"/>
  <c r="N1795" i="12" s="1"/>
  <c r="D1795" i="12"/>
  <c r="C1795" i="12"/>
  <c r="B1795" i="12"/>
  <c r="A1795" i="12"/>
  <c r="K1794" i="12"/>
  <c r="J1794" i="12"/>
  <c r="I1794" i="12"/>
  <c r="H1794" i="12"/>
  <c r="G1794" i="12"/>
  <c r="F1794" i="12"/>
  <c r="E1794" i="12"/>
  <c r="N1794" i="12" s="1"/>
  <c r="D1794" i="12"/>
  <c r="C1794" i="12"/>
  <c r="B1794" i="12"/>
  <c r="A1794" i="12"/>
  <c r="K1793" i="12"/>
  <c r="J1793" i="12"/>
  <c r="I1793" i="12"/>
  <c r="H1793" i="12"/>
  <c r="G1793" i="12"/>
  <c r="F1793" i="12"/>
  <c r="E1793" i="12"/>
  <c r="N1793" i="12" s="1"/>
  <c r="D1793" i="12"/>
  <c r="C1793" i="12"/>
  <c r="B1793" i="12"/>
  <c r="A1793" i="12"/>
  <c r="K1792" i="12"/>
  <c r="J1792" i="12"/>
  <c r="I1792" i="12"/>
  <c r="H1792" i="12"/>
  <c r="G1792" i="12"/>
  <c r="F1792" i="12"/>
  <c r="E1792" i="12"/>
  <c r="N1792" i="12" s="1"/>
  <c r="D1792" i="12"/>
  <c r="C1792" i="12"/>
  <c r="B1792" i="12"/>
  <c r="A1792" i="12"/>
  <c r="K1791" i="12"/>
  <c r="J1791" i="12"/>
  <c r="I1791" i="12"/>
  <c r="H1791" i="12"/>
  <c r="G1791" i="12"/>
  <c r="F1791" i="12"/>
  <c r="E1791" i="12"/>
  <c r="N1791" i="12" s="1"/>
  <c r="D1791" i="12"/>
  <c r="C1791" i="12"/>
  <c r="B1791" i="12"/>
  <c r="A1791" i="12"/>
  <c r="K1790" i="12"/>
  <c r="J1790" i="12"/>
  <c r="I1790" i="12"/>
  <c r="H1790" i="12"/>
  <c r="G1790" i="12"/>
  <c r="F1790" i="12"/>
  <c r="E1790" i="12"/>
  <c r="N1790" i="12" s="1"/>
  <c r="D1790" i="12"/>
  <c r="C1790" i="12"/>
  <c r="B1790" i="12"/>
  <c r="A1790" i="12"/>
  <c r="K1789" i="12"/>
  <c r="J1789" i="12"/>
  <c r="I1789" i="12"/>
  <c r="H1789" i="12"/>
  <c r="G1789" i="12"/>
  <c r="F1789" i="12"/>
  <c r="E1789" i="12"/>
  <c r="N1789" i="12" s="1"/>
  <c r="D1789" i="12"/>
  <c r="C1789" i="12"/>
  <c r="B1789" i="12"/>
  <c r="A1789" i="12"/>
  <c r="K1788" i="12"/>
  <c r="J1788" i="12"/>
  <c r="I1788" i="12"/>
  <c r="H1788" i="12"/>
  <c r="G1788" i="12"/>
  <c r="F1788" i="12"/>
  <c r="E1788" i="12"/>
  <c r="N1788" i="12" s="1"/>
  <c r="D1788" i="12"/>
  <c r="C1788" i="12"/>
  <c r="B1788" i="12"/>
  <c r="A1788" i="12"/>
  <c r="K1787" i="12"/>
  <c r="J1787" i="12"/>
  <c r="I1787" i="12"/>
  <c r="H1787" i="12"/>
  <c r="G1787" i="12"/>
  <c r="F1787" i="12"/>
  <c r="E1787" i="12"/>
  <c r="N1787" i="12" s="1"/>
  <c r="D1787" i="12"/>
  <c r="C1787" i="12"/>
  <c r="B1787" i="12"/>
  <c r="A1787" i="12"/>
  <c r="K1786" i="12"/>
  <c r="J1786" i="12"/>
  <c r="I1786" i="12"/>
  <c r="H1786" i="12"/>
  <c r="G1786" i="12"/>
  <c r="F1786" i="12"/>
  <c r="E1786" i="12"/>
  <c r="N1786" i="12" s="1"/>
  <c r="D1786" i="12"/>
  <c r="C1786" i="12"/>
  <c r="B1786" i="12"/>
  <c r="A1786" i="12"/>
  <c r="K1785" i="12"/>
  <c r="J1785" i="12"/>
  <c r="I1785" i="12"/>
  <c r="H1785" i="12"/>
  <c r="G1785" i="12"/>
  <c r="F1785" i="12"/>
  <c r="E1785" i="12"/>
  <c r="N1785" i="12" s="1"/>
  <c r="D1785" i="12"/>
  <c r="C1785" i="12"/>
  <c r="B1785" i="12"/>
  <c r="A1785" i="12"/>
  <c r="K1784" i="12"/>
  <c r="J1784" i="12"/>
  <c r="I1784" i="12"/>
  <c r="H1784" i="12"/>
  <c r="G1784" i="12"/>
  <c r="F1784" i="12"/>
  <c r="E1784" i="12"/>
  <c r="N1784" i="12" s="1"/>
  <c r="D1784" i="12"/>
  <c r="C1784" i="12"/>
  <c r="B1784" i="12"/>
  <c r="A1784" i="12"/>
  <c r="K1783" i="12"/>
  <c r="J1783" i="12"/>
  <c r="I1783" i="12"/>
  <c r="H1783" i="12"/>
  <c r="G1783" i="12"/>
  <c r="F1783" i="12"/>
  <c r="E1783" i="12"/>
  <c r="N1783" i="12" s="1"/>
  <c r="D1783" i="12"/>
  <c r="C1783" i="12"/>
  <c r="B1783" i="12"/>
  <c r="A1783" i="12"/>
  <c r="K1782" i="12"/>
  <c r="J1782" i="12"/>
  <c r="I1782" i="12"/>
  <c r="H1782" i="12"/>
  <c r="G1782" i="12"/>
  <c r="F1782" i="12"/>
  <c r="E1782" i="12"/>
  <c r="N1782" i="12" s="1"/>
  <c r="D1782" i="12"/>
  <c r="C1782" i="12"/>
  <c r="B1782" i="12"/>
  <c r="A1782" i="12"/>
  <c r="K1781" i="12"/>
  <c r="J1781" i="12"/>
  <c r="I1781" i="12"/>
  <c r="H1781" i="12"/>
  <c r="G1781" i="12"/>
  <c r="F1781" i="12"/>
  <c r="E1781" i="12"/>
  <c r="N1781" i="12" s="1"/>
  <c r="D1781" i="12"/>
  <c r="C1781" i="12"/>
  <c r="B1781" i="12"/>
  <c r="A1781" i="12"/>
  <c r="K1780" i="12"/>
  <c r="J1780" i="12"/>
  <c r="I1780" i="12"/>
  <c r="H1780" i="12"/>
  <c r="G1780" i="12"/>
  <c r="F1780" i="12"/>
  <c r="E1780" i="12"/>
  <c r="N1780" i="12" s="1"/>
  <c r="D1780" i="12"/>
  <c r="C1780" i="12"/>
  <c r="B1780" i="12"/>
  <c r="A1780" i="12"/>
  <c r="K1779" i="12"/>
  <c r="J1779" i="12"/>
  <c r="I1779" i="12"/>
  <c r="H1779" i="12"/>
  <c r="G1779" i="12"/>
  <c r="F1779" i="12"/>
  <c r="E1779" i="12"/>
  <c r="N1779" i="12" s="1"/>
  <c r="D1779" i="12"/>
  <c r="C1779" i="12"/>
  <c r="B1779" i="12"/>
  <c r="A1779" i="12"/>
  <c r="K1778" i="12"/>
  <c r="J1778" i="12"/>
  <c r="I1778" i="12"/>
  <c r="H1778" i="12"/>
  <c r="G1778" i="12"/>
  <c r="F1778" i="12"/>
  <c r="E1778" i="12"/>
  <c r="N1778" i="12" s="1"/>
  <c r="D1778" i="12"/>
  <c r="C1778" i="12"/>
  <c r="B1778" i="12"/>
  <c r="A1778" i="12"/>
  <c r="K1777" i="12"/>
  <c r="J1777" i="12"/>
  <c r="I1777" i="12"/>
  <c r="H1777" i="12"/>
  <c r="G1777" i="12"/>
  <c r="F1777" i="12"/>
  <c r="E1777" i="12"/>
  <c r="N1777" i="12" s="1"/>
  <c r="D1777" i="12"/>
  <c r="C1777" i="12"/>
  <c r="B1777" i="12"/>
  <c r="A1777" i="12"/>
  <c r="K1776" i="12"/>
  <c r="J1776" i="12"/>
  <c r="I1776" i="12"/>
  <c r="H1776" i="12"/>
  <c r="G1776" i="12"/>
  <c r="F1776" i="12"/>
  <c r="E1776" i="12"/>
  <c r="N1776" i="12" s="1"/>
  <c r="D1776" i="12"/>
  <c r="C1776" i="12"/>
  <c r="B1776" i="12"/>
  <c r="A1776" i="12"/>
  <c r="K1775" i="12"/>
  <c r="J1775" i="12"/>
  <c r="I1775" i="12"/>
  <c r="H1775" i="12"/>
  <c r="G1775" i="12"/>
  <c r="F1775" i="12"/>
  <c r="E1775" i="12"/>
  <c r="N1775" i="12" s="1"/>
  <c r="D1775" i="12"/>
  <c r="C1775" i="12"/>
  <c r="B1775" i="12"/>
  <c r="A1775" i="12"/>
  <c r="K1774" i="12"/>
  <c r="J1774" i="12"/>
  <c r="I1774" i="12"/>
  <c r="H1774" i="12"/>
  <c r="G1774" i="12"/>
  <c r="F1774" i="12"/>
  <c r="E1774" i="12"/>
  <c r="N1774" i="12" s="1"/>
  <c r="D1774" i="12"/>
  <c r="C1774" i="12"/>
  <c r="B1774" i="12"/>
  <c r="A1774" i="12"/>
  <c r="K1773" i="12"/>
  <c r="J1773" i="12"/>
  <c r="I1773" i="12"/>
  <c r="H1773" i="12"/>
  <c r="G1773" i="12"/>
  <c r="F1773" i="12"/>
  <c r="E1773" i="12"/>
  <c r="N1773" i="12" s="1"/>
  <c r="D1773" i="12"/>
  <c r="C1773" i="12"/>
  <c r="B1773" i="12"/>
  <c r="A1773" i="12"/>
  <c r="K1772" i="12"/>
  <c r="J1772" i="12"/>
  <c r="I1772" i="12"/>
  <c r="H1772" i="12"/>
  <c r="G1772" i="12"/>
  <c r="F1772" i="12"/>
  <c r="E1772" i="12"/>
  <c r="N1772" i="12" s="1"/>
  <c r="D1772" i="12"/>
  <c r="C1772" i="12"/>
  <c r="B1772" i="12"/>
  <c r="A1772" i="12"/>
  <c r="K1771" i="12"/>
  <c r="J1771" i="12"/>
  <c r="I1771" i="12"/>
  <c r="H1771" i="12"/>
  <c r="G1771" i="12"/>
  <c r="F1771" i="12"/>
  <c r="E1771" i="12"/>
  <c r="N1771" i="12" s="1"/>
  <c r="D1771" i="12"/>
  <c r="C1771" i="12"/>
  <c r="B1771" i="12"/>
  <c r="A1771" i="12"/>
  <c r="K1770" i="12"/>
  <c r="J1770" i="12"/>
  <c r="I1770" i="12"/>
  <c r="H1770" i="12"/>
  <c r="G1770" i="12"/>
  <c r="F1770" i="12"/>
  <c r="E1770" i="12"/>
  <c r="N1770" i="12" s="1"/>
  <c r="D1770" i="12"/>
  <c r="C1770" i="12"/>
  <c r="B1770" i="12"/>
  <c r="A1770" i="12"/>
  <c r="K1769" i="12"/>
  <c r="J1769" i="12"/>
  <c r="I1769" i="12"/>
  <c r="H1769" i="12"/>
  <c r="G1769" i="12"/>
  <c r="F1769" i="12"/>
  <c r="E1769" i="12"/>
  <c r="N1769" i="12" s="1"/>
  <c r="D1769" i="12"/>
  <c r="C1769" i="12"/>
  <c r="B1769" i="12"/>
  <c r="A1769" i="12"/>
  <c r="K1768" i="12"/>
  <c r="J1768" i="12"/>
  <c r="I1768" i="12"/>
  <c r="H1768" i="12"/>
  <c r="G1768" i="12"/>
  <c r="F1768" i="12"/>
  <c r="E1768" i="12"/>
  <c r="N1768" i="12" s="1"/>
  <c r="D1768" i="12"/>
  <c r="C1768" i="12"/>
  <c r="B1768" i="12"/>
  <c r="A1768" i="12"/>
  <c r="K1767" i="12"/>
  <c r="J1767" i="12"/>
  <c r="I1767" i="12"/>
  <c r="H1767" i="12"/>
  <c r="G1767" i="12"/>
  <c r="F1767" i="12"/>
  <c r="E1767" i="12"/>
  <c r="N1767" i="12" s="1"/>
  <c r="D1767" i="12"/>
  <c r="C1767" i="12"/>
  <c r="B1767" i="12"/>
  <c r="A1767" i="12"/>
  <c r="K1766" i="12"/>
  <c r="J1766" i="12"/>
  <c r="I1766" i="12"/>
  <c r="H1766" i="12"/>
  <c r="G1766" i="12"/>
  <c r="F1766" i="12"/>
  <c r="E1766" i="12"/>
  <c r="N1766" i="12" s="1"/>
  <c r="D1766" i="12"/>
  <c r="C1766" i="12"/>
  <c r="B1766" i="12"/>
  <c r="A1766" i="12"/>
  <c r="K1765" i="12"/>
  <c r="J1765" i="12"/>
  <c r="I1765" i="12"/>
  <c r="H1765" i="12"/>
  <c r="G1765" i="12"/>
  <c r="F1765" i="12"/>
  <c r="E1765" i="12"/>
  <c r="N1765" i="12" s="1"/>
  <c r="D1765" i="12"/>
  <c r="C1765" i="12"/>
  <c r="B1765" i="12"/>
  <c r="A1765" i="12"/>
  <c r="K1764" i="12"/>
  <c r="J1764" i="12"/>
  <c r="I1764" i="12"/>
  <c r="H1764" i="12"/>
  <c r="G1764" i="12"/>
  <c r="F1764" i="12"/>
  <c r="E1764" i="12"/>
  <c r="N1764" i="12" s="1"/>
  <c r="D1764" i="12"/>
  <c r="C1764" i="12"/>
  <c r="B1764" i="12"/>
  <c r="A1764" i="12"/>
  <c r="K1763" i="12"/>
  <c r="J1763" i="12"/>
  <c r="I1763" i="12"/>
  <c r="H1763" i="12"/>
  <c r="G1763" i="12"/>
  <c r="F1763" i="12"/>
  <c r="E1763" i="12"/>
  <c r="N1763" i="12" s="1"/>
  <c r="D1763" i="12"/>
  <c r="C1763" i="12"/>
  <c r="B1763" i="12"/>
  <c r="A1763" i="12"/>
  <c r="K1762" i="12"/>
  <c r="J1762" i="12"/>
  <c r="I1762" i="12"/>
  <c r="H1762" i="12"/>
  <c r="G1762" i="12"/>
  <c r="F1762" i="12"/>
  <c r="E1762" i="12"/>
  <c r="N1762" i="12" s="1"/>
  <c r="D1762" i="12"/>
  <c r="C1762" i="12"/>
  <c r="B1762" i="12"/>
  <c r="A1762" i="12"/>
  <c r="K1761" i="12"/>
  <c r="J1761" i="12"/>
  <c r="I1761" i="12"/>
  <c r="H1761" i="12"/>
  <c r="G1761" i="12"/>
  <c r="F1761" i="12"/>
  <c r="E1761" i="12"/>
  <c r="N1761" i="12" s="1"/>
  <c r="D1761" i="12"/>
  <c r="C1761" i="12"/>
  <c r="B1761" i="12"/>
  <c r="A1761" i="12"/>
  <c r="K1760" i="12"/>
  <c r="J1760" i="12"/>
  <c r="I1760" i="12"/>
  <c r="H1760" i="12"/>
  <c r="G1760" i="12"/>
  <c r="F1760" i="12"/>
  <c r="E1760" i="12"/>
  <c r="N1760" i="12" s="1"/>
  <c r="D1760" i="12"/>
  <c r="C1760" i="12"/>
  <c r="B1760" i="12"/>
  <c r="A1760" i="12"/>
  <c r="K1759" i="12"/>
  <c r="J1759" i="12"/>
  <c r="I1759" i="12"/>
  <c r="H1759" i="12"/>
  <c r="G1759" i="12"/>
  <c r="F1759" i="12"/>
  <c r="E1759" i="12"/>
  <c r="N1759" i="12" s="1"/>
  <c r="D1759" i="12"/>
  <c r="C1759" i="12"/>
  <c r="B1759" i="12"/>
  <c r="A1759" i="12"/>
  <c r="K1758" i="12"/>
  <c r="J1758" i="12"/>
  <c r="I1758" i="12"/>
  <c r="H1758" i="12"/>
  <c r="G1758" i="12"/>
  <c r="F1758" i="12"/>
  <c r="E1758" i="12"/>
  <c r="N1758" i="12" s="1"/>
  <c r="D1758" i="12"/>
  <c r="C1758" i="12"/>
  <c r="B1758" i="12"/>
  <c r="A1758" i="12"/>
  <c r="K1757" i="12"/>
  <c r="J1757" i="12"/>
  <c r="I1757" i="12"/>
  <c r="H1757" i="12"/>
  <c r="G1757" i="12"/>
  <c r="F1757" i="12"/>
  <c r="E1757" i="12"/>
  <c r="N1757" i="12" s="1"/>
  <c r="D1757" i="12"/>
  <c r="C1757" i="12"/>
  <c r="B1757" i="12"/>
  <c r="A1757" i="12"/>
  <c r="K1756" i="12"/>
  <c r="J1756" i="12"/>
  <c r="I1756" i="12"/>
  <c r="H1756" i="12"/>
  <c r="G1756" i="12"/>
  <c r="F1756" i="12"/>
  <c r="E1756" i="12"/>
  <c r="N1756" i="12" s="1"/>
  <c r="D1756" i="12"/>
  <c r="C1756" i="12"/>
  <c r="B1756" i="12"/>
  <c r="A1756" i="12"/>
  <c r="K1755" i="12"/>
  <c r="J1755" i="12"/>
  <c r="I1755" i="12"/>
  <c r="H1755" i="12"/>
  <c r="G1755" i="12"/>
  <c r="F1755" i="12"/>
  <c r="E1755" i="12"/>
  <c r="N1755" i="12" s="1"/>
  <c r="D1755" i="12"/>
  <c r="C1755" i="12"/>
  <c r="B1755" i="12"/>
  <c r="A1755" i="12"/>
  <c r="K1754" i="12"/>
  <c r="J1754" i="12"/>
  <c r="I1754" i="12"/>
  <c r="H1754" i="12"/>
  <c r="G1754" i="12"/>
  <c r="F1754" i="12"/>
  <c r="E1754" i="12"/>
  <c r="N1754" i="12" s="1"/>
  <c r="D1754" i="12"/>
  <c r="C1754" i="12"/>
  <c r="B1754" i="12"/>
  <c r="A1754" i="12"/>
  <c r="K1753" i="12"/>
  <c r="J1753" i="12"/>
  <c r="I1753" i="12"/>
  <c r="H1753" i="12"/>
  <c r="G1753" i="12"/>
  <c r="F1753" i="12"/>
  <c r="E1753" i="12"/>
  <c r="N1753" i="12" s="1"/>
  <c r="D1753" i="12"/>
  <c r="C1753" i="12"/>
  <c r="B1753" i="12"/>
  <c r="A1753" i="12"/>
  <c r="K1752" i="12"/>
  <c r="J1752" i="12"/>
  <c r="I1752" i="12"/>
  <c r="H1752" i="12"/>
  <c r="G1752" i="12"/>
  <c r="F1752" i="12"/>
  <c r="E1752" i="12"/>
  <c r="N1752" i="12" s="1"/>
  <c r="D1752" i="12"/>
  <c r="C1752" i="12"/>
  <c r="B1752" i="12"/>
  <c r="A1752" i="12"/>
  <c r="K1751" i="12"/>
  <c r="J1751" i="12"/>
  <c r="I1751" i="12"/>
  <c r="H1751" i="12"/>
  <c r="G1751" i="12"/>
  <c r="F1751" i="12"/>
  <c r="E1751" i="12"/>
  <c r="N1751" i="12" s="1"/>
  <c r="D1751" i="12"/>
  <c r="C1751" i="12"/>
  <c r="B1751" i="12"/>
  <c r="A1751" i="12"/>
  <c r="K1750" i="12"/>
  <c r="J1750" i="12"/>
  <c r="I1750" i="12"/>
  <c r="H1750" i="12"/>
  <c r="G1750" i="12"/>
  <c r="F1750" i="12"/>
  <c r="E1750" i="12"/>
  <c r="N1750" i="12" s="1"/>
  <c r="D1750" i="12"/>
  <c r="C1750" i="12"/>
  <c r="B1750" i="12"/>
  <c r="A1750" i="12"/>
  <c r="K1749" i="12"/>
  <c r="J1749" i="12"/>
  <c r="I1749" i="12"/>
  <c r="H1749" i="12"/>
  <c r="G1749" i="12"/>
  <c r="F1749" i="12"/>
  <c r="E1749" i="12"/>
  <c r="N1749" i="12" s="1"/>
  <c r="D1749" i="12"/>
  <c r="C1749" i="12"/>
  <c r="B1749" i="12"/>
  <c r="A1749" i="12"/>
  <c r="K1748" i="12"/>
  <c r="J1748" i="12"/>
  <c r="I1748" i="12"/>
  <c r="H1748" i="12"/>
  <c r="G1748" i="12"/>
  <c r="F1748" i="12"/>
  <c r="E1748" i="12"/>
  <c r="N1748" i="12" s="1"/>
  <c r="D1748" i="12"/>
  <c r="C1748" i="12"/>
  <c r="B1748" i="12"/>
  <c r="A1748" i="12"/>
  <c r="K1747" i="12"/>
  <c r="J1747" i="12"/>
  <c r="I1747" i="12"/>
  <c r="H1747" i="12"/>
  <c r="G1747" i="12"/>
  <c r="F1747" i="12"/>
  <c r="E1747" i="12"/>
  <c r="N1747" i="12" s="1"/>
  <c r="D1747" i="12"/>
  <c r="C1747" i="12"/>
  <c r="B1747" i="12"/>
  <c r="A1747" i="12"/>
  <c r="S1746" i="12"/>
  <c r="R1746" i="12"/>
  <c r="K1746" i="12"/>
  <c r="J1746" i="12"/>
  <c r="I1746" i="12"/>
  <c r="H1746" i="12"/>
  <c r="G1746" i="12"/>
  <c r="F1746" i="12"/>
  <c r="E1746" i="12"/>
  <c r="N1746" i="12" s="1"/>
  <c r="D1746" i="12"/>
  <c r="C1746" i="12"/>
  <c r="B1746" i="12"/>
  <c r="A1746" i="12"/>
  <c r="K1745" i="12"/>
  <c r="J1745" i="12"/>
  <c r="I1745" i="12"/>
  <c r="H1745" i="12"/>
  <c r="G1745" i="12"/>
  <c r="F1745" i="12"/>
  <c r="E1745" i="12"/>
  <c r="N1745" i="12" s="1"/>
  <c r="D1745" i="12"/>
  <c r="C1745" i="12"/>
  <c r="B1745" i="12"/>
  <c r="A1745" i="12"/>
  <c r="K1744" i="12"/>
  <c r="J1744" i="12"/>
  <c r="I1744" i="12"/>
  <c r="H1744" i="12"/>
  <c r="G1744" i="12"/>
  <c r="F1744" i="12"/>
  <c r="E1744" i="12"/>
  <c r="N1744" i="12" s="1"/>
  <c r="D1744" i="12"/>
  <c r="C1744" i="12"/>
  <c r="B1744" i="12"/>
  <c r="A1744" i="12"/>
  <c r="K1743" i="12"/>
  <c r="J1743" i="12"/>
  <c r="I1743" i="12"/>
  <c r="H1743" i="12"/>
  <c r="G1743" i="12"/>
  <c r="F1743" i="12"/>
  <c r="E1743" i="12"/>
  <c r="N1743" i="12" s="1"/>
  <c r="D1743" i="12"/>
  <c r="C1743" i="12"/>
  <c r="B1743" i="12"/>
  <c r="A1743" i="12"/>
  <c r="K1742" i="12"/>
  <c r="J1742" i="12"/>
  <c r="I1742" i="12"/>
  <c r="H1742" i="12"/>
  <c r="G1742" i="12"/>
  <c r="F1742" i="12"/>
  <c r="E1742" i="12"/>
  <c r="N1742" i="12" s="1"/>
  <c r="D1742" i="12"/>
  <c r="C1742" i="12"/>
  <c r="B1742" i="12"/>
  <c r="A1742" i="12"/>
  <c r="K1741" i="12"/>
  <c r="J1741" i="12"/>
  <c r="I1741" i="12"/>
  <c r="H1741" i="12"/>
  <c r="G1741" i="12"/>
  <c r="F1741" i="12"/>
  <c r="E1741" i="12"/>
  <c r="N1741" i="12" s="1"/>
  <c r="D1741" i="12"/>
  <c r="C1741" i="12"/>
  <c r="B1741" i="12"/>
  <c r="A1741" i="12"/>
  <c r="K1740" i="12"/>
  <c r="J1740" i="12"/>
  <c r="I1740" i="12"/>
  <c r="H1740" i="12"/>
  <c r="G1740" i="12"/>
  <c r="F1740" i="12"/>
  <c r="E1740" i="12"/>
  <c r="N1740" i="12" s="1"/>
  <c r="D1740" i="12"/>
  <c r="C1740" i="12"/>
  <c r="B1740" i="12"/>
  <c r="A1740" i="12"/>
  <c r="K1739" i="12"/>
  <c r="J1739" i="12"/>
  <c r="I1739" i="12"/>
  <c r="H1739" i="12"/>
  <c r="G1739" i="12"/>
  <c r="F1739" i="12"/>
  <c r="E1739" i="12"/>
  <c r="N1739" i="12" s="1"/>
  <c r="D1739" i="12"/>
  <c r="C1739" i="12"/>
  <c r="B1739" i="12"/>
  <c r="A1739" i="12"/>
  <c r="K1738" i="12"/>
  <c r="J1738" i="12"/>
  <c r="I1738" i="12"/>
  <c r="H1738" i="12"/>
  <c r="G1738" i="12"/>
  <c r="F1738" i="12"/>
  <c r="E1738" i="12"/>
  <c r="N1738" i="12" s="1"/>
  <c r="D1738" i="12"/>
  <c r="C1738" i="12"/>
  <c r="B1738" i="12"/>
  <c r="A1738" i="12"/>
  <c r="K1737" i="12"/>
  <c r="J1737" i="12"/>
  <c r="I1737" i="12"/>
  <c r="H1737" i="12"/>
  <c r="G1737" i="12"/>
  <c r="F1737" i="12"/>
  <c r="E1737" i="12"/>
  <c r="N1737" i="12" s="1"/>
  <c r="D1737" i="12"/>
  <c r="C1737" i="12"/>
  <c r="B1737" i="12"/>
  <c r="A1737" i="12"/>
  <c r="K1736" i="12"/>
  <c r="J1736" i="12"/>
  <c r="I1736" i="12"/>
  <c r="H1736" i="12"/>
  <c r="G1736" i="12"/>
  <c r="F1736" i="12"/>
  <c r="E1736" i="12"/>
  <c r="N1736" i="12" s="1"/>
  <c r="D1736" i="12"/>
  <c r="C1736" i="12"/>
  <c r="B1736" i="12"/>
  <c r="A1736" i="12"/>
  <c r="K1735" i="12"/>
  <c r="J1735" i="12"/>
  <c r="I1735" i="12"/>
  <c r="H1735" i="12"/>
  <c r="G1735" i="12"/>
  <c r="F1735" i="12"/>
  <c r="E1735" i="12"/>
  <c r="N1735" i="12" s="1"/>
  <c r="D1735" i="12"/>
  <c r="C1735" i="12"/>
  <c r="B1735" i="12"/>
  <c r="A1735" i="12"/>
  <c r="K1734" i="12"/>
  <c r="J1734" i="12"/>
  <c r="I1734" i="12"/>
  <c r="H1734" i="12"/>
  <c r="G1734" i="12"/>
  <c r="F1734" i="12"/>
  <c r="E1734" i="12"/>
  <c r="N1734" i="12" s="1"/>
  <c r="D1734" i="12"/>
  <c r="C1734" i="12"/>
  <c r="B1734" i="12"/>
  <c r="A1734" i="12"/>
  <c r="K1733" i="12"/>
  <c r="J1733" i="12"/>
  <c r="I1733" i="12"/>
  <c r="H1733" i="12"/>
  <c r="G1733" i="12"/>
  <c r="F1733" i="12"/>
  <c r="E1733" i="12"/>
  <c r="N1733" i="12" s="1"/>
  <c r="D1733" i="12"/>
  <c r="C1733" i="12"/>
  <c r="B1733" i="12"/>
  <c r="A1733" i="12"/>
  <c r="K1732" i="12"/>
  <c r="J1732" i="12"/>
  <c r="I1732" i="12"/>
  <c r="H1732" i="12"/>
  <c r="G1732" i="12"/>
  <c r="F1732" i="12"/>
  <c r="E1732" i="12"/>
  <c r="N1732" i="12" s="1"/>
  <c r="D1732" i="12"/>
  <c r="C1732" i="12"/>
  <c r="B1732" i="12"/>
  <c r="A1732" i="12"/>
  <c r="K1731" i="12"/>
  <c r="J1731" i="12"/>
  <c r="I1731" i="12"/>
  <c r="H1731" i="12"/>
  <c r="G1731" i="12"/>
  <c r="F1731" i="12"/>
  <c r="E1731" i="12"/>
  <c r="N1731" i="12" s="1"/>
  <c r="D1731" i="12"/>
  <c r="C1731" i="12"/>
  <c r="B1731" i="12"/>
  <c r="A1731" i="12"/>
  <c r="K1730" i="12"/>
  <c r="J1730" i="12"/>
  <c r="I1730" i="12"/>
  <c r="H1730" i="12"/>
  <c r="G1730" i="12"/>
  <c r="F1730" i="12"/>
  <c r="E1730" i="12"/>
  <c r="N1730" i="12" s="1"/>
  <c r="D1730" i="12"/>
  <c r="C1730" i="12"/>
  <c r="B1730" i="12"/>
  <c r="A1730" i="12"/>
  <c r="K1729" i="12"/>
  <c r="J1729" i="12"/>
  <c r="I1729" i="12"/>
  <c r="H1729" i="12"/>
  <c r="G1729" i="12"/>
  <c r="F1729" i="12"/>
  <c r="E1729" i="12"/>
  <c r="N1729" i="12" s="1"/>
  <c r="D1729" i="12"/>
  <c r="C1729" i="12"/>
  <c r="B1729" i="12"/>
  <c r="A1729" i="12"/>
  <c r="K1728" i="12"/>
  <c r="J1728" i="12"/>
  <c r="I1728" i="12"/>
  <c r="H1728" i="12"/>
  <c r="G1728" i="12"/>
  <c r="F1728" i="12"/>
  <c r="E1728" i="12"/>
  <c r="N1728" i="12" s="1"/>
  <c r="D1728" i="12"/>
  <c r="C1728" i="12"/>
  <c r="B1728" i="12"/>
  <c r="A1728" i="12"/>
  <c r="K1727" i="12"/>
  <c r="J1727" i="12"/>
  <c r="I1727" i="12"/>
  <c r="H1727" i="12"/>
  <c r="G1727" i="12"/>
  <c r="F1727" i="12"/>
  <c r="E1727" i="12"/>
  <c r="N1727" i="12" s="1"/>
  <c r="D1727" i="12"/>
  <c r="C1727" i="12"/>
  <c r="B1727" i="12"/>
  <c r="A1727" i="12"/>
  <c r="K1726" i="12"/>
  <c r="J1726" i="12"/>
  <c r="I1726" i="12"/>
  <c r="H1726" i="12"/>
  <c r="G1726" i="12"/>
  <c r="F1726" i="12"/>
  <c r="E1726" i="12"/>
  <c r="N1726" i="12" s="1"/>
  <c r="D1726" i="12"/>
  <c r="C1726" i="12"/>
  <c r="B1726" i="12"/>
  <c r="A1726" i="12"/>
  <c r="K1725" i="12"/>
  <c r="J1725" i="12"/>
  <c r="I1725" i="12"/>
  <c r="H1725" i="12"/>
  <c r="G1725" i="12"/>
  <c r="F1725" i="12"/>
  <c r="E1725" i="12"/>
  <c r="N1725" i="12" s="1"/>
  <c r="D1725" i="12"/>
  <c r="C1725" i="12"/>
  <c r="B1725" i="12"/>
  <c r="A1725" i="12"/>
  <c r="K1724" i="12"/>
  <c r="J1724" i="12"/>
  <c r="I1724" i="12"/>
  <c r="H1724" i="12"/>
  <c r="G1724" i="12"/>
  <c r="F1724" i="12"/>
  <c r="E1724" i="12"/>
  <c r="N1724" i="12" s="1"/>
  <c r="D1724" i="12"/>
  <c r="C1724" i="12"/>
  <c r="B1724" i="12"/>
  <c r="A1724" i="12"/>
  <c r="K1723" i="12"/>
  <c r="J1723" i="12"/>
  <c r="I1723" i="12"/>
  <c r="H1723" i="12"/>
  <c r="G1723" i="12"/>
  <c r="F1723" i="12"/>
  <c r="E1723" i="12"/>
  <c r="N1723" i="12" s="1"/>
  <c r="D1723" i="12"/>
  <c r="C1723" i="12"/>
  <c r="B1723" i="12"/>
  <c r="A1723" i="12"/>
  <c r="K1722" i="12"/>
  <c r="J1722" i="12"/>
  <c r="I1722" i="12"/>
  <c r="H1722" i="12"/>
  <c r="G1722" i="12"/>
  <c r="F1722" i="12"/>
  <c r="E1722" i="12"/>
  <c r="N1722" i="12" s="1"/>
  <c r="D1722" i="12"/>
  <c r="C1722" i="12"/>
  <c r="B1722" i="12"/>
  <c r="A1722" i="12"/>
  <c r="K1721" i="12"/>
  <c r="J1721" i="12"/>
  <c r="I1721" i="12"/>
  <c r="H1721" i="12"/>
  <c r="G1721" i="12"/>
  <c r="F1721" i="12"/>
  <c r="E1721" i="12"/>
  <c r="N1721" i="12" s="1"/>
  <c r="D1721" i="12"/>
  <c r="C1721" i="12"/>
  <c r="B1721" i="12"/>
  <c r="A1721" i="12"/>
  <c r="K1720" i="12"/>
  <c r="J1720" i="12"/>
  <c r="I1720" i="12"/>
  <c r="H1720" i="12"/>
  <c r="G1720" i="12"/>
  <c r="F1720" i="12"/>
  <c r="E1720" i="12"/>
  <c r="N1720" i="12" s="1"/>
  <c r="D1720" i="12"/>
  <c r="C1720" i="12"/>
  <c r="B1720" i="12"/>
  <c r="A1720" i="12"/>
  <c r="K1719" i="12"/>
  <c r="J1719" i="12"/>
  <c r="I1719" i="12"/>
  <c r="H1719" i="12"/>
  <c r="G1719" i="12"/>
  <c r="F1719" i="12"/>
  <c r="E1719" i="12"/>
  <c r="N1719" i="12" s="1"/>
  <c r="D1719" i="12"/>
  <c r="C1719" i="12"/>
  <c r="B1719" i="12"/>
  <c r="A1719" i="12"/>
  <c r="K1718" i="12"/>
  <c r="J1718" i="12"/>
  <c r="I1718" i="12"/>
  <c r="H1718" i="12"/>
  <c r="G1718" i="12"/>
  <c r="F1718" i="12"/>
  <c r="E1718" i="12"/>
  <c r="N1718" i="12" s="1"/>
  <c r="D1718" i="12"/>
  <c r="C1718" i="12"/>
  <c r="B1718" i="12"/>
  <c r="A1718" i="12"/>
  <c r="K1717" i="12"/>
  <c r="J1717" i="12"/>
  <c r="I1717" i="12"/>
  <c r="H1717" i="12"/>
  <c r="G1717" i="12"/>
  <c r="F1717" i="12"/>
  <c r="E1717" i="12"/>
  <c r="N1717" i="12" s="1"/>
  <c r="D1717" i="12"/>
  <c r="C1717" i="12"/>
  <c r="B1717" i="12"/>
  <c r="A1717" i="12"/>
  <c r="K1716" i="12"/>
  <c r="J1716" i="12"/>
  <c r="I1716" i="12"/>
  <c r="H1716" i="12"/>
  <c r="G1716" i="12"/>
  <c r="F1716" i="12"/>
  <c r="E1716" i="12"/>
  <c r="N1716" i="12" s="1"/>
  <c r="D1716" i="12"/>
  <c r="C1716" i="12"/>
  <c r="B1716" i="12"/>
  <c r="A1716" i="12"/>
  <c r="K1715" i="12"/>
  <c r="J1715" i="12"/>
  <c r="I1715" i="12"/>
  <c r="H1715" i="12"/>
  <c r="G1715" i="12"/>
  <c r="F1715" i="12"/>
  <c r="E1715" i="12"/>
  <c r="N1715" i="12" s="1"/>
  <c r="D1715" i="12"/>
  <c r="C1715" i="12"/>
  <c r="B1715" i="12"/>
  <c r="A1715" i="12"/>
  <c r="K1714" i="12"/>
  <c r="J1714" i="12"/>
  <c r="I1714" i="12"/>
  <c r="H1714" i="12"/>
  <c r="G1714" i="12"/>
  <c r="F1714" i="12"/>
  <c r="E1714" i="12"/>
  <c r="N1714" i="12" s="1"/>
  <c r="D1714" i="12"/>
  <c r="C1714" i="12"/>
  <c r="B1714" i="12"/>
  <c r="A1714" i="12"/>
  <c r="K1713" i="12"/>
  <c r="J1713" i="12"/>
  <c r="I1713" i="12"/>
  <c r="H1713" i="12"/>
  <c r="G1713" i="12"/>
  <c r="F1713" i="12"/>
  <c r="E1713" i="12"/>
  <c r="N1713" i="12" s="1"/>
  <c r="D1713" i="12"/>
  <c r="C1713" i="12"/>
  <c r="B1713" i="12"/>
  <c r="A1713" i="12"/>
  <c r="K1712" i="12"/>
  <c r="J1712" i="12"/>
  <c r="I1712" i="12"/>
  <c r="H1712" i="12"/>
  <c r="G1712" i="12"/>
  <c r="F1712" i="12"/>
  <c r="E1712" i="12"/>
  <c r="N1712" i="12" s="1"/>
  <c r="D1712" i="12"/>
  <c r="C1712" i="12"/>
  <c r="B1712" i="12"/>
  <c r="A1712" i="12"/>
  <c r="K1711" i="12"/>
  <c r="J1711" i="12"/>
  <c r="I1711" i="12"/>
  <c r="H1711" i="12"/>
  <c r="G1711" i="12"/>
  <c r="F1711" i="12"/>
  <c r="E1711" i="12"/>
  <c r="N1711" i="12" s="1"/>
  <c r="D1711" i="12"/>
  <c r="C1711" i="12"/>
  <c r="B1711" i="12"/>
  <c r="A1711" i="12"/>
  <c r="K1710" i="12"/>
  <c r="J1710" i="12"/>
  <c r="I1710" i="12"/>
  <c r="H1710" i="12"/>
  <c r="G1710" i="12"/>
  <c r="F1710" i="12"/>
  <c r="E1710" i="12"/>
  <c r="N1710" i="12" s="1"/>
  <c r="D1710" i="12"/>
  <c r="C1710" i="12"/>
  <c r="B1710" i="12"/>
  <c r="A1710" i="12"/>
  <c r="K1709" i="12"/>
  <c r="J1709" i="12"/>
  <c r="I1709" i="12"/>
  <c r="H1709" i="12"/>
  <c r="G1709" i="12"/>
  <c r="F1709" i="12"/>
  <c r="E1709" i="12"/>
  <c r="N1709" i="12" s="1"/>
  <c r="D1709" i="12"/>
  <c r="C1709" i="12"/>
  <c r="B1709" i="12"/>
  <c r="A1709" i="12"/>
  <c r="K1708" i="12"/>
  <c r="J1708" i="12"/>
  <c r="I1708" i="12"/>
  <c r="H1708" i="12"/>
  <c r="G1708" i="12"/>
  <c r="F1708" i="12"/>
  <c r="E1708" i="12"/>
  <c r="N1708" i="12" s="1"/>
  <c r="D1708" i="12"/>
  <c r="C1708" i="12"/>
  <c r="B1708" i="12"/>
  <c r="A1708" i="12"/>
  <c r="K1707" i="12"/>
  <c r="J1707" i="12"/>
  <c r="I1707" i="12"/>
  <c r="H1707" i="12"/>
  <c r="G1707" i="12"/>
  <c r="F1707" i="12"/>
  <c r="E1707" i="12"/>
  <c r="N1707" i="12" s="1"/>
  <c r="D1707" i="12"/>
  <c r="C1707" i="12"/>
  <c r="B1707" i="12"/>
  <c r="A1707" i="12"/>
  <c r="K1706" i="12"/>
  <c r="J1706" i="12"/>
  <c r="I1706" i="12"/>
  <c r="H1706" i="12"/>
  <c r="G1706" i="12"/>
  <c r="F1706" i="12"/>
  <c r="E1706" i="12"/>
  <c r="N1706" i="12" s="1"/>
  <c r="D1706" i="12"/>
  <c r="C1706" i="12"/>
  <c r="B1706" i="12"/>
  <c r="A1706" i="12"/>
  <c r="K1705" i="12"/>
  <c r="J1705" i="12"/>
  <c r="I1705" i="12"/>
  <c r="H1705" i="12"/>
  <c r="G1705" i="12"/>
  <c r="F1705" i="12"/>
  <c r="E1705" i="12"/>
  <c r="N1705" i="12" s="1"/>
  <c r="D1705" i="12"/>
  <c r="C1705" i="12"/>
  <c r="B1705" i="12"/>
  <c r="A1705" i="12"/>
  <c r="K1704" i="12"/>
  <c r="J1704" i="12"/>
  <c r="I1704" i="12"/>
  <c r="H1704" i="12"/>
  <c r="G1704" i="12"/>
  <c r="F1704" i="12"/>
  <c r="E1704" i="12"/>
  <c r="N1704" i="12" s="1"/>
  <c r="D1704" i="12"/>
  <c r="C1704" i="12"/>
  <c r="B1704" i="12"/>
  <c r="A1704" i="12"/>
  <c r="K1703" i="12"/>
  <c r="J1703" i="12"/>
  <c r="I1703" i="12"/>
  <c r="H1703" i="12"/>
  <c r="G1703" i="12"/>
  <c r="F1703" i="12"/>
  <c r="E1703" i="12"/>
  <c r="N1703" i="12" s="1"/>
  <c r="D1703" i="12"/>
  <c r="C1703" i="12"/>
  <c r="B1703" i="12"/>
  <c r="A1703" i="12"/>
  <c r="K1702" i="12"/>
  <c r="J1702" i="12"/>
  <c r="I1702" i="12"/>
  <c r="H1702" i="12"/>
  <c r="G1702" i="12"/>
  <c r="F1702" i="12"/>
  <c r="E1702" i="12"/>
  <c r="N1702" i="12" s="1"/>
  <c r="D1702" i="12"/>
  <c r="C1702" i="12"/>
  <c r="B1702" i="12"/>
  <c r="A1702" i="12"/>
  <c r="K1701" i="12"/>
  <c r="J1701" i="12"/>
  <c r="I1701" i="12"/>
  <c r="H1701" i="12"/>
  <c r="G1701" i="12"/>
  <c r="F1701" i="12"/>
  <c r="E1701" i="12"/>
  <c r="N1701" i="12" s="1"/>
  <c r="D1701" i="12"/>
  <c r="C1701" i="12"/>
  <c r="B1701" i="12"/>
  <c r="A1701" i="12"/>
  <c r="K1700" i="12"/>
  <c r="J1700" i="12"/>
  <c r="I1700" i="12"/>
  <c r="H1700" i="12"/>
  <c r="G1700" i="12"/>
  <c r="F1700" i="12"/>
  <c r="E1700" i="12"/>
  <c r="N1700" i="12" s="1"/>
  <c r="D1700" i="12"/>
  <c r="C1700" i="12"/>
  <c r="B1700" i="12"/>
  <c r="A1700" i="12"/>
  <c r="K1699" i="12"/>
  <c r="J1699" i="12"/>
  <c r="I1699" i="12"/>
  <c r="H1699" i="12"/>
  <c r="G1699" i="12"/>
  <c r="F1699" i="12"/>
  <c r="E1699" i="12"/>
  <c r="N1699" i="12" s="1"/>
  <c r="D1699" i="12"/>
  <c r="C1699" i="12"/>
  <c r="B1699" i="12"/>
  <c r="A1699" i="12"/>
  <c r="K1698" i="12"/>
  <c r="J1698" i="12"/>
  <c r="I1698" i="12"/>
  <c r="H1698" i="12"/>
  <c r="G1698" i="12"/>
  <c r="F1698" i="12"/>
  <c r="E1698" i="12"/>
  <c r="N1698" i="12" s="1"/>
  <c r="D1698" i="12"/>
  <c r="C1698" i="12"/>
  <c r="B1698" i="12"/>
  <c r="A1698" i="12"/>
  <c r="K1697" i="12"/>
  <c r="J1697" i="12"/>
  <c r="I1697" i="12"/>
  <c r="H1697" i="12"/>
  <c r="G1697" i="12"/>
  <c r="F1697" i="12"/>
  <c r="E1697" i="12"/>
  <c r="N1697" i="12" s="1"/>
  <c r="D1697" i="12"/>
  <c r="C1697" i="12"/>
  <c r="B1697" i="12"/>
  <c r="A1697" i="12"/>
  <c r="K1696" i="12"/>
  <c r="J1696" i="12"/>
  <c r="I1696" i="12"/>
  <c r="H1696" i="12"/>
  <c r="G1696" i="12"/>
  <c r="F1696" i="12"/>
  <c r="E1696" i="12"/>
  <c r="N1696" i="12" s="1"/>
  <c r="D1696" i="12"/>
  <c r="C1696" i="12"/>
  <c r="B1696" i="12"/>
  <c r="A1696" i="12"/>
  <c r="K1695" i="12"/>
  <c r="J1695" i="12"/>
  <c r="I1695" i="12"/>
  <c r="H1695" i="12"/>
  <c r="G1695" i="12"/>
  <c r="F1695" i="12"/>
  <c r="E1695" i="12"/>
  <c r="N1695" i="12" s="1"/>
  <c r="D1695" i="12"/>
  <c r="C1695" i="12"/>
  <c r="B1695" i="12"/>
  <c r="A1695" i="12"/>
  <c r="K1694" i="12"/>
  <c r="J1694" i="12"/>
  <c r="I1694" i="12"/>
  <c r="H1694" i="12"/>
  <c r="G1694" i="12"/>
  <c r="F1694" i="12"/>
  <c r="E1694" i="12"/>
  <c r="N1694" i="12" s="1"/>
  <c r="D1694" i="12"/>
  <c r="C1694" i="12"/>
  <c r="B1694" i="12"/>
  <c r="A1694" i="12"/>
  <c r="K1693" i="12"/>
  <c r="J1693" i="12"/>
  <c r="I1693" i="12"/>
  <c r="H1693" i="12"/>
  <c r="G1693" i="12"/>
  <c r="F1693" i="12"/>
  <c r="E1693" i="12"/>
  <c r="N1693" i="12" s="1"/>
  <c r="D1693" i="12"/>
  <c r="C1693" i="12"/>
  <c r="B1693" i="12"/>
  <c r="A1693" i="12"/>
  <c r="K1692" i="12"/>
  <c r="J1692" i="12"/>
  <c r="I1692" i="12"/>
  <c r="H1692" i="12"/>
  <c r="G1692" i="12"/>
  <c r="F1692" i="12"/>
  <c r="E1692" i="12"/>
  <c r="N1692" i="12" s="1"/>
  <c r="D1692" i="12"/>
  <c r="C1692" i="12"/>
  <c r="B1692" i="12"/>
  <c r="A1692" i="12"/>
  <c r="K1691" i="12"/>
  <c r="J1691" i="12"/>
  <c r="I1691" i="12"/>
  <c r="H1691" i="12"/>
  <c r="G1691" i="12"/>
  <c r="F1691" i="12"/>
  <c r="E1691" i="12"/>
  <c r="N1691" i="12" s="1"/>
  <c r="D1691" i="12"/>
  <c r="C1691" i="12"/>
  <c r="B1691" i="12"/>
  <c r="A1691" i="12"/>
  <c r="K1690" i="12"/>
  <c r="J1690" i="12"/>
  <c r="I1690" i="12"/>
  <c r="H1690" i="12"/>
  <c r="G1690" i="12"/>
  <c r="F1690" i="12"/>
  <c r="E1690" i="12"/>
  <c r="N1690" i="12" s="1"/>
  <c r="D1690" i="12"/>
  <c r="C1690" i="12"/>
  <c r="B1690" i="12"/>
  <c r="A1690" i="12"/>
  <c r="K1689" i="12"/>
  <c r="J1689" i="12"/>
  <c r="I1689" i="12"/>
  <c r="H1689" i="12"/>
  <c r="G1689" i="12"/>
  <c r="F1689" i="12"/>
  <c r="E1689" i="12"/>
  <c r="N1689" i="12" s="1"/>
  <c r="D1689" i="12"/>
  <c r="C1689" i="12"/>
  <c r="B1689" i="12"/>
  <c r="A1689" i="12"/>
  <c r="K1688" i="12"/>
  <c r="J1688" i="12"/>
  <c r="I1688" i="12"/>
  <c r="H1688" i="12"/>
  <c r="G1688" i="12"/>
  <c r="F1688" i="12"/>
  <c r="E1688" i="12"/>
  <c r="N1688" i="12" s="1"/>
  <c r="D1688" i="12"/>
  <c r="C1688" i="12"/>
  <c r="B1688" i="12"/>
  <c r="A1688" i="12"/>
  <c r="K1687" i="12"/>
  <c r="J1687" i="12"/>
  <c r="I1687" i="12"/>
  <c r="H1687" i="12"/>
  <c r="G1687" i="12"/>
  <c r="F1687" i="12"/>
  <c r="E1687" i="12"/>
  <c r="N1687" i="12" s="1"/>
  <c r="D1687" i="12"/>
  <c r="C1687" i="12"/>
  <c r="B1687" i="12"/>
  <c r="A1687" i="12"/>
  <c r="K1686" i="12"/>
  <c r="J1686" i="12"/>
  <c r="I1686" i="12"/>
  <c r="H1686" i="12"/>
  <c r="G1686" i="12"/>
  <c r="F1686" i="12"/>
  <c r="E1686" i="12"/>
  <c r="N1686" i="12" s="1"/>
  <c r="D1686" i="12"/>
  <c r="C1686" i="12"/>
  <c r="B1686" i="12"/>
  <c r="A1686" i="12"/>
  <c r="K1685" i="12"/>
  <c r="J1685" i="12"/>
  <c r="I1685" i="12"/>
  <c r="H1685" i="12"/>
  <c r="G1685" i="12"/>
  <c r="F1685" i="12"/>
  <c r="E1685" i="12"/>
  <c r="N1685" i="12" s="1"/>
  <c r="D1685" i="12"/>
  <c r="C1685" i="12"/>
  <c r="B1685" i="12"/>
  <c r="A1685" i="12"/>
  <c r="K1684" i="12"/>
  <c r="J1684" i="12"/>
  <c r="I1684" i="12"/>
  <c r="H1684" i="12"/>
  <c r="G1684" i="12"/>
  <c r="F1684" i="12"/>
  <c r="E1684" i="12"/>
  <c r="N1684" i="12" s="1"/>
  <c r="D1684" i="12"/>
  <c r="C1684" i="12"/>
  <c r="B1684" i="12"/>
  <c r="A1684" i="12"/>
  <c r="K1683" i="12"/>
  <c r="J1683" i="12"/>
  <c r="I1683" i="12"/>
  <c r="H1683" i="12"/>
  <c r="G1683" i="12"/>
  <c r="F1683" i="12"/>
  <c r="E1683" i="12"/>
  <c r="N1683" i="12" s="1"/>
  <c r="D1683" i="12"/>
  <c r="C1683" i="12"/>
  <c r="B1683" i="12"/>
  <c r="A1683" i="12"/>
  <c r="K1682" i="12"/>
  <c r="J1682" i="12"/>
  <c r="I1682" i="12"/>
  <c r="H1682" i="12"/>
  <c r="G1682" i="12"/>
  <c r="F1682" i="12"/>
  <c r="E1682" i="12"/>
  <c r="N1682" i="12" s="1"/>
  <c r="D1682" i="12"/>
  <c r="C1682" i="12"/>
  <c r="B1682" i="12"/>
  <c r="A1682" i="12"/>
  <c r="K1681" i="12"/>
  <c r="J1681" i="12"/>
  <c r="I1681" i="12"/>
  <c r="H1681" i="12"/>
  <c r="G1681" i="12"/>
  <c r="F1681" i="12"/>
  <c r="E1681" i="12"/>
  <c r="N1681" i="12" s="1"/>
  <c r="D1681" i="12"/>
  <c r="C1681" i="12"/>
  <c r="B1681" i="12"/>
  <c r="A1681" i="12"/>
  <c r="K1680" i="12"/>
  <c r="J1680" i="12"/>
  <c r="I1680" i="12"/>
  <c r="H1680" i="12"/>
  <c r="G1680" i="12"/>
  <c r="F1680" i="12"/>
  <c r="E1680" i="12"/>
  <c r="N1680" i="12" s="1"/>
  <c r="D1680" i="12"/>
  <c r="C1680" i="12"/>
  <c r="B1680" i="12"/>
  <c r="A1680" i="12"/>
  <c r="K1679" i="12"/>
  <c r="J1679" i="12"/>
  <c r="I1679" i="12"/>
  <c r="H1679" i="12"/>
  <c r="G1679" i="12"/>
  <c r="F1679" i="12"/>
  <c r="E1679" i="12"/>
  <c r="N1679" i="12" s="1"/>
  <c r="D1679" i="12"/>
  <c r="C1679" i="12"/>
  <c r="B1679" i="12"/>
  <c r="A1679" i="12"/>
  <c r="K1678" i="12"/>
  <c r="J1678" i="12"/>
  <c r="I1678" i="12"/>
  <c r="H1678" i="12"/>
  <c r="G1678" i="12"/>
  <c r="F1678" i="12"/>
  <c r="E1678" i="12"/>
  <c r="N1678" i="12" s="1"/>
  <c r="D1678" i="12"/>
  <c r="C1678" i="12"/>
  <c r="B1678" i="12"/>
  <c r="A1678" i="12"/>
  <c r="K1677" i="12"/>
  <c r="J1677" i="12"/>
  <c r="I1677" i="12"/>
  <c r="H1677" i="12"/>
  <c r="G1677" i="12"/>
  <c r="F1677" i="12"/>
  <c r="E1677" i="12"/>
  <c r="N1677" i="12" s="1"/>
  <c r="D1677" i="12"/>
  <c r="C1677" i="12"/>
  <c r="B1677" i="12"/>
  <c r="A1677" i="12"/>
  <c r="K1676" i="12"/>
  <c r="J1676" i="12"/>
  <c r="I1676" i="12"/>
  <c r="H1676" i="12"/>
  <c r="G1676" i="12"/>
  <c r="F1676" i="12"/>
  <c r="E1676" i="12"/>
  <c r="N1676" i="12" s="1"/>
  <c r="D1676" i="12"/>
  <c r="C1676" i="12"/>
  <c r="B1676" i="12"/>
  <c r="A1676" i="12"/>
  <c r="K1675" i="12"/>
  <c r="J1675" i="12"/>
  <c r="I1675" i="12"/>
  <c r="H1675" i="12"/>
  <c r="G1675" i="12"/>
  <c r="F1675" i="12"/>
  <c r="E1675" i="12"/>
  <c r="N1675" i="12" s="1"/>
  <c r="D1675" i="12"/>
  <c r="C1675" i="12"/>
  <c r="B1675" i="12"/>
  <c r="A1675" i="12"/>
  <c r="K1674" i="12"/>
  <c r="J1674" i="12"/>
  <c r="I1674" i="12"/>
  <c r="H1674" i="12"/>
  <c r="G1674" i="12"/>
  <c r="F1674" i="12"/>
  <c r="E1674" i="12"/>
  <c r="N1674" i="12" s="1"/>
  <c r="D1674" i="12"/>
  <c r="C1674" i="12"/>
  <c r="B1674" i="12"/>
  <c r="A1674" i="12"/>
  <c r="K1673" i="12"/>
  <c r="J1673" i="12"/>
  <c r="I1673" i="12"/>
  <c r="H1673" i="12"/>
  <c r="G1673" i="12"/>
  <c r="F1673" i="12"/>
  <c r="E1673" i="12"/>
  <c r="N1673" i="12" s="1"/>
  <c r="D1673" i="12"/>
  <c r="C1673" i="12"/>
  <c r="B1673" i="12"/>
  <c r="A1673" i="12"/>
  <c r="K1672" i="12"/>
  <c r="J1672" i="12"/>
  <c r="I1672" i="12"/>
  <c r="H1672" i="12"/>
  <c r="G1672" i="12"/>
  <c r="F1672" i="12"/>
  <c r="E1672" i="12"/>
  <c r="N1672" i="12" s="1"/>
  <c r="D1672" i="12"/>
  <c r="C1672" i="12"/>
  <c r="B1672" i="12"/>
  <c r="A1672" i="12"/>
  <c r="K1671" i="12"/>
  <c r="J1671" i="12"/>
  <c r="I1671" i="12"/>
  <c r="H1671" i="12"/>
  <c r="G1671" i="12"/>
  <c r="F1671" i="12"/>
  <c r="E1671" i="12"/>
  <c r="N1671" i="12" s="1"/>
  <c r="D1671" i="12"/>
  <c r="C1671" i="12"/>
  <c r="B1671" i="12"/>
  <c r="A1671" i="12"/>
  <c r="K1670" i="12"/>
  <c r="J1670" i="12"/>
  <c r="I1670" i="12"/>
  <c r="H1670" i="12"/>
  <c r="G1670" i="12"/>
  <c r="F1670" i="12"/>
  <c r="E1670" i="12"/>
  <c r="N1670" i="12" s="1"/>
  <c r="D1670" i="12"/>
  <c r="C1670" i="12"/>
  <c r="B1670" i="12"/>
  <c r="A1670" i="12"/>
  <c r="K1669" i="12"/>
  <c r="J1669" i="12"/>
  <c r="I1669" i="12"/>
  <c r="H1669" i="12"/>
  <c r="G1669" i="12"/>
  <c r="F1669" i="12"/>
  <c r="E1669" i="12"/>
  <c r="N1669" i="12" s="1"/>
  <c r="D1669" i="12"/>
  <c r="C1669" i="12"/>
  <c r="B1669" i="12"/>
  <c r="A1669" i="12"/>
  <c r="K1668" i="12"/>
  <c r="J1668" i="12"/>
  <c r="I1668" i="12"/>
  <c r="H1668" i="12"/>
  <c r="G1668" i="12"/>
  <c r="F1668" i="12"/>
  <c r="E1668" i="12"/>
  <c r="N1668" i="12" s="1"/>
  <c r="D1668" i="12"/>
  <c r="C1668" i="12"/>
  <c r="B1668" i="12"/>
  <c r="A1668" i="12"/>
  <c r="K1667" i="12"/>
  <c r="J1667" i="12"/>
  <c r="I1667" i="12"/>
  <c r="H1667" i="12"/>
  <c r="G1667" i="12"/>
  <c r="F1667" i="12"/>
  <c r="E1667" i="12"/>
  <c r="N1667" i="12" s="1"/>
  <c r="D1667" i="12"/>
  <c r="C1667" i="12"/>
  <c r="B1667" i="12"/>
  <c r="A1667" i="12"/>
  <c r="K1666" i="12"/>
  <c r="J1666" i="12"/>
  <c r="I1666" i="12"/>
  <c r="H1666" i="12"/>
  <c r="G1666" i="12"/>
  <c r="F1666" i="12"/>
  <c r="E1666" i="12"/>
  <c r="N1666" i="12" s="1"/>
  <c r="D1666" i="12"/>
  <c r="C1666" i="12"/>
  <c r="B1666" i="12"/>
  <c r="A1666" i="12"/>
  <c r="K1665" i="12"/>
  <c r="J1665" i="12"/>
  <c r="I1665" i="12"/>
  <c r="H1665" i="12"/>
  <c r="G1665" i="12"/>
  <c r="F1665" i="12"/>
  <c r="E1665" i="12"/>
  <c r="N1665" i="12" s="1"/>
  <c r="D1665" i="12"/>
  <c r="C1665" i="12"/>
  <c r="B1665" i="12"/>
  <c r="A1665" i="12"/>
  <c r="K1664" i="12"/>
  <c r="J1664" i="12"/>
  <c r="I1664" i="12"/>
  <c r="H1664" i="12"/>
  <c r="G1664" i="12"/>
  <c r="F1664" i="12"/>
  <c r="E1664" i="12"/>
  <c r="N1664" i="12" s="1"/>
  <c r="D1664" i="12"/>
  <c r="C1664" i="12"/>
  <c r="B1664" i="12"/>
  <c r="A1664" i="12"/>
  <c r="K1663" i="12"/>
  <c r="J1663" i="12"/>
  <c r="I1663" i="12"/>
  <c r="H1663" i="12"/>
  <c r="G1663" i="12"/>
  <c r="F1663" i="12"/>
  <c r="E1663" i="12"/>
  <c r="N1663" i="12" s="1"/>
  <c r="D1663" i="12"/>
  <c r="C1663" i="12"/>
  <c r="B1663" i="12"/>
  <c r="A1663" i="12"/>
  <c r="K1662" i="12"/>
  <c r="J1662" i="12"/>
  <c r="I1662" i="12"/>
  <c r="H1662" i="12"/>
  <c r="G1662" i="12"/>
  <c r="F1662" i="12"/>
  <c r="E1662" i="12"/>
  <c r="N1662" i="12" s="1"/>
  <c r="D1662" i="12"/>
  <c r="C1662" i="12"/>
  <c r="B1662" i="12"/>
  <c r="A1662" i="12"/>
  <c r="K1661" i="12"/>
  <c r="J1661" i="12"/>
  <c r="I1661" i="12"/>
  <c r="H1661" i="12"/>
  <c r="G1661" i="12"/>
  <c r="F1661" i="12"/>
  <c r="E1661" i="12"/>
  <c r="N1661" i="12" s="1"/>
  <c r="D1661" i="12"/>
  <c r="C1661" i="12"/>
  <c r="B1661" i="12"/>
  <c r="A1661" i="12"/>
  <c r="K1660" i="12"/>
  <c r="J1660" i="12"/>
  <c r="I1660" i="12"/>
  <c r="H1660" i="12"/>
  <c r="G1660" i="12"/>
  <c r="F1660" i="12"/>
  <c r="E1660" i="12"/>
  <c r="N1660" i="12" s="1"/>
  <c r="D1660" i="12"/>
  <c r="C1660" i="12"/>
  <c r="B1660" i="12"/>
  <c r="A1660" i="12"/>
  <c r="K1659" i="12"/>
  <c r="J1659" i="12"/>
  <c r="I1659" i="12"/>
  <c r="H1659" i="12"/>
  <c r="G1659" i="12"/>
  <c r="F1659" i="12"/>
  <c r="E1659" i="12"/>
  <c r="N1659" i="12" s="1"/>
  <c r="D1659" i="12"/>
  <c r="C1659" i="12"/>
  <c r="B1659" i="12"/>
  <c r="A1659" i="12"/>
  <c r="K1658" i="12"/>
  <c r="J1658" i="12"/>
  <c r="I1658" i="12"/>
  <c r="H1658" i="12"/>
  <c r="G1658" i="12"/>
  <c r="F1658" i="12"/>
  <c r="E1658" i="12"/>
  <c r="N1658" i="12" s="1"/>
  <c r="D1658" i="12"/>
  <c r="C1658" i="12"/>
  <c r="B1658" i="12"/>
  <c r="A1658" i="12"/>
  <c r="K1657" i="12"/>
  <c r="J1657" i="12"/>
  <c r="I1657" i="12"/>
  <c r="H1657" i="12"/>
  <c r="G1657" i="12"/>
  <c r="F1657" i="12"/>
  <c r="E1657" i="12"/>
  <c r="N1657" i="12" s="1"/>
  <c r="D1657" i="12"/>
  <c r="C1657" i="12"/>
  <c r="B1657" i="12"/>
  <c r="A1657" i="12"/>
  <c r="K1656" i="12"/>
  <c r="J1656" i="12"/>
  <c r="I1656" i="12"/>
  <c r="H1656" i="12"/>
  <c r="G1656" i="12"/>
  <c r="F1656" i="12"/>
  <c r="E1656" i="12"/>
  <c r="N1656" i="12" s="1"/>
  <c r="D1656" i="12"/>
  <c r="C1656" i="12"/>
  <c r="B1656" i="12"/>
  <c r="A1656" i="12"/>
  <c r="K1655" i="12"/>
  <c r="J1655" i="12"/>
  <c r="I1655" i="12"/>
  <c r="H1655" i="12"/>
  <c r="G1655" i="12"/>
  <c r="F1655" i="12"/>
  <c r="E1655" i="12"/>
  <c r="N1655" i="12" s="1"/>
  <c r="D1655" i="12"/>
  <c r="C1655" i="12"/>
  <c r="B1655" i="12"/>
  <c r="A1655" i="12"/>
  <c r="K1654" i="12"/>
  <c r="J1654" i="12"/>
  <c r="I1654" i="12"/>
  <c r="H1654" i="12"/>
  <c r="G1654" i="12"/>
  <c r="F1654" i="12"/>
  <c r="E1654" i="12"/>
  <c r="N1654" i="12" s="1"/>
  <c r="D1654" i="12"/>
  <c r="C1654" i="12"/>
  <c r="B1654" i="12"/>
  <c r="A1654" i="12"/>
  <c r="K1653" i="12"/>
  <c r="J1653" i="12"/>
  <c r="I1653" i="12"/>
  <c r="H1653" i="12"/>
  <c r="G1653" i="12"/>
  <c r="F1653" i="12"/>
  <c r="E1653" i="12"/>
  <c r="N1653" i="12" s="1"/>
  <c r="D1653" i="12"/>
  <c r="C1653" i="12"/>
  <c r="B1653" i="12"/>
  <c r="A1653" i="12"/>
  <c r="K1652" i="12"/>
  <c r="J1652" i="12"/>
  <c r="I1652" i="12"/>
  <c r="H1652" i="12"/>
  <c r="G1652" i="12"/>
  <c r="F1652" i="12"/>
  <c r="E1652" i="12"/>
  <c r="N1652" i="12" s="1"/>
  <c r="D1652" i="12"/>
  <c r="C1652" i="12"/>
  <c r="B1652" i="12"/>
  <c r="A1652" i="12"/>
  <c r="K1651" i="12"/>
  <c r="J1651" i="12"/>
  <c r="I1651" i="12"/>
  <c r="H1651" i="12"/>
  <c r="G1651" i="12"/>
  <c r="F1651" i="12"/>
  <c r="E1651" i="12"/>
  <c r="N1651" i="12" s="1"/>
  <c r="D1651" i="12"/>
  <c r="C1651" i="12"/>
  <c r="B1651" i="12"/>
  <c r="A1651" i="12"/>
  <c r="K1650" i="12"/>
  <c r="J1650" i="12"/>
  <c r="I1650" i="12"/>
  <c r="H1650" i="12"/>
  <c r="G1650" i="12"/>
  <c r="F1650" i="12"/>
  <c r="E1650" i="12"/>
  <c r="N1650" i="12" s="1"/>
  <c r="D1650" i="12"/>
  <c r="C1650" i="12"/>
  <c r="B1650" i="12"/>
  <c r="A1650" i="12"/>
  <c r="K1649" i="12"/>
  <c r="J1649" i="12"/>
  <c r="I1649" i="12"/>
  <c r="H1649" i="12"/>
  <c r="G1649" i="12"/>
  <c r="F1649" i="12"/>
  <c r="E1649" i="12"/>
  <c r="N1649" i="12" s="1"/>
  <c r="D1649" i="12"/>
  <c r="C1649" i="12"/>
  <c r="B1649" i="12"/>
  <c r="A1649" i="12"/>
  <c r="K1648" i="12"/>
  <c r="J1648" i="12"/>
  <c r="I1648" i="12"/>
  <c r="H1648" i="12"/>
  <c r="G1648" i="12"/>
  <c r="F1648" i="12"/>
  <c r="E1648" i="12"/>
  <c r="N1648" i="12" s="1"/>
  <c r="D1648" i="12"/>
  <c r="C1648" i="12"/>
  <c r="B1648" i="12"/>
  <c r="A1648" i="12"/>
  <c r="K1647" i="12"/>
  <c r="J1647" i="12"/>
  <c r="I1647" i="12"/>
  <c r="H1647" i="12"/>
  <c r="G1647" i="12"/>
  <c r="F1647" i="12"/>
  <c r="E1647" i="12"/>
  <c r="N1647" i="12" s="1"/>
  <c r="D1647" i="12"/>
  <c r="C1647" i="12"/>
  <c r="B1647" i="12"/>
  <c r="A1647" i="12"/>
  <c r="K1646" i="12"/>
  <c r="J1646" i="12"/>
  <c r="I1646" i="12"/>
  <c r="H1646" i="12"/>
  <c r="G1646" i="12"/>
  <c r="F1646" i="12"/>
  <c r="E1646" i="12"/>
  <c r="N1646" i="12" s="1"/>
  <c r="D1646" i="12"/>
  <c r="C1646" i="12"/>
  <c r="B1646" i="12"/>
  <c r="A1646" i="12"/>
  <c r="K1645" i="12"/>
  <c r="J1645" i="12"/>
  <c r="I1645" i="12"/>
  <c r="H1645" i="12"/>
  <c r="G1645" i="12"/>
  <c r="F1645" i="12"/>
  <c r="E1645" i="12"/>
  <c r="N1645" i="12" s="1"/>
  <c r="D1645" i="12"/>
  <c r="C1645" i="12"/>
  <c r="B1645" i="12"/>
  <c r="A1645" i="12"/>
  <c r="K1644" i="12"/>
  <c r="J1644" i="12"/>
  <c r="I1644" i="12"/>
  <c r="H1644" i="12"/>
  <c r="G1644" i="12"/>
  <c r="F1644" i="12"/>
  <c r="E1644" i="12"/>
  <c r="N1644" i="12" s="1"/>
  <c r="D1644" i="12"/>
  <c r="C1644" i="12"/>
  <c r="B1644" i="12"/>
  <c r="A1644" i="12"/>
  <c r="K1643" i="12"/>
  <c r="J1643" i="12"/>
  <c r="I1643" i="12"/>
  <c r="H1643" i="12"/>
  <c r="G1643" i="12"/>
  <c r="F1643" i="12"/>
  <c r="E1643" i="12"/>
  <c r="N1643" i="12" s="1"/>
  <c r="D1643" i="12"/>
  <c r="C1643" i="12"/>
  <c r="B1643" i="12"/>
  <c r="A1643" i="12"/>
  <c r="K1642" i="12"/>
  <c r="J1642" i="12"/>
  <c r="I1642" i="12"/>
  <c r="H1642" i="12"/>
  <c r="G1642" i="12"/>
  <c r="F1642" i="12"/>
  <c r="E1642" i="12"/>
  <c r="N1642" i="12" s="1"/>
  <c r="D1642" i="12"/>
  <c r="C1642" i="12"/>
  <c r="B1642" i="12"/>
  <c r="A1642" i="12"/>
  <c r="K1641" i="12"/>
  <c r="J1641" i="12"/>
  <c r="I1641" i="12"/>
  <c r="H1641" i="12"/>
  <c r="G1641" i="12"/>
  <c r="F1641" i="12"/>
  <c r="E1641" i="12"/>
  <c r="N1641" i="12" s="1"/>
  <c r="D1641" i="12"/>
  <c r="C1641" i="12"/>
  <c r="B1641" i="12"/>
  <c r="A1641" i="12"/>
  <c r="K1640" i="12"/>
  <c r="J1640" i="12"/>
  <c r="I1640" i="12"/>
  <c r="H1640" i="12"/>
  <c r="G1640" i="12"/>
  <c r="F1640" i="12"/>
  <c r="E1640" i="12"/>
  <c r="N1640" i="12" s="1"/>
  <c r="D1640" i="12"/>
  <c r="C1640" i="12"/>
  <c r="B1640" i="12"/>
  <c r="A1640" i="12"/>
  <c r="K1639" i="12"/>
  <c r="J1639" i="12"/>
  <c r="I1639" i="12"/>
  <c r="H1639" i="12"/>
  <c r="G1639" i="12"/>
  <c r="F1639" i="12"/>
  <c r="E1639" i="12"/>
  <c r="N1639" i="12" s="1"/>
  <c r="D1639" i="12"/>
  <c r="C1639" i="12"/>
  <c r="B1639" i="12"/>
  <c r="A1639" i="12"/>
  <c r="K1638" i="12"/>
  <c r="J1638" i="12"/>
  <c r="I1638" i="12"/>
  <c r="H1638" i="12"/>
  <c r="G1638" i="12"/>
  <c r="F1638" i="12"/>
  <c r="E1638" i="12"/>
  <c r="N1638" i="12" s="1"/>
  <c r="D1638" i="12"/>
  <c r="C1638" i="12"/>
  <c r="B1638" i="12"/>
  <c r="A1638" i="12"/>
  <c r="K1637" i="12"/>
  <c r="J1637" i="12"/>
  <c r="I1637" i="12"/>
  <c r="H1637" i="12"/>
  <c r="G1637" i="12"/>
  <c r="F1637" i="12"/>
  <c r="E1637" i="12"/>
  <c r="N1637" i="12" s="1"/>
  <c r="D1637" i="12"/>
  <c r="C1637" i="12"/>
  <c r="B1637" i="12"/>
  <c r="A1637" i="12"/>
  <c r="K1636" i="12"/>
  <c r="J1636" i="12"/>
  <c r="I1636" i="12"/>
  <c r="H1636" i="12"/>
  <c r="G1636" i="12"/>
  <c r="F1636" i="12"/>
  <c r="E1636" i="12"/>
  <c r="N1636" i="12" s="1"/>
  <c r="D1636" i="12"/>
  <c r="C1636" i="12"/>
  <c r="B1636" i="12"/>
  <c r="A1636" i="12"/>
  <c r="K1635" i="12"/>
  <c r="J1635" i="12"/>
  <c r="I1635" i="12"/>
  <c r="H1635" i="12"/>
  <c r="G1635" i="12"/>
  <c r="F1635" i="12"/>
  <c r="E1635" i="12"/>
  <c r="N1635" i="12" s="1"/>
  <c r="D1635" i="12"/>
  <c r="C1635" i="12"/>
  <c r="B1635" i="12"/>
  <c r="A1635" i="12"/>
  <c r="K1634" i="12"/>
  <c r="J1634" i="12"/>
  <c r="I1634" i="12"/>
  <c r="H1634" i="12"/>
  <c r="G1634" i="12"/>
  <c r="F1634" i="12"/>
  <c r="E1634" i="12"/>
  <c r="N1634" i="12" s="1"/>
  <c r="D1634" i="12"/>
  <c r="C1634" i="12"/>
  <c r="B1634" i="12"/>
  <c r="A1634" i="12"/>
  <c r="K1633" i="12"/>
  <c r="J1633" i="12"/>
  <c r="I1633" i="12"/>
  <c r="H1633" i="12"/>
  <c r="G1633" i="12"/>
  <c r="F1633" i="12"/>
  <c r="E1633" i="12"/>
  <c r="N1633" i="12" s="1"/>
  <c r="D1633" i="12"/>
  <c r="C1633" i="12"/>
  <c r="B1633" i="12"/>
  <c r="A1633" i="12"/>
  <c r="K1632" i="12"/>
  <c r="J1632" i="12"/>
  <c r="I1632" i="12"/>
  <c r="H1632" i="12"/>
  <c r="G1632" i="12"/>
  <c r="F1632" i="12"/>
  <c r="E1632" i="12"/>
  <c r="N1632" i="12" s="1"/>
  <c r="D1632" i="12"/>
  <c r="C1632" i="12"/>
  <c r="B1632" i="12"/>
  <c r="A1632" i="12"/>
  <c r="K1631" i="12"/>
  <c r="J1631" i="12"/>
  <c r="I1631" i="12"/>
  <c r="H1631" i="12"/>
  <c r="G1631" i="12"/>
  <c r="F1631" i="12"/>
  <c r="E1631" i="12"/>
  <c r="N1631" i="12" s="1"/>
  <c r="D1631" i="12"/>
  <c r="C1631" i="12"/>
  <c r="B1631" i="12"/>
  <c r="A1631" i="12"/>
  <c r="K1630" i="12"/>
  <c r="J1630" i="12"/>
  <c r="I1630" i="12"/>
  <c r="H1630" i="12"/>
  <c r="G1630" i="12"/>
  <c r="F1630" i="12"/>
  <c r="E1630" i="12"/>
  <c r="N1630" i="12" s="1"/>
  <c r="D1630" i="12"/>
  <c r="C1630" i="12"/>
  <c r="B1630" i="12"/>
  <c r="A1630" i="12"/>
  <c r="K1629" i="12"/>
  <c r="J1629" i="12"/>
  <c r="I1629" i="12"/>
  <c r="H1629" i="12"/>
  <c r="G1629" i="12"/>
  <c r="F1629" i="12"/>
  <c r="E1629" i="12"/>
  <c r="N1629" i="12" s="1"/>
  <c r="D1629" i="12"/>
  <c r="C1629" i="12"/>
  <c r="B1629" i="12"/>
  <c r="A1629" i="12"/>
  <c r="K1628" i="12"/>
  <c r="J1628" i="12"/>
  <c r="I1628" i="12"/>
  <c r="H1628" i="12"/>
  <c r="G1628" i="12"/>
  <c r="F1628" i="12"/>
  <c r="E1628" i="12"/>
  <c r="N1628" i="12" s="1"/>
  <c r="D1628" i="12"/>
  <c r="C1628" i="12"/>
  <c r="B1628" i="12"/>
  <c r="A1628" i="12"/>
  <c r="K1627" i="12"/>
  <c r="J1627" i="12"/>
  <c r="I1627" i="12"/>
  <c r="H1627" i="12"/>
  <c r="G1627" i="12"/>
  <c r="F1627" i="12"/>
  <c r="E1627" i="12"/>
  <c r="N1627" i="12" s="1"/>
  <c r="D1627" i="12"/>
  <c r="C1627" i="12"/>
  <c r="B1627" i="12"/>
  <c r="A1627" i="12"/>
  <c r="K1626" i="12"/>
  <c r="J1626" i="12"/>
  <c r="I1626" i="12"/>
  <c r="H1626" i="12"/>
  <c r="G1626" i="12"/>
  <c r="F1626" i="12"/>
  <c r="E1626" i="12"/>
  <c r="N1626" i="12" s="1"/>
  <c r="D1626" i="12"/>
  <c r="C1626" i="12"/>
  <c r="B1626" i="12"/>
  <c r="A1626" i="12"/>
  <c r="K1625" i="12"/>
  <c r="J1625" i="12"/>
  <c r="I1625" i="12"/>
  <c r="H1625" i="12"/>
  <c r="G1625" i="12"/>
  <c r="F1625" i="12"/>
  <c r="E1625" i="12"/>
  <c r="N1625" i="12" s="1"/>
  <c r="D1625" i="12"/>
  <c r="C1625" i="12"/>
  <c r="B1625" i="12"/>
  <c r="A1625" i="12"/>
  <c r="K1624" i="12"/>
  <c r="J1624" i="12"/>
  <c r="I1624" i="12"/>
  <c r="H1624" i="12"/>
  <c r="G1624" i="12"/>
  <c r="F1624" i="12"/>
  <c r="E1624" i="12"/>
  <c r="N1624" i="12" s="1"/>
  <c r="D1624" i="12"/>
  <c r="C1624" i="12"/>
  <c r="B1624" i="12"/>
  <c r="A1624" i="12"/>
  <c r="K1623" i="12"/>
  <c r="J1623" i="12"/>
  <c r="I1623" i="12"/>
  <c r="H1623" i="12"/>
  <c r="G1623" i="12"/>
  <c r="F1623" i="12"/>
  <c r="E1623" i="12"/>
  <c r="N1623" i="12" s="1"/>
  <c r="D1623" i="12"/>
  <c r="C1623" i="12"/>
  <c r="B1623" i="12"/>
  <c r="A1623" i="12"/>
  <c r="K1622" i="12"/>
  <c r="J1622" i="12"/>
  <c r="I1622" i="12"/>
  <c r="H1622" i="12"/>
  <c r="G1622" i="12"/>
  <c r="F1622" i="12"/>
  <c r="E1622" i="12"/>
  <c r="N1622" i="12" s="1"/>
  <c r="D1622" i="12"/>
  <c r="C1622" i="12"/>
  <c r="B1622" i="12"/>
  <c r="A1622" i="12"/>
  <c r="K1621" i="12"/>
  <c r="J1621" i="12"/>
  <c r="I1621" i="12"/>
  <c r="H1621" i="12"/>
  <c r="G1621" i="12"/>
  <c r="F1621" i="12"/>
  <c r="E1621" i="12"/>
  <c r="N1621" i="12" s="1"/>
  <c r="D1621" i="12"/>
  <c r="C1621" i="12"/>
  <c r="B1621" i="12"/>
  <c r="A1621" i="12"/>
  <c r="K1620" i="12"/>
  <c r="J1620" i="12"/>
  <c r="I1620" i="12"/>
  <c r="H1620" i="12"/>
  <c r="G1620" i="12"/>
  <c r="F1620" i="12"/>
  <c r="E1620" i="12"/>
  <c r="N1620" i="12" s="1"/>
  <c r="D1620" i="12"/>
  <c r="C1620" i="12"/>
  <c r="B1620" i="12"/>
  <c r="A1620" i="12"/>
  <c r="S1619" i="12"/>
  <c r="R1619" i="12"/>
  <c r="P1619" i="12"/>
  <c r="O1619" i="12"/>
  <c r="N1619" i="12"/>
  <c r="M1619" i="12"/>
  <c r="L1619" i="12"/>
  <c r="K1619" i="12"/>
  <c r="J1619" i="12"/>
  <c r="I1619" i="12"/>
  <c r="H1619" i="12"/>
  <c r="G1619" i="12"/>
  <c r="Q1619" i="12" s="1"/>
  <c r="F1619" i="12"/>
  <c r="E1619" i="12"/>
  <c r="D1619" i="12"/>
  <c r="C1619" i="12"/>
  <c r="B1619" i="12"/>
  <c r="A1619" i="12"/>
  <c r="K1618" i="12"/>
  <c r="J1618" i="12"/>
  <c r="I1618" i="12"/>
  <c r="H1618" i="12"/>
  <c r="G1618" i="12"/>
  <c r="F1618" i="12"/>
  <c r="E1618" i="12"/>
  <c r="N1618" i="12" s="1"/>
  <c r="D1618" i="12"/>
  <c r="C1618" i="12"/>
  <c r="B1618" i="12"/>
  <c r="A1618" i="12"/>
  <c r="K1617" i="12"/>
  <c r="J1617" i="12"/>
  <c r="I1617" i="12"/>
  <c r="H1617" i="12"/>
  <c r="G1617" i="12"/>
  <c r="F1617" i="12"/>
  <c r="E1617" i="12"/>
  <c r="N1617" i="12" s="1"/>
  <c r="D1617" i="12"/>
  <c r="C1617" i="12"/>
  <c r="B1617" i="12"/>
  <c r="A1617" i="12"/>
  <c r="K1616" i="12"/>
  <c r="J1616" i="12"/>
  <c r="I1616" i="12"/>
  <c r="H1616" i="12"/>
  <c r="G1616" i="12"/>
  <c r="F1616" i="12"/>
  <c r="E1616" i="12"/>
  <c r="N1616" i="12" s="1"/>
  <c r="D1616" i="12"/>
  <c r="C1616" i="12"/>
  <c r="B1616" i="12"/>
  <c r="A1616" i="12"/>
  <c r="K1615" i="12"/>
  <c r="J1615" i="12"/>
  <c r="I1615" i="12"/>
  <c r="H1615" i="12"/>
  <c r="G1615" i="12"/>
  <c r="F1615" i="12"/>
  <c r="E1615" i="12"/>
  <c r="N1615" i="12" s="1"/>
  <c r="D1615" i="12"/>
  <c r="C1615" i="12"/>
  <c r="B1615" i="12"/>
  <c r="A1615" i="12"/>
  <c r="K1614" i="12"/>
  <c r="J1614" i="12"/>
  <c r="I1614" i="12"/>
  <c r="H1614" i="12"/>
  <c r="G1614" i="12"/>
  <c r="F1614" i="12"/>
  <c r="E1614" i="12"/>
  <c r="N1614" i="12" s="1"/>
  <c r="D1614" i="12"/>
  <c r="C1614" i="12"/>
  <c r="B1614" i="12"/>
  <c r="A1614" i="12"/>
  <c r="K1613" i="12"/>
  <c r="J1613" i="12"/>
  <c r="I1613" i="12"/>
  <c r="H1613" i="12"/>
  <c r="G1613" i="12"/>
  <c r="F1613" i="12"/>
  <c r="E1613" i="12"/>
  <c r="N1613" i="12" s="1"/>
  <c r="D1613" i="12"/>
  <c r="C1613" i="12"/>
  <c r="B1613" i="12"/>
  <c r="A1613" i="12"/>
  <c r="K1612" i="12"/>
  <c r="J1612" i="12"/>
  <c r="I1612" i="12"/>
  <c r="H1612" i="12"/>
  <c r="G1612" i="12"/>
  <c r="F1612" i="12"/>
  <c r="E1612" i="12"/>
  <c r="N1612" i="12" s="1"/>
  <c r="D1612" i="12"/>
  <c r="C1612" i="12"/>
  <c r="B1612" i="12"/>
  <c r="A1612" i="12"/>
  <c r="K1611" i="12"/>
  <c r="J1611" i="12"/>
  <c r="I1611" i="12"/>
  <c r="H1611" i="12"/>
  <c r="G1611" i="12"/>
  <c r="F1611" i="12"/>
  <c r="E1611" i="12"/>
  <c r="N1611" i="12" s="1"/>
  <c r="D1611" i="12"/>
  <c r="C1611" i="12"/>
  <c r="B1611" i="12"/>
  <c r="A1611" i="12"/>
  <c r="K1610" i="12"/>
  <c r="J1610" i="12"/>
  <c r="I1610" i="12"/>
  <c r="H1610" i="12"/>
  <c r="G1610" i="12"/>
  <c r="F1610" i="12"/>
  <c r="E1610" i="12"/>
  <c r="N1610" i="12" s="1"/>
  <c r="D1610" i="12"/>
  <c r="C1610" i="12"/>
  <c r="B1610" i="12"/>
  <c r="A1610" i="12"/>
  <c r="K1609" i="12"/>
  <c r="J1609" i="12"/>
  <c r="I1609" i="12"/>
  <c r="H1609" i="12"/>
  <c r="G1609" i="12"/>
  <c r="F1609" i="12"/>
  <c r="E1609" i="12"/>
  <c r="N1609" i="12" s="1"/>
  <c r="D1609" i="12"/>
  <c r="C1609" i="12"/>
  <c r="B1609" i="12"/>
  <c r="A1609" i="12"/>
  <c r="K1608" i="12"/>
  <c r="J1608" i="12"/>
  <c r="I1608" i="12"/>
  <c r="H1608" i="12"/>
  <c r="G1608" i="12"/>
  <c r="F1608" i="12"/>
  <c r="E1608" i="12"/>
  <c r="N1608" i="12" s="1"/>
  <c r="D1608" i="12"/>
  <c r="C1608" i="12"/>
  <c r="B1608" i="12"/>
  <c r="A1608" i="12"/>
  <c r="K1607" i="12"/>
  <c r="J1607" i="12"/>
  <c r="I1607" i="12"/>
  <c r="H1607" i="12"/>
  <c r="G1607" i="12"/>
  <c r="F1607" i="12"/>
  <c r="E1607" i="12"/>
  <c r="N1607" i="12" s="1"/>
  <c r="D1607" i="12"/>
  <c r="C1607" i="12"/>
  <c r="B1607" i="12"/>
  <c r="A1607" i="12"/>
  <c r="K1606" i="12"/>
  <c r="J1606" i="12"/>
  <c r="I1606" i="12"/>
  <c r="H1606" i="12"/>
  <c r="G1606" i="12"/>
  <c r="F1606" i="12"/>
  <c r="E1606" i="12"/>
  <c r="N1606" i="12" s="1"/>
  <c r="D1606" i="12"/>
  <c r="C1606" i="12"/>
  <c r="B1606" i="12"/>
  <c r="A1606" i="12"/>
  <c r="K1605" i="12"/>
  <c r="J1605" i="12"/>
  <c r="I1605" i="12"/>
  <c r="H1605" i="12"/>
  <c r="G1605" i="12"/>
  <c r="F1605" i="12"/>
  <c r="E1605" i="12"/>
  <c r="N1605" i="12" s="1"/>
  <c r="D1605" i="12"/>
  <c r="C1605" i="12"/>
  <c r="B1605" i="12"/>
  <c r="A1605" i="12"/>
  <c r="K1604" i="12"/>
  <c r="J1604" i="12"/>
  <c r="I1604" i="12"/>
  <c r="H1604" i="12"/>
  <c r="G1604" i="12"/>
  <c r="F1604" i="12"/>
  <c r="E1604" i="12"/>
  <c r="N1604" i="12" s="1"/>
  <c r="D1604" i="12"/>
  <c r="C1604" i="12"/>
  <c r="B1604" i="12"/>
  <c r="A1604" i="12"/>
  <c r="K1603" i="12"/>
  <c r="J1603" i="12"/>
  <c r="I1603" i="12"/>
  <c r="H1603" i="12"/>
  <c r="G1603" i="12"/>
  <c r="F1603" i="12"/>
  <c r="E1603" i="12"/>
  <c r="N1603" i="12" s="1"/>
  <c r="D1603" i="12"/>
  <c r="C1603" i="12"/>
  <c r="B1603" i="12"/>
  <c r="A1603" i="12"/>
  <c r="K1602" i="12"/>
  <c r="J1602" i="12"/>
  <c r="I1602" i="12"/>
  <c r="H1602" i="12"/>
  <c r="G1602" i="12"/>
  <c r="F1602" i="12"/>
  <c r="E1602" i="12"/>
  <c r="N1602" i="12" s="1"/>
  <c r="D1602" i="12"/>
  <c r="C1602" i="12"/>
  <c r="B1602" i="12"/>
  <c r="A1602" i="12"/>
  <c r="K1601" i="12"/>
  <c r="J1601" i="12"/>
  <c r="I1601" i="12"/>
  <c r="H1601" i="12"/>
  <c r="G1601" i="12"/>
  <c r="F1601" i="12"/>
  <c r="E1601" i="12"/>
  <c r="N1601" i="12" s="1"/>
  <c r="D1601" i="12"/>
  <c r="C1601" i="12"/>
  <c r="B1601" i="12"/>
  <c r="A1601" i="12"/>
  <c r="K1600" i="12"/>
  <c r="J1600" i="12"/>
  <c r="I1600" i="12"/>
  <c r="H1600" i="12"/>
  <c r="G1600" i="12"/>
  <c r="F1600" i="12"/>
  <c r="E1600" i="12"/>
  <c r="N1600" i="12" s="1"/>
  <c r="D1600" i="12"/>
  <c r="C1600" i="12"/>
  <c r="B1600" i="12"/>
  <c r="A1600" i="12"/>
  <c r="K1599" i="12"/>
  <c r="J1599" i="12"/>
  <c r="I1599" i="12"/>
  <c r="H1599" i="12"/>
  <c r="G1599" i="12"/>
  <c r="F1599" i="12"/>
  <c r="E1599" i="12"/>
  <c r="N1599" i="12" s="1"/>
  <c r="D1599" i="12"/>
  <c r="C1599" i="12"/>
  <c r="B1599" i="12"/>
  <c r="A1599" i="12"/>
  <c r="K1598" i="12"/>
  <c r="J1598" i="12"/>
  <c r="I1598" i="12"/>
  <c r="H1598" i="12"/>
  <c r="G1598" i="12"/>
  <c r="F1598" i="12"/>
  <c r="E1598" i="12"/>
  <c r="N1598" i="12" s="1"/>
  <c r="D1598" i="12"/>
  <c r="C1598" i="12"/>
  <c r="B1598" i="12"/>
  <c r="A1598" i="12"/>
  <c r="K1597" i="12"/>
  <c r="J1597" i="12"/>
  <c r="I1597" i="12"/>
  <c r="H1597" i="12"/>
  <c r="G1597" i="12"/>
  <c r="F1597" i="12"/>
  <c r="E1597" i="12"/>
  <c r="N1597" i="12" s="1"/>
  <c r="D1597" i="12"/>
  <c r="C1597" i="12"/>
  <c r="B1597" i="12"/>
  <c r="A1597" i="12"/>
  <c r="K1596" i="12"/>
  <c r="J1596" i="12"/>
  <c r="I1596" i="12"/>
  <c r="H1596" i="12"/>
  <c r="G1596" i="12"/>
  <c r="F1596" i="12"/>
  <c r="E1596" i="12"/>
  <c r="N1596" i="12" s="1"/>
  <c r="D1596" i="12"/>
  <c r="C1596" i="12"/>
  <c r="B1596" i="12"/>
  <c r="A1596" i="12"/>
  <c r="K1595" i="12"/>
  <c r="J1595" i="12"/>
  <c r="I1595" i="12"/>
  <c r="H1595" i="12"/>
  <c r="G1595" i="12"/>
  <c r="F1595" i="12"/>
  <c r="E1595" i="12"/>
  <c r="N1595" i="12" s="1"/>
  <c r="D1595" i="12"/>
  <c r="C1595" i="12"/>
  <c r="B1595" i="12"/>
  <c r="A1595" i="12"/>
  <c r="K1594" i="12"/>
  <c r="J1594" i="12"/>
  <c r="I1594" i="12"/>
  <c r="H1594" i="12"/>
  <c r="G1594" i="12"/>
  <c r="F1594" i="12"/>
  <c r="E1594" i="12"/>
  <c r="N1594" i="12" s="1"/>
  <c r="D1594" i="12"/>
  <c r="C1594" i="12"/>
  <c r="B1594" i="12"/>
  <c r="A1594" i="12"/>
  <c r="K1593" i="12"/>
  <c r="J1593" i="12"/>
  <c r="I1593" i="12"/>
  <c r="H1593" i="12"/>
  <c r="G1593" i="12"/>
  <c r="F1593" i="12"/>
  <c r="E1593" i="12"/>
  <c r="N1593" i="12" s="1"/>
  <c r="D1593" i="12"/>
  <c r="C1593" i="12"/>
  <c r="B1593" i="12"/>
  <c r="A1593" i="12"/>
  <c r="K1592" i="12"/>
  <c r="J1592" i="12"/>
  <c r="I1592" i="12"/>
  <c r="H1592" i="12"/>
  <c r="G1592" i="12"/>
  <c r="F1592" i="12"/>
  <c r="E1592" i="12"/>
  <c r="N1592" i="12" s="1"/>
  <c r="D1592" i="12"/>
  <c r="C1592" i="12"/>
  <c r="B1592" i="12"/>
  <c r="A1592" i="12"/>
  <c r="K1591" i="12"/>
  <c r="J1591" i="12"/>
  <c r="I1591" i="12"/>
  <c r="H1591" i="12"/>
  <c r="G1591" i="12"/>
  <c r="F1591" i="12"/>
  <c r="E1591" i="12"/>
  <c r="N1591" i="12" s="1"/>
  <c r="D1591" i="12"/>
  <c r="C1591" i="12"/>
  <c r="B1591" i="12"/>
  <c r="A1591" i="12"/>
  <c r="K1590" i="12"/>
  <c r="J1590" i="12"/>
  <c r="I1590" i="12"/>
  <c r="H1590" i="12"/>
  <c r="G1590" i="12"/>
  <c r="F1590" i="12"/>
  <c r="E1590" i="12"/>
  <c r="N1590" i="12" s="1"/>
  <c r="D1590" i="12"/>
  <c r="C1590" i="12"/>
  <c r="B1590" i="12"/>
  <c r="A1590" i="12"/>
  <c r="K1589" i="12"/>
  <c r="J1589" i="12"/>
  <c r="I1589" i="12"/>
  <c r="H1589" i="12"/>
  <c r="G1589" i="12"/>
  <c r="F1589" i="12"/>
  <c r="E1589" i="12"/>
  <c r="N1589" i="12" s="1"/>
  <c r="D1589" i="12"/>
  <c r="C1589" i="12"/>
  <c r="B1589" i="12"/>
  <c r="A1589" i="12"/>
  <c r="K1588" i="12"/>
  <c r="J1588" i="12"/>
  <c r="I1588" i="12"/>
  <c r="H1588" i="12"/>
  <c r="G1588" i="12"/>
  <c r="F1588" i="12"/>
  <c r="E1588" i="12"/>
  <c r="N1588" i="12" s="1"/>
  <c r="D1588" i="12"/>
  <c r="C1588" i="12"/>
  <c r="B1588" i="12"/>
  <c r="A1588" i="12"/>
  <c r="K1587" i="12"/>
  <c r="J1587" i="12"/>
  <c r="I1587" i="12"/>
  <c r="H1587" i="12"/>
  <c r="G1587" i="12"/>
  <c r="F1587" i="12"/>
  <c r="E1587" i="12"/>
  <c r="N1587" i="12" s="1"/>
  <c r="D1587" i="12"/>
  <c r="C1587" i="12"/>
  <c r="B1587" i="12"/>
  <c r="A1587" i="12"/>
  <c r="K1586" i="12"/>
  <c r="J1586" i="12"/>
  <c r="I1586" i="12"/>
  <c r="H1586" i="12"/>
  <c r="G1586" i="12"/>
  <c r="F1586" i="12"/>
  <c r="E1586" i="12"/>
  <c r="N1586" i="12" s="1"/>
  <c r="D1586" i="12"/>
  <c r="C1586" i="12"/>
  <c r="B1586" i="12"/>
  <c r="A1586" i="12"/>
  <c r="K1585" i="12"/>
  <c r="J1585" i="12"/>
  <c r="I1585" i="12"/>
  <c r="H1585" i="12"/>
  <c r="G1585" i="12"/>
  <c r="F1585" i="12"/>
  <c r="E1585" i="12"/>
  <c r="N1585" i="12" s="1"/>
  <c r="D1585" i="12"/>
  <c r="C1585" i="12"/>
  <c r="B1585" i="12"/>
  <c r="A1585" i="12"/>
  <c r="K1584" i="12"/>
  <c r="J1584" i="12"/>
  <c r="I1584" i="12"/>
  <c r="H1584" i="12"/>
  <c r="G1584" i="12"/>
  <c r="F1584" i="12"/>
  <c r="E1584" i="12"/>
  <c r="N1584" i="12" s="1"/>
  <c r="D1584" i="12"/>
  <c r="C1584" i="12"/>
  <c r="B1584" i="12"/>
  <c r="A1584" i="12"/>
  <c r="K1583" i="12"/>
  <c r="J1583" i="12"/>
  <c r="I1583" i="12"/>
  <c r="H1583" i="12"/>
  <c r="G1583" i="12"/>
  <c r="F1583" i="12"/>
  <c r="E1583" i="12"/>
  <c r="N1583" i="12" s="1"/>
  <c r="D1583" i="12"/>
  <c r="C1583" i="12"/>
  <c r="B1583" i="12"/>
  <c r="A1583" i="12"/>
  <c r="K1582" i="12"/>
  <c r="J1582" i="12"/>
  <c r="I1582" i="12"/>
  <c r="H1582" i="12"/>
  <c r="G1582" i="12"/>
  <c r="F1582" i="12"/>
  <c r="E1582" i="12"/>
  <c r="N1582" i="12" s="1"/>
  <c r="D1582" i="12"/>
  <c r="C1582" i="12"/>
  <c r="B1582" i="12"/>
  <c r="A1582" i="12"/>
  <c r="K1581" i="12"/>
  <c r="J1581" i="12"/>
  <c r="I1581" i="12"/>
  <c r="H1581" i="12"/>
  <c r="G1581" i="12"/>
  <c r="F1581" i="12"/>
  <c r="E1581" i="12"/>
  <c r="N1581" i="12" s="1"/>
  <c r="D1581" i="12"/>
  <c r="C1581" i="12"/>
  <c r="B1581" i="12"/>
  <c r="A1581" i="12"/>
  <c r="K1580" i="12"/>
  <c r="J1580" i="12"/>
  <c r="I1580" i="12"/>
  <c r="H1580" i="12"/>
  <c r="G1580" i="12"/>
  <c r="F1580" i="12"/>
  <c r="E1580" i="12"/>
  <c r="N1580" i="12" s="1"/>
  <c r="D1580" i="12"/>
  <c r="C1580" i="12"/>
  <c r="B1580" i="12"/>
  <c r="A1580" i="12"/>
  <c r="K1579" i="12"/>
  <c r="J1579" i="12"/>
  <c r="I1579" i="12"/>
  <c r="H1579" i="12"/>
  <c r="G1579" i="12"/>
  <c r="F1579" i="12"/>
  <c r="E1579" i="12"/>
  <c r="N1579" i="12" s="1"/>
  <c r="D1579" i="12"/>
  <c r="C1579" i="12"/>
  <c r="B1579" i="12"/>
  <c r="A1579" i="12"/>
  <c r="K1578" i="12"/>
  <c r="J1578" i="12"/>
  <c r="I1578" i="12"/>
  <c r="H1578" i="12"/>
  <c r="G1578" i="12"/>
  <c r="F1578" i="12"/>
  <c r="E1578" i="12"/>
  <c r="N1578" i="12" s="1"/>
  <c r="D1578" i="12"/>
  <c r="C1578" i="12"/>
  <c r="B1578" i="12"/>
  <c r="A1578" i="12"/>
  <c r="K1577" i="12"/>
  <c r="J1577" i="12"/>
  <c r="I1577" i="12"/>
  <c r="H1577" i="12"/>
  <c r="G1577" i="12"/>
  <c r="F1577" i="12"/>
  <c r="E1577" i="12"/>
  <c r="N1577" i="12" s="1"/>
  <c r="D1577" i="12"/>
  <c r="C1577" i="12"/>
  <c r="B1577" i="12"/>
  <c r="A1577" i="12"/>
  <c r="K1576" i="12"/>
  <c r="J1576" i="12"/>
  <c r="I1576" i="12"/>
  <c r="H1576" i="12"/>
  <c r="G1576" i="12"/>
  <c r="F1576" i="12"/>
  <c r="E1576" i="12"/>
  <c r="N1576" i="12" s="1"/>
  <c r="D1576" i="12"/>
  <c r="C1576" i="12"/>
  <c r="B1576" i="12"/>
  <c r="A1576" i="12"/>
  <c r="K1575" i="12"/>
  <c r="J1575" i="12"/>
  <c r="I1575" i="12"/>
  <c r="H1575" i="12"/>
  <c r="G1575" i="12"/>
  <c r="F1575" i="12"/>
  <c r="E1575" i="12"/>
  <c r="N1575" i="12" s="1"/>
  <c r="D1575" i="12"/>
  <c r="C1575" i="12"/>
  <c r="B1575" i="12"/>
  <c r="A1575" i="12"/>
  <c r="K1574" i="12"/>
  <c r="J1574" i="12"/>
  <c r="I1574" i="12"/>
  <c r="H1574" i="12"/>
  <c r="G1574" i="12"/>
  <c r="F1574" i="12"/>
  <c r="E1574" i="12"/>
  <c r="N1574" i="12" s="1"/>
  <c r="D1574" i="12"/>
  <c r="C1574" i="12"/>
  <c r="B1574" i="12"/>
  <c r="A1574" i="12"/>
  <c r="K1573" i="12"/>
  <c r="J1573" i="12"/>
  <c r="I1573" i="12"/>
  <c r="H1573" i="12"/>
  <c r="G1573" i="12"/>
  <c r="F1573" i="12"/>
  <c r="E1573" i="12"/>
  <c r="N1573" i="12" s="1"/>
  <c r="D1573" i="12"/>
  <c r="C1573" i="12"/>
  <c r="B1573" i="12"/>
  <c r="A1573" i="12"/>
  <c r="K1572" i="12"/>
  <c r="J1572" i="12"/>
  <c r="I1572" i="12"/>
  <c r="H1572" i="12"/>
  <c r="G1572" i="12"/>
  <c r="F1572" i="12"/>
  <c r="E1572" i="12"/>
  <c r="N1572" i="12" s="1"/>
  <c r="D1572" i="12"/>
  <c r="C1572" i="12"/>
  <c r="B1572" i="12"/>
  <c r="A1572" i="12"/>
  <c r="K1571" i="12"/>
  <c r="J1571" i="12"/>
  <c r="I1571" i="12"/>
  <c r="H1571" i="12"/>
  <c r="G1571" i="12"/>
  <c r="F1571" i="12"/>
  <c r="E1571" i="12"/>
  <c r="N1571" i="12" s="1"/>
  <c r="D1571" i="12"/>
  <c r="C1571" i="12"/>
  <c r="B1571" i="12"/>
  <c r="A1571" i="12"/>
  <c r="K1570" i="12"/>
  <c r="J1570" i="12"/>
  <c r="I1570" i="12"/>
  <c r="H1570" i="12"/>
  <c r="G1570" i="12"/>
  <c r="F1570" i="12"/>
  <c r="E1570" i="12"/>
  <c r="N1570" i="12" s="1"/>
  <c r="D1570" i="12"/>
  <c r="C1570" i="12"/>
  <c r="B1570" i="12"/>
  <c r="A1570" i="12"/>
  <c r="K1569" i="12"/>
  <c r="J1569" i="12"/>
  <c r="I1569" i="12"/>
  <c r="H1569" i="12"/>
  <c r="G1569" i="12"/>
  <c r="F1569" i="12"/>
  <c r="E1569" i="12"/>
  <c r="N1569" i="12" s="1"/>
  <c r="D1569" i="12"/>
  <c r="C1569" i="12"/>
  <c r="B1569" i="12"/>
  <c r="A1569" i="12"/>
  <c r="K1568" i="12"/>
  <c r="J1568" i="12"/>
  <c r="I1568" i="12"/>
  <c r="H1568" i="12"/>
  <c r="G1568" i="12"/>
  <c r="F1568" i="12"/>
  <c r="E1568" i="12"/>
  <c r="N1568" i="12" s="1"/>
  <c r="D1568" i="12"/>
  <c r="C1568" i="12"/>
  <c r="B1568" i="12"/>
  <c r="A1568" i="12"/>
  <c r="K1567" i="12"/>
  <c r="J1567" i="12"/>
  <c r="I1567" i="12"/>
  <c r="H1567" i="12"/>
  <c r="G1567" i="12"/>
  <c r="F1567" i="12"/>
  <c r="E1567" i="12"/>
  <c r="N1567" i="12" s="1"/>
  <c r="D1567" i="12"/>
  <c r="C1567" i="12"/>
  <c r="B1567" i="12"/>
  <c r="A1567" i="12"/>
  <c r="K1566" i="12"/>
  <c r="J1566" i="12"/>
  <c r="I1566" i="12"/>
  <c r="H1566" i="12"/>
  <c r="G1566" i="12"/>
  <c r="F1566" i="12"/>
  <c r="E1566" i="12"/>
  <c r="N1566" i="12" s="1"/>
  <c r="D1566" i="12"/>
  <c r="C1566" i="12"/>
  <c r="B1566" i="12"/>
  <c r="A1566" i="12"/>
  <c r="K1565" i="12"/>
  <c r="J1565" i="12"/>
  <c r="I1565" i="12"/>
  <c r="H1565" i="12"/>
  <c r="G1565" i="12"/>
  <c r="F1565" i="12"/>
  <c r="E1565" i="12"/>
  <c r="N1565" i="12" s="1"/>
  <c r="D1565" i="12"/>
  <c r="C1565" i="12"/>
  <c r="B1565" i="12"/>
  <c r="A1565" i="12"/>
  <c r="K1564" i="12"/>
  <c r="J1564" i="12"/>
  <c r="I1564" i="12"/>
  <c r="H1564" i="12"/>
  <c r="G1564" i="12"/>
  <c r="F1564" i="12"/>
  <c r="E1564" i="12"/>
  <c r="N1564" i="12" s="1"/>
  <c r="D1564" i="12"/>
  <c r="C1564" i="12"/>
  <c r="B1564" i="12"/>
  <c r="A1564" i="12"/>
  <c r="K1563" i="12"/>
  <c r="J1563" i="12"/>
  <c r="I1563" i="12"/>
  <c r="H1563" i="12"/>
  <c r="G1563" i="12"/>
  <c r="F1563" i="12"/>
  <c r="E1563" i="12"/>
  <c r="N1563" i="12" s="1"/>
  <c r="D1563" i="12"/>
  <c r="C1563" i="12"/>
  <c r="B1563" i="12"/>
  <c r="A1563" i="12"/>
  <c r="K1562" i="12"/>
  <c r="J1562" i="12"/>
  <c r="I1562" i="12"/>
  <c r="H1562" i="12"/>
  <c r="G1562" i="12"/>
  <c r="F1562" i="12"/>
  <c r="E1562" i="12"/>
  <c r="N1562" i="12" s="1"/>
  <c r="D1562" i="12"/>
  <c r="C1562" i="12"/>
  <c r="B1562" i="12"/>
  <c r="A1562" i="12"/>
  <c r="K1561" i="12"/>
  <c r="J1561" i="12"/>
  <c r="I1561" i="12"/>
  <c r="H1561" i="12"/>
  <c r="G1561" i="12"/>
  <c r="F1561" i="12"/>
  <c r="E1561" i="12"/>
  <c r="N1561" i="12" s="1"/>
  <c r="D1561" i="12"/>
  <c r="C1561" i="12"/>
  <c r="B1561" i="12"/>
  <c r="A1561" i="12"/>
  <c r="K1560" i="12"/>
  <c r="J1560" i="12"/>
  <c r="I1560" i="12"/>
  <c r="H1560" i="12"/>
  <c r="G1560" i="12"/>
  <c r="F1560" i="12"/>
  <c r="E1560" i="12"/>
  <c r="N1560" i="12" s="1"/>
  <c r="D1560" i="12"/>
  <c r="C1560" i="12"/>
  <c r="B1560" i="12"/>
  <c r="A1560" i="12"/>
  <c r="K1559" i="12"/>
  <c r="J1559" i="12"/>
  <c r="I1559" i="12"/>
  <c r="H1559" i="12"/>
  <c r="G1559" i="12"/>
  <c r="F1559" i="12"/>
  <c r="E1559" i="12"/>
  <c r="N1559" i="12" s="1"/>
  <c r="D1559" i="12"/>
  <c r="C1559" i="12"/>
  <c r="B1559" i="12"/>
  <c r="A1559" i="12"/>
  <c r="K1558" i="12"/>
  <c r="J1558" i="12"/>
  <c r="I1558" i="12"/>
  <c r="H1558" i="12"/>
  <c r="G1558" i="12"/>
  <c r="F1558" i="12"/>
  <c r="E1558" i="12"/>
  <c r="N1558" i="12" s="1"/>
  <c r="D1558" i="12"/>
  <c r="C1558" i="12"/>
  <c r="B1558" i="12"/>
  <c r="A1558" i="12"/>
  <c r="K1557" i="12"/>
  <c r="J1557" i="12"/>
  <c r="I1557" i="12"/>
  <c r="H1557" i="12"/>
  <c r="G1557" i="12"/>
  <c r="F1557" i="12"/>
  <c r="E1557" i="12"/>
  <c r="N1557" i="12" s="1"/>
  <c r="D1557" i="12"/>
  <c r="C1557" i="12"/>
  <c r="B1557" i="12"/>
  <c r="A1557" i="12"/>
  <c r="K1556" i="12"/>
  <c r="J1556" i="12"/>
  <c r="I1556" i="12"/>
  <c r="H1556" i="12"/>
  <c r="G1556" i="12"/>
  <c r="F1556" i="12"/>
  <c r="E1556" i="12"/>
  <c r="N1556" i="12" s="1"/>
  <c r="D1556" i="12"/>
  <c r="C1556" i="12"/>
  <c r="B1556" i="12"/>
  <c r="A1556" i="12"/>
  <c r="S1555" i="12"/>
  <c r="R1555" i="12"/>
  <c r="P1555" i="12"/>
  <c r="O1555" i="12"/>
  <c r="N1555" i="12"/>
  <c r="M1555" i="12"/>
  <c r="Q1555" i="12" s="1"/>
  <c r="L1555" i="12"/>
  <c r="K1555" i="12"/>
  <c r="J1555" i="12"/>
  <c r="I1555" i="12"/>
  <c r="H1555" i="12"/>
  <c r="G1555" i="12"/>
  <c r="F1555" i="12"/>
  <c r="E1555" i="12"/>
  <c r="D1555" i="12"/>
  <c r="C1555" i="12"/>
  <c r="B1555" i="12"/>
  <c r="A1555" i="12"/>
  <c r="K1554" i="12"/>
  <c r="J1554" i="12"/>
  <c r="I1554" i="12"/>
  <c r="H1554" i="12"/>
  <c r="G1554" i="12"/>
  <c r="F1554" i="12"/>
  <c r="E1554" i="12"/>
  <c r="N1554" i="12" s="1"/>
  <c r="D1554" i="12"/>
  <c r="C1554" i="12"/>
  <c r="B1554" i="12"/>
  <c r="A1554" i="12"/>
  <c r="K1553" i="12"/>
  <c r="J1553" i="12"/>
  <c r="I1553" i="12"/>
  <c r="H1553" i="12"/>
  <c r="G1553" i="12"/>
  <c r="F1553" i="12"/>
  <c r="E1553" i="12"/>
  <c r="N1553" i="12" s="1"/>
  <c r="D1553" i="12"/>
  <c r="C1553" i="12"/>
  <c r="B1553" i="12"/>
  <c r="A1553" i="12"/>
  <c r="K1552" i="12"/>
  <c r="J1552" i="12"/>
  <c r="I1552" i="12"/>
  <c r="H1552" i="12"/>
  <c r="G1552" i="12"/>
  <c r="F1552" i="12"/>
  <c r="E1552" i="12"/>
  <c r="N1552" i="12" s="1"/>
  <c r="D1552" i="12"/>
  <c r="C1552" i="12"/>
  <c r="B1552" i="12"/>
  <c r="A1552" i="12"/>
  <c r="K1551" i="12"/>
  <c r="J1551" i="12"/>
  <c r="I1551" i="12"/>
  <c r="H1551" i="12"/>
  <c r="G1551" i="12"/>
  <c r="F1551" i="12"/>
  <c r="E1551" i="12"/>
  <c r="N1551" i="12" s="1"/>
  <c r="D1551" i="12"/>
  <c r="C1551" i="12"/>
  <c r="B1551" i="12"/>
  <c r="A1551" i="12"/>
  <c r="K1550" i="12"/>
  <c r="J1550" i="12"/>
  <c r="I1550" i="12"/>
  <c r="H1550" i="12"/>
  <c r="G1550" i="12"/>
  <c r="F1550" i="12"/>
  <c r="E1550" i="12"/>
  <c r="N1550" i="12" s="1"/>
  <c r="D1550" i="12"/>
  <c r="C1550" i="12"/>
  <c r="B1550" i="12"/>
  <c r="A1550" i="12"/>
  <c r="K1549" i="12"/>
  <c r="J1549" i="12"/>
  <c r="I1549" i="12"/>
  <c r="H1549" i="12"/>
  <c r="G1549" i="12"/>
  <c r="F1549" i="12"/>
  <c r="E1549" i="12"/>
  <c r="N1549" i="12" s="1"/>
  <c r="D1549" i="12"/>
  <c r="C1549" i="12"/>
  <c r="B1549" i="12"/>
  <c r="A1549" i="12"/>
  <c r="K1548" i="12"/>
  <c r="J1548" i="12"/>
  <c r="I1548" i="12"/>
  <c r="H1548" i="12"/>
  <c r="G1548" i="12"/>
  <c r="F1548" i="12"/>
  <c r="E1548" i="12"/>
  <c r="N1548" i="12" s="1"/>
  <c r="D1548" i="12"/>
  <c r="C1548" i="12"/>
  <c r="B1548" i="12"/>
  <c r="A1548" i="12"/>
  <c r="K1547" i="12"/>
  <c r="J1547" i="12"/>
  <c r="I1547" i="12"/>
  <c r="H1547" i="12"/>
  <c r="G1547" i="12"/>
  <c r="F1547" i="12"/>
  <c r="E1547" i="12"/>
  <c r="N1547" i="12" s="1"/>
  <c r="D1547" i="12"/>
  <c r="C1547" i="12"/>
  <c r="B1547" i="12"/>
  <c r="A1547" i="12"/>
  <c r="K1546" i="12"/>
  <c r="J1546" i="12"/>
  <c r="I1546" i="12"/>
  <c r="H1546" i="12"/>
  <c r="G1546" i="12"/>
  <c r="F1546" i="12"/>
  <c r="E1546" i="12"/>
  <c r="N1546" i="12" s="1"/>
  <c r="D1546" i="12"/>
  <c r="C1546" i="12"/>
  <c r="B1546" i="12"/>
  <c r="A1546" i="12"/>
  <c r="K1545" i="12"/>
  <c r="J1545" i="12"/>
  <c r="I1545" i="12"/>
  <c r="H1545" i="12"/>
  <c r="G1545" i="12"/>
  <c r="F1545" i="12"/>
  <c r="E1545" i="12"/>
  <c r="N1545" i="12" s="1"/>
  <c r="D1545" i="12"/>
  <c r="C1545" i="12"/>
  <c r="B1545" i="12"/>
  <c r="A1545" i="12"/>
  <c r="K1544" i="12"/>
  <c r="J1544" i="12"/>
  <c r="I1544" i="12"/>
  <c r="H1544" i="12"/>
  <c r="G1544" i="12"/>
  <c r="F1544" i="12"/>
  <c r="E1544" i="12"/>
  <c r="N1544" i="12" s="1"/>
  <c r="D1544" i="12"/>
  <c r="C1544" i="12"/>
  <c r="B1544" i="12"/>
  <c r="A1544" i="12"/>
  <c r="K1543" i="12"/>
  <c r="J1543" i="12"/>
  <c r="I1543" i="12"/>
  <c r="H1543" i="12"/>
  <c r="G1543" i="12"/>
  <c r="F1543" i="12"/>
  <c r="E1543" i="12"/>
  <c r="N1543" i="12" s="1"/>
  <c r="D1543" i="12"/>
  <c r="C1543" i="12"/>
  <c r="B1543" i="12"/>
  <c r="A1543" i="12"/>
  <c r="K1542" i="12"/>
  <c r="J1542" i="12"/>
  <c r="I1542" i="12"/>
  <c r="H1542" i="12"/>
  <c r="G1542" i="12"/>
  <c r="F1542" i="12"/>
  <c r="E1542" i="12"/>
  <c r="N1542" i="12" s="1"/>
  <c r="D1542" i="12"/>
  <c r="C1542" i="12"/>
  <c r="B1542" i="12"/>
  <c r="A1542" i="12"/>
  <c r="K1541" i="12"/>
  <c r="J1541" i="12"/>
  <c r="I1541" i="12"/>
  <c r="H1541" i="12"/>
  <c r="G1541" i="12"/>
  <c r="F1541" i="12"/>
  <c r="E1541" i="12"/>
  <c r="N1541" i="12" s="1"/>
  <c r="D1541" i="12"/>
  <c r="C1541" i="12"/>
  <c r="B1541" i="12"/>
  <c r="A1541" i="12"/>
  <c r="K1540" i="12"/>
  <c r="J1540" i="12"/>
  <c r="I1540" i="12"/>
  <c r="H1540" i="12"/>
  <c r="G1540" i="12"/>
  <c r="F1540" i="12"/>
  <c r="E1540" i="12"/>
  <c r="N1540" i="12" s="1"/>
  <c r="D1540" i="12"/>
  <c r="C1540" i="12"/>
  <c r="B1540" i="12"/>
  <c r="A1540" i="12"/>
  <c r="K1539" i="12"/>
  <c r="J1539" i="12"/>
  <c r="I1539" i="12"/>
  <c r="H1539" i="12"/>
  <c r="G1539" i="12"/>
  <c r="F1539" i="12"/>
  <c r="E1539" i="12"/>
  <c r="N1539" i="12" s="1"/>
  <c r="D1539" i="12"/>
  <c r="C1539" i="12"/>
  <c r="B1539" i="12"/>
  <c r="A1539" i="12"/>
  <c r="K1538" i="12"/>
  <c r="J1538" i="12"/>
  <c r="I1538" i="12"/>
  <c r="H1538" i="12"/>
  <c r="G1538" i="12"/>
  <c r="F1538" i="12"/>
  <c r="E1538" i="12"/>
  <c r="N1538" i="12" s="1"/>
  <c r="D1538" i="12"/>
  <c r="C1538" i="12"/>
  <c r="B1538" i="12"/>
  <c r="A1538" i="12"/>
  <c r="K1537" i="12"/>
  <c r="J1537" i="12"/>
  <c r="I1537" i="12"/>
  <c r="H1537" i="12"/>
  <c r="G1537" i="12"/>
  <c r="F1537" i="12"/>
  <c r="E1537" i="12"/>
  <c r="N1537" i="12" s="1"/>
  <c r="D1537" i="12"/>
  <c r="C1537" i="12"/>
  <c r="B1537" i="12"/>
  <c r="A1537" i="12"/>
  <c r="K1536" i="12"/>
  <c r="J1536" i="12"/>
  <c r="I1536" i="12"/>
  <c r="H1536" i="12"/>
  <c r="G1536" i="12"/>
  <c r="F1536" i="12"/>
  <c r="E1536" i="12"/>
  <c r="N1536" i="12" s="1"/>
  <c r="D1536" i="12"/>
  <c r="C1536" i="12"/>
  <c r="B1536" i="12"/>
  <c r="A1536" i="12"/>
  <c r="K1535" i="12"/>
  <c r="J1535" i="12"/>
  <c r="I1535" i="12"/>
  <c r="H1535" i="12"/>
  <c r="G1535" i="12"/>
  <c r="F1535" i="12"/>
  <c r="E1535" i="12"/>
  <c r="N1535" i="12" s="1"/>
  <c r="D1535" i="12"/>
  <c r="C1535" i="12"/>
  <c r="B1535" i="12"/>
  <c r="A1535" i="12"/>
  <c r="K1534" i="12"/>
  <c r="J1534" i="12"/>
  <c r="I1534" i="12"/>
  <c r="H1534" i="12"/>
  <c r="G1534" i="12"/>
  <c r="F1534" i="12"/>
  <c r="E1534" i="12"/>
  <c r="N1534" i="12" s="1"/>
  <c r="D1534" i="12"/>
  <c r="C1534" i="12"/>
  <c r="B1534" i="12"/>
  <c r="A1534" i="12"/>
  <c r="K1533" i="12"/>
  <c r="J1533" i="12"/>
  <c r="I1533" i="12"/>
  <c r="H1533" i="12"/>
  <c r="G1533" i="12"/>
  <c r="F1533" i="12"/>
  <c r="E1533" i="12"/>
  <c r="N1533" i="12" s="1"/>
  <c r="D1533" i="12"/>
  <c r="C1533" i="12"/>
  <c r="B1533" i="12"/>
  <c r="A1533" i="12"/>
  <c r="K1532" i="12"/>
  <c r="J1532" i="12"/>
  <c r="I1532" i="12"/>
  <c r="H1532" i="12"/>
  <c r="G1532" i="12"/>
  <c r="F1532" i="12"/>
  <c r="E1532" i="12"/>
  <c r="N1532" i="12" s="1"/>
  <c r="D1532" i="12"/>
  <c r="C1532" i="12"/>
  <c r="B1532" i="12"/>
  <c r="A1532" i="12"/>
  <c r="K1531" i="12"/>
  <c r="J1531" i="12"/>
  <c r="I1531" i="12"/>
  <c r="H1531" i="12"/>
  <c r="G1531" i="12"/>
  <c r="F1531" i="12"/>
  <c r="E1531" i="12"/>
  <c r="N1531" i="12" s="1"/>
  <c r="D1531" i="12"/>
  <c r="C1531" i="12"/>
  <c r="B1531" i="12"/>
  <c r="A1531" i="12"/>
  <c r="K1530" i="12"/>
  <c r="J1530" i="12"/>
  <c r="I1530" i="12"/>
  <c r="H1530" i="12"/>
  <c r="G1530" i="12"/>
  <c r="F1530" i="12"/>
  <c r="E1530" i="12"/>
  <c r="N1530" i="12" s="1"/>
  <c r="D1530" i="12"/>
  <c r="C1530" i="12"/>
  <c r="B1530" i="12"/>
  <c r="A1530" i="12"/>
  <c r="K1529" i="12"/>
  <c r="J1529" i="12"/>
  <c r="I1529" i="12"/>
  <c r="H1529" i="12"/>
  <c r="G1529" i="12"/>
  <c r="F1529" i="12"/>
  <c r="E1529" i="12"/>
  <c r="N1529" i="12" s="1"/>
  <c r="D1529" i="12"/>
  <c r="C1529" i="12"/>
  <c r="B1529" i="12"/>
  <c r="A1529" i="12"/>
  <c r="K1528" i="12"/>
  <c r="J1528" i="12"/>
  <c r="I1528" i="12"/>
  <c r="H1528" i="12"/>
  <c r="G1528" i="12"/>
  <c r="F1528" i="12"/>
  <c r="E1528" i="12"/>
  <c r="N1528" i="12" s="1"/>
  <c r="D1528" i="12"/>
  <c r="C1528" i="12"/>
  <c r="B1528" i="12"/>
  <c r="A1528" i="12"/>
  <c r="K1527" i="12"/>
  <c r="J1527" i="12"/>
  <c r="I1527" i="12"/>
  <c r="H1527" i="12"/>
  <c r="G1527" i="12"/>
  <c r="F1527" i="12"/>
  <c r="E1527" i="12"/>
  <c r="N1527" i="12" s="1"/>
  <c r="D1527" i="12"/>
  <c r="C1527" i="12"/>
  <c r="B1527" i="12"/>
  <c r="A1527" i="12"/>
  <c r="K1526" i="12"/>
  <c r="J1526" i="12"/>
  <c r="I1526" i="12"/>
  <c r="H1526" i="12"/>
  <c r="G1526" i="12"/>
  <c r="F1526" i="12"/>
  <c r="E1526" i="12"/>
  <c r="N1526" i="12" s="1"/>
  <c r="D1526" i="12"/>
  <c r="C1526" i="12"/>
  <c r="B1526" i="12"/>
  <c r="A1526" i="12"/>
  <c r="K1525" i="12"/>
  <c r="J1525" i="12"/>
  <c r="I1525" i="12"/>
  <c r="H1525" i="12"/>
  <c r="G1525" i="12"/>
  <c r="F1525" i="12"/>
  <c r="E1525" i="12"/>
  <c r="N1525" i="12" s="1"/>
  <c r="D1525" i="12"/>
  <c r="C1525" i="12"/>
  <c r="B1525" i="12"/>
  <c r="A1525" i="12"/>
  <c r="K1524" i="12"/>
  <c r="J1524" i="12"/>
  <c r="I1524" i="12"/>
  <c r="H1524" i="12"/>
  <c r="G1524" i="12"/>
  <c r="F1524" i="12"/>
  <c r="E1524" i="12"/>
  <c r="N1524" i="12" s="1"/>
  <c r="D1524" i="12"/>
  <c r="C1524" i="12"/>
  <c r="B1524" i="12"/>
  <c r="A1524" i="12"/>
  <c r="K1523" i="12"/>
  <c r="J1523" i="12"/>
  <c r="I1523" i="12"/>
  <c r="H1523" i="12"/>
  <c r="G1523" i="12"/>
  <c r="F1523" i="12"/>
  <c r="E1523" i="12"/>
  <c r="N1523" i="12" s="1"/>
  <c r="D1523" i="12"/>
  <c r="C1523" i="12"/>
  <c r="B1523" i="12"/>
  <c r="A1523" i="12"/>
  <c r="K1522" i="12"/>
  <c r="J1522" i="12"/>
  <c r="I1522" i="12"/>
  <c r="H1522" i="12"/>
  <c r="G1522" i="12"/>
  <c r="F1522" i="12"/>
  <c r="E1522" i="12"/>
  <c r="N1522" i="12" s="1"/>
  <c r="D1522" i="12"/>
  <c r="C1522" i="12"/>
  <c r="B1522" i="12"/>
  <c r="A1522" i="12"/>
  <c r="K1521" i="12"/>
  <c r="J1521" i="12"/>
  <c r="I1521" i="12"/>
  <c r="H1521" i="12"/>
  <c r="G1521" i="12"/>
  <c r="F1521" i="12"/>
  <c r="E1521" i="12"/>
  <c r="N1521" i="12" s="1"/>
  <c r="D1521" i="12"/>
  <c r="C1521" i="12"/>
  <c r="B1521" i="12"/>
  <c r="A1521" i="12"/>
  <c r="K1520" i="12"/>
  <c r="J1520" i="12"/>
  <c r="I1520" i="12"/>
  <c r="H1520" i="12"/>
  <c r="G1520" i="12"/>
  <c r="F1520" i="12"/>
  <c r="E1520" i="12"/>
  <c r="N1520" i="12" s="1"/>
  <c r="D1520" i="12"/>
  <c r="C1520" i="12"/>
  <c r="B1520" i="12"/>
  <c r="A1520" i="12"/>
  <c r="K1519" i="12"/>
  <c r="J1519" i="12"/>
  <c r="I1519" i="12"/>
  <c r="H1519" i="12"/>
  <c r="G1519" i="12"/>
  <c r="F1519" i="12"/>
  <c r="E1519" i="12"/>
  <c r="N1519" i="12" s="1"/>
  <c r="D1519" i="12"/>
  <c r="C1519" i="12"/>
  <c r="B1519" i="12"/>
  <c r="A1519" i="12"/>
  <c r="K1518" i="12"/>
  <c r="J1518" i="12"/>
  <c r="I1518" i="12"/>
  <c r="H1518" i="12"/>
  <c r="G1518" i="12"/>
  <c r="F1518" i="12"/>
  <c r="E1518" i="12"/>
  <c r="N1518" i="12" s="1"/>
  <c r="D1518" i="12"/>
  <c r="C1518" i="12"/>
  <c r="B1518" i="12"/>
  <c r="A1518" i="12"/>
  <c r="K1517" i="12"/>
  <c r="J1517" i="12"/>
  <c r="I1517" i="12"/>
  <c r="H1517" i="12"/>
  <c r="G1517" i="12"/>
  <c r="F1517" i="12"/>
  <c r="E1517" i="12"/>
  <c r="N1517" i="12" s="1"/>
  <c r="D1517" i="12"/>
  <c r="C1517" i="12"/>
  <c r="B1517" i="12"/>
  <c r="A1517" i="12"/>
  <c r="K1516" i="12"/>
  <c r="J1516" i="12"/>
  <c r="I1516" i="12"/>
  <c r="H1516" i="12"/>
  <c r="G1516" i="12"/>
  <c r="F1516" i="12"/>
  <c r="E1516" i="12"/>
  <c r="N1516" i="12" s="1"/>
  <c r="D1516" i="12"/>
  <c r="C1516" i="12"/>
  <c r="B1516" i="12"/>
  <c r="A1516" i="12"/>
  <c r="K1515" i="12"/>
  <c r="J1515" i="12"/>
  <c r="I1515" i="12"/>
  <c r="H1515" i="12"/>
  <c r="G1515" i="12"/>
  <c r="F1515" i="12"/>
  <c r="E1515" i="12"/>
  <c r="N1515" i="12" s="1"/>
  <c r="D1515" i="12"/>
  <c r="C1515" i="12"/>
  <c r="B1515" i="12"/>
  <c r="A1515" i="12"/>
  <c r="K1514" i="12"/>
  <c r="J1514" i="12"/>
  <c r="I1514" i="12"/>
  <c r="H1514" i="12"/>
  <c r="G1514" i="12"/>
  <c r="F1514" i="12"/>
  <c r="E1514" i="12"/>
  <c r="N1514" i="12" s="1"/>
  <c r="D1514" i="12"/>
  <c r="C1514" i="12"/>
  <c r="B1514" i="12"/>
  <c r="A1514" i="12"/>
  <c r="K1513" i="12"/>
  <c r="J1513" i="12"/>
  <c r="I1513" i="12"/>
  <c r="H1513" i="12"/>
  <c r="G1513" i="12"/>
  <c r="F1513" i="12"/>
  <c r="E1513" i="12"/>
  <c r="N1513" i="12" s="1"/>
  <c r="D1513" i="12"/>
  <c r="C1513" i="12"/>
  <c r="B1513" i="12"/>
  <c r="A1513" i="12"/>
  <c r="K1512" i="12"/>
  <c r="J1512" i="12"/>
  <c r="I1512" i="12"/>
  <c r="H1512" i="12"/>
  <c r="G1512" i="12"/>
  <c r="F1512" i="12"/>
  <c r="E1512" i="12"/>
  <c r="N1512" i="12" s="1"/>
  <c r="D1512" i="12"/>
  <c r="C1512" i="12"/>
  <c r="B1512" i="12"/>
  <c r="A1512" i="12"/>
  <c r="K1511" i="12"/>
  <c r="J1511" i="12"/>
  <c r="I1511" i="12"/>
  <c r="H1511" i="12"/>
  <c r="G1511" i="12"/>
  <c r="F1511" i="12"/>
  <c r="E1511" i="12"/>
  <c r="N1511" i="12" s="1"/>
  <c r="D1511" i="12"/>
  <c r="C1511" i="12"/>
  <c r="B1511" i="12"/>
  <c r="A1511" i="12"/>
  <c r="K1510" i="12"/>
  <c r="J1510" i="12"/>
  <c r="I1510" i="12"/>
  <c r="H1510" i="12"/>
  <c r="G1510" i="12"/>
  <c r="F1510" i="12"/>
  <c r="E1510" i="12"/>
  <c r="N1510" i="12" s="1"/>
  <c r="D1510" i="12"/>
  <c r="C1510" i="12"/>
  <c r="B1510" i="12"/>
  <c r="A1510" i="12"/>
  <c r="K1509" i="12"/>
  <c r="J1509" i="12"/>
  <c r="I1509" i="12"/>
  <c r="H1509" i="12"/>
  <c r="G1509" i="12"/>
  <c r="F1509" i="12"/>
  <c r="E1509" i="12"/>
  <c r="N1509" i="12" s="1"/>
  <c r="D1509" i="12"/>
  <c r="C1509" i="12"/>
  <c r="B1509" i="12"/>
  <c r="A1509" i="12"/>
  <c r="K1508" i="12"/>
  <c r="J1508" i="12"/>
  <c r="I1508" i="12"/>
  <c r="H1508" i="12"/>
  <c r="G1508" i="12"/>
  <c r="F1508" i="12"/>
  <c r="E1508" i="12"/>
  <c r="N1508" i="12" s="1"/>
  <c r="D1508" i="12"/>
  <c r="C1508" i="12"/>
  <c r="B1508" i="12"/>
  <c r="A1508" i="12"/>
  <c r="K1507" i="12"/>
  <c r="J1507" i="12"/>
  <c r="I1507" i="12"/>
  <c r="H1507" i="12"/>
  <c r="G1507" i="12"/>
  <c r="F1507" i="12"/>
  <c r="E1507" i="12"/>
  <c r="N1507" i="12" s="1"/>
  <c r="D1507" i="12"/>
  <c r="C1507" i="12"/>
  <c r="B1507" i="12"/>
  <c r="A1507" i="12"/>
  <c r="K1506" i="12"/>
  <c r="J1506" i="12"/>
  <c r="I1506" i="12"/>
  <c r="H1506" i="12"/>
  <c r="G1506" i="12"/>
  <c r="F1506" i="12"/>
  <c r="E1506" i="12"/>
  <c r="N1506" i="12" s="1"/>
  <c r="D1506" i="12"/>
  <c r="C1506" i="12"/>
  <c r="B1506" i="12"/>
  <c r="A1506" i="12"/>
  <c r="K1505" i="12"/>
  <c r="J1505" i="12"/>
  <c r="I1505" i="12"/>
  <c r="H1505" i="12"/>
  <c r="G1505" i="12"/>
  <c r="F1505" i="12"/>
  <c r="E1505" i="12"/>
  <c r="N1505" i="12" s="1"/>
  <c r="D1505" i="12"/>
  <c r="C1505" i="12"/>
  <c r="B1505" i="12"/>
  <c r="A1505" i="12"/>
  <c r="K1504" i="12"/>
  <c r="J1504" i="12"/>
  <c r="I1504" i="12"/>
  <c r="H1504" i="12"/>
  <c r="G1504" i="12"/>
  <c r="F1504" i="12"/>
  <c r="E1504" i="12"/>
  <c r="N1504" i="12" s="1"/>
  <c r="D1504" i="12"/>
  <c r="C1504" i="12"/>
  <c r="B1504" i="12"/>
  <c r="A1504" i="12"/>
  <c r="K1503" i="12"/>
  <c r="J1503" i="12"/>
  <c r="I1503" i="12"/>
  <c r="H1503" i="12"/>
  <c r="G1503" i="12"/>
  <c r="F1503" i="12"/>
  <c r="E1503" i="12"/>
  <c r="N1503" i="12" s="1"/>
  <c r="D1503" i="12"/>
  <c r="C1503" i="12"/>
  <c r="B1503" i="12"/>
  <c r="A1503" i="12"/>
  <c r="K1502" i="12"/>
  <c r="J1502" i="12"/>
  <c r="I1502" i="12"/>
  <c r="H1502" i="12"/>
  <c r="G1502" i="12"/>
  <c r="F1502" i="12"/>
  <c r="E1502" i="12"/>
  <c r="N1502" i="12" s="1"/>
  <c r="D1502" i="12"/>
  <c r="C1502" i="12"/>
  <c r="B1502" i="12"/>
  <c r="A1502" i="12"/>
  <c r="K1501" i="12"/>
  <c r="J1501" i="12"/>
  <c r="I1501" i="12"/>
  <c r="H1501" i="12"/>
  <c r="G1501" i="12"/>
  <c r="F1501" i="12"/>
  <c r="E1501" i="12"/>
  <c r="N1501" i="12" s="1"/>
  <c r="D1501" i="12"/>
  <c r="C1501" i="12"/>
  <c r="B1501" i="12"/>
  <c r="A1501" i="12"/>
  <c r="K1500" i="12"/>
  <c r="J1500" i="12"/>
  <c r="I1500" i="12"/>
  <c r="H1500" i="12"/>
  <c r="G1500" i="12"/>
  <c r="F1500" i="12"/>
  <c r="E1500" i="12"/>
  <c r="N1500" i="12" s="1"/>
  <c r="D1500" i="12"/>
  <c r="C1500" i="12"/>
  <c r="B1500" i="12"/>
  <c r="A1500" i="12"/>
  <c r="K1499" i="12"/>
  <c r="J1499" i="12"/>
  <c r="I1499" i="12"/>
  <c r="H1499" i="12"/>
  <c r="G1499" i="12"/>
  <c r="F1499" i="12"/>
  <c r="E1499" i="12"/>
  <c r="N1499" i="12" s="1"/>
  <c r="D1499" i="12"/>
  <c r="C1499" i="12"/>
  <c r="B1499" i="12"/>
  <c r="A1499" i="12"/>
  <c r="K1498" i="12"/>
  <c r="J1498" i="12"/>
  <c r="I1498" i="12"/>
  <c r="H1498" i="12"/>
  <c r="G1498" i="12"/>
  <c r="F1498" i="12"/>
  <c r="E1498" i="12"/>
  <c r="N1498" i="12" s="1"/>
  <c r="D1498" i="12"/>
  <c r="C1498" i="12"/>
  <c r="B1498" i="12"/>
  <c r="A1498" i="12"/>
  <c r="K1497" i="12"/>
  <c r="J1497" i="12"/>
  <c r="I1497" i="12"/>
  <c r="H1497" i="12"/>
  <c r="G1497" i="12"/>
  <c r="F1497" i="12"/>
  <c r="E1497" i="12"/>
  <c r="N1497" i="12" s="1"/>
  <c r="D1497" i="12"/>
  <c r="C1497" i="12"/>
  <c r="B1497" i="12"/>
  <c r="A1497" i="12"/>
  <c r="K1496" i="12"/>
  <c r="J1496" i="12"/>
  <c r="I1496" i="12"/>
  <c r="H1496" i="12"/>
  <c r="G1496" i="12"/>
  <c r="F1496" i="12"/>
  <c r="E1496" i="12"/>
  <c r="N1496" i="12" s="1"/>
  <c r="D1496" i="12"/>
  <c r="C1496" i="12"/>
  <c r="B1496" i="12"/>
  <c r="A1496" i="12"/>
  <c r="K1495" i="12"/>
  <c r="J1495" i="12"/>
  <c r="I1495" i="12"/>
  <c r="H1495" i="12"/>
  <c r="G1495" i="12"/>
  <c r="F1495" i="12"/>
  <c r="E1495" i="12"/>
  <c r="N1495" i="12" s="1"/>
  <c r="D1495" i="12"/>
  <c r="C1495" i="12"/>
  <c r="B1495" i="12"/>
  <c r="A1495" i="12"/>
  <c r="K1494" i="12"/>
  <c r="J1494" i="12"/>
  <c r="I1494" i="12"/>
  <c r="H1494" i="12"/>
  <c r="G1494" i="12"/>
  <c r="F1494" i="12"/>
  <c r="E1494" i="12"/>
  <c r="N1494" i="12" s="1"/>
  <c r="D1494" i="12"/>
  <c r="C1494" i="12"/>
  <c r="B1494" i="12"/>
  <c r="A1494" i="12"/>
  <c r="K1493" i="12"/>
  <c r="J1493" i="12"/>
  <c r="I1493" i="12"/>
  <c r="H1493" i="12"/>
  <c r="G1493" i="12"/>
  <c r="F1493" i="12"/>
  <c r="E1493" i="12"/>
  <c r="N1493" i="12" s="1"/>
  <c r="D1493" i="12"/>
  <c r="C1493" i="12"/>
  <c r="B1493" i="12"/>
  <c r="A1493" i="12"/>
  <c r="K1492" i="12"/>
  <c r="J1492" i="12"/>
  <c r="I1492" i="12"/>
  <c r="H1492" i="12"/>
  <c r="G1492" i="12"/>
  <c r="F1492" i="12"/>
  <c r="E1492" i="12"/>
  <c r="N1492" i="12" s="1"/>
  <c r="D1492" i="12"/>
  <c r="C1492" i="12"/>
  <c r="B1492" i="12"/>
  <c r="A1492" i="12"/>
  <c r="S1491" i="12"/>
  <c r="R1491" i="12"/>
  <c r="P1491" i="12"/>
  <c r="O1491" i="12"/>
  <c r="N1491" i="12"/>
  <c r="K1491" i="12"/>
  <c r="J1491" i="12"/>
  <c r="I1491" i="12"/>
  <c r="H1491" i="12"/>
  <c r="G1491" i="12"/>
  <c r="F1491" i="12"/>
  <c r="E1491" i="12"/>
  <c r="D1491" i="12"/>
  <c r="C1491" i="12"/>
  <c r="B1491" i="12"/>
  <c r="A1491" i="12"/>
  <c r="K1490" i="12"/>
  <c r="J1490" i="12"/>
  <c r="I1490" i="12"/>
  <c r="H1490" i="12"/>
  <c r="G1490" i="12"/>
  <c r="F1490" i="12"/>
  <c r="E1490" i="12"/>
  <c r="N1490" i="12" s="1"/>
  <c r="D1490" i="12"/>
  <c r="C1490" i="12"/>
  <c r="B1490" i="12"/>
  <c r="A1490" i="12"/>
  <c r="K1489" i="12"/>
  <c r="J1489" i="12"/>
  <c r="I1489" i="12"/>
  <c r="H1489" i="12"/>
  <c r="G1489" i="12"/>
  <c r="F1489" i="12"/>
  <c r="E1489" i="12"/>
  <c r="N1489" i="12" s="1"/>
  <c r="D1489" i="12"/>
  <c r="C1489" i="12"/>
  <c r="B1489" i="12"/>
  <c r="A1489" i="12"/>
  <c r="K1488" i="12"/>
  <c r="J1488" i="12"/>
  <c r="I1488" i="12"/>
  <c r="H1488" i="12"/>
  <c r="G1488" i="12"/>
  <c r="F1488" i="12"/>
  <c r="E1488" i="12"/>
  <c r="N1488" i="12" s="1"/>
  <c r="D1488" i="12"/>
  <c r="C1488" i="12"/>
  <c r="B1488" i="12"/>
  <c r="A1488" i="12"/>
  <c r="K1487" i="12"/>
  <c r="J1487" i="12"/>
  <c r="I1487" i="12"/>
  <c r="H1487" i="12"/>
  <c r="G1487" i="12"/>
  <c r="F1487" i="12"/>
  <c r="E1487" i="12"/>
  <c r="N1487" i="12" s="1"/>
  <c r="D1487" i="12"/>
  <c r="C1487" i="12"/>
  <c r="B1487" i="12"/>
  <c r="A1487" i="12"/>
  <c r="K1486" i="12"/>
  <c r="J1486" i="12"/>
  <c r="I1486" i="12"/>
  <c r="H1486" i="12"/>
  <c r="G1486" i="12"/>
  <c r="F1486" i="12"/>
  <c r="E1486" i="12"/>
  <c r="N1486" i="12" s="1"/>
  <c r="D1486" i="12"/>
  <c r="C1486" i="12"/>
  <c r="B1486" i="12"/>
  <c r="A1486" i="12"/>
  <c r="K1485" i="12"/>
  <c r="J1485" i="12"/>
  <c r="I1485" i="12"/>
  <c r="H1485" i="12"/>
  <c r="G1485" i="12"/>
  <c r="F1485" i="12"/>
  <c r="E1485" i="12"/>
  <c r="N1485" i="12" s="1"/>
  <c r="D1485" i="12"/>
  <c r="C1485" i="12"/>
  <c r="B1485" i="12"/>
  <c r="A1485" i="12"/>
  <c r="K1484" i="12"/>
  <c r="J1484" i="12"/>
  <c r="I1484" i="12"/>
  <c r="H1484" i="12"/>
  <c r="G1484" i="12"/>
  <c r="F1484" i="12"/>
  <c r="E1484" i="12"/>
  <c r="N1484" i="12" s="1"/>
  <c r="D1484" i="12"/>
  <c r="C1484" i="12"/>
  <c r="B1484" i="12"/>
  <c r="A1484" i="12"/>
  <c r="K1483" i="12"/>
  <c r="J1483" i="12"/>
  <c r="I1483" i="12"/>
  <c r="H1483" i="12"/>
  <c r="G1483" i="12"/>
  <c r="F1483" i="12"/>
  <c r="E1483" i="12"/>
  <c r="N1483" i="12" s="1"/>
  <c r="D1483" i="12"/>
  <c r="C1483" i="12"/>
  <c r="B1483" i="12"/>
  <c r="A1483" i="12"/>
  <c r="K1482" i="12"/>
  <c r="J1482" i="12"/>
  <c r="I1482" i="12"/>
  <c r="H1482" i="12"/>
  <c r="G1482" i="12"/>
  <c r="F1482" i="12"/>
  <c r="E1482" i="12"/>
  <c r="N1482" i="12" s="1"/>
  <c r="D1482" i="12"/>
  <c r="C1482" i="12"/>
  <c r="B1482" i="12"/>
  <c r="A1482" i="12"/>
  <c r="K1481" i="12"/>
  <c r="J1481" i="12"/>
  <c r="I1481" i="12"/>
  <c r="H1481" i="12"/>
  <c r="G1481" i="12"/>
  <c r="F1481" i="12"/>
  <c r="E1481" i="12"/>
  <c r="N1481" i="12" s="1"/>
  <c r="D1481" i="12"/>
  <c r="C1481" i="12"/>
  <c r="B1481" i="12"/>
  <c r="A1481" i="12"/>
  <c r="K1480" i="12"/>
  <c r="J1480" i="12"/>
  <c r="I1480" i="12"/>
  <c r="H1480" i="12"/>
  <c r="G1480" i="12"/>
  <c r="F1480" i="12"/>
  <c r="E1480" i="12"/>
  <c r="N1480" i="12" s="1"/>
  <c r="D1480" i="12"/>
  <c r="C1480" i="12"/>
  <c r="B1480" i="12"/>
  <c r="A1480" i="12"/>
  <c r="K1479" i="12"/>
  <c r="J1479" i="12"/>
  <c r="I1479" i="12"/>
  <c r="H1479" i="12"/>
  <c r="G1479" i="12"/>
  <c r="F1479" i="12"/>
  <c r="E1479" i="12"/>
  <c r="N1479" i="12" s="1"/>
  <c r="D1479" i="12"/>
  <c r="C1479" i="12"/>
  <c r="B1479" i="12"/>
  <c r="A1479" i="12"/>
  <c r="K1478" i="12"/>
  <c r="J1478" i="12"/>
  <c r="I1478" i="12"/>
  <c r="H1478" i="12"/>
  <c r="G1478" i="12"/>
  <c r="F1478" i="12"/>
  <c r="E1478" i="12"/>
  <c r="N1478" i="12" s="1"/>
  <c r="D1478" i="12"/>
  <c r="C1478" i="12"/>
  <c r="B1478" i="12"/>
  <c r="A1478" i="12"/>
  <c r="K1477" i="12"/>
  <c r="J1477" i="12"/>
  <c r="I1477" i="12"/>
  <c r="H1477" i="12"/>
  <c r="G1477" i="12"/>
  <c r="F1477" i="12"/>
  <c r="E1477" i="12"/>
  <c r="N1477" i="12" s="1"/>
  <c r="D1477" i="12"/>
  <c r="C1477" i="12"/>
  <c r="B1477" i="12"/>
  <c r="A1477" i="12"/>
  <c r="K1476" i="12"/>
  <c r="J1476" i="12"/>
  <c r="I1476" i="12"/>
  <c r="H1476" i="12"/>
  <c r="G1476" i="12"/>
  <c r="F1476" i="12"/>
  <c r="E1476" i="12"/>
  <c r="N1476" i="12" s="1"/>
  <c r="D1476" i="12"/>
  <c r="C1476" i="12"/>
  <c r="B1476" i="12"/>
  <c r="A1476" i="12"/>
  <c r="K1475" i="12"/>
  <c r="J1475" i="12"/>
  <c r="I1475" i="12"/>
  <c r="H1475" i="12"/>
  <c r="G1475" i="12"/>
  <c r="F1475" i="12"/>
  <c r="E1475" i="12"/>
  <c r="N1475" i="12" s="1"/>
  <c r="D1475" i="12"/>
  <c r="C1475" i="12"/>
  <c r="B1475" i="12"/>
  <c r="A1475" i="12"/>
  <c r="K1474" i="12"/>
  <c r="J1474" i="12"/>
  <c r="I1474" i="12"/>
  <c r="H1474" i="12"/>
  <c r="G1474" i="12"/>
  <c r="F1474" i="12"/>
  <c r="E1474" i="12"/>
  <c r="N1474" i="12" s="1"/>
  <c r="D1474" i="12"/>
  <c r="C1474" i="12"/>
  <c r="B1474" i="12"/>
  <c r="A1474" i="12"/>
  <c r="K1473" i="12"/>
  <c r="J1473" i="12"/>
  <c r="I1473" i="12"/>
  <c r="H1473" i="12"/>
  <c r="G1473" i="12"/>
  <c r="F1473" i="12"/>
  <c r="E1473" i="12"/>
  <c r="N1473" i="12" s="1"/>
  <c r="D1473" i="12"/>
  <c r="C1473" i="12"/>
  <c r="B1473" i="12"/>
  <c r="A1473" i="12"/>
  <c r="K1472" i="12"/>
  <c r="J1472" i="12"/>
  <c r="I1472" i="12"/>
  <c r="H1472" i="12"/>
  <c r="G1472" i="12"/>
  <c r="F1472" i="12"/>
  <c r="E1472" i="12"/>
  <c r="N1472" i="12" s="1"/>
  <c r="D1472" i="12"/>
  <c r="C1472" i="12"/>
  <c r="B1472" i="12"/>
  <c r="A1472" i="12"/>
  <c r="K1471" i="12"/>
  <c r="J1471" i="12"/>
  <c r="I1471" i="12"/>
  <c r="H1471" i="12"/>
  <c r="G1471" i="12"/>
  <c r="F1471" i="12"/>
  <c r="E1471" i="12"/>
  <c r="N1471" i="12" s="1"/>
  <c r="D1471" i="12"/>
  <c r="C1471" i="12"/>
  <c r="B1471" i="12"/>
  <c r="A1471" i="12"/>
  <c r="K1470" i="12"/>
  <c r="J1470" i="12"/>
  <c r="I1470" i="12"/>
  <c r="H1470" i="12"/>
  <c r="G1470" i="12"/>
  <c r="F1470" i="12"/>
  <c r="E1470" i="12"/>
  <c r="N1470" i="12" s="1"/>
  <c r="D1470" i="12"/>
  <c r="C1470" i="12"/>
  <c r="B1470" i="12"/>
  <c r="A1470" i="12"/>
  <c r="K1469" i="12"/>
  <c r="J1469" i="12"/>
  <c r="I1469" i="12"/>
  <c r="H1469" i="12"/>
  <c r="G1469" i="12"/>
  <c r="F1469" i="12"/>
  <c r="E1469" i="12"/>
  <c r="N1469" i="12" s="1"/>
  <c r="D1469" i="12"/>
  <c r="C1469" i="12"/>
  <c r="B1469" i="12"/>
  <c r="A1469" i="12"/>
  <c r="K1468" i="12"/>
  <c r="J1468" i="12"/>
  <c r="I1468" i="12"/>
  <c r="H1468" i="12"/>
  <c r="G1468" i="12"/>
  <c r="F1468" i="12"/>
  <c r="E1468" i="12"/>
  <c r="N1468" i="12" s="1"/>
  <c r="D1468" i="12"/>
  <c r="C1468" i="12"/>
  <c r="B1468" i="12"/>
  <c r="A1468" i="12"/>
  <c r="K1467" i="12"/>
  <c r="J1467" i="12"/>
  <c r="I1467" i="12"/>
  <c r="H1467" i="12"/>
  <c r="G1467" i="12"/>
  <c r="F1467" i="12"/>
  <c r="E1467" i="12"/>
  <c r="N1467" i="12" s="1"/>
  <c r="D1467" i="12"/>
  <c r="C1467" i="12"/>
  <c r="B1467" i="12"/>
  <c r="A1467" i="12"/>
  <c r="K1466" i="12"/>
  <c r="J1466" i="12"/>
  <c r="I1466" i="12"/>
  <c r="H1466" i="12"/>
  <c r="G1466" i="12"/>
  <c r="F1466" i="12"/>
  <c r="E1466" i="12"/>
  <c r="N1466" i="12" s="1"/>
  <c r="D1466" i="12"/>
  <c r="C1466" i="12"/>
  <c r="B1466" i="12"/>
  <c r="A1466" i="12"/>
  <c r="K1465" i="12"/>
  <c r="J1465" i="12"/>
  <c r="I1465" i="12"/>
  <c r="H1465" i="12"/>
  <c r="G1465" i="12"/>
  <c r="F1465" i="12"/>
  <c r="E1465" i="12"/>
  <c r="N1465" i="12" s="1"/>
  <c r="D1465" i="12"/>
  <c r="C1465" i="12"/>
  <c r="B1465" i="12"/>
  <c r="A1465" i="12"/>
  <c r="K1464" i="12"/>
  <c r="J1464" i="12"/>
  <c r="I1464" i="12"/>
  <c r="H1464" i="12"/>
  <c r="G1464" i="12"/>
  <c r="F1464" i="12"/>
  <c r="E1464" i="12"/>
  <c r="N1464" i="12" s="1"/>
  <c r="D1464" i="12"/>
  <c r="C1464" i="12"/>
  <c r="B1464" i="12"/>
  <c r="A1464" i="12"/>
  <c r="K1463" i="12"/>
  <c r="J1463" i="12"/>
  <c r="I1463" i="12"/>
  <c r="H1463" i="12"/>
  <c r="G1463" i="12"/>
  <c r="F1463" i="12"/>
  <c r="E1463" i="12"/>
  <c r="N1463" i="12" s="1"/>
  <c r="D1463" i="12"/>
  <c r="C1463" i="12"/>
  <c r="B1463" i="12"/>
  <c r="A1463" i="12"/>
  <c r="K1462" i="12"/>
  <c r="J1462" i="12"/>
  <c r="I1462" i="12"/>
  <c r="H1462" i="12"/>
  <c r="G1462" i="12"/>
  <c r="F1462" i="12"/>
  <c r="E1462" i="12"/>
  <c r="N1462" i="12" s="1"/>
  <c r="D1462" i="12"/>
  <c r="C1462" i="12"/>
  <c r="B1462" i="12"/>
  <c r="A1462" i="12"/>
  <c r="K1461" i="12"/>
  <c r="J1461" i="12"/>
  <c r="I1461" i="12"/>
  <c r="H1461" i="12"/>
  <c r="G1461" i="12"/>
  <c r="F1461" i="12"/>
  <c r="E1461" i="12"/>
  <c r="N1461" i="12" s="1"/>
  <c r="D1461" i="12"/>
  <c r="C1461" i="12"/>
  <c r="B1461" i="12"/>
  <c r="A1461" i="12"/>
  <c r="K1460" i="12"/>
  <c r="J1460" i="12"/>
  <c r="I1460" i="12"/>
  <c r="H1460" i="12"/>
  <c r="G1460" i="12"/>
  <c r="F1460" i="12"/>
  <c r="E1460" i="12"/>
  <c r="N1460" i="12" s="1"/>
  <c r="D1460" i="12"/>
  <c r="C1460" i="12"/>
  <c r="B1460" i="12"/>
  <c r="A1460" i="12"/>
  <c r="K1459" i="12"/>
  <c r="J1459" i="12"/>
  <c r="I1459" i="12"/>
  <c r="H1459" i="12"/>
  <c r="G1459" i="12"/>
  <c r="F1459" i="12"/>
  <c r="E1459" i="12"/>
  <c r="N1459" i="12" s="1"/>
  <c r="D1459" i="12"/>
  <c r="C1459" i="12"/>
  <c r="B1459" i="12"/>
  <c r="A1459" i="12"/>
  <c r="K1458" i="12"/>
  <c r="J1458" i="12"/>
  <c r="I1458" i="12"/>
  <c r="H1458" i="12"/>
  <c r="G1458" i="12"/>
  <c r="F1458" i="12"/>
  <c r="E1458" i="12"/>
  <c r="N1458" i="12" s="1"/>
  <c r="D1458" i="12"/>
  <c r="C1458" i="12"/>
  <c r="B1458" i="12"/>
  <c r="A1458" i="12"/>
  <c r="K1457" i="12"/>
  <c r="J1457" i="12"/>
  <c r="I1457" i="12"/>
  <c r="H1457" i="12"/>
  <c r="G1457" i="12"/>
  <c r="F1457" i="12"/>
  <c r="E1457" i="12"/>
  <c r="N1457" i="12" s="1"/>
  <c r="D1457" i="12"/>
  <c r="C1457" i="12"/>
  <c r="B1457" i="12"/>
  <c r="A1457" i="12"/>
  <c r="K1456" i="12"/>
  <c r="J1456" i="12"/>
  <c r="I1456" i="12"/>
  <c r="H1456" i="12"/>
  <c r="G1456" i="12"/>
  <c r="F1456" i="12"/>
  <c r="E1456" i="12"/>
  <c r="N1456" i="12" s="1"/>
  <c r="D1456" i="12"/>
  <c r="C1456" i="12"/>
  <c r="B1456" i="12"/>
  <c r="A1456" i="12"/>
  <c r="K1455" i="12"/>
  <c r="J1455" i="12"/>
  <c r="I1455" i="12"/>
  <c r="H1455" i="12"/>
  <c r="G1455" i="12"/>
  <c r="F1455" i="12"/>
  <c r="E1455" i="12"/>
  <c r="N1455" i="12" s="1"/>
  <c r="D1455" i="12"/>
  <c r="C1455" i="12"/>
  <c r="B1455" i="12"/>
  <c r="A1455" i="12"/>
  <c r="K1454" i="12"/>
  <c r="J1454" i="12"/>
  <c r="I1454" i="12"/>
  <c r="H1454" i="12"/>
  <c r="G1454" i="12"/>
  <c r="F1454" i="12"/>
  <c r="E1454" i="12"/>
  <c r="N1454" i="12" s="1"/>
  <c r="D1454" i="12"/>
  <c r="C1454" i="12"/>
  <c r="B1454" i="12"/>
  <c r="A1454" i="12"/>
  <c r="K1453" i="12"/>
  <c r="J1453" i="12"/>
  <c r="I1453" i="12"/>
  <c r="H1453" i="12"/>
  <c r="G1453" i="12"/>
  <c r="F1453" i="12"/>
  <c r="E1453" i="12"/>
  <c r="N1453" i="12" s="1"/>
  <c r="D1453" i="12"/>
  <c r="C1453" i="12"/>
  <c r="B1453" i="12"/>
  <c r="A1453" i="12"/>
  <c r="K1452" i="12"/>
  <c r="J1452" i="12"/>
  <c r="I1452" i="12"/>
  <c r="H1452" i="12"/>
  <c r="G1452" i="12"/>
  <c r="F1452" i="12"/>
  <c r="E1452" i="12"/>
  <c r="N1452" i="12" s="1"/>
  <c r="D1452" i="12"/>
  <c r="C1452" i="12"/>
  <c r="B1452" i="12"/>
  <c r="A1452" i="12"/>
  <c r="K1451" i="12"/>
  <c r="J1451" i="12"/>
  <c r="I1451" i="12"/>
  <c r="H1451" i="12"/>
  <c r="G1451" i="12"/>
  <c r="F1451" i="12"/>
  <c r="E1451" i="12"/>
  <c r="N1451" i="12" s="1"/>
  <c r="D1451" i="12"/>
  <c r="C1451" i="12"/>
  <c r="B1451" i="12"/>
  <c r="A1451" i="12"/>
  <c r="K1450" i="12"/>
  <c r="J1450" i="12"/>
  <c r="I1450" i="12"/>
  <c r="H1450" i="12"/>
  <c r="G1450" i="12"/>
  <c r="F1450" i="12"/>
  <c r="E1450" i="12"/>
  <c r="N1450" i="12" s="1"/>
  <c r="D1450" i="12"/>
  <c r="C1450" i="12"/>
  <c r="B1450" i="12"/>
  <c r="A1450" i="12"/>
  <c r="K1449" i="12"/>
  <c r="J1449" i="12"/>
  <c r="I1449" i="12"/>
  <c r="H1449" i="12"/>
  <c r="G1449" i="12"/>
  <c r="F1449" i="12"/>
  <c r="E1449" i="12"/>
  <c r="N1449" i="12" s="1"/>
  <c r="D1449" i="12"/>
  <c r="C1449" i="12"/>
  <c r="B1449" i="12"/>
  <c r="A1449" i="12"/>
  <c r="K1448" i="12"/>
  <c r="J1448" i="12"/>
  <c r="I1448" i="12"/>
  <c r="H1448" i="12"/>
  <c r="G1448" i="12"/>
  <c r="F1448" i="12"/>
  <c r="E1448" i="12"/>
  <c r="N1448" i="12" s="1"/>
  <c r="D1448" i="12"/>
  <c r="C1448" i="12"/>
  <c r="B1448" i="12"/>
  <c r="A1448" i="12"/>
  <c r="K1447" i="12"/>
  <c r="J1447" i="12"/>
  <c r="I1447" i="12"/>
  <c r="H1447" i="12"/>
  <c r="G1447" i="12"/>
  <c r="F1447" i="12"/>
  <c r="E1447" i="12"/>
  <c r="N1447" i="12" s="1"/>
  <c r="D1447" i="12"/>
  <c r="C1447" i="12"/>
  <c r="B1447" i="12"/>
  <c r="A1447" i="12"/>
  <c r="K1446" i="12"/>
  <c r="J1446" i="12"/>
  <c r="I1446" i="12"/>
  <c r="H1446" i="12"/>
  <c r="G1446" i="12"/>
  <c r="F1446" i="12"/>
  <c r="E1446" i="12"/>
  <c r="N1446" i="12" s="1"/>
  <c r="D1446" i="12"/>
  <c r="C1446" i="12"/>
  <c r="B1446" i="12"/>
  <c r="A1446" i="12"/>
  <c r="K1445" i="12"/>
  <c r="J1445" i="12"/>
  <c r="I1445" i="12"/>
  <c r="H1445" i="12"/>
  <c r="G1445" i="12"/>
  <c r="F1445" i="12"/>
  <c r="E1445" i="12"/>
  <c r="N1445" i="12" s="1"/>
  <c r="D1445" i="12"/>
  <c r="C1445" i="12"/>
  <c r="B1445" i="12"/>
  <c r="A1445" i="12"/>
  <c r="K1444" i="12"/>
  <c r="J1444" i="12"/>
  <c r="I1444" i="12"/>
  <c r="H1444" i="12"/>
  <c r="G1444" i="12"/>
  <c r="F1444" i="12"/>
  <c r="E1444" i="12"/>
  <c r="N1444" i="12" s="1"/>
  <c r="D1444" i="12"/>
  <c r="C1444" i="12"/>
  <c r="B1444" i="12"/>
  <c r="A1444" i="12"/>
  <c r="K1443" i="12"/>
  <c r="J1443" i="12"/>
  <c r="I1443" i="12"/>
  <c r="H1443" i="12"/>
  <c r="G1443" i="12"/>
  <c r="F1443" i="12"/>
  <c r="E1443" i="12"/>
  <c r="N1443" i="12" s="1"/>
  <c r="D1443" i="12"/>
  <c r="C1443" i="12"/>
  <c r="B1443" i="12"/>
  <c r="A1443" i="12"/>
  <c r="K1442" i="12"/>
  <c r="J1442" i="12"/>
  <c r="I1442" i="12"/>
  <c r="H1442" i="12"/>
  <c r="G1442" i="12"/>
  <c r="F1442" i="12"/>
  <c r="E1442" i="12"/>
  <c r="N1442" i="12" s="1"/>
  <c r="D1442" i="12"/>
  <c r="C1442" i="12"/>
  <c r="B1442" i="12"/>
  <c r="A1442" i="12"/>
  <c r="K1441" i="12"/>
  <c r="J1441" i="12"/>
  <c r="I1441" i="12"/>
  <c r="H1441" i="12"/>
  <c r="G1441" i="12"/>
  <c r="F1441" i="12"/>
  <c r="E1441" i="12"/>
  <c r="N1441" i="12" s="1"/>
  <c r="D1441" i="12"/>
  <c r="C1441" i="12"/>
  <c r="B1441" i="12"/>
  <c r="A1441" i="12"/>
  <c r="K1440" i="12"/>
  <c r="J1440" i="12"/>
  <c r="I1440" i="12"/>
  <c r="H1440" i="12"/>
  <c r="G1440" i="12"/>
  <c r="F1440" i="12"/>
  <c r="E1440" i="12"/>
  <c r="N1440" i="12" s="1"/>
  <c r="D1440" i="12"/>
  <c r="C1440" i="12"/>
  <c r="B1440" i="12"/>
  <c r="A1440" i="12"/>
  <c r="K1439" i="12"/>
  <c r="J1439" i="12"/>
  <c r="I1439" i="12"/>
  <c r="H1439" i="12"/>
  <c r="G1439" i="12"/>
  <c r="F1439" i="12"/>
  <c r="E1439" i="12"/>
  <c r="N1439" i="12" s="1"/>
  <c r="D1439" i="12"/>
  <c r="C1439" i="12"/>
  <c r="B1439" i="12"/>
  <c r="A1439" i="12"/>
  <c r="K1438" i="12"/>
  <c r="J1438" i="12"/>
  <c r="I1438" i="12"/>
  <c r="H1438" i="12"/>
  <c r="G1438" i="12"/>
  <c r="F1438" i="12"/>
  <c r="E1438" i="12"/>
  <c r="N1438" i="12" s="1"/>
  <c r="D1438" i="12"/>
  <c r="C1438" i="12"/>
  <c r="B1438" i="12"/>
  <c r="A1438" i="12"/>
  <c r="K1437" i="12"/>
  <c r="J1437" i="12"/>
  <c r="I1437" i="12"/>
  <c r="H1437" i="12"/>
  <c r="G1437" i="12"/>
  <c r="F1437" i="12"/>
  <c r="E1437" i="12"/>
  <c r="N1437" i="12" s="1"/>
  <c r="D1437" i="12"/>
  <c r="C1437" i="12"/>
  <c r="B1437" i="12"/>
  <c r="A1437" i="12"/>
  <c r="K1436" i="12"/>
  <c r="J1436" i="12"/>
  <c r="I1436" i="12"/>
  <c r="H1436" i="12"/>
  <c r="G1436" i="12"/>
  <c r="F1436" i="12"/>
  <c r="E1436" i="12"/>
  <c r="N1436" i="12" s="1"/>
  <c r="D1436" i="12"/>
  <c r="C1436" i="12"/>
  <c r="B1436" i="12"/>
  <c r="A1436" i="12"/>
  <c r="K1435" i="12"/>
  <c r="J1435" i="12"/>
  <c r="I1435" i="12"/>
  <c r="H1435" i="12"/>
  <c r="G1435" i="12"/>
  <c r="F1435" i="12"/>
  <c r="E1435" i="12"/>
  <c r="N1435" i="12" s="1"/>
  <c r="D1435" i="12"/>
  <c r="C1435" i="12"/>
  <c r="B1435" i="12"/>
  <c r="A1435" i="12"/>
  <c r="K1434" i="12"/>
  <c r="J1434" i="12"/>
  <c r="I1434" i="12"/>
  <c r="H1434" i="12"/>
  <c r="G1434" i="12"/>
  <c r="F1434" i="12"/>
  <c r="E1434" i="12"/>
  <c r="N1434" i="12" s="1"/>
  <c r="D1434" i="12"/>
  <c r="C1434" i="12"/>
  <c r="B1434" i="12"/>
  <c r="A1434" i="12"/>
  <c r="K1433" i="12"/>
  <c r="J1433" i="12"/>
  <c r="I1433" i="12"/>
  <c r="H1433" i="12"/>
  <c r="G1433" i="12"/>
  <c r="F1433" i="12"/>
  <c r="E1433" i="12"/>
  <c r="N1433" i="12" s="1"/>
  <c r="D1433" i="12"/>
  <c r="C1433" i="12"/>
  <c r="B1433" i="12"/>
  <c r="A1433" i="12"/>
  <c r="K1432" i="12"/>
  <c r="J1432" i="12"/>
  <c r="I1432" i="12"/>
  <c r="H1432" i="12"/>
  <c r="G1432" i="12"/>
  <c r="F1432" i="12"/>
  <c r="E1432" i="12"/>
  <c r="N1432" i="12" s="1"/>
  <c r="D1432" i="12"/>
  <c r="C1432" i="12"/>
  <c r="B1432" i="12"/>
  <c r="A1432" i="12"/>
  <c r="K1431" i="12"/>
  <c r="J1431" i="12"/>
  <c r="I1431" i="12"/>
  <c r="H1431" i="12"/>
  <c r="G1431" i="12"/>
  <c r="F1431" i="12"/>
  <c r="E1431" i="12"/>
  <c r="N1431" i="12" s="1"/>
  <c r="D1431" i="12"/>
  <c r="C1431" i="12"/>
  <c r="B1431" i="12"/>
  <c r="A1431" i="12"/>
  <c r="K1430" i="12"/>
  <c r="J1430" i="12"/>
  <c r="I1430" i="12"/>
  <c r="H1430" i="12"/>
  <c r="G1430" i="12"/>
  <c r="F1430" i="12"/>
  <c r="E1430" i="12"/>
  <c r="N1430" i="12" s="1"/>
  <c r="D1430" i="12"/>
  <c r="C1430" i="12"/>
  <c r="B1430" i="12"/>
  <c r="A1430" i="12"/>
  <c r="K1429" i="12"/>
  <c r="J1429" i="12"/>
  <c r="I1429" i="12"/>
  <c r="H1429" i="12"/>
  <c r="G1429" i="12"/>
  <c r="F1429" i="12"/>
  <c r="E1429" i="12"/>
  <c r="N1429" i="12" s="1"/>
  <c r="D1429" i="12"/>
  <c r="C1429" i="12"/>
  <c r="B1429" i="12"/>
  <c r="A1429" i="12"/>
  <c r="K1428" i="12"/>
  <c r="J1428" i="12"/>
  <c r="I1428" i="12"/>
  <c r="H1428" i="12"/>
  <c r="G1428" i="12"/>
  <c r="F1428" i="12"/>
  <c r="E1428" i="12"/>
  <c r="N1428" i="12" s="1"/>
  <c r="D1428" i="12"/>
  <c r="C1428" i="12"/>
  <c r="B1428" i="12"/>
  <c r="A1428" i="12"/>
  <c r="S1427" i="12"/>
  <c r="R1427" i="12"/>
  <c r="K1427" i="12"/>
  <c r="J1427" i="12"/>
  <c r="I1427" i="12"/>
  <c r="H1427" i="12"/>
  <c r="G1427" i="12"/>
  <c r="F1427" i="12"/>
  <c r="E1427" i="12"/>
  <c r="N1427" i="12" s="1"/>
  <c r="D1427" i="12"/>
  <c r="C1427" i="12"/>
  <c r="B1427" i="12"/>
  <c r="A1427" i="12"/>
  <c r="K1426" i="12"/>
  <c r="J1426" i="12"/>
  <c r="I1426" i="12"/>
  <c r="H1426" i="12"/>
  <c r="G1426" i="12"/>
  <c r="F1426" i="12"/>
  <c r="E1426" i="12"/>
  <c r="N1426" i="12" s="1"/>
  <c r="D1426" i="12"/>
  <c r="C1426" i="12"/>
  <c r="B1426" i="12"/>
  <c r="A1426" i="12"/>
  <c r="K1425" i="12"/>
  <c r="J1425" i="12"/>
  <c r="I1425" i="12"/>
  <c r="H1425" i="12"/>
  <c r="G1425" i="12"/>
  <c r="F1425" i="12"/>
  <c r="E1425" i="12"/>
  <c r="N1425" i="12" s="1"/>
  <c r="D1425" i="12"/>
  <c r="C1425" i="12"/>
  <c r="B1425" i="12"/>
  <c r="A1425" i="12"/>
  <c r="K1424" i="12"/>
  <c r="J1424" i="12"/>
  <c r="I1424" i="12"/>
  <c r="H1424" i="12"/>
  <c r="G1424" i="12"/>
  <c r="F1424" i="12"/>
  <c r="E1424" i="12"/>
  <c r="N1424" i="12" s="1"/>
  <c r="D1424" i="12"/>
  <c r="C1424" i="12"/>
  <c r="B1424" i="12"/>
  <c r="A1424" i="12"/>
  <c r="K1423" i="12"/>
  <c r="J1423" i="12"/>
  <c r="I1423" i="12"/>
  <c r="H1423" i="12"/>
  <c r="G1423" i="12"/>
  <c r="F1423" i="12"/>
  <c r="E1423" i="12"/>
  <c r="N1423" i="12" s="1"/>
  <c r="D1423" i="12"/>
  <c r="C1423" i="12"/>
  <c r="B1423" i="12"/>
  <c r="A1423" i="12"/>
  <c r="K1422" i="12"/>
  <c r="J1422" i="12"/>
  <c r="I1422" i="12"/>
  <c r="H1422" i="12"/>
  <c r="G1422" i="12"/>
  <c r="F1422" i="12"/>
  <c r="E1422" i="12"/>
  <c r="N1422" i="12" s="1"/>
  <c r="D1422" i="12"/>
  <c r="C1422" i="12"/>
  <c r="B1422" i="12"/>
  <c r="A1422" i="12"/>
  <c r="K1421" i="12"/>
  <c r="J1421" i="12"/>
  <c r="I1421" i="12"/>
  <c r="H1421" i="12"/>
  <c r="G1421" i="12"/>
  <c r="F1421" i="12"/>
  <c r="E1421" i="12"/>
  <c r="N1421" i="12" s="1"/>
  <c r="D1421" i="12"/>
  <c r="C1421" i="12"/>
  <c r="B1421" i="12"/>
  <c r="A1421" i="12"/>
  <c r="K1420" i="12"/>
  <c r="J1420" i="12"/>
  <c r="I1420" i="12"/>
  <c r="H1420" i="12"/>
  <c r="G1420" i="12"/>
  <c r="F1420" i="12"/>
  <c r="E1420" i="12"/>
  <c r="N1420" i="12" s="1"/>
  <c r="D1420" i="12"/>
  <c r="C1420" i="12"/>
  <c r="B1420" i="12"/>
  <c r="A1420" i="12"/>
  <c r="K1419" i="12"/>
  <c r="J1419" i="12"/>
  <c r="I1419" i="12"/>
  <c r="H1419" i="12"/>
  <c r="G1419" i="12"/>
  <c r="F1419" i="12"/>
  <c r="E1419" i="12"/>
  <c r="N1419" i="12" s="1"/>
  <c r="D1419" i="12"/>
  <c r="C1419" i="12"/>
  <c r="B1419" i="12"/>
  <c r="A1419" i="12"/>
  <c r="K1418" i="12"/>
  <c r="J1418" i="12"/>
  <c r="I1418" i="12"/>
  <c r="H1418" i="12"/>
  <c r="G1418" i="12"/>
  <c r="F1418" i="12"/>
  <c r="E1418" i="12"/>
  <c r="N1418" i="12" s="1"/>
  <c r="D1418" i="12"/>
  <c r="C1418" i="12"/>
  <c r="B1418" i="12"/>
  <c r="A1418" i="12"/>
  <c r="K1417" i="12"/>
  <c r="J1417" i="12"/>
  <c r="I1417" i="12"/>
  <c r="H1417" i="12"/>
  <c r="G1417" i="12"/>
  <c r="F1417" i="12"/>
  <c r="E1417" i="12"/>
  <c r="N1417" i="12" s="1"/>
  <c r="D1417" i="12"/>
  <c r="C1417" i="12"/>
  <c r="B1417" i="12"/>
  <c r="A1417" i="12"/>
  <c r="K1416" i="12"/>
  <c r="J1416" i="12"/>
  <c r="I1416" i="12"/>
  <c r="H1416" i="12"/>
  <c r="G1416" i="12"/>
  <c r="F1416" i="12"/>
  <c r="E1416" i="12"/>
  <c r="N1416" i="12" s="1"/>
  <c r="D1416" i="12"/>
  <c r="C1416" i="12"/>
  <c r="B1416" i="12"/>
  <c r="A1416" i="12"/>
  <c r="K1415" i="12"/>
  <c r="J1415" i="12"/>
  <c r="I1415" i="12"/>
  <c r="H1415" i="12"/>
  <c r="G1415" i="12"/>
  <c r="F1415" i="12"/>
  <c r="E1415" i="12"/>
  <c r="N1415" i="12" s="1"/>
  <c r="D1415" i="12"/>
  <c r="C1415" i="12"/>
  <c r="B1415" i="12"/>
  <c r="A1415" i="12"/>
  <c r="K1414" i="12"/>
  <c r="J1414" i="12"/>
  <c r="I1414" i="12"/>
  <c r="H1414" i="12"/>
  <c r="G1414" i="12"/>
  <c r="F1414" i="12"/>
  <c r="E1414" i="12"/>
  <c r="N1414" i="12" s="1"/>
  <c r="D1414" i="12"/>
  <c r="C1414" i="12"/>
  <c r="B1414" i="12"/>
  <c r="A1414" i="12"/>
  <c r="K1413" i="12"/>
  <c r="J1413" i="12"/>
  <c r="I1413" i="12"/>
  <c r="H1413" i="12"/>
  <c r="G1413" i="12"/>
  <c r="F1413" i="12"/>
  <c r="E1413" i="12"/>
  <c r="N1413" i="12" s="1"/>
  <c r="D1413" i="12"/>
  <c r="C1413" i="12"/>
  <c r="B1413" i="12"/>
  <c r="A1413" i="12"/>
  <c r="K1412" i="12"/>
  <c r="J1412" i="12"/>
  <c r="I1412" i="12"/>
  <c r="H1412" i="12"/>
  <c r="G1412" i="12"/>
  <c r="F1412" i="12"/>
  <c r="E1412" i="12"/>
  <c r="N1412" i="12" s="1"/>
  <c r="D1412" i="12"/>
  <c r="C1412" i="12"/>
  <c r="B1412" i="12"/>
  <c r="A1412" i="12"/>
  <c r="K1411" i="12"/>
  <c r="J1411" i="12"/>
  <c r="I1411" i="12"/>
  <c r="H1411" i="12"/>
  <c r="G1411" i="12"/>
  <c r="F1411" i="12"/>
  <c r="E1411" i="12"/>
  <c r="N1411" i="12" s="1"/>
  <c r="D1411" i="12"/>
  <c r="C1411" i="12"/>
  <c r="B1411" i="12"/>
  <c r="A1411" i="12"/>
  <c r="K1410" i="12"/>
  <c r="J1410" i="12"/>
  <c r="I1410" i="12"/>
  <c r="H1410" i="12"/>
  <c r="G1410" i="12"/>
  <c r="F1410" i="12"/>
  <c r="E1410" i="12"/>
  <c r="N1410" i="12" s="1"/>
  <c r="D1410" i="12"/>
  <c r="C1410" i="12"/>
  <c r="B1410" i="12"/>
  <c r="A1410" i="12"/>
  <c r="K1409" i="12"/>
  <c r="J1409" i="12"/>
  <c r="I1409" i="12"/>
  <c r="H1409" i="12"/>
  <c r="G1409" i="12"/>
  <c r="F1409" i="12"/>
  <c r="E1409" i="12"/>
  <c r="N1409" i="12" s="1"/>
  <c r="D1409" i="12"/>
  <c r="C1409" i="12"/>
  <c r="B1409" i="12"/>
  <c r="A1409" i="12"/>
  <c r="K1408" i="12"/>
  <c r="J1408" i="12"/>
  <c r="I1408" i="12"/>
  <c r="H1408" i="12"/>
  <c r="G1408" i="12"/>
  <c r="F1408" i="12"/>
  <c r="E1408" i="12"/>
  <c r="N1408" i="12" s="1"/>
  <c r="D1408" i="12"/>
  <c r="C1408" i="12"/>
  <c r="B1408" i="12"/>
  <c r="A1408" i="12"/>
  <c r="K1407" i="12"/>
  <c r="J1407" i="12"/>
  <c r="I1407" i="12"/>
  <c r="H1407" i="12"/>
  <c r="G1407" i="12"/>
  <c r="F1407" i="12"/>
  <c r="E1407" i="12"/>
  <c r="N1407" i="12" s="1"/>
  <c r="D1407" i="12"/>
  <c r="C1407" i="12"/>
  <c r="B1407" i="12"/>
  <c r="A1407" i="12"/>
  <c r="K1406" i="12"/>
  <c r="J1406" i="12"/>
  <c r="I1406" i="12"/>
  <c r="H1406" i="12"/>
  <c r="G1406" i="12"/>
  <c r="F1406" i="12"/>
  <c r="E1406" i="12"/>
  <c r="N1406" i="12" s="1"/>
  <c r="D1406" i="12"/>
  <c r="C1406" i="12"/>
  <c r="B1406" i="12"/>
  <c r="A1406" i="12"/>
  <c r="K1405" i="12"/>
  <c r="J1405" i="12"/>
  <c r="I1405" i="12"/>
  <c r="H1405" i="12"/>
  <c r="G1405" i="12"/>
  <c r="F1405" i="12"/>
  <c r="E1405" i="12"/>
  <c r="N1405" i="12" s="1"/>
  <c r="D1405" i="12"/>
  <c r="C1405" i="12"/>
  <c r="B1405" i="12"/>
  <c r="A1405" i="12"/>
  <c r="K1404" i="12"/>
  <c r="J1404" i="12"/>
  <c r="I1404" i="12"/>
  <c r="H1404" i="12"/>
  <c r="G1404" i="12"/>
  <c r="F1404" i="12"/>
  <c r="E1404" i="12"/>
  <c r="N1404" i="12" s="1"/>
  <c r="D1404" i="12"/>
  <c r="C1404" i="12"/>
  <c r="B1404" i="12"/>
  <c r="A1404" i="12"/>
  <c r="K1403" i="12"/>
  <c r="J1403" i="12"/>
  <c r="I1403" i="12"/>
  <c r="H1403" i="12"/>
  <c r="G1403" i="12"/>
  <c r="F1403" i="12"/>
  <c r="E1403" i="12"/>
  <c r="N1403" i="12" s="1"/>
  <c r="D1403" i="12"/>
  <c r="C1403" i="12"/>
  <c r="B1403" i="12"/>
  <c r="A1403" i="12"/>
  <c r="K1402" i="12"/>
  <c r="J1402" i="12"/>
  <c r="I1402" i="12"/>
  <c r="H1402" i="12"/>
  <c r="G1402" i="12"/>
  <c r="F1402" i="12"/>
  <c r="E1402" i="12"/>
  <c r="N1402" i="12" s="1"/>
  <c r="D1402" i="12"/>
  <c r="C1402" i="12"/>
  <c r="B1402" i="12"/>
  <c r="A1402" i="12"/>
  <c r="K1401" i="12"/>
  <c r="J1401" i="12"/>
  <c r="I1401" i="12"/>
  <c r="H1401" i="12"/>
  <c r="G1401" i="12"/>
  <c r="F1401" i="12"/>
  <c r="E1401" i="12"/>
  <c r="N1401" i="12" s="1"/>
  <c r="D1401" i="12"/>
  <c r="C1401" i="12"/>
  <c r="B1401" i="12"/>
  <c r="A1401" i="12"/>
  <c r="K1400" i="12"/>
  <c r="J1400" i="12"/>
  <c r="I1400" i="12"/>
  <c r="H1400" i="12"/>
  <c r="G1400" i="12"/>
  <c r="F1400" i="12"/>
  <c r="E1400" i="12"/>
  <c r="N1400" i="12" s="1"/>
  <c r="D1400" i="12"/>
  <c r="C1400" i="12"/>
  <c r="B1400" i="12"/>
  <c r="A1400" i="12"/>
  <c r="K1399" i="12"/>
  <c r="J1399" i="12"/>
  <c r="I1399" i="12"/>
  <c r="H1399" i="12"/>
  <c r="G1399" i="12"/>
  <c r="F1399" i="12"/>
  <c r="E1399" i="12"/>
  <c r="N1399" i="12" s="1"/>
  <c r="D1399" i="12"/>
  <c r="C1399" i="12"/>
  <c r="B1399" i="12"/>
  <c r="A1399" i="12"/>
  <c r="K1398" i="12"/>
  <c r="J1398" i="12"/>
  <c r="I1398" i="12"/>
  <c r="H1398" i="12"/>
  <c r="G1398" i="12"/>
  <c r="F1398" i="12"/>
  <c r="E1398" i="12"/>
  <c r="N1398" i="12" s="1"/>
  <c r="D1398" i="12"/>
  <c r="C1398" i="12"/>
  <c r="B1398" i="12"/>
  <c r="A1398" i="12"/>
  <c r="K1397" i="12"/>
  <c r="J1397" i="12"/>
  <c r="I1397" i="12"/>
  <c r="H1397" i="12"/>
  <c r="G1397" i="12"/>
  <c r="F1397" i="12"/>
  <c r="E1397" i="12"/>
  <c r="N1397" i="12" s="1"/>
  <c r="D1397" i="12"/>
  <c r="C1397" i="12"/>
  <c r="B1397" i="12"/>
  <c r="A1397" i="12"/>
  <c r="K1396" i="12"/>
  <c r="J1396" i="12"/>
  <c r="I1396" i="12"/>
  <c r="H1396" i="12"/>
  <c r="G1396" i="12"/>
  <c r="F1396" i="12"/>
  <c r="E1396" i="12"/>
  <c r="N1396" i="12" s="1"/>
  <c r="D1396" i="12"/>
  <c r="C1396" i="12"/>
  <c r="B1396" i="12"/>
  <c r="A1396" i="12"/>
  <c r="K1395" i="12"/>
  <c r="J1395" i="12"/>
  <c r="I1395" i="12"/>
  <c r="H1395" i="12"/>
  <c r="G1395" i="12"/>
  <c r="F1395" i="12"/>
  <c r="E1395" i="12"/>
  <c r="N1395" i="12" s="1"/>
  <c r="D1395" i="12"/>
  <c r="C1395" i="12"/>
  <c r="B1395" i="12"/>
  <c r="A1395" i="12"/>
  <c r="K1394" i="12"/>
  <c r="J1394" i="12"/>
  <c r="I1394" i="12"/>
  <c r="H1394" i="12"/>
  <c r="G1394" i="12"/>
  <c r="F1394" i="12"/>
  <c r="E1394" i="12"/>
  <c r="N1394" i="12" s="1"/>
  <c r="D1394" i="12"/>
  <c r="C1394" i="12"/>
  <c r="B1394" i="12"/>
  <c r="A1394" i="12"/>
  <c r="K1393" i="12"/>
  <c r="J1393" i="12"/>
  <c r="I1393" i="12"/>
  <c r="H1393" i="12"/>
  <c r="G1393" i="12"/>
  <c r="F1393" i="12"/>
  <c r="E1393" i="12"/>
  <c r="N1393" i="12" s="1"/>
  <c r="D1393" i="12"/>
  <c r="C1393" i="12"/>
  <c r="B1393" i="12"/>
  <c r="A1393" i="12"/>
  <c r="K1392" i="12"/>
  <c r="J1392" i="12"/>
  <c r="I1392" i="12"/>
  <c r="H1392" i="12"/>
  <c r="G1392" i="12"/>
  <c r="F1392" i="12"/>
  <c r="E1392" i="12"/>
  <c r="N1392" i="12" s="1"/>
  <c r="D1392" i="12"/>
  <c r="C1392" i="12"/>
  <c r="B1392" i="12"/>
  <c r="A1392" i="12"/>
  <c r="K1391" i="12"/>
  <c r="J1391" i="12"/>
  <c r="I1391" i="12"/>
  <c r="H1391" i="12"/>
  <c r="G1391" i="12"/>
  <c r="F1391" i="12"/>
  <c r="E1391" i="12"/>
  <c r="N1391" i="12" s="1"/>
  <c r="D1391" i="12"/>
  <c r="C1391" i="12"/>
  <c r="B1391" i="12"/>
  <c r="A1391" i="12"/>
  <c r="K1390" i="12"/>
  <c r="J1390" i="12"/>
  <c r="I1390" i="12"/>
  <c r="H1390" i="12"/>
  <c r="G1390" i="12"/>
  <c r="F1390" i="12"/>
  <c r="E1390" i="12"/>
  <c r="N1390" i="12" s="1"/>
  <c r="D1390" i="12"/>
  <c r="C1390" i="12"/>
  <c r="B1390" i="12"/>
  <c r="A1390" i="12"/>
  <c r="K1389" i="12"/>
  <c r="J1389" i="12"/>
  <c r="I1389" i="12"/>
  <c r="H1389" i="12"/>
  <c r="G1389" i="12"/>
  <c r="F1389" i="12"/>
  <c r="E1389" i="12"/>
  <c r="N1389" i="12" s="1"/>
  <c r="D1389" i="12"/>
  <c r="C1389" i="12"/>
  <c r="B1389" i="12"/>
  <c r="A1389" i="12"/>
  <c r="K1388" i="12"/>
  <c r="J1388" i="12"/>
  <c r="I1388" i="12"/>
  <c r="H1388" i="12"/>
  <c r="G1388" i="12"/>
  <c r="F1388" i="12"/>
  <c r="E1388" i="12"/>
  <c r="N1388" i="12" s="1"/>
  <c r="D1388" i="12"/>
  <c r="C1388" i="12"/>
  <c r="B1388" i="12"/>
  <c r="A1388" i="12"/>
  <c r="K1387" i="12"/>
  <c r="J1387" i="12"/>
  <c r="I1387" i="12"/>
  <c r="H1387" i="12"/>
  <c r="G1387" i="12"/>
  <c r="F1387" i="12"/>
  <c r="E1387" i="12"/>
  <c r="N1387" i="12" s="1"/>
  <c r="D1387" i="12"/>
  <c r="C1387" i="12"/>
  <c r="B1387" i="12"/>
  <c r="A1387" i="12"/>
  <c r="K1386" i="12"/>
  <c r="J1386" i="12"/>
  <c r="I1386" i="12"/>
  <c r="H1386" i="12"/>
  <c r="G1386" i="12"/>
  <c r="F1386" i="12"/>
  <c r="E1386" i="12"/>
  <c r="N1386" i="12" s="1"/>
  <c r="D1386" i="12"/>
  <c r="C1386" i="12"/>
  <c r="B1386" i="12"/>
  <c r="A1386" i="12"/>
  <c r="K1385" i="12"/>
  <c r="J1385" i="12"/>
  <c r="I1385" i="12"/>
  <c r="H1385" i="12"/>
  <c r="G1385" i="12"/>
  <c r="F1385" i="12"/>
  <c r="E1385" i="12"/>
  <c r="N1385" i="12" s="1"/>
  <c r="D1385" i="12"/>
  <c r="C1385" i="12"/>
  <c r="B1385" i="12"/>
  <c r="A1385" i="12"/>
  <c r="K1384" i="12"/>
  <c r="J1384" i="12"/>
  <c r="I1384" i="12"/>
  <c r="H1384" i="12"/>
  <c r="G1384" i="12"/>
  <c r="F1384" i="12"/>
  <c r="E1384" i="12"/>
  <c r="N1384" i="12" s="1"/>
  <c r="D1384" i="12"/>
  <c r="C1384" i="12"/>
  <c r="B1384" i="12"/>
  <c r="A1384" i="12"/>
  <c r="K1383" i="12"/>
  <c r="J1383" i="12"/>
  <c r="I1383" i="12"/>
  <c r="H1383" i="12"/>
  <c r="G1383" i="12"/>
  <c r="F1383" i="12"/>
  <c r="E1383" i="12"/>
  <c r="N1383" i="12" s="1"/>
  <c r="D1383" i="12"/>
  <c r="C1383" i="12"/>
  <c r="B1383" i="12"/>
  <c r="A1383" i="12"/>
  <c r="K1382" i="12"/>
  <c r="J1382" i="12"/>
  <c r="I1382" i="12"/>
  <c r="H1382" i="12"/>
  <c r="G1382" i="12"/>
  <c r="F1382" i="12"/>
  <c r="E1382" i="12"/>
  <c r="N1382" i="12" s="1"/>
  <c r="D1382" i="12"/>
  <c r="C1382" i="12"/>
  <c r="B1382" i="12"/>
  <c r="A1382" i="12"/>
  <c r="K1381" i="12"/>
  <c r="J1381" i="12"/>
  <c r="I1381" i="12"/>
  <c r="H1381" i="12"/>
  <c r="G1381" i="12"/>
  <c r="F1381" i="12"/>
  <c r="E1381" i="12"/>
  <c r="N1381" i="12" s="1"/>
  <c r="D1381" i="12"/>
  <c r="C1381" i="12"/>
  <c r="B1381" i="12"/>
  <c r="A1381" i="12"/>
  <c r="K1380" i="12"/>
  <c r="J1380" i="12"/>
  <c r="I1380" i="12"/>
  <c r="H1380" i="12"/>
  <c r="G1380" i="12"/>
  <c r="F1380" i="12"/>
  <c r="E1380" i="12"/>
  <c r="N1380" i="12" s="1"/>
  <c r="D1380" i="12"/>
  <c r="C1380" i="12"/>
  <c r="B1380" i="12"/>
  <c r="A1380" i="12"/>
  <c r="K1379" i="12"/>
  <c r="J1379" i="12"/>
  <c r="I1379" i="12"/>
  <c r="H1379" i="12"/>
  <c r="G1379" i="12"/>
  <c r="F1379" i="12"/>
  <c r="E1379" i="12"/>
  <c r="N1379" i="12" s="1"/>
  <c r="D1379" i="12"/>
  <c r="C1379" i="12"/>
  <c r="B1379" i="12"/>
  <c r="A1379" i="12"/>
  <c r="K1378" i="12"/>
  <c r="J1378" i="12"/>
  <c r="I1378" i="12"/>
  <c r="H1378" i="12"/>
  <c r="G1378" i="12"/>
  <c r="F1378" i="12"/>
  <c r="E1378" i="12"/>
  <c r="N1378" i="12" s="1"/>
  <c r="D1378" i="12"/>
  <c r="C1378" i="12"/>
  <c r="B1378" i="12"/>
  <c r="A1378" i="12"/>
  <c r="K1377" i="12"/>
  <c r="J1377" i="12"/>
  <c r="I1377" i="12"/>
  <c r="H1377" i="12"/>
  <c r="G1377" i="12"/>
  <c r="F1377" i="12"/>
  <c r="E1377" i="12"/>
  <c r="N1377" i="12" s="1"/>
  <c r="D1377" i="12"/>
  <c r="C1377" i="12"/>
  <c r="B1377" i="12"/>
  <c r="A1377" i="12"/>
  <c r="K1376" i="12"/>
  <c r="J1376" i="12"/>
  <c r="I1376" i="12"/>
  <c r="H1376" i="12"/>
  <c r="G1376" i="12"/>
  <c r="F1376" i="12"/>
  <c r="E1376" i="12"/>
  <c r="N1376" i="12" s="1"/>
  <c r="D1376" i="12"/>
  <c r="C1376" i="12"/>
  <c r="B1376" i="12"/>
  <c r="A1376" i="12"/>
  <c r="K1375" i="12"/>
  <c r="J1375" i="12"/>
  <c r="I1375" i="12"/>
  <c r="H1375" i="12"/>
  <c r="G1375" i="12"/>
  <c r="F1375" i="12"/>
  <c r="E1375" i="12"/>
  <c r="N1375" i="12" s="1"/>
  <c r="D1375" i="12"/>
  <c r="C1375" i="12"/>
  <c r="B1375" i="12"/>
  <c r="A1375" i="12"/>
  <c r="K1374" i="12"/>
  <c r="J1374" i="12"/>
  <c r="I1374" i="12"/>
  <c r="H1374" i="12"/>
  <c r="G1374" i="12"/>
  <c r="F1374" i="12"/>
  <c r="E1374" i="12"/>
  <c r="N1374" i="12" s="1"/>
  <c r="D1374" i="12"/>
  <c r="C1374" i="12"/>
  <c r="B1374" i="12"/>
  <c r="A1374" i="12"/>
  <c r="K1373" i="12"/>
  <c r="J1373" i="12"/>
  <c r="I1373" i="12"/>
  <c r="H1373" i="12"/>
  <c r="G1373" i="12"/>
  <c r="F1373" i="12"/>
  <c r="E1373" i="12"/>
  <c r="N1373" i="12" s="1"/>
  <c r="D1373" i="12"/>
  <c r="C1373" i="12"/>
  <c r="B1373" i="12"/>
  <c r="A1373" i="12"/>
  <c r="K1372" i="12"/>
  <c r="J1372" i="12"/>
  <c r="I1372" i="12"/>
  <c r="H1372" i="12"/>
  <c r="G1372" i="12"/>
  <c r="F1372" i="12"/>
  <c r="E1372" i="12"/>
  <c r="N1372" i="12" s="1"/>
  <c r="D1372" i="12"/>
  <c r="C1372" i="12"/>
  <c r="B1372" i="12"/>
  <c r="A1372" i="12"/>
  <c r="K1371" i="12"/>
  <c r="J1371" i="12"/>
  <c r="I1371" i="12"/>
  <c r="H1371" i="12"/>
  <c r="G1371" i="12"/>
  <c r="F1371" i="12"/>
  <c r="E1371" i="12"/>
  <c r="N1371" i="12" s="1"/>
  <c r="D1371" i="12"/>
  <c r="C1371" i="12"/>
  <c r="B1371" i="12"/>
  <c r="A1371" i="12"/>
  <c r="K1370" i="12"/>
  <c r="J1370" i="12"/>
  <c r="I1370" i="12"/>
  <c r="H1370" i="12"/>
  <c r="G1370" i="12"/>
  <c r="F1370" i="12"/>
  <c r="E1370" i="12"/>
  <c r="N1370" i="12" s="1"/>
  <c r="D1370" i="12"/>
  <c r="C1370" i="12"/>
  <c r="B1370" i="12"/>
  <c r="A1370" i="12"/>
  <c r="K1369" i="12"/>
  <c r="J1369" i="12"/>
  <c r="I1369" i="12"/>
  <c r="H1369" i="12"/>
  <c r="G1369" i="12"/>
  <c r="F1369" i="12"/>
  <c r="E1369" i="12"/>
  <c r="N1369" i="12" s="1"/>
  <c r="D1369" i="12"/>
  <c r="C1369" i="12"/>
  <c r="B1369" i="12"/>
  <c r="A1369" i="12"/>
  <c r="K1368" i="12"/>
  <c r="J1368" i="12"/>
  <c r="I1368" i="12"/>
  <c r="H1368" i="12"/>
  <c r="G1368" i="12"/>
  <c r="F1368" i="12"/>
  <c r="E1368" i="12"/>
  <c r="N1368" i="12" s="1"/>
  <c r="D1368" i="12"/>
  <c r="C1368" i="12"/>
  <c r="B1368" i="12"/>
  <c r="A1368" i="12"/>
  <c r="K1367" i="12"/>
  <c r="J1367" i="12"/>
  <c r="I1367" i="12"/>
  <c r="H1367" i="12"/>
  <c r="G1367" i="12"/>
  <c r="F1367" i="12"/>
  <c r="E1367" i="12"/>
  <c r="N1367" i="12" s="1"/>
  <c r="D1367" i="12"/>
  <c r="C1367" i="12"/>
  <c r="B1367" i="12"/>
  <c r="A1367" i="12"/>
  <c r="K1366" i="12"/>
  <c r="J1366" i="12"/>
  <c r="I1366" i="12"/>
  <c r="H1366" i="12"/>
  <c r="G1366" i="12"/>
  <c r="F1366" i="12"/>
  <c r="E1366" i="12"/>
  <c r="N1366" i="12" s="1"/>
  <c r="D1366" i="12"/>
  <c r="C1366" i="12"/>
  <c r="B1366" i="12"/>
  <c r="A1366" i="12"/>
  <c r="K1365" i="12"/>
  <c r="J1365" i="12"/>
  <c r="I1365" i="12"/>
  <c r="H1365" i="12"/>
  <c r="G1365" i="12"/>
  <c r="F1365" i="12"/>
  <c r="E1365" i="12"/>
  <c r="N1365" i="12" s="1"/>
  <c r="D1365" i="12"/>
  <c r="C1365" i="12"/>
  <c r="B1365" i="12"/>
  <c r="A1365" i="12"/>
  <c r="K1364" i="12"/>
  <c r="J1364" i="12"/>
  <c r="I1364" i="12"/>
  <c r="H1364" i="12"/>
  <c r="G1364" i="12"/>
  <c r="F1364" i="12"/>
  <c r="E1364" i="12"/>
  <c r="N1364" i="12" s="1"/>
  <c r="D1364" i="12"/>
  <c r="C1364" i="12"/>
  <c r="B1364" i="12"/>
  <c r="A1364" i="12"/>
  <c r="K1363" i="12"/>
  <c r="J1363" i="12"/>
  <c r="I1363" i="12"/>
  <c r="H1363" i="12"/>
  <c r="G1363" i="12"/>
  <c r="F1363" i="12"/>
  <c r="E1363" i="12"/>
  <c r="N1363" i="12" s="1"/>
  <c r="D1363" i="12"/>
  <c r="C1363" i="12"/>
  <c r="B1363" i="12"/>
  <c r="A1363" i="12"/>
  <c r="K1362" i="12"/>
  <c r="J1362" i="12"/>
  <c r="I1362" i="12"/>
  <c r="H1362" i="12"/>
  <c r="G1362" i="12"/>
  <c r="F1362" i="12"/>
  <c r="E1362" i="12"/>
  <c r="N1362" i="12" s="1"/>
  <c r="D1362" i="12"/>
  <c r="C1362" i="12"/>
  <c r="B1362" i="12"/>
  <c r="A1362" i="12"/>
  <c r="K1361" i="12"/>
  <c r="J1361" i="12"/>
  <c r="I1361" i="12"/>
  <c r="H1361" i="12"/>
  <c r="G1361" i="12"/>
  <c r="F1361" i="12"/>
  <c r="E1361" i="12"/>
  <c r="N1361" i="12" s="1"/>
  <c r="D1361" i="12"/>
  <c r="C1361" i="12"/>
  <c r="B1361" i="12"/>
  <c r="A1361" i="12"/>
  <c r="K1360" i="12"/>
  <c r="J1360" i="12"/>
  <c r="I1360" i="12"/>
  <c r="H1360" i="12"/>
  <c r="G1360" i="12"/>
  <c r="F1360" i="12"/>
  <c r="E1360" i="12"/>
  <c r="N1360" i="12" s="1"/>
  <c r="D1360" i="12"/>
  <c r="C1360" i="12"/>
  <c r="B1360" i="12"/>
  <c r="A1360" i="12"/>
  <c r="K1359" i="12"/>
  <c r="J1359" i="12"/>
  <c r="I1359" i="12"/>
  <c r="H1359" i="12"/>
  <c r="G1359" i="12"/>
  <c r="F1359" i="12"/>
  <c r="E1359" i="12"/>
  <c r="N1359" i="12" s="1"/>
  <c r="D1359" i="12"/>
  <c r="C1359" i="12"/>
  <c r="B1359" i="12"/>
  <c r="A1359" i="12"/>
  <c r="K1358" i="12"/>
  <c r="J1358" i="12"/>
  <c r="I1358" i="12"/>
  <c r="H1358" i="12"/>
  <c r="G1358" i="12"/>
  <c r="F1358" i="12"/>
  <c r="E1358" i="12"/>
  <c r="N1358" i="12" s="1"/>
  <c r="D1358" i="12"/>
  <c r="C1358" i="12"/>
  <c r="B1358" i="12"/>
  <c r="A1358" i="12"/>
  <c r="K1357" i="12"/>
  <c r="J1357" i="12"/>
  <c r="I1357" i="12"/>
  <c r="H1357" i="12"/>
  <c r="G1357" i="12"/>
  <c r="F1357" i="12"/>
  <c r="E1357" i="12"/>
  <c r="N1357" i="12" s="1"/>
  <c r="D1357" i="12"/>
  <c r="C1357" i="12"/>
  <c r="B1357" i="12"/>
  <c r="A1357" i="12"/>
  <c r="K1356" i="12"/>
  <c r="J1356" i="12"/>
  <c r="I1356" i="12"/>
  <c r="H1356" i="12"/>
  <c r="G1356" i="12"/>
  <c r="F1356" i="12"/>
  <c r="E1356" i="12"/>
  <c r="N1356" i="12" s="1"/>
  <c r="D1356" i="12"/>
  <c r="C1356" i="12"/>
  <c r="B1356" i="12"/>
  <c r="A1356" i="12"/>
  <c r="K1355" i="12"/>
  <c r="J1355" i="12"/>
  <c r="I1355" i="12"/>
  <c r="H1355" i="12"/>
  <c r="G1355" i="12"/>
  <c r="F1355" i="12"/>
  <c r="E1355" i="12"/>
  <c r="N1355" i="12" s="1"/>
  <c r="D1355" i="12"/>
  <c r="C1355" i="12"/>
  <c r="B1355" i="12"/>
  <c r="A1355" i="12"/>
  <c r="K1354" i="12"/>
  <c r="J1354" i="12"/>
  <c r="I1354" i="12"/>
  <c r="H1354" i="12"/>
  <c r="G1354" i="12"/>
  <c r="F1354" i="12"/>
  <c r="E1354" i="12"/>
  <c r="N1354" i="12" s="1"/>
  <c r="D1354" i="12"/>
  <c r="C1354" i="12"/>
  <c r="B1354" i="12"/>
  <c r="A1354" i="12"/>
  <c r="K1353" i="12"/>
  <c r="J1353" i="12"/>
  <c r="I1353" i="12"/>
  <c r="H1353" i="12"/>
  <c r="G1353" i="12"/>
  <c r="F1353" i="12"/>
  <c r="E1353" i="12"/>
  <c r="N1353" i="12" s="1"/>
  <c r="D1353" i="12"/>
  <c r="C1353" i="12"/>
  <c r="B1353" i="12"/>
  <c r="A1353" i="12"/>
  <c r="K1352" i="12"/>
  <c r="J1352" i="12"/>
  <c r="I1352" i="12"/>
  <c r="H1352" i="12"/>
  <c r="G1352" i="12"/>
  <c r="F1352" i="12"/>
  <c r="E1352" i="12"/>
  <c r="N1352" i="12" s="1"/>
  <c r="D1352" i="12"/>
  <c r="C1352" i="12"/>
  <c r="B1352" i="12"/>
  <c r="A1352" i="12"/>
  <c r="K1351" i="12"/>
  <c r="J1351" i="12"/>
  <c r="I1351" i="12"/>
  <c r="H1351" i="12"/>
  <c r="G1351" i="12"/>
  <c r="F1351" i="12"/>
  <c r="E1351" i="12"/>
  <c r="N1351" i="12" s="1"/>
  <c r="D1351" i="12"/>
  <c r="C1351" i="12"/>
  <c r="B1351" i="12"/>
  <c r="A1351" i="12"/>
  <c r="K1350" i="12"/>
  <c r="J1350" i="12"/>
  <c r="I1350" i="12"/>
  <c r="H1350" i="12"/>
  <c r="G1350" i="12"/>
  <c r="F1350" i="12"/>
  <c r="E1350" i="12"/>
  <c r="N1350" i="12" s="1"/>
  <c r="D1350" i="12"/>
  <c r="C1350" i="12"/>
  <c r="B1350" i="12"/>
  <c r="A1350" i="12"/>
  <c r="K1349" i="12"/>
  <c r="J1349" i="12"/>
  <c r="I1349" i="12"/>
  <c r="H1349" i="12"/>
  <c r="G1349" i="12"/>
  <c r="F1349" i="12"/>
  <c r="E1349" i="12"/>
  <c r="N1349" i="12" s="1"/>
  <c r="D1349" i="12"/>
  <c r="C1349" i="12"/>
  <c r="B1349" i="12"/>
  <c r="A1349" i="12"/>
  <c r="K1348" i="12"/>
  <c r="J1348" i="12"/>
  <c r="I1348" i="12"/>
  <c r="H1348" i="12"/>
  <c r="G1348" i="12"/>
  <c r="F1348" i="12"/>
  <c r="E1348" i="12"/>
  <c r="N1348" i="12" s="1"/>
  <c r="D1348" i="12"/>
  <c r="C1348" i="12"/>
  <c r="B1348" i="12"/>
  <c r="A1348" i="12"/>
  <c r="K1347" i="12"/>
  <c r="J1347" i="12"/>
  <c r="I1347" i="12"/>
  <c r="H1347" i="12"/>
  <c r="G1347" i="12"/>
  <c r="F1347" i="12"/>
  <c r="E1347" i="12"/>
  <c r="N1347" i="12" s="1"/>
  <c r="D1347" i="12"/>
  <c r="C1347" i="12"/>
  <c r="B1347" i="12"/>
  <c r="A1347" i="12"/>
  <c r="K1346" i="12"/>
  <c r="J1346" i="12"/>
  <c r="I1346" i="12"/>
  <c r="H1346" i="12"/>
  <c r="G1346" i="12"/>
  <c r="F1346" i="12"/>
  <c r="E1346" i="12"/>
  <c r="N1346" i="12" s="1"/>
  <c r="D1346" i="12"/>
  <c r="C1346" i="12"/>
  <c r="B1346" i="12"/>
  <c r="A1346" i="12"/>
  <c r="K1345" i="12"/>
  <c r="J1345" i="12"/>
  <c r="I1345" i="12"/>
  <c r="H1345" i="12"/>
  <c r="G1345" i="12"/>
  <c r="F1345" i="12"/>
  <c r="E1345" i="12"/>
  <c r="N1345" i="12" s="1"/>
  <c r="D1345" i="12"/>
  <c r="C1345" i="12"/>
  <c r="B1345" i="12"/>
  <c r="A1345" i="12"/>
  <c r="K1344" i="12"/>
  <c r="J1344" i="12"/>
  <c r="I1344" i="12"/>
  <c r="H1344" i="12"/>
  <c r="G1344" i="12"/>
  <c r="F1344" i="12"/>
  <c r="E1344" i="12"/>
  <c r="N1344" i="12" s="1"/>
  <c r="D1344" i="12"/>
  <c r="C1344" i="12"/>
  <c r="B1344" i="12"/>
  <c r="A1344" i="12"/>
  <c r="K1343" i="12"/>
  <c r="J1343" i="12"/>
  <c r="I1343" i="12"/>
  <c r="H1343" i="12"/>
  <c r="G1343" i="12"/>
  <c r="F1343" i="12"/>
  <c r="E1343" i="12"/>
  <c r="N1343" i="12" s="1"/>
  <c r="D1343" i="12"/>
  <c r="C1343" i="12"/>
  <c r="B1343" i="12"/>
  <c r="A1343" i="12"/>
  <c r="K1342" i="12"/>
  <c r="J1342" i="12"/>
  <c r="I1342" i="12"/>
  <c r="H1342" i="12"/>
  <c r="G1342" i="12"/>
  <c r="F1342" i="12"/>
  <c r="E1342" i="12"/>
  <c r="N1342" i="12" s="1"/>
  <c r="D1342" i="12"/>
  <c r="C1342" i="12"/>
  <c r="B1342" i="12"/>
  <c r="A1342" i="12"/>
  <c r="K1341" i="12"/>
  <c r="J1341" i="12"/>
  <c r="I1341" i="12"/>
  <c r="H1341" i="12"/>
  <c r="G1341" i="12"/>
  <c r="F1341" i="12"/>
  <c r="E1341" i="12"/>
  <c r="N1341" i="12" s="1"/>
  <c r="D1341" i="12"/>
  <c r="C1341" i="12"/>
  <c r="B1341" i="12"/>
  <c r="A1341" i="12"/>
  <c r="K1340" i="12"/>
  <c r="J1340" i="12"/>
  <c r="I1340" i="12"/>
  <c r="H1340" i="12"/>
  <c r="G1340" i="12"/>
  <c r="F1340" i="12"/>
  <c r="E1340" i="12"/>
  <c r="N1340" i="12" s="1"/>
  <c r="D1340" i="12"/>
  <c r="C1340" i="12"/>
  <c r="B1340" i="12"/>
  <c r="A1340" i="12"/>
  <c r="K1339" i="12"/>
  <c r="J1339" i="12"/>
  <c r="I1339" i="12"/>
  <c r="H1339" i="12"/>
  <c r="G1339" i="12"/>
  <c r="F1339" i="12"/>
  <c r="E1339" i="12"/>
  <c r="N1339" i="12" s="1"/>
  <c r="D1339" i="12"/>
  <c r="C1339" i="12"/>
  <c r="B1339" i="12"/>
  <c r="A1339" i="12"/>
  <c r="K1338" i="12"/>
  <c r="J1338" i="12"/>
  <c r="I1338" i="12"/>
  <c r="H1338" i="12"/>
  <c r="G1338" i="12"/>
  <c r="F1338" i="12"/>
  <c r="E1338" i="12"/>
  <c r="N1338" i="12" s="1"/>
  <c r="D1338" i="12"/>
  <c r="C1338" i="12"/>
  <c r="B1338" i="12"/>
  <c r="A1338" i="12"/>
  <c r="K1337" i="12"/>
  <c r="J1337" i="12"/>
  <c r="I1337" i="12"/>
  <c r="H1337" i="12"/>
  <c r="G1337" i="12"/>
  <c r="F1337" i="12"/>
  <c r="E1337" i="12"/>
  <c r="N1337" i="12" s="1"/>
  <c r="D1337" i="12"/>
  <c r="C1337" i="12"/>
  <c r="B1337" i="12"/>
  <c r="A1337" i="12"/>
  <c r="K1336" i="12"/>
  <c r="J1336" i="12"/>
  <c r="I1336" i="12"/>
  <c r="H1336" i="12"/>
  <c r="G1336" i="12"/>
  <c r="F1336" i="12"/>
  <c r="E1336" i="12"/>
  <c r="N1336" i="12" s="1"/>
  <c r="D1336" i="12"/>
  <c r="C1336" i="12"/>
  <c r="B1336" i="12"/>
  <c r="A1336" i="12"/>
  <c r="K1335" i="12"/>
  <c r="J1335" i="12"/>
  <c r="I1335" i="12"/>
  <c r="H1335" i="12"/>
  <c r="G1335" i="12"/>
  <c r="F1335" i="12"/>
  <c r="E1335" i="12"/>
  <c r="N1335" i="12" s="1"/>
  <c r="D1335" i="12"/>
  <c r="C1335" i="12"/>
  <c r="B1335" i="12"/>
  <c r="A1335" i="12"/>
  <c r="K1334" i="12"/>
  <c r="J1334" i="12"/>
  <c r="I1334" i="12"/>
  <c r="H1334" i="12"/>
  <c r="G1334" i="12"/>
  <c r="F1334" i="12"/>
  <c r="E1334" i="12"/>
  <c r="N1334" i="12" s="1"/>
  <c r="D1334" i="12"/>
  <c r="C1334" i="12"/>
  <c r="B1334" i="12"/>
  <c r="A1334" i="12"/>
  <c r="K1333" i="12"/>
  <c r="J1333" i="12"/>
  <c r="I1333" i="12"/>
  <c r="H1333" i="12"/>
  <c r="G1333" i="12"/>
  <c r="F1333" i="12"/>
  <c r="E1333" i="12"/>
  <c r="N1333" i="12" s="1"/>
  <c r="D1333" i="12"/>
  <c r="C1333" i="12"/>
  <c r="B1333" i="12"/>
  <c r="A1333" i="12"/>
  <c r="K1332" i="12"/>
  <c r="J1332" i="12"/>
  <c r="I1332" i="12"/>
  <c r="H1332" i="12"/>
  <c r="G1332" i="12"/>
  <c r="F1332" i="12"/>
  <c r="E1332" i="12"/>
  <c r="N1332" i="12" s="1"/>
  <c r="D1332" i="12"/>
  <c r="C1332" i="12"/>
  <c r="B1332" i="12"/>
  <c r="A1332" i="12"/>
  <c r="K1331" i="12"/>
  <c r="J1331" i="12"/>
  <c r="I1331" i="12"/>
  <c r="H1331" i="12"/>
  <c r="G1331" i="12"/>
  <c r="F1331" i="12"/>
  <c r="E1331" i="12"/>
  <c r="N1331" i="12" s="1"/>
  <c r="D1331" i="12"/>
  <c r="C1331" i="12"/>
  <c r="B1331" i="12"/>
  <c r="A1331" i="12"/>
  <c r="K1330" i="12"/>
  <c r="J1330" i="12"/>
  <c r="I1330" i="12"/>
  <c r="H1330" i="12"/>
  <c r="G1330" i="12"/>
  <c r="F1330" i="12"/>
  <c r="E1330" i="12"/>
  <c r="N1330" i="12" s="1"/>
  <c r="D1330" i="12"/>
  <c r="C1330" i="12"/>
  <c r="B1330" i="12"/>
  <c r="A1330" i="12"/>
  <c r="K1329" i="12"/>
  <c r="J1329" i="12"/>
  <c r="I1329" i="12"/>
  <c r="H1329" i="12"/>
  <c r="G1329" i="12"/>
  <c r="F1329" i="12"/>
  <c r="E1329" i="12"/>
  <c r="N1329" i="12" s="1"/>
  <c r="D1329" i="12"/>
  <c r="C1329" i="12"/>
  <c r="B1329" i="12"/>
  <c r="A1329" i="12"/>
  <c r="K1328" i="12"/>
  <c r="J1328" i="12"/>
  <c r="I1328" i="12"/>
  <c r="H1328" i="12"/>
  <c r="G1328" i="12"/>
  <c r="F1328" i="12"/>
  <c r="E1328" i="12"/>
  <c r="N1328" i="12" s="1"/>
  <c r="D1328" i="12"/>
  <c r="C1328" i="12"/>
  <c r="B1328" i="12"/>
  <c r="A1328" i="12"/>
  <c r="K1327" i="12"/>
  <c r="J1327" i="12"/>
  <c r="I1327" i="12"/>
  <c r="H1327" i="12"/>
  <c r="G1327" i="12"/>
  <c r="F1327" i="12"/>
  <c r="E1327" i="12"/>
  <c r="N1327" i="12" s="1"/>
  <c r="D1327" i="12"/>
  <c r="C1327" i="12"/>
  <c r="B1327" i="12"/>
  <c r="A1327" i="12"/>
  <c r="K1326" i="12"/>
  <c r="J1326" i="12"/>
  <c r="I1326" i="12"/>
  <c r="H1326" i="12"/>
  <c r="G1326" i="12"/>
  <c r="F1326" i="12"/>
  <c r="E1326" i="12"/>
  <c r="N1326" i="12" s="1"/>
  <c r="D1326" i="12"/>
  <c r="C1326" i="12"/>
  <c r="B1326" i="12"/>
  <c r="A1326" i="12"/>
  <c r="K1325" i="12"/>
  <c r="J1325" i="12"/>
  <c r="I1325" i="12"/>
  <c r="H1325" i="12"/>
  <c r="G1325" i="12"/>
  <c r="F1325" i="12"/>
  <c r="E1325" i="12"/>
  <c r="N1325" i="12" s="1"/>
  <c r="D1325" i="12"/>
  <c r="C1325" i="12"/>
  <c r="B1325" i="12"/>
  <c r="A1325" i="12"/>
  <c r="K1324" i="12"/>
  <c r="J1324" i="12"/>
  <c r="I1324" i="12"/>
  <c r="H1324" i="12"/>
  <c r="G1324" i="12"/>
  <c r="F1324" i="12"/>
  <c r="E1324" i="12"/>
  <c r="N1324" i="12" s="1"/>
  <c r="D1324" i="12"/>
  <c r="C1324" i="12"/>
  <c r="B1324" i="12"/>
  <c r="A1324" i="12"/>
  <c r="K1323" i="12"/>
  <c r="J1323" i="12"/>
  <c r="I1323" i="12"/>
  <c r="H1323" i="12"/>
  <c r="G1323" i="12"/>
  <c r="F1323" i="12"/>
  <c r="E1323" i="12"/>
  <c r="N1323" i="12" s="1"/>
  <c r="D1323" i="12"/>
  <c r="C1323" i="12"/>
  <c r="B1323" i="12"/>
  <c r="A1323" i="12"/>
  <c r="K1322" i="12"/>
  <c r="J1322" i="12"/>
  <c r="I1322" i="12"/>
  <c r="H1322" i="12"/>
  <c r="G1322" i="12"/>
  <c r="F1322" i="12"/>
  <c r="E1322" i="12"/>
  <c r="N1322" i="12" s="1"/>
  <c r="D1322" i="12"/>
  <c r="C1322" i="12"/>
  <c r="B1322" i="12"/>
  <c r="A1322" i="12"/>
  <c r="K1321" i="12"/>
  <c r="J1321" i="12"/>
  <c r="I1321" i="12"/>
  <c r="H1321" i="12"/>
  <c r="G1321" i="12"/>
  <c r="F1321" i="12"/>
  <c r="E1321" i="12"/>
  <c r="N1321" i="12" s="1"/>
  <c r="D1321" i="12"/>
  <c r="C1321" i="12"/>
  <c r="B1321" i="12"/>
  <c r="A1321" i="12"/>
  <c r="K1320" i="12"/>
  <c r="J1320" i="12"/>
  <c r="I1320" i="12"/>
  <c r="H1320" i="12"/>
  <c r="G1320" i="12"/>
  <c r="F1320" i="12"/>
  <c r="E1320" i="12"/>
  <c r="N1320" i="12" s="1"/>
  <c r="D1320" i="12"/>
  <c r="C1320" i="12"/>
  <c r="B1320" i="12"/>
  <c r="A1320" i="12"/>
  <c r="K1319" i="12"/>
  <c r="J1319" i="12"/>
  <c r="I1319" i="12"/>
  <c r="H1319" i="12"/>
  <c r="G1319" i="12"/>
  <c r="F1319" i="12"/>
  <c r="E1319" i="12"/>
  <c r="N1319" i="12" s="1"/>
  <c r="D1319" i="12"/>
  <c r="C1319" i="12"/>
  <c r="B1319" i="12"/>
  <c r="A1319" i="12"/>
  <c r="K1318" i="12"/>
  <c r="J1318" i="12"/>
  <c r="I1318" i="12"/>
  <c r="H1318" i="12"/>
  <c r="G1318" i="12"/>
  <c r="F1318" i="12"/>
  <c r="E1318" i="12"/>
  <c r="N1318" i="12" s="1"/>
  <c r="D1318" i="12"/>
  <c r="C1318" i="12"/>
  <c r="B1318" i="12"/>
  <c r="A1318" i="12"/>
  <c r="K1317" i="12"/>
  <c r="J1317" i="12"/>
  <c r="I1317" i="12"/>
  <c r="H1317" i="12"/>
  <c r="G1317" i="12"/>
  <c r="F1317" i="12"/>
  <c r="E1317" i="12"/>
  <c r="N1317" i="12" s="1"/>
  <c r="D1317" i="12"/>
  <c r="C1317" i="12"/>
  <c r="B1317" i="12"/>
  <c r="A1317" i="12"/>
  <c r="K1316" i="12"/>
  <c r="J1316" i="12"/>
  <c r="I1316" i="12"/>
  <c r="H1316" i="12"/>
  <c r="G1316" i="12"/>
  <c r="F1316" i="12"/>
  <c r="E1316" i="12"/>
  <c r="N1316" i="12" s="1"/>
  <c r="D1316" i="12"/>
  <c r="C1316" i="12"/>
  <c r="B1316" i="12"/>
  <c r="A1316" i="12"/>
  <c r="K1315" i="12"/>
  <c r="J1315" i="12"/>
  <c r="I1315" i="12"/>
  <c r="H1315" i="12"/>
  <c r="G1315" i="12"/>
  <c r="F1315" i="12"/>
  <c r="E1315" i="12"/>
  <c r="N1315" i="12" s="1"/>
  <c r="D1315" i="12"/>
  <c r="C1315" i="12"/>
  <c r="B1315" i="12"/>
  <c r="A1315" i="12"/>
  <c r="K1314" i="12"/>
  <c r="J1314" i="12"/>
  <c r="I1314" i="12"/>
  <c r="H1314" i="12"/>
  <c r="G1314" i="12"/>
  <c r="F1314" i="12"/>
  <c r="E1314" i="12"/>
  <c r="N1314" i="12" s="1"/>
  <c r="D1314" i="12"/>
  <c r="C1314" i="12"/>
  <c r="B1314" i="12"/>
  <c r="A1314" i="12"/>
  <c r="K1313" i="12"/>
  <c r="J1313" i="12"/>
  <c r="I1313" i="12"/>
  <c r="H1313" i="12"/>
  <c r="G1313" i="12"/>
  <c r="F1313" i="12"/>
  <c r="E1313" i="12"/>
  <c r="N1313" i="12" s="1"/>
  <c r="D1313" i="12"/>
  <c r="C1313" i="12"/>
  <c r="B1313" i="12"/>
  <c r="A1313" i="12"/>
  <c r="K1312" i="12"/>
  <c r="J1312" i="12"/>
  <c r="I1312" i="12"/>
  <c r="H1312" i="12"/>
  <c r="G1312" i="12"/>
  <c r="F1312" i="12"/>
  <c r="E1312" i="12"/>
  <c r="N1312" i="12" s="1"/>
  <c r="D1312" i="12"/>
  <c r="C1312" i="12"/>
  <c r="B1312" i="12"/>
  <c r="A1312" i="12"/>
  <c r="K1311" i="12"/>
  <c r="J1311" i="12"/>
  <c r="I1311" i="12"/>
  <c r="H1311" i="12"/>
  <c r="G1311" i="12"/>
  <c r="F1311" i="12"/>
  <c r="E1311" i="12"/>
  <c r="N1311" i="12" s="1"/>
  <c r="D1311" i="12"/>
  <c r="C1311" i="12"/>
  <c r="B1311" i="12"/>
  <c r="A1311" i="12"/>
  <c r="K1310" i="12"/>
  <c r="J1310" i="12"/>
  <c r="I1310" i="12"/>
  <c r="H1310" i="12"/>
  <c r="G1310" i="12"/>
  <c r="F1310" i="12"/>
  <c r="E1310" i="12"/>
  <c r="N1310" i="12" s="1"/>
  <c r="D1310" i="12"/>
  <c r="C1310" i="12"/>
  <c r="B1310" i="12"/>
  <c r="A1310" i="12"/>
  <c r="K1309" i="12"/>
  <c r="J1309" i="12"/>
  <c r="I1309" i="12"/>
  <c r="H1309" i="12"/>
  <c r="G1309" i="12"/>
  <c r="F1309" i="12"/>
  <c r="E1309" i="12"/>
  <c r="N1309" i="12" s="1"/>
  <c r="D1309" i="12"/>
  <c r="C1309" i="12"/>
  <c r="B1309" i="12"/>
  <c r="A1309" i="12"/>
  <c r="K1308" i="12"/>
  <c r="J1308" i="12"/>
  <c r="I1308" i="12"/>
  <c r="H1308" i="12"/>
  <c r="G1308" i="12"/>
  <c r="F1308" i="12"/>
  <c r="E1308" i="12"/>
  <c r="N1308" i="12" s="1"/>
  <c r="D1308" i="12"/>
  <c r="C1308" i="12"/>
  <c r="B1308" i="12"/>
  <c r="A1308" i="12"/>
  <c r="K1307" i="12"/>
  <c r="J1307" i="12"/>
  <c r="I1307" i="12"/>
  <c r="H1307" i="12"/>
  <c r="G1307" i="12"/>
  <c r="F1307" i="12"/>
  <c r="E1307" i="12"/>
  <c r="N1307" i="12" s="1"/>
  <c r="D1307" i="12"/>
  <c r="C1307" i="12"/>
  <c r="B1307" i="12"/>
  <c r="A1307" i="12"/>
  <c r="K1306" i="12"/>
  <c r="J1306" i="12"/>
  <c r="I1306" i="12"/>
  <c r="H1306" i="12"/>
  <c r="G1306" i="12"/>
  <c r="F1306" i="12"/>
  <c r="E1306" i="12"/>
  <c r="N1306" i="12" s="1"/>
  <c r="D1306" i="12"/>
  <c r="C1306" i="12"/>
  <c r="B1306" i="12"/>
  <c r="A1306" i="12"/>
  <c r="K1305" i="12"/>
  <c r="J1305" i="12"/>
  <c r="I1305" i="12"/>
  <c r="H1305" i="12"/>
  <c r="G1305" i="12"/>
  <c r="F1305" i="12"/>
  <c r="E1305" i="12"/>
  <c r="N1305" i="12" s="1"/>
  <c r="D1305" i="12"/>
  <c r="C1305" i="12"/>
  <c r="B1305" i="12"/>
  <c r="A1305" i="12"/>
  <c r="K1304" i="12"/>
  <c r="J1304" i="12"/>
  <c r="I1304" i="12"/>
  <c r="H1304" i="12"/>
  <c r="G1304" i="12"/>
  <c r="F1304" i="12"/>
  <c r="E1304" i="12"/>
  <c r="N1304" i="12" s="1"/>
  <c r="D1304" i="12"/>
  <c r="C1304" i="12"/>
  <c r="B1304" i="12"/>
  <c r="A1304" i="12"/>
  <c r="K1303" i="12"/>
  <c r="J1303" i="12"/>
  <c r="I1303" i="12"/>
  <c r="H1303" i="12"/>
  <c r="G1303" i="12"/>
  <c r="F1303" i="12"/>
  <c r="E1303" i="12"/>
  <c r="N1303" i="12" s="1"/>
  <c r="D1303" i="12"/>
  <c r="C1303" i="12"/>
  <c r="B1303" i="12"/>
  <c r="A1303" i="12"/>
  <c r="K1302" i="12"/>
  <c r="J1302" i="12"/>
  <c r="I1302" i="12"/>
  <c r="H1302" i="12"/>
  <c r="G1302" i="12"/>
  <c r="F1302" i="12"/>
  <c r="E1302" i="12"/>
  <c r="N1302" i="12" s="1"/>
  <c r="D1302" i="12"/>
  <c r="C1302" i="12"/>
  <c r="B1302" i="12"/>
  <c r="A1302" i="12"/>
  <c r="K1301" i="12"/>
  <c r="J1301" i="12"/>
  <c r="I1301" i="12"/>
  <c r="H1301" i="12"/>
  <c r="G1301" i="12"/>
  <c r="F1301" i="12"/>
  <c r="E1301" i="12"/>
  <c r="N1301" i="12" s="1"/>
  <c r="D1301" i="12"/>
  <c r="C1301" i="12"/>
  <c r="B1301" i="12"/>
  <c r="A1301" i="12"/>
  <c r="S1300" i="12"/>
  <c r="R1300" i="12"/>
  <c r="P1300" i="12"/>
  <c r="O1300" i="12"/>
  <c r="N1300" i="12"/>
  <c r="M1300" i="12"/>
  <c r="L1300" i="12"/>
  <c r="K1300" i="12"/>
  <c r="J1300" i="12"/>
  <c r="I1300" i="12"/>
  <c r="H1300" i="12"/>
  <c r="G1300" i="12"/>
  <c r="Q1300" i="12" s="1"/>
  <c r="F1300" i="12"/>
  <c r="E1300" i="12"/>
  <c r="D1300" i="12"/>
  <c r="C1300" i="12"/>
  <c r="B1300" i="12"/>
  <c r="A1300" i="12"/>
  <c r="K1299" i="12"/>
  <c r="J1299" i="12"/>
  <c r="I1299" i="12"/>
  <c r="H1299" i="12"/>
  <c r="G1299" i="12"/>
  <c r="F1299" i="12"/>
  <c r="E1299" i="12"/>
  <c r="N1299" i="12" s="1"/>
  <c r="D1299" i="12"/>
  <c r="C1299" i="12"/>
  <c r="B1299" i="12"/>
  <c r="A1299" i="12"/>
  <c r="K1298" i="12"/>
  <c r="J1298" i="12"/>
  <c r="I1298" i="12"/>
  <c r="H1298" i="12"/>
  <c r="G1298" i="12"/>
  <c r="F1298" i="12"/>
  <c r="E1298" i="12"/>
  <c r="N1298" i="12" s="1"/>
  <c r="D1298" i="12"/>
  <c r="C1298" i="12"/>
  <c r="B1298" i="12"/>
  <c r="A1298" i="12"/>
  <c r="K1297" i="12"/>
  <c r="J1297" i="12"/>
  <c r="I1297" i="12"/>
  <c r="H1297" i="12"/>
  <c r="G1297" i="12"/>
  <c r="F1297" i="12"/>
  <c r="E1297" i="12"/>
  <c r="N1297" i="12" s="1"/>
  <c r="D1297" i="12"/>
  <c r="C1297" i="12"/>
  <c r="B1297" i="12"/>
  <c r="A1297" i="12"/>
  <c r="K1296" i="12"/>
  <c r="J1296" i="12"/>
  <c r="I1296" i="12"/>
  <c r="H1296" i="12"/>
  <c r="G1296" i="12"/>
  <c r="F1296" i="12"/>
  <c r="E1296" i="12"/>
  <c r="N1296" i="12" s="1"/>
  <c r="D1296" i="12"/>
  <c r="C1296" i="12"/>
  <c r="B1296" i="12"/>
  <c r="A1296" i="12"/>
  <c r="K1295" i="12"/>
  <c r="J1295" i="12"/>
  <c r="I1295" i="12"/>
  <c r="H1295" i="12"/>
  <c r="G1295" i="12"/>
  <c r="F1295" i="12"/>
  <c r="E1295" i="12"/>
  <c r="N1295" i="12" s="1"/>
  <c r="D1295" i="12"/>
  <c r="C1295" i="12"/>
  <c r="B1295" i="12"/>
  <c r="A1295" i="12"/>
  <c r="K1294" i="12"/>
  <c r="J1294" i="12"/>
  <c r="I1294" i="12"/>
  <c r="H1294" i="12"/>
  <c r="G1294" i="12"/>
  <c r="F1294" i="12"/>
  <c r="E1294" i="12"/>
  <c r="N1294" i="12" s="1"/>
  <c r="D1294" i="12"/>
  <c r="C1294" i="12"/>
  <c r="B1294" i="12"/>
  <c r="A1294" i="12"/>
  <c r="K1293" i="12"/>
  <c r="J1293" i="12"/>
  <c r="I1293" i="12"/>
  <c r="H1293" i="12"/>
  <c r="G1293" i="12"/>
  <c r="F1293" i="12"/>
  <c r="E1293" i="12"/>
  <c r="N1293" i="12" s="1"/>
  <c r="D1293" i="12"/>
  <c r="C1293" i="12"/>
  <c r="B1293" i="12"/>
  <c r="A1293" i="12"/>
  <c r="K1292" i="12"/>
  <c r="J1292" i="12"/>
  <c r="I1292" i="12"/>
  <c r="H1292" i="12"/>
  <c r="G1292" i="12"/>
  <c r="F1292" i="12"/>
  <c r="E1292" i="12"/>
  <c r="N1292" i="12" s="1"/>
  <c r="D1292" i="12"/>
  <c r="C1292" i="12"/>
  <c r="B1292" i="12"/>
  <c r="A1292" i="12"/>
  <c r="K1291" i="12"/>
  <c r="J1291" i="12"/>
  <c r="I1291" i="12"/>
  <c r="H1291" i="12"/>
  <c r="G1291" i="12"/>
  <c r="F1291" i="12"/>
  <c r="E1291" i="12"/>
  <c r="N1291" i="12" s="1"/>
  <c r="D1291" i="12"/>
  <c r="C1291" i="12"/>
  <c r="B1291" i="12"/>
  <c r="A1291" i="12"/>
  <c r="K1290" i="12"/>
  <c r="J1290" i="12"/>
  <c r="I1290" i="12"/>
  <c r="H1290" i="12"/>
  <c r="G1290" i="12"/>
  <c r="F1290" i="12"/>
  <c r="E1290" i="12"/>
  <c r="N1290" i="12" s="1"/>
  <c r="D1290" i="12"/>
  <c r="C1290" i="12"/>
  <c r="B1290" i="12"/>
  <c r="A1290" i="12"/>
  <c r="K1289" i="12"/>
  <c r="J1289" i="12"/>
  <c r="I1289" i="12"/>
  <c r="H1289" i="12"/>
  <c r="G1289" i="12"/>
  <c r="F1289" i="12"/>
  <c r="E1289" i="12"/>
  <c r="N1289" i="12" s="1"/>
  <c r="D1289" i="12"/>
  <c r="C1289" i="12"/>
  <c r="B1289" i="12"/>
  <c r="A1289" i="12"/>
  <c r="K1288" i="12"/>
  <c r="J1288" i="12"/>
  <c r="I1288" i="12"/>
  <c r="H1288" i="12"/>
  <c r="G1288" i="12"/>
  <c r="F1288" i="12"/>
  <c r="E1288" i="12"/>
  <c r="N1288" i="12" s="1"/>
  <c r="D1288" i="12"/>
  <c r="C1288" i="12"/>
  <c r="B1288" i="12"/>
  <c r="A1288" i="12"/>
  <c r="K1287" i="12"/>
  <c r="J1287" i="12"/>
  <c r="I1287" i="12"/>
  <c r="H1287" i="12"/>
  <c r="G1287" i="12"/>
  <c r="F1287" i="12"/>
  <c r="E1287" i="12"/>
  <c r="N1287" i="12" s="1"/>
  <c r="D1287" i="12"/>
  <c r="C1287" i="12"/>
  <c r="B1287" i="12"/>
  <c r="A1287" i="12"/>
  <c r="K1286" i="12"/>
  <c r="J1286" i="12"/>
  <c r="I1286" i="12"/>
  <c r="H1286" i="12"/>
  <c r="G1286" i="12"/>
  <c r="F1286" i="12"/>
  <c r="E1286" i="12"/>
  <c r="N1286" i="12" s="1"/>
  <c r="D1286" i="12"/>
  <c r="C1286" i="12"/>
  <c r="B1286" i="12"/>
  <c r="A1286" i="12"/>
  <c r="K1285" i="12"/>
  <c r="J1285" i="12"/>
  <c r="I1285" i="12"/>
  <c r="H1285" i="12"/>
  <c r="G1285" i="12"/>
  <c r="F1285" i="12"/>
  <c r="E1285" i="12"/>
  <c r="N1285" i="12" s="1"/>
  <c r="D1285" i="12"/>
  <c r="C1285" i="12"/>
  <c r="B1285" i="12"/>
  <c r="A1285" i="12"/>
  <c r="K1284" i="12"/>
  <c r="J1284" i="12"/>
  <c r="I1284" i="12"/>
  <c r="H1284" i="12"/>
  <c r="G1284" i="12"/>
  <c r="F1284" i="12"/>
  <c r="E1284" i="12"/>
  <c r="N1284" i="12" s="1"/>
  <c r="D1284" i="12"/>
  <c r="C1284" i="12"/>
  <c r="B1284" i="12"/>
  <c r="A1284" i="12"/>
  <c r="K1283" i="12"/>
  <c r="J1283" i="12"/>
  <c r="I1283" i="12"/>
  <c r="H1283" i="12"/>
  <c r="G1283" i="12"/>
  <c r="F1283" i="12"/>
  <c r="E1283" i="12"/>
  <c r="N1283" i="12" s="1"/>
  <c r="D1283" i="12"/>
  <c r="C1283" i="12"/>
  <c r="B1283" i="12"/>
  <c r="A1283" i="12"/>
  <c r="K1282" i="12"/>
  <c r="J1282" i="12"/>
  <c r="I1282" i="12"/>
  <c r="H1282" i="12"/>
  <c r="G1282" i="12"/>
  <c r="F1282" i="12"/>
  <c r="E1282" i="12"/>
  <c r="N1282" i="12" s="1"/>
  <c r="D1282" i="12"/>
  <c r="C1282" i="12"/>
  <c r="B1282" i="12"/>
  <c r="A1282" i="12"/>
  <c r="K1281" i="12"/>
  <c r="J1281" i="12"/>
  <c r="I1281" i="12"/>
  <c r="H1281" i="12"/>
  <c r="G1281" i="12"/>
  <c r="F1281" i="12"/>
  <c r="E1281" i="12"/>
  <c r="N1281" i="12" s="1"/>
  <c r="D1281" i="12"/>
  <c r="C1281" i="12"/>
  <c r="B1281" i="12"/>
  <c r="A1281" i="12"/>
  <c r="K1280" i="12"/>
  <c r="J1280" i="12"/>
  <c r="I1280" i="12"/>
  <c r="H1280" i="12"/>
  <c r="G1280" i="12"/>
  <c r="F1280" i="12"/>
  <c r="E1280" i="12"/>
  <c r="N1280" i="12" s="1"/>
  <c r="D1280" i="12"/>
  <c r="C1280" i="12"/>
  <c r="B1280" i="12"/>
  <c r="A1280" i="12"/>
  <c r="K1279" i="12"/>
  <c r="J1279" i="12"/>
  <c r="I1279" i="12"/>
  <c r="H1279" i="12"/>
  <c r="G1279" i="12"/>
  <c r="F1279" i="12"/>
  <c r="E1279" i="12"/>
  <c r="N1279" i="12" s="1"/>
  <c r="D1279" i="12"/>
  <c r="C1279" i="12"/>
  <c r="B1279" i="12"/>
  <c r="A1279" i="12"/>
  <c r="K1278" i="12"/>
  <c r="J1278" i="12"/>
  <c r="I1278" i="12"/>
  <c r="H1278" i="12"/>
  <c r="G1278" i="12"/>
  <c r="F1278" i="12"/>
  <c r="E1278" i="12"/>
  <c r="N1278" i="12" s="1"/>
  <c r="D1278" i="12"/>
  <c r="C1278" i="12"/>
  <c r="B1278" i="12"/>
  <c r="A1278" i="12"/>
  <c r="K1277" i="12"/>
  <c r="J1277" i="12"/>
  <c r="I1277" i="12"/>
  <c r="H1277" i="12"/>
  <c r="G1277" i="12"/>
  <c r="F1277" i="12"/>
  <c r="E1277" i="12"/>
  <c r="N1277" i="12" s="1"/>
  <c r="D1277" i="12"/>
  <c r="C1277" i="12"/>
  <c r="B1277" i="12"/>
  <c r="A1277" i="12"/>
  <c r="K1276" i="12"/>
  <c r="J1276" i="12"/>
  <c r="I1276" i="12"/>
  <c r="H1276" i="12"/>
  <c r="G1276" i="12"/>
  <c r="F1276" i="12"/>
  <c r="E1276" i="12"/>
  <c r="N1276" i="12" s="1"/>
  <c r="D1276" i="12"/>
  <c r="C1276" i="12"/>
  <c r="B1276" i="12"/>
  <c r="A1276" i="12"/>
  <c r="K1275" i="12"/>
  <c r="J1275" i="12"/>
  <c r="I1275" i="12"/>
  <c r="H1275" i="12"/>
  <c r="G1275" i="12"/>
  <c r="F1275" i="12"/>
  <c r="E1275" i="12"/>
  <c r="N1275" i="12" s="1"/>
  <c r="D1275" i="12"/>
  <c r="C1275" i="12"/>
  <c r="B1275" i="12"/>
  <c r="A1275" i="12"/>
  <c r="K1274" i="12"/>
  <c r="J1274" i="12"/>
  <c r="I1274" i="12"/>
  <c r="H1274" i="12"/>
  <c r="G1274" i="12"/>
  <c r="F1274" i="12"/>
  <c r="E1274" i="12"/>
  <c r="N1274" i="12" s="1"/>
  <c r="D1274" i="12"/>
  <c r="C1274" i="12"/>
  <c r="B1274" i="12"/>
  <c r="A1274" i="12"/>
  <c r="K1273" i="12"/>
  <c r="J1273" i="12"/>
  <c r="I1273" i="12"/>
  <c r="H1273" i="12"/>
  <c r="G1273" i="12"/>
  <c r="F1273" i="12"/>
  <c r="E1273" i="12"/>
  <c r="N1273" i="12" s="1"/>
  <c r="D1273" i="12"/>
  <c r="C1273" i="12"/>
  <c r="B1273" i="12"/>
  <c r="A1273" i="12"/>
  <c r="K1272" i="12"/>
  <c r="J1272" i="12"/>
  <c r="I1272" i="12"/>
  <c r="H1272" i="12"/>
  <c r="G1272" i="12"/>
  <c r="F1272" i="12"/>
  <c r="E1272" i="12"/>
  <c r="N1272" i="12" s="1"/>
  <c r="D1272" i="12"/>
  <c r="C1272" i="12"/>
  <c r="B1272" i="12"/>
  <c r="A1272" i="12"/>
  <c r="K1271" i="12"/>
  <c r="J1271" i="12"/>
  <c r="I1271" i="12"/>
  <c r="H1271" i="12"/>
  <c r="G1271" i="12"/>
  <c r="F1271" i="12"/>
  <c r="E1271" i="12"/>
  <c r="N1271" i="12" s="1"/>
  <c r="D1271" i="12"/>
  <c r="C1271" i="12"/>
  <c r="B1271" i="12"/>
  <c r="A1271" i="12"/>
  <c r="K1270" i="12"/>
  <c r="J1270" i="12"/>
  <c r="I1270" i="12"/>
  <c r="H1270" i="12"/>
  <c r="G1270" i="12"/>
  <c r="F1270" i="12"/>
  <c r="E1270" i="12"/>
  <c r="N1270" i="12" s="1"/>
  <c r="D1270" i="12"/>
  <c r="C1270" i="12"/>
  <c r="B1270" i="12"/>
  <c r="A1270" i="12"/>
  <c r="K1269" i="12"/>
  <c r="J1269" i="12"/>
  <c r="I1269" i="12"/>
  <c r="H1269" i="12"/>
  <c r="G1269" i="12"/>
  <c r="F1269" i="12"/>
  <c r="E1269" i="12"/>
  <c r="N1269" i="12" s="1"/>
  <c r="D1269" i="12"/>
  <c r="C1269" i="12"/>
  <c r="B1269" i="12"/>
  <c r="A1269" i="12"/>
  <c r="K1268" i="12"/>
  <c r="J1268" i="12"/>
  <c r="I1268" i="12"/>
  <c r="H1268" i="12"/>
  <c r="G1268" i="12"/>
  <c r="F1268" i="12"/>
  <c r="E1268" i="12"/>
  <c r="N1268" i="12" s="1"/>
  <c r="D1268" i="12"/>
  <c r="C1268" i="12"/>
  <c r="B1268" i="12"/>
  <c r="A1268" i="12"/>
  <c r="K1267" i="12"/>
  <c r="J1267" i="12"/>
  <c r="I1267" i="12"/>
  <c r="H1267" i="12"/>
  <c r="G1267" i="12"/>
  <c r="F1267" i="12"/>
  <c r="E1267" i="12"/>
  <c r="N1267" i="12" s="1"/>
  <c r="D1267" i="12"/>
  <c r="C1267" i="12"/>
  <c r="B1267" i="12"/>
  <c r="A1267" i="12"/>
  <c r="K1266" i="12"/>
  <c r="J1266" i="12"/>
  <c r="I1266" i="12"/>
  <c r="H1266" i="12"/>
  <c r="G1266" i="12"/>
  <c r="F1266" i="12"/>
  <c r="E1266" i="12"/>
  <c r="N1266" i="12" s="1"/>
  <c r="D1266" i="12"/>
  <c r="C1266" i="12"/>
  <c r="B1266" i="12"/>
  <c r="A1266" i="12"/>
  <c r="K1265" i="12"/>
  <c r="J1265" i="12"/>
  <c r="I1265" i="12"/>
  <c r="H1265" i="12"/>
  <c r="G1265" i="12"/>
  <c r="F1265" i="12"/>
  <c r="E1265" i="12"/>
  <c r="N1265" i="12" s="1"/>
  <c r="D1265" i="12"/>
  <c r="C1265" i="12"/>
  <c r="B1265" i="12"/>
  <c r="A1265" i="12"/>
  <c r="K1264" i="12"/>
  <c r="J1264" i="12"/>
  <c r="I1264" i="12"/>
  <c r="H1264" i="12"/>
  <c r="G1264" i="12"/>
  <c r="F1264" i="12"/>
  <c r="E1264" i="12"/>
  <c r="N1264" i="12" s="1"/>
  <c r="D1264" i="12"/>
  <c r="C1264" i="12"/>
  <c r="B1264" i="12"/>
  <c r="A1264" i="12"/>
  <c r="K1263" i="12"/>
  <c r="J1263" i="12"/>
  <c r="I1263" i="12"/>
  <c r="H1263" i="12"/>
  <c r="G1263" i="12"/>
  <c r="F1263" i="12"/>
  <c r="E1263" i="12"/>
  <c r="N1263" i="12" s="1"/>
  <c r="D1263" i="12"/>
  <c r="C1263" i="12"/>
  <c r="B1263" i="12"/>
  <c r="A1263" i="12"/>
  <c r="K1262" i="12"/>
  <c r="J1262" i="12"/>
  <c r="I1262" i="12"/>
  <c r="H1262" i="12"/>
  <c r="G1262" i="12"/>
  <c r="F1262" i="12"/>
  <c r="E1262" i="12"/>
  <c r="N1262" i="12" s="1"/>
  <c r="D1262" i="12"/>
  <c r="C1262" i="12"/>
  <c r="B1262" i="12"/>
  <c r="A1262" i="12"/>
  <c r="K1261" i="12"/>
  <c r="J1261" i="12"/>
  <c r="I1261" i="12"/>
  <c r="H1261" i="12"/>
  <c r="G1261" i="12"/>
  <c r="F1261" i="12"/>
  <c r="E1261" i="12"/>
  <c r="N1261" i="12" s="1"/>
  <c r="D1261" i="12"/>
  <c r="C1261" i="12"/>
  <c r="B1261" i="12"/>
  <c r="A1261" i="12"/>
  <c r="K1260" i="12"/>
  <c r="J1260" i="12"/>
  <c r="I1260" i="12"/>
  <c r="H1260" i="12"/>
  <c r="G1260" i="12"/>
  <c r="F1260" i="12"/>
  <c r="E1260" i="12"/>
  <c r="N1260" i="12" s="1"/>
  <c r="D1260" i="12"/>
  <c r="C1260" i="12"/>
  <c r="B1260" i="12"/>
  <c r="A1260" i="12"/>
  <c r="K1259" i="12"/>
  <c r="J1259" i="12"/>
  <c r="I1259" i="12"/>
  <c r="H1259" i="12"/>
  <c r="G1259" i="12"/>
  <c r="F1259" i="12"/>
  <c r="E1259" i="12"/>
  <c r="N1259" i="12" s="1"/>
  <c r="D1259" i="12"/>
  <c r="C1259" i="12"/>
  <c r="B1259" i="12"/>
  <c r="A1259" i="12"/>
  <c r="K1258" i="12"/>
  <c r="J1258" i="12"/>
  <c r="I1258" i="12"/>
  <c r="H1258" i="12"/>
  <c r="G1258" i="12"/>
  <c r="F1258" i="12"/>
  <c r="E1258" i="12"/>
  <c r="N1258" i="12" s="1"/>
  <c r="D1258" i="12"/>
  <c r="C1258" i="12"/>
  <c r="B1258" i="12"/>
  <c r="A1258" i="12"/>
  <c r="K1257" i="12"/>
  <c r="J1257" i="12"/>
  <c r="I1257" i="12"/>
  <c r="H1257" i="12"/>
  <c r="G1257" i="12"/>
  <c r="F1257" i="12"/>
  <c r="E1257" i="12"/>
  <c r="N1257" i="12" s="1"/>
  <c r="D1257" i="12"/>
  <c r="C1257" i="12"/>
  <c r="B1257" i="12"/>
  <c r="A1257" i="12"/>
  <c r="K1256" i="12"/>
  <c r="J1256" i="12"/>
  <c r="I1256" i="12"/>
  <c r="H1256" i="12"/>
  <c r="G1256" i="12"/>
  <c r="F1256" i="12"/>
  <c r="E1256" i="12"/>
  <c r="N1256" i="12" s="1"/>
  <c r="D1256" i="12"/>
  <c r="C1256" i="12"/>
  <c r="B1256" i="12"/>
  <c r="A1256" i="12"/>
  <c r="K1255" i="12"/>
  <c r="J1255" i="12"/>
  <c r="I1255" i="12"/>
  <c r="H1255" i="12"/>
  <c r="G1255" i="12"/>
  <c r="F1255" i="12"/>
  <c r="E1255" i="12"/>
  <c r="N1255" i="12" s="1"/>
  <c r="D1255" i="12"/>
  <c r="C1255" i="12"/>
  <c r="B1255" i="12"/>
  <c r="A1255" i="12"/>
  <c r="K1254" i="12"/>
  <c r="J1254" i="12"/>
  <c r="I1254" i="12"/>
  <c r="H1254" i="12"/>
  <c r="G1254" i="12"/>
  <c r="F1254" i="12"/>
  <c r="E1254" i="12"/>
  <c r="N1254" i="12" s="1"/>
  <c r="D1254" i="12"/>
  <c r="C1254" i="12"/>
  <c r="B1254" i="12"/>
  <c r="A1254" i="12"/>
  <c r="K1253" i="12"/>
  <c r="J1253" i="12"/>
  <c r="I1253" i="12"/>
  <c r="H1253" i="12"/>
  <c r="G1253" i="12"/>
  <c r="F1253" i="12"/>
  <c r="E1253" i="12"/>
  <c r="N1253" i="12" s="1"/>
  <c r="D1253" i="12"/>
  <c r="C1253" i="12"/>
  <c r="B1253" i="12"/>
  <c r="A1253" i="12"/>
  <c r="K1252" i="12"/>
  <c r="J1252" i="12"/>
  <c r="I1252" i="12"/>
  <c r="H1252" i="12"/>
  <c r="G1252" i="12"/>
  <c r="F1252" i="12"/>
  <c r="E1252" i="12"/>
  <c r="N1252" i="12" s="1"/>
  <c r="D1252" i="12"/>
  <c r="C1252" i="12"/>
  <c r="B1252" i="12"/>
  <c r="A1252" i="12"/>
  <c r="K1251" i="12"/>
  <c r="J1251" i="12"/>
  <c r="I1251" i="12"/>
  <c r="H1251" i="12"/>
  <c r="G1251" i="12"/>
  <c r="F1251" i="12"/>
  <c r="E1251" i="12"/>
  <c r="N1251" i="12" s="1"/>
  <c r="D1251" i="12"/>
  <c r="C1251" i="12"/>
  <c r="B1251" i="12"/>
  <c r="A1251" i="12"/>
  <c r="K1250" i="12"/>
  <c r="J1250" i="12"/>
  <c r="I1250" i="12"/>
  <c r="H1250" i="12"/>
  <c r="G1250" i="12"/>
  <c r="F1250" i="12"/>
  <c r="E1250" i="12"/>
  <c r="N1250" i="12" s="1"/>
  <c r="D1250" i="12"/>
  <c r="C1250" i="12"/>
  <c r="B1250" i="12"/>
  <c r="A1250" i="12"/>
  <c r="K1249" i="12"/>
  <c r="J1249" i="12"/>
  <c r="I1249" i="12"/>
  <c r="H1249" i="12"/>
  <c r="G1249" i="12"/>
  <c r="F1249" i="12"/>
  <c r="E1249" i="12"/>
  <c r="N1249" i="12" s="1"/>
  <c r="D1249" i="12"/>
  <c r="C1249" i="12"/>
  <c r="B1249" i="12"/>
  <c r="A1249" i="12"/>
  <c r="K1248" i="12"/>
  <c r="J1248" i="12"/>
  <c r="I1248" i="12"/>
  <c r="H1248" i="12"/>
  <c r="G1248" i="12"/>
  <c r="F1248" i="12"/>
  <c r="E1248" i="12"/>
  <c r="N1248" i="12" s="1"/>
  <c r="D1248" i="12"/>
  <c r="C1248" i="12"/>
  <c r="B1248" i="12"/>
  <c r="A1248" i="12"/>
  <c r="K1247" i="12"/>
  <c r="J1247" i="12"/>
  <c r="I1247" i="12"/>
  <c r="H1247" i="12"/>
  <c r="G1247" i="12"/>
  <c r="F1247" i="12"/>
  <c r="E1247" i="12"/>
  <c r="N1247" i="12" s="1"/>
  <c r="D1247" i="12"/>
  <c r="C1247" i="12"/>
  <c r="B1247" i="12"/>
  <c r="A1247" i="12"/>
  <c r="K1246" i="12"/>
  <c r="J1246" i="12"/>
  <c r="I1246" i="12"/>
  <c r="H1246" i="12"/>
  <c r="G1246" i="12"/>
  <c r="F1246" i="12"/>
  <c r="E1246" i="12"/>
  <c r="N1246" i="12" s="1"/>
  <c r="D1246" i="12"/>
  <c r="C1246" i="12"/>
  <c r="B1246" i="12"/>
  <c r="A1246" i="12"/>
  <c r="K1245" i="12"/>
  <c r="J1245" i="12"/>
  <c r="I1245" i="12"/>
  <c r="H1245" i="12"/>
  <c r="G1245" i="12"/>
  <c r="F1245" i="12"/>
  <c r="E1245" i="12"/>
  <c r="N1245" i="12" s="1"/>
  <c r="D1245" i="12"/>
  <c r="C1245" i="12"/>
  <c r="B1245" i="12"/>
  <c r="A1245" i="12"/>
  <c r="K1244" i="12"/>
  <c r="J1244" i="12"/>
  <c r="I1244" i="12"/>
  <c r="H1244" i="12"/>
  <c r="G1244" i="12"/>
  <c r="F1244" i="12"/>
  <c r="E1244" i="12"/>
  <c r="N1244" i="12" s="1"/>
  <c r="D1244" i="12"/>
  <c r="C1244" i="12"/>
  <c r="B1244" i="12"/>
  <c r="A1244" i="12"/>
  <c r="K1243" i="12"/>
  <c r="J1243" i="12"/>
  <c r="I1243" i="12"/>
  <c r="H1243" i="12"/>
  <c r="G1243" i="12"/>
  <c r="F1243" i="12"/>
  <c r="E1243" i="12"/>
  <c r="N1243" i="12" s="1"/>
  <c r="D1243" i="12"/>
  <c r="C1243" i="12"/>
  <c r="B1243" i="12"/>
  <c r="A1243" i="12"/>
  <c r="K1242" i="12"/>
  <c r="J1242" i="12"/>
  <c r="I1242" i="12"/>
  <c r="H1242" i="12"/>
  <c r="G1242" i="12"/>
  <c r="F1242" i="12"/>
  <c r="E1242" i="12"/>
  <c r="N1242" i="12" s="1"/>
  <c r="D1242" i="12"/>
  <c r="C1242" i="12"/>
  <c r="B1242" i="12"/>
  <c r="A1242" i="12"/>
  <c r="K1241" i="12"/>
  <c r="J1241" i="12"/>
  <c r="I1241" i="12"/>
  <c r="H1241" i="12"/>
  <c r="G1241" i="12"/>
  <c r="F1241" i="12"/>
  <c r="E1241" i="12"/>
  <c r="N1241" i="12" s="1"/>
  <c r="D1241" i="12"/>
  <c r="C1241" i="12"/>
  <c r="B1241" i="12"/>
  <c r="A1241" i="12"/>
  <c r="K1240" i="12"/>
  <c r="J1240" i="12"/>
  <c r="I1240" i="12"/>
  <c r="H1240" i="12"/>
  <c r="G1240" i="12"/>
  <c r="F1240" i="12"/>
  <c r="E1240" i="12"/>
  <c r="N1240" i="12" s="1"/>
  <c r="D1240" i="12"/>
  <c r="C1240" i="12"/>
  <c r="B1240" i="12"/>
  <c r="A1240" i="12"/>
  <c r="K1239" i="12"/>
  <c r="J1239" i="12"/>
  <c r="I1239" i="12"/>
  <c r="H1239" i="12"/>
  <c r="G1239" i="12"/>
  <c r="F1239" i="12"/>
  <c r="E1239" i="12"/>
  <c r="N1239" i="12" s="1"/>
  <c r="D1239" i="12"/>
  <c r="C1239" i="12"/>
  <c r="B1239" i="12"/>
  <c r="A1239" i="12"/>
  <c r="K1238" i="12"/>
  <c r="J1238" i="12"/>
  <c r="I1238" i="12"/>
  <c r="H1238" i="12"/>
  <c r="G1238" i="12"/>
  <c r="F1238" i="12"/>
  <c r="E1238" i="12"/>
  <c r="N1238" i="12" s="1"/>
  <c r="D1238" i="12"/>
  <c r="C1238" i="12"/>
  <c r="B1238" i="12"/>
  <c r="A1238" i="12"/>
  <c r="K1237" i="12"/>
  <c r="J1237" i="12"/>
  <c r="I1237" i="12"/>
  <c r="H1237" i="12"/>
  <c r="G1237" i="12"/>
  <c r="F1237" i="12"/>
  <c r="E1237" i="12"/>
  <c r="N1237" i="12" s="1"/>
  <c r="D1237" i="12"/>
  <c r="C1237" i="12"/>
  <c r="B1237" i="12"/>
  <c r="A1237" i="12"/>
  <c r="S1236" i="12"/>
  <c r="R1236" i="12"/>
  <c r="P1236" i="12"/>
  <c r="O1236" i="12"/>
  <c r="N1236" i="12"/>
  <c r="M1236" i="12"/>
  <c r="Q1236" i="12" s="1"/>
  <c r="L1236" i="12"/>
  <c r="K1236" i="12"/>
  <c r="J1236" i="12"/>
  <c r="I1236" i="12"/>
  <c r="H1236" i="12"/>
  <c r="G1236" i="12"/>
  <c r="F1236" i="12"/>
  <c r="E1236" i="12"/>
  <c r="D1236" i="12"/>
  <c r="C1236" i="12"/>
  <c r="B1236" i="12"/>
  <c r="A1236" i="12"/>
  <c r="K1235" i="12"/>
  <c r="J1235" i="12"/>
  <c r="I1235" i="12"/>
  <c r="H1235" i="12"/>
  <c r="G1235" i="12"/>
  <c r="F1235" i="12"/>
  <c r="E1235" i="12"/>
  <c r="N1235" i="12" s="1"/>
  <c r="D1235" i="12"/>
  <c r="C1235" i="12"/>
  <c r="B1235" i="12"/>
  <c r="A1235" i="12"/>
  <c r="K1234" i="12"/>
  <c r="J1234" i="12"/>
  <c r="I1234" i="12"/>
  <c r="H1234" i="12"/>
  <c r="G1234" i="12"/>
  <c r="F1234" i="12"/>
  <c r="E1234" i="12"/>
  <c r="N1234" i="12" s="1"/>
  <c r="D1234" i="12"/>
  <c r="C1234" i="12"/>
  <c r="B1234" i="12"/>
  <c r="A1234" i="12"/>
  <c r="K1233" i="12"/>
  <c r="J1233" i="12"/>
  <c r="I1233" i="12"/>
  <c r="H1233" i="12"/>
  <c r="G1233" i="12"/>
  <c r="F1233" i="12"/>
  <c r="E1233" i="12"/>
  <c r="N1233" i="12" s="1"/>
  <c r="D1233" i="12"/>
  <c r="C1233" i="12"/>
  <c r="B1233" i="12"/>
  <c r="A1233" i="12"/>
  <c r="K1232" i="12"/>
  <c r="J1232" i="12"/>
  <c r="I1232" i="12"/>
  <c r="H1232" i="12"/>
  <c r="G1232" i="12"/>
  <c r="F1232" i="12"/>
  <c r="E1232" i="12"/>
  <c r="N1232" i="12" s="1"/>
  <c r="D1232" i="12"/>
  <c r="C1232" i="12"/>
  <c r="B1232" i="12"/>
  <c r="A1232" i="12"/>
  <c r="K1231" i="12"/>
  <c r="J1231" i="12"/>
  <c r="I1231" i="12"/>
  <c r="H1231" i="12"/>
  <c r="G1231" i="12"/>
  <c r="F1231" i="12"/>
  <c r="E1231" i="12"/>
  <c r="N1231" i="12" s="1"/>
  <c r="D1231" i="12"/>
  <c r="C1231" i="12"/>
  <c r="B1231" i="12"/>
  <c r="A1231" i="12"/>
  <c r="K1230" i="12"/>
  <c r="J1230" i="12"/>
  <c r="I1230" i="12"/>
  <c r="H1230" i="12"/>
  <c r="G1230" i="12"/>
  <c r="F1230" i="12"/>
  <c r="E1230" i="12"/>
  <c r="N1230" i="12" s="1"/>
  <c r="D1230" i="12"/>
  <c r="C1230" i="12"/>
  <c r="B1230" i="12"/>
  <c r="A1230" i="12"/>
  <c r="K1229" i="12"/>
  <c r="J1229" i="12"/>
  <c r="I1229" i="12"/>
  <c r="H1229" i="12"/>
  <c r="G1229" i="12"/>
  <c r="F1229" i="12"/>
  <c r="E1229" i="12"/>
  <c r="N1229" i="12" s="1"/>
  <c r="D1229" i="12"/>
  <c r="C1229" i="12"/>
  <c r="B1229" i="12"/>
  <c r="A1229" i="12"/>
  <c r="K1228" i="12"/>
  <c r="J1228" i="12"/>
  <c r="I1228" i="12"/>
  <c r="H1228" i="12"/>
  <c r="G1228" i="12"/>
  <c r="F1228" i="12"/>
  <c r="E1228" i="12"/>
  <c r="N1228" i="12" s="1"/>
  <c r="D1228" i="12"/>
  <c r="C1228" i="12"/>
  <c r="B1228" i="12"/>
  <c r="A1228" i="12"/>
  <c r="K1227" i="12"/>
  <c r="J1227" i="12"/>
  <c r="I1227" i="12"/>
  <c r="H1227" i="12"/>
  <c r="G1227" i="12"/>
  <c r="F1227" i="12"/>
  <c r="E1227" i="12"/>
  <c r="N1227" i="12" s="1"/>
  <c r="D1227" i="12"/>
  <c r="C1227" i="12"/>
  <c r="B1227" i="12"/>
  <c r="A1227" i="12"/>
  <c r="K1226" i="12"/>
  <c r="J1226" i="12"/>
  <c r="I1226" i="12"/>
  <c r="H1226" i="12"/>
  <c r="G1226" i="12"/>
  <c r="F1226" i="12"/>
  <c r="E1226" i="12"/>
  <c r="N1226" i="12" s="1"/>
  <c r="D1226" i="12"/>
  <c r="C1226" i="12"/>
  <c r="B1226" i="12"/>
  <c r="A1226" i="12"/>
  <c r="K1225" i="12"/>
  <c r="J1225" i="12"/>
  <c r="I1225" i="12"/>
  <c r="H1225" i="12"/>
  <c r="G1225" i="12"/>
  <c r="F1225" i="12"/>
  <c r="E1225" i="12"/>
  <c r="N1225" i="12" s="1"/>
  <c r="D1225" i="12"/>
  <c r="C1225" i="12"/>
  <c r="B1225" i="12"/>
  <c r="A1225" i="12"/>
  <c r="K1224" i="12"/>
  <c r="J1224" i="12"/>
  <c r="I1224" i="12"/>
  <c r="H1224" i="12"/>
  <c r="G1224" i="12"/>
  <c r="F1224" i="12"/>
  <c r="E1224" i="12"/>
  <c r="N1224" i="12" s="1"/>
  <c r="D1224" i="12"/>
  <c r="C1224" i="12"/>
  <c r="B1224" i="12"/>
  <c r="A1224" i="12"/>
  <c r="K1223" i="12"/>
  <c r="J1223" i="12"/>
  <c r="I1223" i="12"/>
  <c r="H1223" i="12"/>
  <c r="G1223" i="12"/>
  <c r="F1223" i="12"/>
  <c r="E1223" i="12"/>
  <c r="N1223" i="12" s="1"/>
  <c r="D1223" i="12"/>
  <c r="C1223" i="12"/>
  <c r="B1223" i="12"/>
  <c r="A1223" i="12"/>
  <c r="K1222" i="12"/>
  <c r="J1222" i="12"/>
  <c r="I1222" i="12"/>
  <c r="H1222" i="12"/>
  <c r="G1222" i="12"/>
  <c r="F1222" i="12"/>
  <c r="E1222" i="12"/>
  <c r="N1222" i="12" s="1"/>
  <c r="D1222" i="12"/>
  <c r="C1222" i="12"/>
  <c r="B1222" i="12"/>
  <c r="A1222" i="12"/>
  <c r="K1221" i="12"/>
  <c r="J1221" i="12"/>
  <c r="I1221" i="12"/>
  <c r="H1221" i="12"/>
  <c r="G1221" i="12"/>
  <c r="F1221" i="12"/>
  <c r="E1221" i="12"/>
  <c r="N1221" i="12" s="1"/>
  <c r="D1221" i="12"/>
  <c r="C1221" i="12"/>
  <c r="B1221" i="12"/>
  <c r="A1221" i="12"/>
  <c r="K1220" i="12"/>
  <c r="J1220" i="12"/>
  <c r="I1220" i="12"/>
  <c r="H1220" i="12"/>
  <c r="G1220" i="12"/>
  <c r="F1220" i="12"/>
  <c r="E1220" i="12"/>
  <c r="N1220" i="12" s="1"/>
  <c r="D1220" i="12"/>
  <c r="C1220" i="12"/>
  <c r="B1220" i="12"/>
  <c r="A1220" i="12"/>
  <c r="K1219" i="12"/>
  <c r="J1219" i="12"/>
  <c r="I1219" i="12"/>
  <c r="H1219" i="12"/>
  <c r="G1219" i="12"/>
  <c r="F1219" i="12"/>
  <c r="E1219" i="12"/>
  <c r="N1219" i="12" s="1"/>
  <c r="D1219" i="12"/>
  <c r="C1219" i="12"/>
  <c r="B1219" i="12"/>
  <c r="A1219" i="12"/>
  <c r="K1218" i="12"/>
  <c r="J1218" i="12"/>
  <c r="I1218" i="12"/>
  <c r="H1218" i="12"/>
  <c r="G1218" i="12"/>
  <c r="F1218" i="12"/>
  <c r="E1218" i="12"/>
  <c r="N1218" i="12" s="1"/>
  <c r="D1218" i="12"/>
  <c r="C1218" i="12"/>
  <c r="B1218" i="12"/>
  <c r="A1218" i="12"/>
  <c r="K1217" i="12"/>
  <c r="J1217" i="12"/>
  <c r="I1217" i="12"/>
  <c r="H1217" i="12"/>
  <c r="G1217" i="12"/>
  <c r="F1217" i="12"/>
  <c r="E1217" i="12"/>
  <c r="N1217" i="12" s="1"/>
  <c r="D1217" i="12"/>
  <c r="C1217" i="12"/>
  <c r="B1217" i="12"/>
  <c r="A1217" i="12"/>
  <c r="K1216" i="12"/>
  <c r="J1216" i="12"/>
  <c r="I1216" i="12"/>
  <c r="H1216" i="12"/>
  <c r="G1216" i="12"/>
  <c r="F1216" i="12"/>
  <c r="E1216" i="12"/>
  <c r="N1216" i="12" s="1"/>
  <c r="D1216" i="12"/>
  <c r="C1216" i="12"/>
  <c r="B1216" i="12"/>
  <c r="A1216" i="12"/>
  <c r="K1215" i="12"/>
  <c r="J1215" i="12"/>
  <c r="I1215" i="12"/>
  <c r="H1215" i="12"/>
  <c r="G1215" i="12"/>
  <c r="F1215" i="12"/>
  <c r="E1215" i="12"/>
  <c r="N1215" i="12" s="1"/>
  <c r="D1215" i="12"/>
  <c r="C1215" i="12"/>
  <c r="B1215" i="12"/>
  <c r="A1215" i="12"/>
  <c r="K1214" i="12"/>
  <c r="J1214" i="12"/>
  <c r="I1214" i="12"/>
  <c r="H1214" i="12"/>
  <c r="G1214" i="12"/>
  <c r="F1214" i="12"/>
  <c r="E1214" i="12"/>
  <c r="N1214" i="12" s="1"/>
  <c r="D1214" i="12"/>
  <c r="C1214" i="12"/>
  <c r="B1214" i="12"/>
  <c r="A1214" i="12"/>
  <c r="K1213" i="12"/>
  <c r="J1213" i="12"/>
  <c r="I1213" i="12"/>
  <c r="H1213" i="12"/>
  <c r="G1213" i="12"/>
  <c r="F1213" i="12"/>
  <c r="E1213" i="12"/>
  <c r="N1213" i="12" s="1"/>
  <c r="D1213" i="12"/>
  <c r="C1213" i="12"/>
  <c r="B1213" i="12"/>
  <c r="A1213" i="12"/>
  <c r="K1212" i="12"/>
  <c r="J1212" i="12"/>
  <c r="I1212" i="12"/>
  <c r="H1212" i="12"/>
  <c r="G1212" i="12"/>
  <c r="F1212" i="12"/>
  <c r="E1212" i="12"/>
  <c r="N1212" i="12" s="1"/>
  <c r="D1212" i="12"/>
  <c r="C1212" i="12"/>
  <c r="B1212" i="12"/>
  <c r="A1212" i="12"/>
  <c r="K1211" i="12"/>
  <c r="J1211" i="12"/>
  <c r="I1211" i="12"/>
  <c r="H1211" i="12"/>
  <c r="G1211" i="12"/>
  <c r="F1211" i="12"/>
  <c r="E1211" i="12"/>
  <c r="N1211" i="12" s="1"/>
  <c r="D1211" i="12"/>
  <c r="C1211" i="12"/>
  <c r="B1211" i="12"/>
  <c r="A1211" i="12"/>
  <c r="K1210" i="12"/>
  <c r="J1210" i="12"/>
  <c r="I1210" i="12"/>
  <c r="H1210" i="12"/>
  <c r="G1210" i="12"/>
  <c r="F1210" i="12"/>
  <c r="E1210" i="12"/>
  <c r="N1210" i="12" s="1"/>
  <c r="D1210" i="12"/>
  <c r="C1210" i="12"/>
  <c r="B1210" i="12"/>
  <c r="A1210" i="12"/>
  <c r="K1209" i="12"/>
  <c r="J1209" i="12"/>
  <c r="I1209" i="12"/>
  <c r="H1209" i="12"/>
  <c r="G1209" i="12"/>
  <c r="F1209" i="12"/>
  <c r="E1209" i="12"/>
  <c r="N1209" i="12" s="1"/>
  <c r="D1209" i="12"/>
  <c r="C1209" i="12"/>
  <c r="B1209" i="12"/>
  <c r="A1209" i="12"/>
  <c r="K1208" i="12"/>
  <c r="J1208" i="12"/>
  <c r="I1208" i="12"/>
  <c r="H1208" i="12"/>
  <c r="G1208" i="12"/>
  <c r="F1208" i="12"/>
  <c r="E1208" i="12"/>
  <c r="N1208" i="12" s="1"/>
  <c r="D1208" i="12"/>
  <c r="C1208" i="12"/>
  <c r="B1208" i="12"/>
  <c r="A1208" i="12"/>
  <c r="K1207" i="12"/>
  <c r="J1207" i="12"/>
  <c r="I1207" i="12"/>
  <c r="H1207" i="12"/>
  <c r="G1207" i="12"/>
  <c r="F1207" i="12"/>
  <c r="E1207" i="12"/>
  <c r="N1207" i="12" s="1"/>
  <c r="D1207" i="12"/>
  <c r="C1207" i="12"/>
  <c r="B1207" i="12"/>
  <c r="A1207" i="12"/>
  <c r="K1206" i="12"/>
  <c r="J1206" i="12"/>
  <c r="I1206" i="12"/>
  <c r="H1206" i="12"/>
  <c r="G1206" i="12"/>
  <c r="F1206" i="12"/>
  <c r="E1206" i="12"/>
  <c r="N1206" i="12" s="1"/>
  <c r="D1206" i="12"/>
  <c r="C1206" i="12"/>
  <c r="B1206" i="12"/>
  <c r="A1206" i="12"/>
  <c r="K1205" i="12"/>
  <c r="J1205" i="12"/>
  <c r="I1205" i="12"/>
  <c r="H1205" i="12"/>
  <c r="G1205" i="12"/>
  <c r="F1205" i="12"/>
  <c r="E1205" i="12"/>
  <c r="N1205" i="12" s="1"/>
  <c r="D1205" i="12"/>
  <c r="C1205" i="12"/>
  <c r="B1205" i="12"/>
  <c r="A1205" i="12"/>
  <c r="K1204" i="12"/>
  <c r="J1204" i="12"/>
  <c r="I1204" i="12"/>
  <c r="H1204" i="12"/>
  <c r="G1204" i="12"/>
  <c r="F1204" i="12"/>
  <c r="E1204" i="12"/>
  <c r="N1204" i="12" s="1"/>
  <c r="D1204" i="12"/>
  <c r="C1204" i="12"/>
  <c r="B1204" i="12"/>
  <c r="A1204" i="12"/>
  <c r="K1203" i="12"/>
  <c r="J1203" i="12"/>
  <c r="I1203" i="12"/>
  <c r="H1203" i="12"/>
  <c r="G1203" i="12"/>
  <c r="F1203" i="12"/>
  <c r="E1203" i="12"/>
  <c r="N1203" i="12" s="1"/>
  <c r="D1203" i="12"/>
  <c r="C1203" i="12"/>
  <c r="B1203" i="12"/>
  <c r="A1203" i="12"/>
  <c r="K1202" i="12"/>
  <c r="J1202" i="12"/>
  <c r="I1202" i="12"/>
  <c r="H1202" i="12"/>
  <c r="G1202" i="12"/>
  <c r="F1202" i="12"/>
  <c r="E1202" i="12"/>
  <c r="N1202" i="12" s="1"/>
  <c r="D1202" i="12"/>
  <c r="C1202" i="12"/>
  <c r="B1202" i="12"/>
  <c r="A1202" i="12"/>
  <c r="K1201" i="12"/>
  <c r="J1201" i="12"/>
  <c r="I1201" i="12"/>
  <c r="H1201" i="12"/>
  <c r="G1201" i="12"/>
  <c r="F1201" i="12"/>
  <c r="E1201" i="12"/>
  <c r="N1201" i="12" s="1"/>
  <c r="D1201" i="12"/>
  <c r="C1201" i="12"/>
  <c r="B1201" i="12"/>
  <c r="A1201" i="12"/>
  <c r="K1200" i="12"/>
  <c r="J1200" i="12"/>
  <c r="I1200" i="12"/>
  <c r="H1200" i="12"/>
  <c r="G1200" i="12"/>
  <c r="F1200" i="12"/>
  <c r="E1200" i="12"/>
  <c r="N1200" i="12" s="1"/>
  <c r="D1200" i="12"/>
  <c r="C1200" i="12"/>
  <c r="B1200" i="12"/>
  <c r="A1200" i="12"/>
  <c r="K1199" i="12"/>
  <c r="J1199" i="12"/>
  <c r="I1199" i="12"/>
  <c r="H1199" i="12"/>
  <c r="G1199" i="12"/>
  <c r="F1199" i="12"/>
  <c r="E1199" i="12"/>
  <c r="N1199" i="12" s="1"/>
  <c r="D1199" i="12"/>
  <c r="C1199" i="12"/>
  <c r="B1199" i="12"/>
  <c r="A1199" i="12"/>
  <c r="K1198" i="12"/>
  <c r="J1198" i="12"/>
  <c r="I1198" i="12"/>
  <c r="H1198" i="12"/>
  <c r="G1198" i="12"/>
  <c r="F1198" i="12"/>
  <c r="E1198" i="12"/>
  <c r="N1198" i="12" s="1"/>
  <c r="D1198" i="12"/>
  <c r="C1198" i="12"/>
  <c r="B1198" i="12"/>
  <c r="A1198" i="12"/>
  <c r="K1197" i="12"/>
  <c r="J1197" i="12"/>
  <c r="I1197" i="12"/>
  <c r="H1197" i="12"/>
  <c r="G1197" i="12"/>
  <c r="F1197" i="12"/>
  <c r="E1197" i="12"/>
  <c r="N1197" i="12" s="1"/>
  <c r="D1197" i="12"/>
  <c r="C1197" i="12"/>
  <c r="B1197" i="12"/>
  <c r="A1197" i="12"/>
  <c r="K1196" i="12"/>
  <c r="J1196" i="12"/>
  <c r="I1196" i="12"/>
  <c r="H1196" i="12"/>
  <c r="G1196" i="12"/>
  <c r="F1196" i="12"/>
  <c r="E1196" i="12"/>
  <c r="N1196" i="12" s="1"/>
  <c r="D1196" i="12"/>
  <c r="C1196" i="12"/>
  <c r="B1196" i="12"/>
  <c r="A1196" i="12"/>
  <c r="K1195" i="12"/>
  <c r="J1195" i="12"/>
  <c r="I1195" i="12"/>
  <c r="H1195" i="12"/>
  <c r="G1195" i="12"/>
  <c r="F1195" i="12"/>
  <c r="E1195" i="12"/>
  <c r="N1195" i="12" s="1"/>
  <c r="D1195" i="12"/>
  <c r="C1195" i="12"/>
  <c r="B1195" i="12"/>
  <c r="A1195" i="12"/>
  <c r="K1194" i="12"/>
  <c r="J1194" i="12"/>
  <c r="I1194" i="12"/>
  <c r="H1194" i="12"/>
  <c r="G1194" i="12"/>
  <c r="F1194" i="12"/>
  <c r="E1194" i="12"/>
  <c r="N1194" i="12" s="1"/>
  <c r="D1194" i="12"/>
  <c r="C1194" i="12"/>
  <c r="B1194" i="12"/>
  <c r="A1194" i="12"/>
  <c r="K1193" i="12"/>
  <c r="J1193" i="12"/>
  <c r="I1193" i="12"/>
  <c r="H1193" i="12"/>
  <c r="G1193" i="12"/>
  <c r="F1193" i="12"/>
  <c r="E1193" i="12"/>
  <c r="N1193" i="12" s="1"/>
  <c r="D1193" i="12"/>
  <c r="C1193" i="12"/>
  <c r="B1193" i="12"/>
  <c r="A1193" i="12"/>
  <c r="K1192" i="12"/>
  <c r="J1192" i="12"/>
  <c r="I1192" i="12"/>
  <c r="H1192" i="12"/>
  <c r="G1192" i="12"/>
  <c r="F1192" i="12"/>
  <c r="E1192" i="12"/>
  <c r="N1192" i="12" s="1"/>
  <c r="D1192" i="12"/>
  <c r="C1192" i="12"/>
  <c r="B1192" i="12"/>
  <c r="A1192" i="12"/>
  <c r="K1191" i="12"/>
  <c r="J1191" i="12"/>
  <c r="I1191" i="12"/>
  <c r="H1191" i="12"/>
  <c r="G1191" i="12"/>
  <c r="F1191" i="12"/>
  <c r="E1191" i="12"/>
  <c r="N1191" i="12" s="1"/>
  <c r="D1191" i="12"/>
  <c r="C1191" i="12"/>
  <c r="B1191" i="12"/>
  <c r="A1191" i="12"/>
  <c r="K1190" i="12"/>
  <c r="J1190" i="12"/>
  <c r="I1190" i="12"/>
  <c r="H1190" i="12"/>
  <c r="G1190" i="12"/>
  <c r="F1190" i="12"/>
  <c r="E1190" i="12"/>
  <c r="N1190" i="12" s="1"/>
  <c r="D1190" i="12"/>
  <c r="C1190" i="12"/>
  <c r="B1190" i="12"/>
  <c r="A1190" i="12"/>
  <c r="K1189" i="12"/>
  <c r="J1189" i="12"/>
  <c r="I1189" i="12"/>
  <c r="H1189" i="12"/>
  <c r="G1189" i="12"/>
  <c r="F1189" i="12"/>
  <c r="E1189" i="12"/>
  <c r="N1189" i="12" s="1"/>
  <c r="D1189" i="12"/>
  <c r="C1189" i="12"/>
  <c r="B1189" i="12"/>
  <c r="A1189" i="12"/>
  <c r="K1188" i="12"/>
  <c r="J1188" i="12"/>
  <c r="I1188" i="12"/>
  <c r="H1188" i="12"/>
  <c r="G1188" i="12"/>
  <c r="F1188" i="12"/>
  <c r="E1188" i="12"/>
  <c r="N1188" i="12" s="1"/>
  <c r="D1188" i="12"/>
  <c r="C1188" i="12"/>
  <c r="B1188" i="12"/>
  <c r="A1188" i="12"/>
  <c r="K1187" i="12"/>
  <c r="J1187" i="12"/>
  <c r="I1187" i="12"/>
  <c r="H1187" i="12"/>
  <c r="G1187" i="12"/>
  <c r="F1187" i="12"/>
  <c r="E1187" i="12"/>
  <c r="N1187" i="12" s="1"/>
  <c r="D1187" i="12"/>
  <c r="C1187" i="12"/>
  <c r="B1187" i="12"/>
  <c r="A1187" i="12"/>
  <c r="K1186" i="12"/>
  <c r="J1186" i="12"/>
  <c r="I1186" i="12"/>
  <c r="H1186" i="12"/>
  <c r="G1186" i="12"/>
  <c r="F1186" i="12"/>
  <c r="E1186" i="12"/>
  <c r="N1186" i="12" s="1"/>
  <c r="D1186" i="12"/>
  <c r="C1186" i="12"/>
  <c r="B1186" i="12"/>
  <c r="A1186" i="12"/>
  <c r="K1185" i="12"/>
  <c r="J1185" i="12"/>
  <c r="I1185" i="12"/>
  <c r="H1185" i="12"/>
  <c r="G1185" i="12"/>
  <c r="F1185" i="12"/>
  <c r="E1185" i="12"/>
  <c r="N1185" i="12" s="1"/>
  <c r="D1185" i="12"/>
  <c r="C1185" i="12"/>
  <c r="B1185" i="12"/>
  <c r="A1185" i="12"/>
  <c r="K1184" i="12"/>
  <c r="J1184" i="12"/>
  <c r="I1184" i="12"/>
  <c r="H1184" i="12"/>
  <c r="G1184" i="12"/>
  <c r="F1184" i="12"/>
  <c r="E1184" i="12"/>
  <c r="N1184" i="12" s="1"/>
  <c r="D1184" i="12"/>
  <c r="C1184" i="12"/>
  <c r="B1184" i="12"/>
  <c r="A1184" i="12"/>
  <c r="K1183" i="12"/>
  <c r="J1183" i="12"/>
  <c r="I1183" i="12"/>
  <c r="H1183" i="12"/>
  <c r="G1183" i="12"/>
  <c r="F1183" i="12"/>
  <c r="E1183" i="12"/>
  <c r="N1183" i="12" s="1"/>
  <c r="D1183" i="12"/>
  <c r="C1183" i="12"/>
  <c r="B1183" i="12"/>
  <c r="A1183" i="12"/>
  <c r="K1182" i="12"/>
  <c r="J1182" i="12"/>
  <c r="I1182" i="12"/>
  <c r="H1182" i="12"/>
  <c r="G1182" i="12"/>
  <c r="F1182" i="12"/>
  <c r="E1182" i="12"/>
  <c r="N1182" i="12" s="1"/>
  <c r="D1182" i="12"/>
  <c r="C1182" i="12"/>
  <c r="B1182" i="12"/>
  <c r="A1182" i="12"/>
  <c r="K1181" i="12"/>
  <c r="J1181" i="12"/>
  <c r="I1181" i="12"/>
  <c r="H1181" i="12"/>
  <c r="G1181" i="12"/>
  <c r="F1181" i="12"/>
  <c r="E1181" i="12"/>
  <c r="N1181" i="12" s="1"/>
  <c r="D1181" i="12"/>
  <c r="C1181" i="12"/>
  <c r="B1181" i="12"/>
  <c r="A1181" i="12"/>
  <c r="K1180" i="12"/>
  <c r="J1180" i="12"/>
  <c r="I1180" i="12"/>
  <c r="H1180" i="12"/>
  <c r="G1180" i="12"/>
  <c r="F1180" i="12"/>
  <c r="E1180" i="12"/>
  <c r="N1180" i="12" s="1"/>
  <c r="D1180" i="12"/>
  <c r="C1180" i="12"/>
  <c r="B1180" i="12"/>
  <c r="A1180" i="12"/>
  <c r="K1179" i="12"/>
  <c r="J1179" i="12"/>
  <c r="I1179" i="12"/>
  <c r="H1179" i="12"/>
  <c r="G1179" i="12"/>
  <c r="F1179" i="12"/>
  <c r="E1179" i="12"/>
  <c r="N1179" i="12" s="1"/>
  <c r="D1179" i="12"/>
  <c r="C1179" i="12"/>
  <c r="B1179" i="12"/>
  <c r="A1179" i="12"/>
  <c r="K1178" i="12"/>
  <c r="J1178" i="12"/>
  <c r="I1178" i="12"/>
  <c r="H1178" i="12"/>
  <c r="G1178" i="12"/>
  <c r="F1178" i="12"/>
  <c r="E1178" i="12"/>
  <c r="N1178" i="12" s="1"/>
  <c r="D1178" i="12"/>
  <c r="C1178" i="12"/>
  <c r="B1178" i="12"/>
  <c r="A1178" i="12"/>
  <c r="K1177" i="12"/>
  <c r="J1177" i="12"/>
  <c r="I1177" i="12"/>
  <c r="H1177" i="12"/>
  <c r="G1177" i="12"/>
  <c r="F1177" i="12"/>
  <c r="E1177" i="12"/>
  <c r="N1177" i="12" s="1"/>
  <c r="D1177" i="12"/>
  <c r="C1177" i="12"/>
  <c r="B1177" i="12"/>
  <c r="A1177" i="12"/>
  <c r="K1176" i="12"/>
  <c r="J1176" i="12"/>
  <c r="I1176" i="12"/>
  <c r="H1176" i="12"/>
  <c r="G1176" i="12"/>
  <c r="F1176" i="12"/>
  <c r="E1176" i="12"/>
  <c r="N1176" i="12" s="1"/>
  <c r="D1176" i="12"/>
  <c r="C1176" i="12"/>
  <c r="B1176" i="12"/>
  <c r="A1176" i="12"/>
  <c r="K1175" i="12"/>
  <c r="J1175" i="12"/>
  <c r="I1175" i="12"/>
  <c r="H1175" i="12"/>
  <c r="G1175" i="12"/>
  <c r="F1175" i="12"/>
  <c r="E1175" i="12"/>
  <c r="N1175" i="12" s="1"/>
  <c r="D1175" i="12"/>
  <c r="C1175" i="12"/>
  <c r="B1175" i="12"/>
  <c r="A1175" i="12"/>
  <c r="K1174" i="12"/>
  <c r="J1174" i="12"/>
  <c r="I1174" i="12"/>
  <c r="H1174" i="12"/>
  <c r="G1174" i="12"/>
  <c r="F1174" i="12"/>
  <c r="E1174" i="12"/>
  <c r="N1174" i="12" s="1"/>
  <c r="D1174" i="12"/>
  <c r="C1174" i="12"/>
  <c r="B1174" i="12"/>
  <c r="A1174" i="12"/>
  <c r="K1173" i="12"/>
  <c r="J1173" i="12"/>
  <c r="I1173" i="12"/>
  <c r="H1173" i="12"/>
  <c r="G1173" i="12"/>
  <c r="F1173" i="12"/>
  <c r="E1173" i="12"/>
  <c r="N1173" i="12" s="1"/>
  <c r="D1173" i="12"/>
  <c r="C1173" i="12"/>
  <c r="B1173" i="12"/>
  <c r="A1173" i="12"/>
  <c r="S1172" i="12"/>
  <c r="R1172" i="12"/>
  <c r="P1172" i="12"/>
  <c r="O1172" i="12"/>
  <c r="N1172" i="12"/>
  <c r="K1172" i="12"/>
  <c r="J1172" i="12"/>
  <c r="I1172" i="12"/>
  <c r="H1172" i="12"/>
  <c r="G1172" i="12"/>
  <c r="F1172" i="12"/>
  <c r="E1172" i="12"/>
  <c r="D1172" i="12"/>
  <c r="C1172" i="12"/>
  <c r="B1172" i="12"/>
  <c r="A1172" i="12"/>
  <c r="K1171" i="12"/>
  <c r="J1171" i="12"/>
  <c r="I1171" i="12"/>
  <c r="H1171" i="12"/>
  <c r="G1171" i="12"/>
  <c r="F1171" i="12"/>
  <c r="E1171" i="12"/>
  <c r="N1171" i="12" s="1"/>
  <c r="D1171" i="12"/>
  <c r="C1171" i="12"/>
  <c r="B1171" i="12"/>
  <c r="A1171" i="12"/>
  <c r="K1170" i="12"/>
  <c r="J1170" i="12"/>
  <c r="I1170" i="12"/>
  <c r="H1170" i="12"/>
  <c r="G1170" i="12"/>
  <c r="F1170" i="12"/>
  <c r="E1170" i="12"/>
  <c r="N1170" i="12" s="1"/>
  <c r="D1170" i="12"/>
  <c r="C1170" i="12"/>
  <c r="B1170" i="12"/>
  <c r="A1170" i="12"/>
  <c r="K1169" i="12"/>
  <c r="J1169" i="12"/>
  <c r="I1169" i="12"/>
  <c r="H1169" i="12"/>
  <c r="G1169" i="12"/>
  <c r="F1169" i="12"/>
  <c r="E1169" i="12"/>
  <c r="N1169" i="12" s="1"/>
  <c r="D1169" i="12"/>
  <c r="C1169" i="12"/>
  <c r="B1169" i="12"/>
  <c r="A1169" i="12"/>
  <c r="K1168" i="12"/>
  <c r="J1168" i="12"/>
  <c r="I1168" i="12"/>
  <c r="H1168" i="12"/>
  <c r="G1168" i="12"/>
  <c r="F1168" i="12"/>
  <c r="E1168" i="12"/>
  <c r="N1168" i="12" s="1"/>
  <c r="D1168" i="12"/>
  <c r="C1168" i="12"/>
  <c r="B1168" i="12"/>
  <c r="A1168" i="12"/>
  <c r="K1167" i="12"/>
  <c r="J1167" i="12"/>
  <c r="I1167" i="12"/>
  <c r="H1167" i="12"/>
  <c r="G1167" i="12"/>
  <c r="F1167" i="12"/>
  <c r="E1167" i="12"/>
  <c r="N1167" i="12" s="1"/>
  <c r="D1167" i="12"/>
  <c r="C1167" i="12"/>
  <c r="B1167" i="12"/>
  <c r="A1167" i="12"/>
  <c r="K1166" i="12"/>
  <c r="J1166" i="12"/>
  <c r="I1166" i="12"/>
  <c r="H1166" i="12"/>
  <c r="G1166" i="12"/>
  <c r="F1166" i="12"/>
  <c r="E1166" i="12"/>
  <c r="N1166" i="12" s="1"/>
  <c r="D1166" i="12"/>
  <c r="C1166" i="12"/>
  <c r="B1166" i="12"/>
  <c r="A1166" i="12"/>
  <c r="K1165" i="12"/>
  <c r="J1165" i="12"/>
  <c r="I1165" i="12"/>
  <c r="H1165" i="12"/>
  <c r="G1165" i="12"/>
  <c r="F1165" i="12"/>
  <c r="E1165" i="12"/>
  <c r="N1165" i="12" s="1"/>
  <c r="D1165" i="12"/>
  <c r="C1165" i="12"/>
  <c r="B1165" i="12"/>
  <c r="A1165" i="12"/>
  <c r="K1164" i="12"/>
  <c r="J1164" i="12"/>
  <c r="I1164" i="12"/>
  <c r="H1164" i="12"/>
  <c r="G1164" i="12"/>
  <c r="F1164" i="12"/>
  <c r="E1164" i="12"/>
  <c r="N1164" i="12" s="1"/>
  <c r="D1164" i="12"/>
  <c r="C1164" i="12"/>
  <c r="B1164" i="12"/>
  <c r="A1164" i="12"/>
  <c r="K1163" i="12"/>
  <c r="J1163" i="12"/>
  <c r="I1163" i="12"/>
  <c r="H1163" i="12"/>
  <c r="G1163" i="12"/>
  <c r="F1163" i="12"/>
  <c r="E1163" i="12"/>
  <c r="N1163" i="12" s="1"/>
  <c r="D1163" i="12"/>
  <c r="C1163" i="12"/>
  <c r="B1163" i="12"/>
  <c r="A1163" i="12"/>
  <c r="K1162" i="12"/>
  <c r="J1162" i="12"/>
  <c r="I1162" i="12"/>
  <c r="H1162" i="12"/>
  <c r="G1162" i="12"/>
  <c r="F1162" i="12"/>
  <c r="E1162" i="12"/>
  <c r="N1162" i="12" s="1"/>
  <c r="D1162" i="12"/>
  <c r="C1162" i="12"/>
  <c r="B1162" i="12"/>
  <c r="A1162" i="12"/>
  <c r="K1161" i="12"/>
  <c r="J1161" i="12"/>
  <c r="I1161" i="12"/>
  <c r="H1161" i="12"/>
  <c r="G1161" i="12"/>
  <c r="F1161" i="12"/>
  <c r="E1161" i="12"/>
  <c r="N1161" i="12" s="1"/>
  <c r="D1161" i="12"/>
  <c r="C1161" i="12"/>
  <c r="B1161" i="12"/>
  <c r="A1161" i="12"/>
  <c r="K1160" i="12"/>
  <c r="J1160" i="12"/>
  <c r="I1160" i="12"/>
  <c r="H1160" i="12"/>
  <c r="G1160" i="12"/>
  <c r="F1160" i="12"/>
  <c r="E1160" i="12"/>
  <c r="N1160" i="12" s="1"/>
  <c r="D1160" i="12"/>
  <c r="C1160" i="12"/>
  <c r="B1160" i="12"/>
  <c r="A1160" i="12"/>
  <c r="K1159" i="12"/>
  <c r="J1159" i="12"/>
  <c r="I1159" i="12"/>
  <c r="H1159" i="12"/>
  <c r="G1159" i="12"/>
  <c r="F1159" i="12"/>
  <c r="E1159" i="12"/>
  <c r="N1159" i="12" s="1"/>
  <c r="D1159" i="12"/>
  <c r="C1159" i="12"/>
  <c r="B1159" i="12"/>
  <c r="A1159" i="12"/>
  <c r="K1158" i="12"/>
  <c r="J1158" i="12"/>
  <c r="I1158" i="12"/>
  <c r="H1158" i="12"/>
  <c r="G1158" i="12"/>
  <c r="F1158" i="12"/>
  <c r="E1158" i="12"/>
  <c r="N1158" i="12" s="1"/>
  <c r="D1158" i="12"/>
  <c r="C1158" i="12"/>
  <c r="B1158" i="12"/>
  <c r="A1158" i="12"/>
  <c r="K1157" i="12"/>
  <c r="J1157" i="12"/>
  <c r="I1157" i="12"/>
  <c r="H1157" i="12"/>
  <c r="G1157" i="12"/>
  <c r="F1157" i="12"/>
  <c r="E1157" i="12"/>
  <c r="N1157" i="12" s="1"/>
  <c r="D1157" i="12"/>
  <c r="C1157" i="12"/>
  <c r="B1157" i="12"/>
  <c r="A1157" i="12"/>
  <c r="K1156" i="12"/>
  <c r="J1156" i="12"/>
  <c r="I1156" i="12"/>
  <c r="H1156" i="12"/>
  <c r="G1156" i="12"/>
  <c r="F1156" i="12"/>
  <c r="E1156" i="12"/>
  <c r="N1156" i="12" s="1"/>
  <c r="D1156" i="12"/>
  <c r="C1156" i="12"/>
  <c r="B1156" i="12"/>
  <c r="A1156" i="12"/>
  <c r="K1155" i="12"/>
  <c r="J1155" i="12"/>
  <c r="I1155" i="12"/>
  <c r="H1155" i="12"/>
  <c r="G1155" i="12"/>
  <c r="F1155" i="12"/>
  <c r="E1155" i="12"/>
  <c r="N1155" i="12" s="1"/>
  <c r="D1155" i="12"/>
  <c r="C1155" i="12"/>
  <c r="B1155" i="12"/>
  <c r="A1155" i="12"/>
  <c r="K1154" i="12"/>
  <c r="J1154" i="12"/>
  <c r="I1154" i="12"/>
  <c r="H1154" i="12"/>
  <c r="G1154" i="12"/>
  <c r="F1154" i="12"/>
  <c r="E1154" i="12"/>
  <c r="N1154" i="12" s="1"/>
  <c r="D1154" i="12"/>
  <c r="C1154" i="12"/>
  <c r="B1154" i="12"/>
  <c r="A1154" i="12"/>
  <c r="K1153" i="12"/>
  <c r="J1153" i="12"/>
  <c r="I1153" i="12"/>
  <c r="H1153" i="12"/>
  <c r="G1153" i="12"/>
  <c r="F1153" i="12"/>
  <c r="E1153" i="12"/>
  <c r="N1153" i="12" s="1"/>
  <c r="D1153" i="12"/>
  <c r="C1153" i="12"/>
  <c r="B1153" i="12"/>
  <c r="A1153" i="12"/>
  <c r="K1152" i="12"/>
  <c r="J1152" i="12"/>
  <c r="I1152" i="12"/>
  <c r="H1152" i="12"/>
  <c r="G1152" i="12"/>
  <c r="F1152" i="12"/>
  <c r="E1152" i="12"/>
  <c r="N1152" i="12" s="1"/>
  <c r="D1152" i="12"/>
  <c r="C1152" i="12"/>
  <c r="B1152" i="12"/>
  <c r="A1152" i="12"/>
  <c r="K1151" i="12"/>
  <c r="J1151" i="12"/>
  <c r="I1151" i="12"/>
  <c r="H1151" i="12"/>
  <c r="G1151" i="12"/>
  <c r="F1151" i="12"/>
  <c r="E1151" i="12"/>
  <c r="N1151" i="12" s="1"/>
  <c r="D1151" i="12"/>
  <c r="C1151" i="12"/>
  <c r="B1151" i="12"/>
  <c r="A1151" i="12"/>
  <c r="K1150" i="12"/>
  <c r="J1150" i="12"/>
  <c r="I1150" i="12"/>
  <c r="H1150" i="12"/>
  <c r="G1150" i="12"/>
  <c r="F1150" i="12"/>
  <c r="E1150" i="12"/>
  <c r="N1150" i="12" s="1"/>
  <c r="D1150" i="12"/>
  <c r="C1150" i="12"/>
  <c r="B1150" i="12"/>
  <c r="A1150" i="12"/>
  <c r="K1149" i="12"/>
  <c r="J1149" i="12"/>
  <c r="I1149" i="12"/>
  <c r="H1149" i="12"/>
  <c r="G1149" i="12"/>
  <c r="F1149" i="12"/>
  <c r="E1149" i="12"/>
  <c r="N1149" i="12" s="1"/>
  <c r="D1149" i="12"/>
  <c r="C1149" i="12"/>
  <c r="B1149" i="12"/>
  <c r="A1149" i="12"/>
  <c r="K1148" i="12"/>
  <c r="J1148" i="12"/>
  <c r="I1148" i="12"/>
  <c r="H1148" i="12"/>
  <c r="G1148" i="12"/>
  <c r="F1148" i="12"/>
  <c r="E1148" i="12"/>
  <c r="N1148" i="12" s="1"/>
  <c r="D1148" i="12"/>
  <c r="C1148" i="12"/>
  <c r="B1148" i="12"/>
  <c r="A1148" i="12"/>
  <c r="K1147" i="12"/>
  <c r="J1147" i="12"/>
  <c r="I1147" i="12"/>
  <c r="H1147" i="12"/>
  <c r="G1147" i="12"/>
  <c r="F1147" i="12"/>
  <c r="E1147" i="12"/>
  <c r="N1147" i="12" s="1"/>
  <c r="D1147" i="12"/>
  <c r="C1147" i="12"/>
  <c r="B1147" i="12"/>
  <c r="A1147" i="12"/>
  <c r="K1146" i="12"/>
  <c r="J1146" i="12"/>
  <c r="I1146" i="12"/>
  <c r="H1146" i="12"/>
  <c r="G1146" i="12"/>
  <c r="F1146" i="12"/>
  <c r="E1146" i="12"/>
  <c r="N1146" i="12" s="1"/>
  <c r="D1146" i="12"/>
  <c r="C1146" i="12"/>
  <c r="B1146" i="12"/>
  <c r="A1146" i="12"/>
  <c r="K1145" i="12"/>
  <c r="J1145" i="12"/>
  <c r="I1145" i="12"/>
  <c r="H1145" i="12"/>
  <c r="G1145" i="12"/>
  <c r="F1145" i="12"/>
  <c r="E1145" i="12"/>
  <c r="N1145" i="12" s="1"/>
  <c r="D1145" i="12"/>
  <c r="C1145" i="12"/>
  <c r="B1145" i="12"/>
  <c r="A1145" i="12"/>
  <c r="K1144" i="12"/>
  <c r="J1144" i="12"/>
  <c r="I1144" i="12"/>
  <c r="H1144" i="12"/>
  <c r="G1144" i="12"/>
  <c r="F1144" i="12"/>
  <c r="E1144" i="12"/>
  <c r="N1144" i="12" s="1"/>
  <c r="D1144" i="12"/>
  <c r="C1144" i="12"/>
  <c r="B1144" i="12"/>
  <c r="A1144" i="12"/>
  <c r="K1143" i="12"/>
  <c r="J1143" i="12"/>
  <c r="I1143" i="12"/>
  <c r="H1143" i="12"/>
  <c r="G1143" i="12"/>
  <c r="F1143" i="12"/>
  <c r="E1143" i="12"/>
  <c r="N1143" i="12" s="1"/>
  <c r="D1143" i="12"/>
  <c r="C1143" i="12"/>
  <c r="B1143" i="12"/>
  <c r="A1143" i="12"/>
  <c r="K1142" i="12"/>
  <c r="J1142" i="12"/>
  <c r="I1142" i="12"/>
  <c r="H1142" i="12"/>
  <c r="G1142" i="12"/>
  <c r="F1142" i="12"/>
  <c r="E1142" i="12"/>
  <c r="N1142" i="12" s="1"/>
  <c r="D1142" i="12"/>
  <c r="C1142" i="12"/>
  <c r="B1142" i="12"/>
  <c r="A1142" i="12"/>
  <c r="K1141" i="12"/>
  <c r="J1141" i="12"/>
  <c r="I1141" i="12"/>
  <c r="H1141" i="12"/>
  <c r="G1141" i="12"/>
  <c r="F1141" i="12"/>
  <c r="E1141" i="12"/>
  <c r="N1141" i="12" s="1"/>
  <c r="D1141" i="12"/>
  <c r="C1141" i="12"/>
  <c r="B1141" i="12"/>
  <c r="A1141" i="12"/>
  <c r="K1140" i="12"/>
  <c r="J1140" i="12"/>
  <c r="I1140" i="12"/>
  <c r="H1140" i="12"/>
  <c r="G1140" i="12"/>
  <c r="F1140" i="12"/>
  <c r="E1140" i="12"/>
  <c r="N1140" i="12" s="1"/>
  <c r="D1140" i="12"/>
  <c r="C1140" i="12"/>
  <c r="B1140" i="12"/>
  <c r="A1140" i="12"/>
  <c r="K1139" i="12"/>
  <c r="J1139" i="12"/>
  <c r="I1139" i="12"/>
  <c r="H1139" i="12"/>
  <c r="G1139" i="12"/>
  <c r="F1139" i="12"/>
  <c r="E1139" i="12"/>
  <c r="N1139" i="12" s="1"/>
  <c r="D1139" i="12"/>
  <c r="C1139" i="12"/>
  <c r="B1139" i="12"/>
  <c r="A1139" i="12"/>
  <c r="K1138" i="12"/>
  <c r="J1138" i="12"/>
  <c r="I1138" i="12"/>
  <c r="H1138" i="12"/>
  <c r="G1138" i="12"/>
  <c r="F1138" i="12"/>
  <c r="E1138" i="12"/>
  <c r="N1138" i="12" s="1"/>
  <c r="D1138" i="12"/>
  <c r="C1138" i="12"/>
  <c r="B1138" i="12"/>
  <c r="A1138" i="12"/>
  <c r="K1137" i="12"/>
  <c r="J1137" i="12"/>
  <c r="I1137" i="12"/>
  <c r="H1137" i="12"/>
  <c r="G1137" i="12"/>
  <c r="F1137" i="12"/>
  <c r="E1137" i="12"/>
  <c r="N1137" i="12" s="1"/>
  <c r="D1137" i="12"/>
  <c r="C1137" i="12"/>
  <c r="B1137" i="12"/>
  <c r="A1137" i="12"/>
  <c r="K1136" i="12"/>
  <c r="J1136" i="12"/>
  <c r="I1136" i="12"/>
  <c r="H1136" i="12"/>
  <c r="G1136" i="12"/>
  <c r="F1136" i="12"/>
  <c r="E1136" i="12"/>
  <c r="N1136" i="12" s="1"/>
  <c r="D1136" i="12"/>
  <c r="C1136" i="12"/>
  <c r="B1136" i="12"/>
  <c r="A1136" i="12"/>
  <c r="K1135" i="12"/>
  <c r="J1135" i="12"/>
  <c r="I1135" i="12"/>
  <c r="H1135" i="12"/>
  <c r="G1135" i="12"/>
  <c r="F1135" i="12"/>
  <c r="E1135" i="12"/>
  <c r="N1135" i="12" s="1"/>
  <c r="D1135" i="12"/>
  <c r="C1135" i="12"/>
  <c r="B1135" i="12"/>
  <c r="A1135" i="12"/>
  <c r="K1134" i="12"/>
  <c r="J1134" i="12"/>
  <c r="I1134" i="12"/>
  <c r="H1134" i="12"/>
  <c r="G1134" i="12"/>
  <c r="F1134" i="12"/>
  <c r="E1134" i="12"/>
  <c r="N1134" i="12" s="1"/>
  <c r="D1134" i="12"/>
  <c r="C1134" i="12"/>
  <c r="B1134" i="12"/>
  <c r="A1134" i="12"/>
  <c r="K1133" i="12"/>
  <c r="J1133" i="12"/>
  <c r="I1133" i="12"/>
  <c r="H1133" i="12"/>
  <c r="G1133" i="12"/>
  <c r="F1133" i="12"/>
  <c r="E1133" i="12"/>
  <c r="N1133" i="12" s="1"/>
  <c r="D1133" i="12"/>
  <c r="C1133" i="12"/>
  <c r="B1133" i="12"/>
  <c r="A1133" i="12"/>
  <c r="K1132" i="12"/>
  <c r="J1132" i="12"/>
  <c r="I1132" i="12"/>
  <c r="H1132" i="12"/>
  <c r="G1132" i="12"/>
  <c r="F1132" i="12"/>
  <c r="E1132" i="12"/>
  <c r="N1132" i="12" s="1"/>
  <c r="D1132" i="12"/>
  <c r="C1132" i="12"/>
  <c r="B1132" i="12"/>
  <c r="A1132" i="12"/>
  <c r="K1131" i="12"/>
  <c r="J1131" i="12"/>
  <c r="I1131" i="12"/>
  <c r="H1131" i="12"/>
  <c r="G1131" i="12"/>
  <c r="F1131" i="12"/>
  <c r="E1131" i="12"/>
  <c r="N1131" i="12" s="1"/>
  <c r="D1131" i="12"/>
  <c r="C1131" i="12"/>
  <c r="B1131" i="12"/>
  <c r="A1131" i="12"/>
  <c r="K1130" i="12"/>
  <c r="J1130" i="12"/>
  <c r="I1130" i="12"/>
  <c r="H1130" i="12"/>
  <c r="G1130" i="12"/>
  <c r="F1130" i="12"/>
  <c r="E1130" i="12"/>
  <c r="N1130" i="12" s="1"/>
  <c r="D1130" i="12"/>
  <c r="C1130" i="12"/>
  <c r="B1130" i="12"/>
  <c r="A1130" i="12"/>
  <c r="K1129" i="12"/>
  <c r="J1129" i="12"/>
  <c r="I1129" i="12"/>
  <c r="H1129" i="12"/>
  <c r="G1129" i="12"/>
  <c r="F1129" i="12"/>
  <c r="E1129" i="12"/>
  <c r="N1129" i="12" s="1"/>
  <c r="D1129" i="12"/>
  <c r="C1129" i="12"/>
  <c r="B1129" i="12"/>
  <c r="A1129" i="12"/>
  <c r="K1128" i="12"/>
  <c r="J1128" i="12"/>
  <c r="I1128" i="12"/>
  <c r="H1128" i="12"/>
  <c r="G1128" i="12"/>
  <c r="F1128" i="12"/>
  <c r="E1128" i="12"/>
  <c r="N1128" i="12" s="1"/>
  <c r="D1128" i="12"/>
  <c r="C1128" i="12"/>
  <c r="B1128" i="12"/>
  <c r="A1128" i="12"/>
  <c r="K1127" i="12"/>
  <c r="J1127" i="12"/>
  <c r="I1127" i="12"/>
  <c r="H1127" i="12"/>
  <c r="G1127" i="12"/>
  <c r="F1127" i="12"/>
  <c r="E1127" i="12"/>
  <c r="N1127" i="12" s="1"/>
  <c r="D1127" i="12"/>
  <c r="C1127" i="12"/>
  <c r="B1127" i="12"/>
  <c r="A1127" i="12"/>
  <c r="K1126" i="12"/>
  <c r="J1126" i="12"/>
  <c r="I1126" i="12"/>
  <c r="H1126" i="12"/>
  <c r="G1126" i="12"/>
  <c r="F1126" i="12"/>
  <c r="E1126" i="12"/>
  <c r="N1126" i="12" s="1"/>
  <c r="D1126" i="12"/>
  <c r="C1126" i="12"/>
  <c r="B1126" i="12"/>
  <c r="A1126" i="12"/>
  <c r="K1125" i="12"/>
  <c r="J1125" i="12"/>
  <c r="I1125" i="12"/>
  <c r="H1125" i="12"/>
  <c r="G1125" i="12"/>
  <c r="F1125" i="12"/>
  <c r="E1125" i="12"/>
  <c r="N1125" i="12" s="1"/>
  <c r="D1125" i="12"/>
  <c r="C1125" i="12"/>
  <c r="B1125" i="12"/>
  <c r="A1125" i="12"/>
  <c r="K1124" i="12"/>
  <c r="J1124" i="12"/>
  <c r="I1124" i="12"/>
  <c r="H1124" i="12"/>
  <c r="G1124" i="12"/>
  <c r="F1124" i="12"/>
  <c r="E1124" i="12"/>
  <c r="N1124" i="12" s="1"/>
  <c r="D1124" i="12"/>
  <c r="C1124" i="12"/>
  <c r="B1124" i="12"/>
  <c r="A1124" i="12"/>
  <c r="K1123" i="12"/>
  <c r="J1123" i="12"/>
  <c r="I1123" i="12"/>
  <c r="H1123" i="12"/>
  <c r="G1123" i="12"/>
  <c r="F1123" i="12"/>
  <c r="E1123" i="12"/>
  <c r="N1123" i="12" s="1"/>
  <c r="D1123" i="12"/>
  <c r="C1123" i="12"/>
  <c r="B1123" i="12"/>
  <c r="A1123" i="12"/>
  <c r="K1122" i="12"/>
  <c r="J1122" i="12"/>
  <c r="I1122" i="12"/>
  <c r="H1122" i="12"/>
  <c r="G1122" i="12"/>
  <c r="F1122" i="12"/>
  <c r="E1122" i="12"/>
  <c r="N1122" i="12" s="1"/>
  <c r="D1122" i="12"/>
  <c r="C1122" i="12"/>
  <c r="B1122" i="12"/>
  <c r="A1122" i="12"/>
  <c r="K1121" i="12"/>
  <c r="J1121" i="12"/>
  <c r="I1121" i="12"/>
  <c r="H1121" i="12"/>
  <c r="G1121" i="12"/>
  <c r="F1121" i="12"/>
  <c r="E1121" i="12"/>
  <c r="N1121" i="12" s="1"/>
  <c r="D1121" i="12"/>
  <c r="C1121" i="12"/>
  <c r="B1121" i="12"/>
  <c r="A1121" i="12"/>
  <c r="K1120" i="12"/>
  <c r="J1120" i="12"/>
  <c r="I1120" i="12"/>
  <c r="H1120" i="12"/>
  <c r="G1120" i="12"/>
  <c r="F1120" i="12"/>
  <c r="E1120" i="12"/>
  <c r="N1120" i="12" s="1"/>
  <c r="D1120" i="12"/>
  <c r="C1120" i="12"/>
  <c r="B1120" i="12"/>
  <c r="A1120" i="12"/>
  <c r="K1119" i="12"/>
  <c r="J1119" i="12"/>
  <c r="I1119" i="12"/>
  <c r="H1119" i="12"/>
  <c r="G1119" i="12"/>
  <c r="F1119" i="12"/>
  <c r="E1119" i="12"/>
  <c r="N1119" i="12" s="1"/>
  <c r="D1119" i="12"/>
  <c r="C1119" i="12"/>
  <c r="B1119" i="12"/>
  <c r="A1119" i="12"/>
  <c r="K1118" i="12"/>
  <c r="J1118" i="12"/>
  <c r="I1118" i="12"/>
  <c r="H1118" i="12"/>
  <c r="G1118" i="12"/>
  <c r="F1118" i="12"/>
  <c r="E1118" i="12"/>
  <c r="N1118" i="12" s="1"/>
  <c r="D1118" i="12"/>
  <c r="C1118" i="12"/>
  <c r="B1118" i="12"/>
  <c r="A1118" i="12"/>
  <c r="K1117" i="12"/>
  <c r="J1117" i="12"/>
  <c r="I1117" i="12"/>
  <c r="H1117" i="12"/>
  <c r="G1117" i="12"/>
  <c r="F1117" i="12"/>
  <c r="E1117" i="12"/>
  <c r="N1117" i="12" s="1"/>
  <c r="D1117" i="12"/>
  <c r="C1117" i="12"/>
  <c r="B1117" i="12"/>
  <c r="A1117" i="12"/>
  <c r="K1116" i="12"/>
  <c r="J1116" i="12"/>
  <c r="I1116" i="12"/>
  <c r="H1116" i="12"/>
  <c r="G1116" i="12"/>
  <c r="F1116" i="12"/>
  <c r="E1116" i="12"/>
  <c r="N1116" i="12" s="1"/>
  <c r="D1116" i="12"/>
  <c r="C1116" i="12"/>
  <c r="B1116" i="12"/>
  <c r="A1116" i="12"/>
  <c r="K1115" i="12"/>
  <c r="J1115" i="12"/>
  <c r="I1115" i="12"/>
  <c r="H1115" i="12"/>
  <c r="G1115" i="12"/>
  <c r="F1115" i="12"/>
  <c r="E1115" i="12"/>
  <c r="N1115" i="12" s="1"/>
  <c r="D1115" i="12"/>
  <c r="C1115" i="12"/>
  <c r="B1115" i="12"/>
  <c r="A1115" i="12"/>
  <c r="K1114" i="12"/>
  <c r="J1114" i="12"/>
  <c r="I1114" i="12"/>
  <c r="H1114" i="12"/>
  <c r="G1114" i="12"/>
  <c r="F1114" i="12"/>
  <c r="E1114" i="12"/>
  <c r="N1114" i="12" s="1"/>
  <c r="D1114" i="12"/>
  <c r="C1114" i="12"/>
  <c r="B1114" i="12"/>
  <c r="A1114" i="12"/>
  <c r="K1113" i="12"/>
  <c r="J1113" i="12"/>
  <c r="I1113" i="12"/>
  <c r="H1113" i="12"/>
  <c r="G1113" i="12"/>
  <c r="F1113" i="12"/>
  <c r="E1113" i="12"/>
  <c r="N1113" i="12" s="1"/>
  <c r="D1113" i="12"/>
  <c r="C1113" i="12"/>
  <c r="B1113" i="12"/>
  <c r="A1113" i="12"/>
  <c r="K1112" i="12"/>
  <c r="J1112" i="12"/>
  <c r="I1112" i="12"/>
  <c r="H1112" i="12"/>
  <c r="G1112" i="12"/>
  <c r="F1112" i="12"/>
  <c r="E1112" i="12"/>
  <c r="N1112" i="12" s="1"/>
  <c r="D1112" i="12"/>
  <c r="C1112" i="12"/>
  <c r="B1112" i="12"/>
  <c r="A1112" i="12"/>
  <c r="K1111" i="12"/>
  <c r="J1111" i="12"/>
  <c r="I1111" i="12"/>
  <c r="H1111" i="12"/>
  <c r="G1111" i="12"/>
  <c r="F1111" i="12"/>
  <c r="E1111" i="12"/>
  <c r="N1111" i="12" s="1"/>
  <c r="D1111" i="12"/>
  <c r="C1111" i="12"/>
  <c r="B1111" i="12"/>
  <c r="A1111" i="12"/>
  <c r="K1110" i="12"/>
  <c r="J1110" i="12"/>
  <c r="I1110" i="12"/>
  <c r="H1110" i="12"/>
  <c r="G1110" i="12"/>
  <c r="F1110" i="12"/>
  <c r="E1110" i="12"/>
  <c r="N1110" i="12" s="1"/>
  <c r="D1110" i="12"/>
  <c r="C1110" i="12"/>
  <c r="B1110" i="12"/>
  <c r="A1110" i="12"/>
  <c r="K1109" i="12"/>
  <c r="J1109" i="12"/>
  <c r="I1109" i="12"/>
  <c r="H1109" i="12"/>
  <c r="G1109" i="12"/>
  <c r="F1109" i="12"/>
  <c r="E1109" i="12"/>
  <c r="N1109" i="12" s="1"/>
  <c r="D1109" i="12"/>
  <c r="C1109" i="12"/>
  <c r="B1109" i="12"/>
  <c r="A1109" i="12"/>
  <c r="S1108" i="12"/>
  <c r="R1108" i="12"/>
  <c r="K1108" i="12"/>
  <c r="J1108" i="12"/>
  <c r="I1108" i="12"/>
  <c r="H1108" i="12"/>
  <c r="G1108" i="12"/>
  <c r="F1108" i="12"/>
  <c r="E1108" i="12"/>
  <c r="N1108" i="12" s="1"/>
  <c r="D1108" i="12"/>
  <c r="C1108" i="12"/>
  <c r="B1108" i="12"/>
  <c r="A1108" i="12"/>
  <c r="K1107" i="12"/>
  <c r="J1107" i="12"/>
  <c r="I1107" i="12"/>
  <c r="H1107" i="12"/>
  <c r="G1107" i="12"/>
  <c r="F1107" i="12"/>
  <c r="E1107" i="12"/>
  <c r="N1107" i="12" s="1"/>
  <c r="D1107" i="12"/>
  <c r="C1107" i="12"/>
  <c r="B1107" i="12"/>
  <c r="A1107" i="12"/>
  <c r="K1106" i="12"/>
  <c r="J1106" i="12"/>
  <c r="I1106" i="12"/>
  <c r="H1106" i="12"/>
  <c r="G1106" i="12"/>
  <c r="F1106" i="12"/>
  <c r="E1106" i="12"/>
  <c r="N1106" i="12" s="1"/>
  <c r="D1106" i="12"/>
  <c r="C1106" i="12"/>
  <c r="B1106" i="12"/>
  <c r="A1106" i="12"/>
  <c r="K1105" i="12"/>
  <c r="J1105" i="12"/>
  <c r="I1105" i="12"/>
  <c r="H1105" i="12"/>
  <c r="G1105" i="12"/>
  <c r="F1105" i="12"/>
  <c r="E1105" i="12"/>
  <c r="N1105" i="12" s="1"/>
  <c r="D1105" i="12"/>
  <c r="C1105" i="12"/>
  <c r="B1105" i="12"/>
  <c r="A1105" i="12"/>
  <c r="K1104" i="12"/>
  <c r="J1104" i="12"/>
  <c r="I1104" i="12"/>
  <c r="H1104" i="12"/>
  <c r="G1104" i="12"/>
  <c r="F1104" i="12"/>
  <c r="E1104" i="12"/>
  <c r="N1104" i="12" s="1"/>
  <c r="D1104" i="12"/>
  <c r="C1104" i="12"/>
  <c r="B1104" i="12"/>
  <c r="A1104" i="12"/>
  <c r="K1103" i="12"/>
  <c r="J1103" i="12"/>
  <c r="I1103" i="12"/>
  <c r="H1103" i="12"/>
  <c r="G1103" i="12"/>
  <c r="F1103" i="12"/>
  <c r="E1103" i="12"/>
  <c r="N1103" i="12" s="1"/>
  <c r="D1103" i="12"/>
  <c r="C1103" i="12"/>
  <c r="B1103" i="12"/>
  <c r="A1103" i="12"/>
  <c r="K1102" i="12"/>
  <c r="J1102" i="12"/>
  <c r="I1102" i="12"/>
  <c r="H1102" i="12"/>
  <c r="G1102" i="12"/>
  <c r="F1102" i="12"/>
  <c r="E1102" i="12"/>
  <c r="N1102" i="12" s="1"/>
  <c r="D1102" i="12"/>
  <c r="C1102" i="12"/>
  <c r="B1102" i="12"/>
  <c r="A1102" i="12"/>
  <c r="K1101" i="12"/>
  <c r="J1101" i="12"/>
  <c r="I1101" i="12"/>
  <c r="H1101" i="12"/>
  <c r="G1101" i="12"/>
  <c r="F1101" i="12"/>
  <c r="E1101" i="12"/>
  <c r="N1101" i="12" s="1"/>
  <c r="D1101" i="12"/>
  <c r="C1101" i="12"/>
  <c r="B1101" i="12"/>
  <c r="A1101" i="12"/>
  <c r="K1100" i="12"/>
  <c r="J1100" i="12"/>
  <c r="I1100" i="12"/>
  <c r="H1100" i="12"/>
  <c r="G1100" i="12"/>
  <c r="F1100" i="12"/>
  <c r="E1100" i="12"/>
  <c r="N1100" i="12" s="1"/>
  <c r="D1100" i="12"/>
  <c r="C1100" i="12"/>
  <c r="B1100" i="12"/>
  <c r="A1100" i="12"/>
  <c r="K1099" i="12"/>
  <c r="J1099" i="12"/>
  <c r="I1099" i="12"/>
  <c r="H1099" i="12"/>
  <c r="G1099" i="12"/>
  <c r="F1099" i="12"/>
  <c r="E1099" i="12"/>
  <c r="N1099" i="12" s="1"/>
  <c r="D1099" i="12"/>
  <c r="C1099" i="12"/>
  <c r="B1099" i="12"/>
  <c r="A1099" i="12"/>
  <c r="K1098" i="12"/>
  <c r="J1098" i="12"/>
  <c r="I1098" i="12"/>
  <c r="H1098" i="12"/>
  <c r="G1098" i="12"/>
  <c r="F1098" i="12"/>
  <c r="E1098" i="12"/>
  <c r="N1098" i="12" s="1"/>
  <c r="D1098" i="12"/>
  <c r="C1098" i="12"/>
  <c r="B1098" i="12"/>
  <c r="A1098" i="12"/>
  <c r="K1097" i="12"/>
  <c r="J1097" i="12"/>
  <c r="I1097" i="12"/>
  <c r="H1097" i="12"/>
  <c r="G1097" i="12"/>
  <c r="F1097" i="12"/>
  <c r="E1097" i="12"/>
  <c r="N1097" i="12" s="1"/>
  <c r="D1097" i="12"/>
  <c r="C1097" i="12"/>
  <c r="B1097" i="12"/>
  <c r="A1097" i="12"/>
  <c r="K1096" i="12"/>
  <c r="J1096" i="12"/>
  <c r="I1096" i="12"/>
  <c r="H1096" i="12"/>
  <c r="G1096" i="12"/>
  <c r="F1096" i="12"/>
  <c r="E1096" i="12"/>
  <c r="N1096" i="12" s="1"/>
  <c r="D1096" i="12"/>
  <c r="C1096" i="12"/>
  <c r="B1096" i="12"/>
  <c r="A1096" i="12"/>
  <c r="K1095" i="12"/>
  <c r="J1095" i="12"/>
  <c r="I1095" i="12"/>
  <c r="H1095" i="12"/>
  <c r="G1095" i="12"/>
  <c r="F1095" i="12"/>
  <c r="E1095" i="12"/>
  <c r="N1095" i="12" s="1"/>
  <c r="D1095" i="12"/>
  <c r="C1095" i="12"/>
  <c r="B1095" i="12"/>
  <c r="A1095" i="12"/>
  <c r="K1094" i="12"/>
  <c r="J1094" i="12"/>
  <c r="I1094" i="12"/>
  <c r="H1094" i="12"/>
  <c r="G1094" i="12"/>
  <c r="F1094" i="12"/>
  <c r="E1094" i="12"/>
  <c r="N1094" i="12" s="1"/>
  <c r="D1094" i="12"/>
  <c r="C1094" i="12"/>
  <c r="B1094" i="12"/>
  <c r="A1094" i="12"/>
  <c r="K1093" i="12"/>
  <c r="J1093" i="12"/>
  <c r="I1093" i="12"/>
  <c r="H1093" i="12"/>
  <c r="G1093" i="12"/>
  <c r="F1093" i="12"/>
  <c r="E1093" i="12"/>
  <c r="N1093" i="12" s="1"/>
  <c r="D1093" i="12"/>
  <c r="C1093" i="12"/>
  <c r="B1093" i="12"/>
  <c r="A1093" i="12"/>
  <c r="K1092" i="12"/>
  <c r="J1092" i="12"/>
  <c r="I1092" i="12"/>
  <c r="H1092" i="12"/>
  <c r="G1092" i="12"/>
  <c r="F1092" i="12"/>
  <c r="E1092" i="12"/>
  <c r="N1092" i="12" s="1"/>
  <c r="D1092" i="12"/>
  <c r="C1092" i="12"/>
  <c r="B1092" i="12"/>
  <c r="A1092" i="12"/>
  <c r="K1091" i="12"/>
  <c r="J1091" i="12"/>
  <c r="I1091" i="12"/>
  <c r="H1091" i="12"/>
  <c r="G1091" i="12"/>
  <c r="F1091" i="12"/>
  <c r="E1091" i="12"/>
  <c r="N1091" i="12" s="1"/>
  <c r="D1091" i="12"/>
  <c r="C1091" i="12"/>
  <c r="B1091" i="12"/>
  <c r="A1091" i="12"/>
  <c r="K1090" i="12"/>
  <c r="J1090" i="12"/>
  <c r="I1090" i="12"/>
  <c r="H1090" i="12"/>
  <c r="G1090" i="12"/>
  <c r="F1090" i="12"/>
  <c r="E1090" i="12"/>
  <c r="N1090" i="12" s="1"/>
  <c r="D1090" i="12"/>
  <c r="C1090" i="12"/>
  <c r="B1090" i="12"/>
  <c r="A1090" i="12"/>
  <c r="K1089" i="12"/>
  <c r="J1089" i="12"/>
  <c r="I1089" i="12"/>
  <c r="H1089" i="12"/>
  <c r="G1089" i="12"/>
  <c r="F1089" i="12"/>
  <c r="E1089" i="12"/>
  <c r="N1089" i="12" s="1"/>
  <c r="D1089" i="12"/>
  <c r="C1089" i="12"/>
  <c r="B1089" i="12"/>
  <c r="A1089" i="12"/>
  <c r="K1088" i="12"/>
  <c r="J1088" i="12"/>
  <c r="I1088" i="12"/>
  <c r="H1088" i="12"/>
  <c r="G1088" i="12"/>
  <c r="F1088" i="12"/>
  <c r="E1088" i="12"/>
  <c r="N1088" i="12" s="1"/>
  <c r="D1088" i="12"/>
  <c r="C1088" i="12"/>
  <c r="B1088" i="12"/>
  <c r="A1088" i="12"/>
  <c r="K1087" i="12"/>
  <c r="J1087" i="12"/>
  <c r="I1087" i="12"/>
  <c r="H1087" i="12"/>
  <c r="G1087" i="12"/>
  <c r="F1087" i="12"/>
  <c r="E1087" i="12"/>
  <c r="N1087" i="12" s="1"/>
  <c r="D1087" i="12"/>
  <c r="C1087" i="12"/>
  <c r="B1087" i="12"/>
  <c r="A1087" i="12"/>
  <c r="K1086" i="12"/>
  <c r="J1086" i="12"/>
  <c r="I1086" i="12"/>
  <c r="H1086" i="12"/>
  <c r="G1086" i="12"/>
  <c r="F1086" i="12"/>
  <c r="E1086" i="12"/>
  <c r="N1086" i="12" s="1"/>
  <c r="D1086" i="12"/>
  <c r="C1086" i="12"/>
  <c r="B1086" i="12"/>
  <c r="A1086" i="12"/>
  <c r="K1085" i="12"/>
  <c r="J1085" i="12"/>
  <c r="I1085" i="12"/>
  <c r="H1085" i="12"/>
  <c r="G1085" i="12"/>
  <c r="F1085" i="12"/>
  <c r="E1085" i="12"/>
  <c r="N1085" i="12" s="1"/>
  <c r="D1085" i="12"/>
  <c r="C1085" i="12"/>
  <c r="B1085" i="12"/>
  <c r="A1085" i="12"/>
  <c r="K1084" i="12"/>
  <c r="J1084" i="12"/>
  <c r="I1084" i="12"/>
  <c r="H1084" i="12"/>
  <c r="G1084" i="12"/>
  <c r="F1084" i="12"/>
  <c r="E1084" i="12"/>
  <c r="N1084" i="12" s="1"/>
  <c r="D1084" i="12"/>
  <c r="C1084" i="12"/>
  <c r="B1084" i="12"/>
  <c r="A1084" i="12"/>
  <c r="K1083" i="12"/>
  <c r="J1083" i="12"/>
  <c r="I1083" i="12"/>
  <c r="H1083" i="12"/>
  <c r="G1083" i="12"/>
  <c r="F1083" i="12"/>
  <c r="E1083" i="12"/>
  <c r="N1083" i="12" s="1"/>
  <c r="D1083" i="12"/>
  <c r="C1083" i="12"/>
  <c r="B1083" i="12"/>
  <c r="A1083" i="12"/>
  <c r="K1082" i="12"/>
  <c r="J1082" i="12"/>
  <c r="I1082" i="12"/>
  <c r="H1082" i="12"/>
  <c r="G1082" i="12"/>
  <c r="F1082" i="12"/>
  <c r="E1082" i="12"/>
  <c r="N1082" i="12" s="1"/>
  <c r="D1082" i="12"/>
  <c r="C1082" i="12"/>
  <c r="B1082" i="12"/>
  <c r="A1082" i="12"/>
  <c r="K1081" i="12"/>
  <c r="J1081" i="12"/>
  <c r="I1081" i="12"/>
  <c r="H1081" i="12"/>
  <c r="G1081" i="12"/>
  <c r="F1081" i="12"/>
  <c r="E1081" i="12"/>
  <c r="N1081" i="12" s="1"/>
  <c r="D1081" i="12"/>
  <c r="C1081" i="12"/>
  <c r="B1081" i="12"/>
  <c r="A1081" i="12"/>
  <c r="K1080" i="12"/>
  <c r="J1080" i="12"/>
  <c r="I1080" i="12"/>
  <c r="H1080" i="12"/>
  <c r="G1080" i="12"/>
  <c r="F1080" i="12"/>
  <c r="E1080" i="12"/>
  <c r="N1080" i="12" s="1"/>
  <c r="D1080" i="12"/>
  <c r="C1080" i="12"/>
  <c r="B1080" i="12"/>
  <c r="A1080" i="12"/>
  <c r="K1079" i="12"/>
  <c r="J1079" i="12"/>
  <c r="I1079" i="12"/>
  <c r="H1079" i="12"/>
  <c r="G1079" i="12"/>
  <c r="F1079" i="12"/>
  <c r="E1079" i="12"/>
  <c r="N1079" i="12" s="1"/>
  <c r="D1079" i="12"/>
  <c r="C1079" i="12"/>
  <c r="B1079" i="12"/>
  <c r="A1079" i="12"/>
  <c r="K1078" i="12"/>
  <c r="J1078" i="12"/>
  <c r="I1078" i="12"/>
  <c r="H1078" i="12"/>
  <c r="G1078" i="12"/>
  <c r="F1078" i="12"/>
  <c r="E1078" i="12"/>
  <c r="N1078" i="12" s="1"/>
  <c r="D1078" i="12"/>
  <c r="C1078" i="12"/>
  <c r="B1078" i="12"/>
  <c r="A1078" i="12"/>
  <c r="K1077" i="12"/>
  <c r="J1077" i="12"/>
  <c r="I1077" i="12"/>
  <c r="H1077" i="12"/>
  <c r="G1077" i="12"/>
  <c r="F1077" i="12"/>
  <c r="E1077" i="12"/>
  <c r="N1077" i="12" s="1"/>
  <c r="D1077" i="12"/>
  <c r="C1077" i="12"/>
  <c r="B1077" i="12"/>
  <c r="A1077" i="12"/>
  <c r="K1076" i="12"/>
  <c r="J1076" i="12"/>
  <c r="I1076" i="12"/>
  <c r="H1076" i="12"/>
  <c r="G1076" i="12"/>
  <c r="F1076" i="12"/>
  <c r="E1076" i="12"/>
  <c r="N1076" i="12" s="1"/>
  <c r="D1076" i="12"/>
  <c r="C1076" i="12"/>
  <c r="B1076" i="12"/>
  <c r="A1076" i="12"/>
  <c r="K1075" i="12"/>
  <c r="J1075" i="12"/>
  <c r="I1075" i="12"/>
  <c r="H1075" i="12"/>
  <c r="G1075" i="12"/>
  <c r="F1075" i="12"/>
  <c r="E1075" i="12"/>
  <c r="N1075" i="12" s="1"/>
  <c r="D1075" i="12"/>
  <c r="C1075" i="12"/>
  <c r="B1075" i="12"/>
  <c r="A1075" i="12"/>
  <c r="K1074" i="12"/>
  <c r="J1074" i="12"/>
  <c r="I1074" i="12"/>
  <c r="H1074" i="12"/>
  <c r="G1074" i="12"/>
  <c r="F1074" i="12"/>
  <c r="E1074" i="12"/>
  <c r="N1074" i="12" s="1"/>
  <c r="D1074" i="12"/>
  <c r="C1074" i="12"/>
  <c r="B1074" i="12"/>
  <c r="A1074" i="12"/>
  <c r="K1073" i="12"/>
  <c r="J1073" i="12"/>
  <c r="I1073" i="12"/>
  <c r="H1073" i="12"/>
  <c r="G1073" i="12"/>
  <c r="F1073" i="12"/>
  <c r="E1073" i="12"/>
  <c r="N1073" i="12" s="1"/>
  <c r="D1073" i="12"/>
  <c r="C1073" i="12"/>
  <c r="B1073" i="12"/>
  <c r="A1073" i="12"/>
  <c r="K1072" i="12"/>
  <c r="J1072" i="12"/>
  <c r="I1072" i="12"/>
  <c r="H1072" i="12"/>
  <c r="G1072" i="12"/>
  <c r="F1072" i="12"/>
  <c r="E1072" i="12"/>
  <c r="N1072" i="12" s="1"/>
  <c r="D1072" i="12"/>
  <c r="C1072" i="12"/>
  <c r="B1072" i="12"/>
  <c r="A1072" i="12"/>
  <c r="K1071" i="12"/>
  <c r="J1071" i="12"/>
  <c r="I1071" i="12"/>
  <c r="H1071" i="12"/>
  <c r="G1071" i="12"/>
  <c r="F1071" i="12"/>
  <c r="E1071" i="12"/>
  <c r="N1071" i="12" s="1"/>
  <c r="D1071" i="12"/>
  <c r="C1071" i="12"/>
  <c r="B1071" i="12"/>
  <c r="A1071" i="12"/>
  <c r="K1070" i="12"/>
  <c r="J1070" i="12"/>
  <c r="I1070" i="12"/>
  <c r="H1070" i="12"/>
  <c r="G1070" i="12"/>
  <c r="F1070" i="12"/>
  <c r="E1070" i="12"/>
  <c r="N1070" i="12" s="1"/>
  <c r="D1070" i="12"/>
  <c r="C1070" i="12"/>
  <c r="B1070" i="12"/>
  <c r="A1070" i="12"/>
  <c r="K1069" i="12"/>
  <c r="J1069" i="12"/>
  <c r="I1069" i="12"/>
  <c r="H1069" i="12"/>
  <c r="G1069" i="12"/>
  <c r="F1069" i="12"/>
  <c r="E1069" i="12"/>
  <c r="N1069" i="12" s="1"/>
  <c r="D1069" i="12"/>
  <c r="C1069" i="12"/>
  <c r="B1069" i="12"/>
  <c r="A1069" i="12"/>
  <c r="K1068" i="12"/>
  <c r="J1068" i="12"/>
  <c r="I1068" i="12"/>
  <c r="H1068" i="12"/>
  <c r="G1068" i="12"/>
  <c r="F1068" i="12"/>
  <c r="E1068" i="12"/>
  <c r="N1068" i="12" s="1"/>
  <c r="D1068" i="12"/>
  <c r="C1068" i="12"/>
  <c r="B1068" i="12"/>
  <c r="A1068" i="12"/>
  <c r="K1067" i="12"/>
  <c r="J1067" i="12"/>
  <c r="I1067" i="12"/>
  <c r="H1067" i="12"/>
  <c r="G1067" i="12"/>
  <c r="F1067" i="12"/>
  <c r="E1067" i="12"/>
  <c r="N1067" i="12" s="1"/>
  <c r="D1067" i="12"/>
  <c r="C1067" i="12"/>
  <c r="B1067" i="12"/>
  <c r="A1067" i="12"/>
  <c r="K1066" i="12"/>
  <c r="J1066" i="12"/>
  <c r="I1066" i="12"/>
  <c r="H1066" i="12"/>
  <c r="G1066" i="12"/>
  <c r="F1066" i="12"/>
  <c r="E1066" i="12"/>
  <c r="N1066" i="12" s="1"/>
  <c r="D1066" i="12"/>
  <c r="C1066" i="12"/>
  <c r="B1066" i="12"/>
  <c r="A1066" i="12"/>
  <c r="K1065" i="12"/>
  <c r="J1065" i="12"/>
  <c r="I1065" i="12"/>
  <c r="H1065" i="12"/>
  <c r="G1065" i="12"/>
  <c r="F1065" i="12"/>
  <c r="E1065" i="12"/>
  <c r="N1065" i="12" s="1"/>
  <c r="D1065" i="12"/>
  <c r="C1065" i="12"/>
  <c r="B1065" i="12"/>
  <c r="A1065" i="12"/>
  <c r="K1064" i="12"/>
  <c r="J1064" i="12"/>
  <c r="I1064" i="12"/>
  <c r="H1064" i="12"/>
  <c r="G1064" i="12"/>
  <c r="F1064" i="12"/>
  <c r="E1064" i="12"/>
  <c r="N1064" i="12" s="1"/>
  <c r="D1064" i="12"/>
  <c r="C1064" i="12"/>
  <c r="B1064" i="12"/>
  <c r="A1064" i="12"/>
  <c r="K1063" i="12"/>
  <c r="J1063" i="12"/>
  <c r="I1063" i="12"/>
  <c r="H1063" i="12"/>
  <c r="G1063" i="12"/>
  <c r="F1063" i="12"/>
  <c r="E1063" i="12"/>
  <c r="N1063" i="12" s="1"/>
  <c r="D1063" i="12"/>
  <c r="C1063" i="12"/>
  <c r="B1063" i="12"/>
  <c r="A1063" i="12"/>
  <c r="K1062" i="12"/>
  <c r="J1062" i="12"/>
  <c r="I1062" i="12"/>
  <c r="H1062" i="12"/>
  <c r="G1062" i="12"/>
  <c r="F1062" i="12"/>
  <c r="E1062" i="12"/>
  <c r="N1062" i="12" s="1"/>
  <c r="D1062" i="12"/>
  <c r="C1062" i="12"/>
  <c r="B1062" i="12"/>
  <c r="A1062" i="12"/>
  <c r="K1061" i="12"/>
  <c r="J1061" i="12"/>
  <c r="I1061" i="12"/>
  <c r="H1061" i="12"/>
  <c r="G1061" i="12"/>
  <c r="F1061" i="12"/>
  <c r="E1061" i="12"/>
  <c r="N1061" i="12" s="1"/>
  <c r="D1061" i="12"/>
  <c r="C1061" i="12"/>
  <c r="B1061" i="12"/>
  <c r="A1061" i="12"/>
  <c r="K1060" i="12"/>
  <c r="J1060" i="12"/>
  <c r="I1060" i="12"/>
  <c r="H1060" i="12"/>
  <c r="G1060" i="12"/>
  <c r="F1060" i="12"/>
  <c r="E1060" i="12"/>
  <c r="N1060" i="12" s="1"/>
  <c r="D1060" i="12"/>
  <c r="C1060" i="12"/>
  <c r="B1060" i="12"/>
  <c r="A1060" i="12"/>
  <c r="K1059" i="12"/>
  <c r="J1059" i="12"/>
  <c r="I1059" i="12"/>
  <c r="H1059" i="12"/>
  <c r="G1059" i="12"/>
  <c r="F1059" i="12"/>
  <c r="E1059" i="12"/>
  <c r="N1059" i="12" s="1"/>
  <c r="D1059" i="12"/>
  <c r="C1059" i="12"/>
  <c r="B1059" i="12"/>
  <c r="A1059" i="12"/>
  <c r="K1058" i="12"/>
  <c r="J1058" i="12"/>
  <c r="I1058" i="12"/>
  <c r="H1058" i="12"/>
  <c r="G1058" i="12"/>
  <c r="F1058" i="12"/>
  <c r="E1058" i="12"/>
  <c r="N1058" i="12" s="1"/>
  <c r="D1058" i="12"/>
  <c r="C1058" i="12"/>
  <c r="B1058" i="12"/>
  <c r="A1058" i="12"/>
  <c r="K1057" i="12"/>
  <c r="J1057" i="12"/>
  <c r="I1057" i="12"/>
  <c r="H1057" i="12"/>
  <c r="G1057" i="12"/>
  <c r="F1057" i="12"/>
  <c r="E1057" i="12"/>
  <c r="N1057" i="12" s="1"/>
  <c r="D1057" i="12"/>
  <c r="C1057" i="12"/>
  <c r="B1057" i="12"/>
  <c r="A1057" i="12"/>
  <c r="K1056" i="12"/>
  <c r="J1056" i="12"/>
  <c r="I1056" i="12"/>
  <c r="H1056" i="12"/>
  <c r="G1056" i="12"/>
  <c r="F1056" i="12"/>
  <c r="E1056" i="12"/>
  <c r="N1056" i="12" s="1"/>
  <c r="D1056" i="12"/>
  <c r="C1056" i="12"/>
  <c r="B1056" i="12"/>
  <c r="A1056" i="12"/>
  <c r="K1055" i="12"/>
  <c r="J1055" i="12"/>
  <c r="I1055" i="12"/>
  <c r="H1055" i="12"/>
  <c r="G1055" i="12"/>
  <c r="F1055" i="12"/>
  <c r="E1055" i="12"/>
  <c r="N1055" i="12" s="1"/>
  <c r="D1055" i="12"/>
  <c r="C1055" i="12"/>
  <c r="B1055" i="12"/>
  <c r="A1055" i="12"/>
  <c r="K1054" i="12"/>
  <c r="J1054" i="12"/>
  <c r="I1054" i="12"/>
  <c r="H1054" i="12"/>
  <c r="G1054" i="12"/>
  <c r="F1054" i="12"/>
  <c r="E1054" i="12"/>
  <c r="N1054" i="12" s="1"/>
  <c r="D1054" i="12"/>
  <c r="C1054" i="12"/>
  <c r="B1054" i="12"/>
  <c r="A1054" i="12"/>
  <c r="K1053" i="12"/>
  <c r="J1053" i="12"/>
  <c r="I1053" i="12"/>
  <c r="H1053" i="12"/>
  <c r="G1053" i="12"/>
  <c r="F1053" i="12"/>
  <c r="E1053" i="12"/>
  <c r="N1053" i="12" s="1"/>
  <c r="D1053" i="12"/>
  <c r="C1053" i="12"/>
  <c r="B1053" i="12"/>
  <c r="A1053" i="12"/>
  <c r="K1052" i="12"/>
  <c r="J1052" i="12"/>
  <c r="I1052" i="12"/>
  <c r="H1052" i="12"/>
  <c r="G1052" i="12"/>
  <c r="F1052" i="12"/>
  <c r="E1052" i="12"/>
  <c r="N1052" i="12" s="1"/>
  <c r="D1052" i="12"/>
  <c r="C1052" i="12"/>
  <c r="B1052" i="12"/>
  <c r="A1052" i="12"/>
  <c r="K1051" i="12"/>
  <c r="J1051" i="12"/>
  <c r="I1051" i="12"/>
  <c r="H1051" i="12"/>
  <c r="G1051" i="12"/>
  <c r="F1051" i="12"/>
  <c r="E1051" i="12"/>
  <c r="N1051" i="12" s="1"/>
  <c r="D1051" i="12"/>
  <c r="C1051" i="12"/>
  <c r="B1051" i="12"/>
  <c r="A1051" i="12"/>
  <c r="K1050" i="12"/>
  <c r="J1050" i="12"/>
  <c r="I1050" i="12"/>
  <c r="H1050" i="12"/>
  <c r="G1050" i="12"/>
  <c r="F1050" i="12"/>
  <c r="E1050" i="12"/>
  <c r="N1050" i="12" s="1"/>
  <c r="D1050" i="12"/>
  <c r="C1050" i="12"/>
  <c r="B1050" i="12"/>
  <c r="A1050" i="12"/>
  <c r="K1049" i="12"/>
  <c r="J1049" i="12"/>
  <c r="I1049" i="12"/>
  <c r="H1049" i="12"/>
  <c r="G1049" i="12"/>
  <c r="F1049" i="12"/>
  <c r="E1049" i="12"/>
  <c r="N1049" i="12" s="1"/>
  <c r="D1049" i="12"/>
  <c r="C1049" i="12"/>
  <c r="B1049" i="12"/>
  <c r="A1049" i="12"/>
  <c r="K1048" i="12"/>
  <c r="J1048" i="12"/>
  <c r="I1048" i="12"/>
  <c r="H1048" i="12"/>
  <c r="G1048" i="12"/>
  <c r="F1048" i="12"/>
  <c r="E1048" i="12"/>
  <c r="N1048" i="12" s="1"/>
  <c r="D1048" i="12"/>
  <c r="C1048" i="12"/>
  <c r="B1048" i="12"/>
  <c r="A1048" i="12"/>
  <c r="K1047" i="12"/>
  <c r="J1047" i="12"/>
  <c r="I1047" i="12"/>
  <c r="H1047" i="12"/>
  <c r="G1047" i="12"/>
  <c r="F1047" i="12"/>
  <c r="E1047" i="12"/>
  <c r="N1047" i="12" s="1"/>
  <c r="D1047" i="12"/>
  <c r="C1047" i="12"/>
  <c r="B1047" i="12"/>
  <c r="A1047" i="12"/>
  <c r="K1046" i="12"/>
  <c r="J1046" i="12"/>
  <c r="I1046" i="12"/>
  <c r="H1046" i="12"/>
  <c r="G1046" i="12"/>
  <c r="F1046" i="12"/>
  <c r="E1046" i="12"/>
  <c r="N1046" i="12" s="1"/>
  <c r="D1046" i="12"/>
  <c r="C1046" i="12"/>
  <c r="B1046" i="12"/>
  <c r="A1046" i="12"/>
  <c r="K1045" i="12"/>
  <c r="J1045" i="12"/>
  <c r="I1045" i="12"/>
  <c r="H1045" i="12"/>
  <c r="G1045" i="12"/>
  <c r="F1045" i="12"/>
  <c r="E1045" i="12"/>
  <c r="N1045" i="12" s="1"/>
  <c r="D1045" i="12"/>
  <c r="C1045" i="12"/>
  <c r="B1045" i="12"/>
  <c r="A1045" i="12"/>
  <c r="K1044" i="12"/>
  <c r="J1044" i="12"/>
  <c r="I1044" i="12"/>
  <c r="H1044" i="12"/>
  <c r="G1044" i="12"/>
  <c r="F1044" i="12"/>
  <c r="E1044" i="12"/>
  <c r="N1044" i="12" s="1"/>
  <c r="D1044" i="12"/>
  <c r="C1044" i="12"/>
  <c r="B1044" i="12"/>
  <c r="A1044" i="12"/>
  <c r="K1043" i="12"/>
  <c r="J1043" i="12"/>
  <c r="I1043" i="12"/>
  <c r="H1043" i="12"/>
  <c r="G1043" i="12"/>
  <c r="F1043" i="12"/>
  <c r="E1043" i="12"/>
  <c r="N1043" i="12" s="1"/>
  <c r="D1043" i="12"/>
  <c r="C1043" i="12"/>
  <c r="B1043" i="12"/>
  <c r="A1043" i="12"/>
  <c r="K1042" i="12"/>
  <c r="J1042" i="12"/>
  <c r="I1042" i="12"/>
  <c r="H1042" i="12"/>
  <c r="G1042" i="12"/>
  <c r="F1042" i="12"/>
  <c r="E1042" i="12"/>
  <c r="N1042" i="12" s="1"/>
  <c r="D1042" i="12"/>
  <c r="C1042" i="12"/>
  <c r="B1042" i="12"/>
  <c r="A1042" i="12"/>
  <c r="K1041" i="12"/>
  <c r="J1041" i="12"/>
  <c r="I1041" i="12"/>
  <c r="H1041" i="12"/>
  <c r="G1041" i="12"/>
  <c r="F1041" i="12"/>
  <c r="E1041" i="12"/>
  <c r="N1041" i="12" s="1"/>
  <c r="D1041" i="12"/>
  <c r="C1041" i="12"/>
  <c r="B1041" i="12"/>
  <c r="A1041" i="12"/>
  <c r="K1040" i="12"/>
  <c r="J1040" i="12"/>
  <c r="I1040" i="12"/>
  <c r="H1040" i="12"/>
  <c r="G1040" i="12"/>
  <c r="F1040" i="12"/>
  <c r="E1040" i="12"/>
  <c r="N1040" i="12" s="1"/>
  <c r="D1040" i="12"/>
  <c r="C1040" i="12"/>
  <c r="B1040" i="12"/>
  <c r="A1040" i="12"/>
  <c r="K1039" i="12"/>
  <c r="J1039" i="12"/>
  <c r="I1039" i="12"/>
  <c r="H1039" i="12"/>
  <c r="G1039" i="12"/>
  <c r="F1039" i="12"/>
  <c r="E1039" i="12"/>
  <c r="N1039" i="12" s="1"/>
  <c r="D1039" i="12"/>
  <c r="C1039" i="12"/>
  <c r="B1039" i="12"/>
  <c r="A1039" i="12"/>
  <c r="K1038" i="12"/>
  <c r="J1038" i="12"/>
  <c r="I1038" i="12"/>
  <c r="H1038" i="12"/>
  <c r="G1038" i="12"/>
  <c r="F1038" i="12"/>
  <c r="E1038" i="12"/>
  <c r="N1038" i="12" s="1"/>
  <c r="D1038" i="12"/>
  <c r="C1038" i="12"/>
  <c r="B1038" i="12"/>
  <c r="A1038" i="12"/>
  <c r="K1037" i="12"/>
  <c r="J1037" i="12"/>
  <c r="I1037" i="12"/>
  <c r="H1037" i="12"/>
  <c r="G1037" i="12"/>
  <c r="F1037" i="12"/>
  <c r="E1037" i="12"/>
  <c r="N1037" i="12" s="1"/>
  <c r="D1037" i="12"/>
  <c r="C1037" i="12"/>
  <c r="B1037" i="12"/>
  <c r="A1037" i="12"/>
  <c r="K1036" i="12"/>
  <c r="J1036" i="12"/>
  <c r="I1036" i="12"/>
  <c r="H1036" i="12"/>
  <c r="G1036" i="12"/>
  <c r="F1036" i="12"/>
  <c r="E1036" i="12"/>
  <c r="N1036" i="12" s="1"/>
  <c r="D1036" i="12"/>
  <c r="C1036" i="12"/>
  <c r="B1036" i="12"/>
  <c r="A1036" i="12"/>
  <c r="K1035" i="12"/>
  <c r="J1035" i="12"/>
  <c r="I1035" i="12"/>
  <c r="H1035" i="12"/>
  <c r="G1035" i="12"/>
  <c r="F1035" i="12"/>
  <c r="E1035" i="12"/>
  <c r="N1035" i="12" s="1"/>
  <c r="D1035" i="12"/>
  <c r="C1035" i="12"/>
  <c r="B1035" i="12"/>
  <c r="A1035" i="12"/>
  <c r="K1034" i="12"/>
  <c r="J1034" i="12"/>
  <c r="I1034" i="12"/>
  <c r="H1034" i="12"/>
  <c r="G1034" i="12"/>
  <c r="F1034" i="12"/>
  <c r="E1034" i="12"/>
  <c r="N1034" i="12" s="1"/>
  <c r="D1034" i="12"/>
  <c r="C1034" i="12"/>
  <c r="B1034" i="12"/>
  <c r="A1034" i="12"/>
  <c r="K1033" i="12"/>
  <c r="J1033" i="12"/>
  <c r="I1033" i="12"/>
  <c r="H1033" i="12"/>
  <c r="G1033" i="12"/>
  <c r="F1033" i="12"/>
  <c r="E1033" i="12"/>
  <c r="N1033" i="12" s="1"/>
  <c r="D1033" i="12"/>
  <c r="C1033" i="12"/>
  <c r="B1033" i="12"/>
  <c r="A1033" i="12"/>
  <c r="K1032" i="12"/>
  <c r="J1032" i="12"/>
  <c r="I1032" i="12"/>
  <c r="H1032" i="12"/>
  <c r="G1032" i="12"/>
  <c r="F1032" i="12"/>
  <c r="E1032" i="12"/>
  <c r="N1032" i="12" s="1"/>
  <c r="D1032" i="12"/>
  <c r="C1032" i="12"/>
  <c r="B1032" i="12"/>
  <c r="A1032" i="12"/>
  <c r="K1031" i="12"/>
  <c r="J1031" i="12"/>
  <c r="I1031" i="12"/>
  <c r="H1031" i="12"/>
  <c r="G1031" i="12"/>
  <c r="F1031" i="12"/>
  <c r="E1031" i="12"/>
  <c r="N1031" i="12" s="1"/>
  <c r="D1031" i="12"/>
  <c r="C1031" i="12"/>
  <c r="B1031" i="12"/>
  <c r="A1031" i="12"/>
  <c r="K1030" i="12"/>
  <c r="J1030" i="12"/>
  <c r="I1030" i="12"/>
  <c r="H1030" i="12"/>
  <c r="G1030" i="12"/>
  <c r="F1030" i="12"/>
  <c r="E1030" i="12"/>
  <c r="N1030" i="12" s="1"/>
  <c r="D1030" i="12"/>
  <c r="C1030" i="12"/>
  <c r="B1030" i="12"/>
  <c r="A1030" i="12"/>
  <c r="K1029" i="12"/>
  <c r="J1029" i="12"/>
  <c r="I1029" i="12"/>
  <c r="H1029" i="12"/>
  <c r="G1029" i="12"/>
  <c r="F1029" i="12"/>
  <c r="E1029" i="12"/>
  <c r="N1029" i="12" s="1"/>
  <c r="D1029" i="12"/>
  <c r="C1029" i="12"/>
  <c r="B1029" i="12"/>
  <c r="A1029" i="12"/>
  <c r="K1028" i="12"/>
  <c r="J1028" i="12"/>
  <c r="I1028" i="12"/>
  <c r="H1028" i="12"/>
  <c r="G1028" i="12"/>
  <c r="F1028" i="12"/>
  <c r="E1028" i="12"/>
  <c r="N1028" i="12" s="1"/>
  <c r="D1028" i="12"/>
  <c r="C1028" i="12"/>
  <c r="B1028" i="12"/>
  <c r="A1028" i="12"/>
  <c r="K1027" i="12"/>
  <c r="J1027" i="12"/>
  <c r="I1027" i="12"/>
  <c r="H1027" i="12"/>
  <c r="G1027" i="12"/>
  <c r="F1027" i="12"/>
  <c r="E1027" i="12"/>
  <c r="N1027" i="12" s="1"/>
  <c r="D1027" i="12"/>
  <c r="C1027" i="12"/>
  <c r="B1027" i="12"/>
  <c r="A1027" i="12"/>
  <c r="K1026" i="12"/>
  <c r="J1026" i="12"/>
  <c r="I1026" i="12"/>
  <c r="H1026" i="12"/>
  <c r="G1026" i="12"/>
  <c r="F1026" i="12"/>
  <c r="E1026" i="12"/>
  <c r="N1026" i="12" s="1"/>
  <c r="D1026" i="12"/>
  <c r="C1026" i="12"/>
  <c r="B1026" i="12"/>
  <c r="A1026" i="12"/>
  <c r="K1025" i="12"/>
  <c r="J1025" i="12"/>
  <c r="I1025" i="12"/>
  <c r="H1025" i="12"/>
  <c r="G1025" i="12"/>
  <c r="F1025" i="12"/>
  <c r="E1025" i="12"/>
  <c r="N1025" i="12" s="1"/>
  <c r="D1025" i="12"/>
  <c r="C1025" i="12"/>
  <c r="B1025" i="12"/>
  <c r="A1025" i="12"/>
  <c r="K1024" i="12"/>
  <c r="J1024" i="12"/>
  <c r="I1024" i="12"/>
  <c r="H1024" i="12"/>
  <c r="G1024" i="12"/>
  <c r="F1024" i="12"/>
  <c r="E1024" i="12"/>
  <c r="N1024" i="12" s="1"/>
  <c r="D1024" i="12"/>
  <c r="C1024" i="12"/>
  <c r="B1024" i="12"/>
  <c r="A1024" i="12"/>
  <c r="K1023" i="12"/>
  <c r="J1023" i="12"/>
  <c r="I1023" i="12"/>
  <c r="H1023" i="12"/>
  <c r="G1023" i="12"/>
  <c r="F1023" i="12"/>
  <c r="E1023" i="12"/>
  <c r="N1023" i="12" s="1"/>
  <c r="D1023" i="12"/>
  <c r="C1023" i="12"/>
  <c r="B1023" i="12"/>
  <c r="A1023" i="12"/>
  <c r="K1022" i="12"/>
  <c r="J1022" i="12"/>
  <c r="I1022" i="12"/>
  <c r="H1022" i="12"/>
  <c r="G1022" i="12"/>
  <c r="F1022" i="12"/>
  <c r="E1022" i="12"/>
  <c r="N1022" i="12" s="1"/>
  <c r="D1022" i="12"/>
  <c r="C1022" i="12"/>
  <c r="B1022" i="12"/>
  <c r="A1022" i="12"/>
  <c r="K1021" i="12"/>
  <c r="J1021" i="12"/>
  <c r="I1021" i="12"/>
  <c r="H1021" i="12"/>
  <c r="G1021" i="12"/>
  <c r="F1021" i="12"/>
  <c r="E1021" i="12"/>
  <c r="N1021" i="12" s="1"/>
  <c r="D1021" i="12"/>
  <c r="C1021" i="12"/>
  <c r="B1021" i="12"/>
  <c r="A1021" i="12"/>
  <c r="K1020" i="12"/>
  <c r="J1020" i="12"/>
  <c r="I1020" i="12"/>
  <c r="H1020" i="12"/>
  <c r="G1020" i="12"/>
  <c r="F1020" i="12"/>
  <c r="E1020" i="12"/>
  <c r="N1020" i="12" s="1"/>
  <c r="D1020" i="12"/>
  <c r="C1020" i="12"/>
  <c r="B1020" i="12"/>
  <c r="A1020" i="12"/>
  <c r="K1019" i="12"/>
  <c r="J1019" i="12"/>
  <c r="I1019" i="12"/>
  <c r="H1019" i="12"/>
  <c r="G1019" i="12"/>
  <c r="F1019" i="12"/>
  <c r="E1019" i="12"/>
  <c r="N1019" i="12" s="1"/>
  <c r="D1019" i="12"/>
  <c r="C1019" i="12"/>
  <c r="B1019" i="12"/>
  <c r="A1019" i="12"/>
  <c r="K1018" i="12"/>
  <c r="J1018" i="12"/>
  <c r="I1018" i="12"/>
  <c r="H1018" i="12"/>
  <c r="G1018" i="12"/>
  <c r="F1018" i="12"/>
  <c r="E1018" i="12"/>
  <c r="N1018" i="12" s="1"/>
  <c r="D1018" i="12"/>
  <c r="C1018" i="12"/>
  <c r="B1018" i="12"/>
  <c r="A1018" i="12"/>
  <c r="K1017" i="12"/>
  <c r="J1017" i="12"/>
  <c r="I1017" i="12"/>
  <c r="H1017" i="12"/>
  <c r="G1017" i="12"/>
  <c r="F1017" i="12"/>
  <c r="E1017" i="12"/>
  <c r="N1017" i="12" s="1"/>
  <c r="D1017" i="12"/>
  <c r="C1017" i="12"/>
  <c r="B1017" i="12"/>
  <c r="A1017" i="12"/>
  <c r="K1016" i="12"/>
  <c r="J1016" i="12"/>
  <c r="I1016" i="12"/>
  <c r="H1016" i="12"/>
  <c r="G1016" i="12"/>
  <c r="F1016" i="12"/>
  <c r="E1016" i="12"/>
  <c r="N1016" i="12" s="1"/>
  <c r="D1016" i="12"/>
  <c r="C1016" i="12"/>
  <c r="B1016" i="12"/>
  <c r="A1016" i="12"/>
  <c r="K1015" i="12"/>
  <c r="J1015" i="12"/>
  <c r="I1015" i="12"/>
  <c r="H1015" i="12"/>
  <c r="G1015" i="12"/>
  <c r="F1015" i="12"/>
  <c r="E1015" i="12"/>
  <c r="N1015" i="12" s="1"/>
  <c r="D1015" i="12"/>
  <c r="C1015" i="12"/>
  <c r="B1015" i="12"/>
  <c r="A1015" i="12"/>
  <c r="K1014" i="12"/>
  <c r="J1014" i="12"/>
  <c r="I1014" i="12"/>
  <c r="H1014" i="12"/>
  <c r="G1014" i="12"/>
  <c r="F1014" i="12"/>
  <c r="E1014" i="12"/>
  <c r="N1014" i="12" s="1"/>
  <c r="D1014" i="12"/>
  <c r="C1014" i="12"/>
  <c r="B1014" i="12"/>
  <c r="A1014" i="12"/>
  <c r="K1013" i="12"/>
  <c r="J1013" i="12"/>
  <c r="I1013" i="12"/>
  <c r="H1013" i="12"/>
  <c r="G1013" i="12"/>
  <c r="F1013" i="12"/>
  <c r="E1013" i="12"/>
  <c r="N1013" i="12" s="1"/>
  <c r="D1013" i="12"/>
  <c r="C1013" i="12"/>
  <c r="B1013" i="12"/>
  <c r="A1013" i="12"/>
  <c r="K1012" i="12"/>
  <c r="J1012" i="12"/>
  <c r="I1012" i="12"/>
  <c r="H1012" i="12"/>
  <c r="G1012" i="12"/>
  <c r="F1012" i="12"/>
  <c r="E1012" i="12"/>
  <c r="N1012" i="12" s="1"/>
  <c r="D1012" i="12"/>
  <c r="C1012" i="12"/>
  <c r="B1012" i="12"/>
  <c r="A1012" i="12"/>
  <c r="K1011" i="12"/>
  <c r="J1011" i="12"/>
  <c r="I1011" i="12"/>
  <c r="H1011" i="12"/>
  <c r="G1011" i="12"/>
  <c r="F1011" i="12"/>
  <c r="E1011" i="12"/>
  <c r="N1011" i="12" s="1"/>
  <c r="D1011" i="12"/>
  <c r="C1011" i="12"/>
  <c r="B1011" i="12"/>
  <c r="A1011" i="12"/>
  <c r="K1010" i="12"/>
  <c r="J1010" i="12"/>
  <c r="I1010" i="12"/>
  <c r="H1010" i="12"/>
  <c r="G1010" i="12"/>
  <c r="F1010" i="12"/>
  <c r="E1010" i="12"/>
  <c r="N1010" i="12" s="1"/>
  <c r="D1010" i="12"/>
  <c r="C1010" i="12"/>
  <c r="B1010" i="12"/>
  <c r="A1010" i="12"/>
  <c r="K1009" i="12"/>
  <c r="J1009" i="12"/>
  <c r="I1009" i="12"/>
  <c r="H1009" i="12"/>
  <c r="G1009" i="12"/>
  <c r="F1009" i="12"/>
  <c r="E1009" i="12"/>
  <c r="N1009" i="12" s="1"/>
  <c r="D1009" i="12"/>
  <c r="C1009" i="12"/>
  <c r="B1009" i="12"/>
  <c r="A1009" i="12"/>
  <c r="K1008" i="12"/>
  <c r="J1008" i="12"/>
  <c r="I1008" i="12"/>
  <c r="H1008" i="12"/>
  <c r="G1008" i="12"/>
  <c r="F1008" i="12"/>
  <c r="E1008" i="12"/>
  <c r="N1008" i="12" s="1"/>
  <c r="D1008" i="12"/>
  <c r="C1008" i="12"/>
  <c r="B1008" i="12"/>
  <c r="A1008" i="12"/>
  <c r="K1007" i="12"/>
  <c r="J1007" i="12"/>
  <c r="I1007" i="12"/>
  <c r="H1007" i="12"/>
  <c r="G1007" i="12"/>
  <c r="F1007" i="12"/>
  <c r="E1007" i="12"/>
  <c r="N1007" i="12" s="1"/>
  <c r="D1007" i="12"/>
  <c r="C1007" i="12"/>
  <c r="B1007" i="12"/>
  <c r="A1007" i="12"/>
  <c r="K1006" i="12"/>
  <c r="J1006" i="12"/>
  <c r="I1006" i="12"/>
  <c r="H1006" i="12"/>
  <c r="G1006" i="12"/>
  <c r="F1006" i="12"/>
  <c r="E1006" i="12"/>
  <c r="N1006" i="12" s="1"/>
  <c r="D1006" i="12"/>
  <c r="C1006" i="12"/>
  <c r="B1006" i="12"/>
  <c r="A1006" i="12"/>
  <c r="K1005" i="12"/>
  <c r="J1005" i="12"/>
  <c r="I1005" i="12"/>
  <c r="H1005" i="12"/>
  <c r="G1005" i="12"/>
  <c r="F1005" i="12"/>
  <c r="E1005" i="12"/>
  <c r="N1005" i="12" s="1"/>
  <c r="D1005" i="12"/>
  <c r="C1005" i="12"/>
  <c r="B1005" i="12"/>
  <c r="A1005" i="12"/>
  <c r="K1004" i="12"/>
  <c r="J1004" i="12"/>
  <c r="I1004" i="12"/>
  <c r="H1004" i="12"/>
  <c r="G1004" i="12"/>
  <c r="F1004" i="12"/>
  <c r="E1004" i="12"/>
  <c r="N1004" i="12" s="1"/>
  <c r="D1004" i="12"/>
  <c r="C1004" i="12"/>
  <c r="B1004" i="12"/>
  <c r="A1004" i="12"/>
  <c r="K1003" i="12"/>
  <c r="J1003" i="12"/>
  <c r="I1003" i="12"/>
  <c r="H1003" i="12"/>
  <c r="G1003" i="12"/>
  <c r="F1003" i="12"/>
  <c r="E1003" i="12"/>
  <c r="N1003" i="12" s="1"/>
  <c r="D1003" i="12"/>
  <c r="C1003" i="12"/>
  <c r="B1003" i="12"/>
  <c r="A1003" i="12"/>
  <c r="K1002" i="12"/>
  <c r="J1002" i="12"/>
  <c r="I1002" i="12"/>
  <c r="H1002" i="12"/>
  <c r="G1002" i="12"/>
  <c r="F1002" i="12"/>
  <c r="E1002" i="12"/>
  <c r="N1002" i="12" s="1"/>
  <c r="D1002" i="12"/>
  <c r="C1002" i="12"/>
  <c r="B1002" i="12"/>
  <c r="A1002" i="12"/>
  <c r="K1001" i="12"/>
  <c r="J1001" i="12"/>
  <c r="I1001" i="12"/>
  <c r="H1001" i="12"/>
  <c r="G1001" i="12"/>
  <c r="F1001" i="12"/>
  <c r="E1001" i="12"/>
  <c r="N1001" i="12" s="1"/>
  <c r="D1001" i="12"/>
  <c r="C1001" i="12"/>
  <c r="B1001" i="12"/>
  <c r="A1001" i="12"/>
  <c r="K1000" i="12"/>
  <c r="J1000" i="12"/>
  <c r="I1000" i="12"/>
  <c r="H1000" i="12"/>
  <c r="G1000" i="12"/>
  <c r="F1000" i="12"/>
  <c r="E1000" i="12"/>
  <c r="N1000" i="12" s="1"/>
  <c r="D1000" i="12"/>
  <c r="C1000" i="12"/>
  <c r="B1000" i="12"/>
  <c r="A1000" i="12"/>
  <c r="K999" i="12"/>
  <c r="J999" i="12"/>
  <c r="I999" i="12"/>
  <c r="H999" i="12"/>
  <c r="G999" i="12"/>
  <c r="F999" i="12"/>
  <c r="E999" i="12"/>
  <c r="N999" i="12" s="1"/>
  <c r="D999" i="12"/>
  <c r="C999" i="12"/>
  <c r="B999" i="12"/>
  <c r="A999" i="12"/>
  <c r="K998" i="12"/>
  <c r="J998" i="12"/>
  <c r="I998" i="12"/>
  <c r="H998" i="12"/>
  <c r="G998" i="12"/>
  <c r="F998" i="12"/>
  <c r="E998" i="12"/>
  <c r="N998" i="12" s="1"/>
  <c r="D998" i="12"/>
  <c r="C998" i="12"/>
  <c r="B998" i="12"/>
  <c r="A998" i="12"/>
  <c r="K997" i="12"/>
  <c r="J997" i="12"/>
  <c r="I997" i="12"/>
  <c r="H997" i="12"/>
  <c r="G997" i="12"/>
  <c r="F997" i="12"/>
  <c r="E997" i="12"/>
  <c r="N997" i="12" s="1"/>
  <c r="D997" i="12"/>
  <c r="C997" i="12"/>
  <c r="B997" i="12"/>
  <c r="A997" i="12"/>
  <c r="K996" i="12"/>
  <c r="J996" i="12"/>
  <c r="I996" i="12"/>
  <c r="H996" i="12"/>
  <c r="G996" i="12"/>
  <c r="F996" i="12"/>
  <c r="E996" i="12"/>
  <c r="N996" i="12" s="1"/>
  <c r="D996" i="12"/>
  <c r="C996" i="12"/>
  <c r="B996" i="12"/>
  <c r="A996" i="12"/>
  <c r="K995" i="12"/>
  <c r="J995" i="12"/>
  <c r="I995" i="12"/>
  <c r="H995" i="12"/>
  <c r="G995" i="12"/>
  <c r="F995" i="12"/>
  <c r="E995" i="12"/>
  <c r="N995" i="12" s="1"/>
  <c r="D995" i="12"/>
  <c r="C995" i="12"/>
  <c r="B995" i="12"/>
  <c r="A995" i="12"/>
  <c r="K994" i="12"/>
  <c r="J994" i="12"/>
  <c r="I994" i="12"/>
  <c r="H994" i="12"/>
  <c r="G994" i="12"/>
  <c r="F994" i="12"/>
  <c r="E994" i="12"/>
  <c r="N994" i="12" s="1"/>
  <c r="D994" i="12"/>
  <c r="C994" i="12"/>
  <c r="B994" i="12"/>
  <c r="A994" i="12"/>
  <c r="K993" i="12"/>
  <c r="J993" i="12"/>
  <c r="I993" i="12"/>
  <c r="H993" i="12"/>
  <c r="G993" i="12"/>
  <c r="F993" i="12"/>
  <c r="E993" i="12"/>
  <c r="N993" i="12" s="1"/>
  <c r="D993" i="12"/>
  <c r="C993" i="12"/>
  <c r="B993" i="12"/>
  <c r="A993" i="12"/>
  <c r="K992" i="12"/>
  <c r="J992" i="12"/>
  <c r="I992" i="12"/>
  <c r="H992" i="12"/>
  <c r="G992" i="12"/>
  <c r="F992" i="12"/>
  <c r="E992" i="12"/>
  <c r="N992" i="12" s="1"/>
  <c r="D992" i="12"/>
  <c r="C992" i="12"/>
  <c r="B992" i="12"/>
  <c r="A992" i="12"/>
  <c r="K991" i="12"/>
  <c r="J991" i="12"/>
  <c r="I991" i="12"/>
  <c r="H991" i="12"/>
  <c r="G991" i="12"/>
  <c r="F991" i="12"/>
  <c r="E991" i="12"/>
  <c r="N991" i="12" s="1"/>
  <c r="D991" i="12"/>
  <c r="C991" i="12"/>
  <c r="B991" i="12"/>
  <c r="A991" i="12"/>
  <c r="K990" i="12"/>
  <c r="J990" i="12"/>
  <c r="I990" i="12"/>
  <c r="H990" i="12"/>
  <c r="G990" i="12"/>
  <c r="F990" i="12"/>
  <c r="E990" i="12"/>
  <c r="N990" i="12" s="1"/>
  <c r="D990" i="12"/>
  <c r="C990" i="12"/>
  <c r="B990" i="12"/>
  <c r="A990" i="12"/>
  <c r="K989" i="12"/>
  <c r="J989" i="12"/>
  <c r="I989" i="12"/>
  <c r="H989" i="12"/>
  <c r="G989" i="12"/>
  <c r="F989" i="12"/>
  <c r="E989" i="12"/>
  <c r="N989" i="12" s="1"/>
  <c r="D989" i="12"/>
  <c r="C989" i="12"/>
  <c r="B989" i="12"/>
  <c r="A989" i="12"/>
  <c r="K988" i="12"/>
  <c r="J988" i="12"/>
  <c r="I988" i="12"/>
  <c r="H988" i="12"/>
  <c r="G988" i="12"/>
  <c r="F988" i="12"/>
  <c r="E988" i="12"/>
  <c r="N988" i="12" s="1"/>
  <c r="D988" i="12"/>
  <c r="C988" i="12"/>
  <c r="B988" i="12"/>
  <c r="A988" i="12"/>
  <c r="K987" i="12"/>
  <c r="J987" i="12"/>
  <c r="I987" i="12"/>
  <c r="H987" i="12"/>
  <c r="G987" i="12"/>
  <c r="F987" i="12"/>
  <c r="E987" i="12"/>
  <c r="N987" i="12" s="1"/>
  <c r="D987" i="12"/>
  <c r="C987" i="12"/>
  <c r="B987" i="12"/>
  <c r="A987" i="12"/>
  <c r="K986" i="12"/>
  <c r="J986" i="12"/>
  <c r="I986" i="12"/>
  <c r="H986" i="12"/>
  <c r="G986" i="12"/>
  <c r="F986" i="12"/>
  <c r="E986" i="12"/>
  <c r="N986" i="12" s="1"/>
  <c r="D986" i="12"/>
  <c r="C986" i="12"/>
  <c r="B986" i="12"/>
  <c r="A986" i="12"/>
  <c r="K985" i="12"/>
  <c r="J985" i="12"/>
  <c r="I985" i="12"/>
  <c r="H985" i="12"/>
  <c r="G985" i="12"/>
  <c r="F985" i="12"/>
  <c r="E985" i="12"/>
  <c r="N985" i="12" s="1"/>
  <c r="D985" i="12"/>
  <c r="C985" i="12"/>
  <c r="B985" i="12"/>
  <c r="A985" i="12"/>
  <c r="K984" i="12"/>
  <c r="J984" i="12"/>
  <c r="I984" i="12"/>
  <c r="H984" i="12"/>
  <c r="G984" i="12"/>
  <c r="F984" i="12"/>
  <c r="E984" i="12"/>
  <c r="N984" i="12" s="1"/>
  <c r="D984" i="12"/>
  <c r="C984" i="12"/>
  <c r="B984" i="12"/>
  <c r="A984" i="12"/>
  <c r="K983" i="12"/>
  <c r="J983" i="12"/>
  <c r="I983" i="12"/>
  <c r="H983" i="12"/>
  <c r="G983" i="12"/>
  <c r="F983" i="12"/>
  <c r="E983" i="12"/>
  <c r="N983" i="12" s="1"/>
  <c r="D983" i="12"/>
  <c r="C983" i="12"/>
  <c r="B983" i="12"/>
  <c r="A983" i="12"/>
  <c r="K982" i="12"/>
  <c r="J982" i="12"/>
  <c r="I982" i="12"/>
  <c r="H982" i="12"/>
  <c r="G982" i="12"/>
  <c r="F982" i="12"/>
  <c r="E982" i="12"/>
  <c r="N982" i="12" s="1"/>
  <c r="D982" i="12"/>
  <c r="C982" i="12"/>
  <c r="B982" i="12"/>
  <c r="A982" i="12"/>
  <c r="S981" i="12"/>
  <c r="R981" i="12"/>
  <c r="P981" i="12"/>
  <c r="O981" i="12"/>
  <c r="N981" i="12"/>
  <c r="M981" i="12"/>
  <c r="L981" i="12"/>
  <c r="K981" i="12"/>
  <c r="J981" i="12"/>
  <c r="I981" i="12"/>
  <c r="H981" i="12"/>
  <c r="G981" i="12"/>
  <c r="Q981" i="12" s="1"/>
  <c r="F981" i="12"/>
  <c r="E981" i="12"/>
  <c r="D981" i="12"/>
  <c r="C981" i="12"/>
  <c r="B981" i="12"/>
  <c r="A981" i="12"/>
  <c r="K980" i="12"/>
  <c r="J980" i="12"/>
  <c r="I980" i="12"/>
  <c r="H980" i="12"/>
  <c r="G980" i="12"/>
  <c r="F980" i="12"/>
  <c r="E980" i="12"/>
  <c r="N980" i="12" s="1"/>
  <c r="D980" i="12"/>
  <c r="C980" i="12"/>
  <c r="B980" i="12"/>
  <c r="A980" i="12"/>
  <c r="K979" i="12"/>
  <c r="J979" i="12"/>
  <c r="I979" i="12"/>
  <c r="H979" i="12"/>
  <c r="G979" i="12"/>
  <c r="F979" i="12"/>
  <c r="E979" i="12"/>
  <c r="N979" i="12" s="1"/>
  <c r="D979" i="12"/>
  <c r="C979" i="12"/>
  <c r="B979" i="12"/>
  <c r="A979" i="12"/>
  <c r="K978" i="12"/>
  <c r="J978" i="12"/>
  <c r="I978" i="12"/>
  <c r="H978" i="12"/>
  <c r="G978" i="12"/>
  <c r="F978" i="12"/>
  <c r="E978" i="12"/>
  <c r="N978" i="12" s="1"/>
  <c r="D978" i="12"/>
  <c r="C978" i="12"/>
  <c r="B978" i="12"/>
  <c r="A978" i="12"/>
  <c r="K977" i="12"/>
  <c r="J977" i="12"/>
  <c r="I977" i="12"/>
  <c r="H977" i="12"/>
  <c r="G977" i="12"/>
  <c r="F977" i="12"/>
  <c r="E977" i="12"/>
  <c r="N977" i="12" s="1"/>
  <c r="D977" i="12"/>
  <c r="C977" i="12"/>
  <c r="B977" i="12"/>
  <c r="A977" i="12"/>
  <c r="K976" i="12"/>
  <c r="J976" i="12"/>
  <c r="I976" i="12"/>
  <c r="H976" i="12"/>
  <c r="G976" i="12"/>
  <c r="F976" i="12"/>
  <c r="E976" i="12"/>
  <c r="N976" i="12" s="1"/>
  <c r="D976" i="12"/>
  <c r="C976" i="12"/>
  <c r="B976" i="12"/>
  <c r="A976" i="12"/>
  <c r="K975" i="12"/>
  <c r="J975" i="12"/>
  <c r="I975" i="12"/>
  <c r="H975" i="12"/>
  <c r="G975" i="12"/>
  <c r="F975" i="12"/>
  <c r="E975" i="12"/>
  <c r="N975" i="12" s="1"/>
  <c r="D975" i="12"/>
  <c r="C975" i="12"/>
  <c r="B975" i="12"/>
  <c r="A975" i="12"/>
  <c r="K974" i="12"/>
  <c r="J974" i="12"/>
  <c r="I974" i="12"/>
  <c r="H974" i="12"/>
  <c r="G974" i="12"/>
  <c r="F974" i="12"/>
  <c r="E974" i="12"/>
  <c r="N974" i="12" s="1"/>
  <c r="D974" i="12"/>
  <c r="C974" i="12"/>
  <c r="B974" i="12"/>
  <c r="A974" i="12"/>
  <c r="K973" i="12"/>
  <c r="J973" i="12"/>
  <c r="I973" i="12"/>
  <c r="H973" i="12"/>
  <c r="G973" i="12"/>
  <c r="F973" i="12"/>
  <c r="E973" i="12"/>
  <c r="N973" i="12" s="1"/>
  <c r="D973" i="12"/>
  <c r="C973" i="12"/>
  <c r="B973" i="12"/>
  <c r="A973" i="12"/>
  <c r="K972" i="12"/>
  <c r="J972" i="12"/>
  <c r="I972" i="12"/>
  <c r="H972" i="12"/>
  <c r="G972" i="12"/>
  <c r="F972" i="12"/>
  <c r="E972" i="12"/>
  <c r="N972" i="12" s="1"/>
  <c r="D972" i="12"/>
  <c r="C972" i="12"/>
  <c r="B972" i="12"/>
  <c r="A972" i="12"/>
  <c r="K971" i="12"/>
  <c r="J971" i="12"/>
  <c r="I971" i="12"/>
  <c r="H971" i="12"/>
  <c r="G971" i="12"/>
  <c r="F971" i="12"/>
  <c r="E971" i="12"/>
  <c r="N971" i="12" s="1"/>
  <c r="D971" i="12"/>
  <c r="C971" i="12"/>
  <c r="B971" i="12"/>
  <c r="A971" i="12"/>
  <c r="K970" i="12"/>
  <c r="J970" i="12"/>
  <c r="I970" i="12"/>
  <c r="H970" i="12"/>
  <c r="G970" i="12"/>
  <c r="F970" i="12"/>
  <c r="E970" i="12"/>
  <c r="N970" i="12" s="1"/>
  <c r="D970" i="12"/>
  <c r="C970" i="12"/>
  <c r="B970" i="12"/>
  <c r="A970" i="12"/>
  <c r="K969" i="12"/>
  <c r="J969" i="12"/>
  <c r="I969" i="12"/>
  <c r="H969" i="12"/>
  <c r="G969" i="12"/>
  <c r="F969" i="12"/>
  <c r="E969" i="12"/>
  <c r="N969" i="12" s="1"/>
  <c r="D969" i="12"/>
  <c r="C969" i="12"/>
  <c r="B969" i="12"/>
  <c r="A969" i="12"/>
  <c r="K968" i="12"/>
  <c r="J968" i="12"/>
  <c r="I968" i="12"/>
  <c r="H968" i="12"/>
  <c r="G968" i="12"/>
  <c r="F968" i="12"/>
  <c r="E968" i="12"/>
  <c r="N968" i="12" s="1"/>
  <c r="D968" i="12"/>
  <c r="C968" i="12"/>
  <c r="B968" i="12"/>
  <c r="A968" i="12"/>
  <c r="K967" i="12"/>
  <c r="J967" i="12"/>
  <c r="I967" i="12"/>
  <c r="H967" i="12"/>
  <c r="G967" i="12"/>
  <c r="F967" i="12"/>
  <c r="E967" i="12"/>
  <c r="N967" i="12" s="1"/>
  <c r="D967" i="12"/>
  <c r="C967" i="12"/>
  <c r="B967" i="12"/>
  <c r="A967" i="12"/>
  <c r="K966" i="12"/>
  <c r="J966" i="12"/>
  <c r="I966" i="12"/>
  <c r="H966" i="12"/>
  <c r="G966" i="12"/>
  <c r="F966" i="12"/>
  <c r="E966" i="12"/>
  <c r="N966" i="12" s="1"/>
  <c r="D966" i="12"/>
  <c r="C966" i="12"/>
  <c r="B966" i="12"/>
  <c r="A966" i="12"/>
  <c r="K965" i="12"/>
  <c r="J965" i="12"/>
  <c r="I965" i="12"/>
  <c r="H965" i="12"/>
  <c r="G965" i="12"/>
  <c r="F965" i="12"/>
  <c r="E965" i="12"/>
  <c r="N965" i="12" s="1"/>
  <c r="D965" i="12"/>
  <c r="C965" i="12"/>
  <c r="B965" i="12"/>
  <c r="A965" i="12"/>
  <c r="K964" i="12"/>
  <c r="J964" i="12"/>
  <c r="I964" i="12"/>
  <c r="H964" i="12"/>
  <c r="G964" i="12"/>
  <c r="F964" i="12"/>
  <c r="E964" i="12"/>
  <c r="N964" i="12" s="1"/>
  <c r="D964" i="12"/>
  <c r="C964" i="12"/>
  <c r="B964" i="12"/>
  <c r="A964" i="12"/>
  <c r="K963" i="12"/>
  <c r="J963" i="12"/>
  <c r="I963" i="12"/>
  <c r="H963" i="12"/>
  <c r="G963" i="12"/>
  <c r="F963" i="12"/>
  <c r="E963" i="12"/>
  <c r="N963" i="12" s="1"/>
  <c r="D963" i="12"/>
  <c r="C963" i="12"/>
  <c r="B963" i="12"/>
  <c r="A963" i="12"/>
  <c r="K962" i="12"/>
  <c r="J962" i="12"/>
  <c r="I962" i="12"/>
  <c r="H962" i="12"/>
  <c r="G962" i="12"/>
  <c r="F962" i="12"/>
  <c r="E962" i="12"/>
  <c r="N962" i="12" s="1"/>
  <c r="D962" i="12"/>
  <c r="C962" i="12"/>
  <c r="B962" i="12"/>
  <c r="A962" i="12"/>
  <c r="K961" i="12"/>
  <c r="J961" i="12"/>
  <c r="I961" i="12"/>
  <c r="H961" i="12"/>
  <c r="G961" i="12"/>
  <c r="F961" i="12"/>
  <c r="E961" i="12"/>
  <c r="N961" i="12" s="1"/>
  <c r="D961" i="12"/>
  <c r="C961" i="12"/>
  <c r="B961" i="12"/>
  <c r="A961" i="12"/>
  <c r="K960" i="12"/>
  <c r="J960" i="12"/>
  <c r="I960" i="12"/>
  <c r="H960" i="12"/>
  <c r="G960" i="12"/>
  <c r="F960" i="12"/>
  <c r="E960" i="12"/>
  <c r="N960" i="12" s="1"/>
  <c r="D960" i="12"/>
  <c r="C960" i="12"/>
  <c r="B960" i="12"/>
  <c r="A960" i="12"/>
  <c r="K959" i="12"/>
  <c r="J959" i="12"/>
  <c r="I959" i="12"/>
  <c r="H959" i="12"/>
  <c r="G959" i="12"/>
  <c r="F959" i="12"/>
  <c r="E959" i="12"/>
  <c r="N959" i="12" s="1"/>
  <c r="D959" i="12"/>
  <c r="C959" i="12"/>
  <c r="B959" i="12"/>
  <c r="A959" i="12"/>
  <c r="K958" i="12"/>
  <c r="J958" i="12"/>
  <c r="I958" i="12"/>
  <c r="H958" i="12"/>
  <c r="G958" i="12"/>
  <c r="F958" i="12"/>
  <c r="E958" i="12"/>
  <c r="N958" i="12" s="1"/>
  <c r="D958" i="12"/>
  <c r="C958" i="12"/>
  <c r="B958" i="12"/>
  <c r="A958" i="12"/>
  <c r="K957" i="12"/>
  <c r="J957" i="12"/>
  <c r="I957" i="12"/>
  <c r="H957" i="12"/>
  <c r="G957" i="12"/>
  <c r="F957" i="12"/>
  <c r="E957" i="12"/>
  <c r="N957" i="12" s="1"/>
  <c r="D957" i="12"/>
  <c r="C957" i="12"/>
  <c r="B957" i="12"/>
  <c r="A957" i="12"/>
  <c r="K956" i="12"/>
  <c r="J956" i="12"/>
  <c r="I956" i="12"/>
  <c r="H956" i="12"/>
  <c r="G956" i="12"/>
  <c r="F956" i="12"/>
  <c r="E956" i="12"/>
  <c r="N956" i="12" s="1"/>
  <c r="D956" i="12"/>
  <c r="C956" i="12"/>
  <c r="B956" i="12"/>
  <c r="A956" i="12"/>
  <c r="K955" i="12"/>
  <c r="J955" i="12"/>
  <c r="I955" i="12"/>
  <c r="H955" i="12"/>
  <c r="G955" i="12"/>
  <c r="F955" i="12"/>
  <c r="E955" i="12"/>
  <c r="N955" i="12" s="1"/>
  <c r="D955" i="12"/>
  <c r="C955" i="12"/>
  <c r="B955" i="12"/>
  <c r="A955" i="12"/>
  <c r="K954" i="12"/>
  <c r="J954" i="12"/>
  <c r="I954" i="12"/>
  <c r="H954" i="12"/>
  <c r="G954" i="12"/>
  <c r="F954" i="12"/>
  <c r="E954" i="12"/>
  <c r="N954" i="12" s="1"/>
  <c r="D954" i="12"/>
  <c r="C954" i="12"/>
  <c r="B954" i="12"/>
  <c r="A954" i="12"/>
  <c r="K953" i="12"/>
  <c r="J953" i="12"/>
  <c r="I953" i="12"/>
  <c r="H953" i="12"/>
  <c r="G953" i="12"/>
  <c r="F953" i="12"/>
  <c r="E953" i="12"/>
  <c r="N953" i="12" s="1"/>
  <c r="D953" i="12"/>
  <c r="C953" i="12"/>
  <c r="B953" i="12"/>
  <c r="A953" i="12"/>
  <c r="K952" i="12"/>
  <c r="J952" i="12"/>
  <c r="I952" i="12"/>
  <c r="H952" i="12"/>
  <c r="G952" i="12"/>
  <c r="F952" i="12"/>
  <c r="E952" i="12"/>
  <c r="N952" i="12" s="1"/>
  <c r="D952" i="12"/>
  <c r="C952" i="12"/>
  <c r="B952" i="12"/>
  <c r="A952" i="12"/>
  <c r="K951" i="12"/>
  <c r="J951" i="12"/>
  <c r="I951" i="12"/>
  <c r="H951" i="12"/>
  <c r="G951" i="12"/>
  <c r="F951" i="12"/>
  <c r="E951" i="12"/>
  <c r="N951" i="12" s="1"/>
  <c r="D951" i="12"/>
  <c r="C951" i="12"/>
  <c r="B951" i="12"/>
  <c r="A951" i="12"/>
  <c r="K950" i="12"/>
  <c r="J950" i="12"/>
  <c r="I950" i="12"/>
  <c r="H950" i="12"/>
  <c r="G950" i="12"/>
  <c r="F950" i="12"/>
  <c r="E950" i="12"/>
  <c r="N950" i="12" s="1"/>
  <c r="D950" i="12"/>
  <c r="C950" i="12"/>
  <c r="B950" i="12"/>
  <c r="A950" i="12"/>
  <c r="K949" i="12"/>
  <c r="J949" i="12"/>
  <c r="I949" i="12"/>
  <c r="H949" i="12"/>
  <c r="G949" i="12"/>
  <c r="F949" i="12"/>
  <c r="E949" i="12"/>
  <c r="N949" i="12" s="1"/>
  <c r="D949" i="12"/>
  <c r="C949" i="12"/>
  <c r="B949" i="12"/>
  <c r="A949" i="12"/>
  <c r="K948" i="12"/>
  <c r="J948" i="12"/>
  <c r="I948" i="12"/>
  <c r="H948" i="12"/>
  <c r="G948" i="12"/>
  <c r="F948" i="12"/>
  <c r="E948" i="12"/>
  <c r="N948" i="12" s="1"/>
  <c r="D948" i="12"/>
  <c r="C948" i="12"/>
  <c r="B948" i="12"/>
  <c r="A948" i="12"/>
  <c r="K947" i="12"/>
  <c r="J947" i="12"/>
  <c r="I947" i="12"/>
  <c r="H947" i="12"/>
  <c r="G947" i="12"/>
  <c r="F947" i="12"/>
  <c r="E947" i="12"/>
  <c r="N947" i="12" s="1"/>
  <c r="D947" i="12"/>
  <c r="C947" i="12"/>
  <c r="B947" i="12"/>
  <c r="A947" i="12"/>
  <c r="K946" i="12"/>
  <c r="J946" i="12"/>
  <c r="I946" i="12"/>
  <c r="H946" i="12"/>
  <c r="G946" i="12"/>
  <c r="F946" i="12"/>
  <c r="E946" i="12"/>
  <c r="N946" i="12" s="1"/>
  <c r="D946" i="12"/>
  <c r="C946" i="12"/>
  <c r="B946" i="12"/>
  <c r="A946" i="12"/>
  <c r="K945" i="12"/>
  <c r="J945" i="12"/>
  <c r="I945" i="12"/>
  <c r="H945" i="12"/>
  <c r="G945" i="12"/>
  <c r="F945" i="12"/>
  <c r="E945" i="12"/>
  <c r="N945" i="12" s="1"/>
  <c r="D945" i="12"/>
  <c r="C945" i="12"/>
  <c r="B945" i="12"/>
  <c r="A945" i="12"/>
  <c r="K944" i="12"/>
  <c r="J944" i="12"/>
  <c r="I944" i="12"/>
  <c r="H944" i="12"/>
  <c r="G944" i="12"/>
  <c r="F944" i="12"/>
  <c r="E944" i="12"/>
  <c r="N944" i="12" s="1"/>
  <c r="D944" i="12"/>
  <c r="C944" i="12"/>
  <c r="B944" i="12"/>
  <c r="A944" i="12"/>
  <c r="K943" i="12"/>
  <c r="J943" i="12"/>
  <c r="I943" i="12"/>
  <c r="H943" i="12"/>
  <c r="G943" i="12"/>
  <c r="F943" i="12"/>
  <c r="E943" i="12"/>
  <c r="N943" i="12" s="1"/>
  <c r="D943" i="12"/>
  <c r="C943" i="12"/>
  <c r="B943" i="12"/>
  <c r="A943" i="12"/>
  <c r="K942" i="12"/>
  <c r="J942" i="12"/>
  <c r="I942" i="12"/>
  <c r="H942" i="12"/>
  <c r="G942" i="12"/>
  <c r="F942" i="12"/>
  <c r="E942" i="12"/>
  <c r="N942" i="12" s="1"/>
  <c r="D942" i="12"/>
  <c r="C942" i="12"/>
  <c r="B942" i="12"/>
  <c r="A942" i="12"/>
  <c r="K941" i="12"/>
  <c r="J941" i="12"/>
  <c r="I941" i="12"/>
  <c r="H941" i="12"/>
  <c r="G941" i="12"/>
  <c r="F941" i="12"/>
  <c r="E941" i="12"/>
  <c r="N941" i="12" s="1"/>
  <c r="D941" i="12"/>
  <c r="C941" i="12"/>
  <c r="B941" i="12"/>
  <c r="A941" i="12"/>
  <c r="K940" i="12"/>
  <c r="J940" i="12"/>
  <c r="I940" i="12"/>
  <c r="H940" i="12"/>
  <c r="G940" i="12"/>
  <c r="F940" i="12"/>
  <c r="E940" i="12"/>
  <c r="N940" i="12" s="1"/>
  <c r="D940" i="12"/>
  <c r="C940" i="12"/>
  <c r="B940" i="12"/>
  <c r="A940" i="12"/>
  <c r="K939" i="12"/>
  <c r="J939" i="12"/>
  <c r="I939" i="12"/>
  <c r="H939" i="12"/>
  <c r="G939" i="12"/>
  <c r="F939" i="12"/>
  <c r="E939" i="12"/>
  <c r="N939" i="12" s="1"/>
  <c r="D939" i="12"/>
  <c r="C939" i="12"/>
  <c r="B939" i="12"/>
  <c r="A939" i="12"/>
  <c r="K938" i="12"/>
  <c r="J938" i="12"/>
  <c r="I938" i="12"/>
  <c r="H938" i="12"/>
  <c r="G938" i="12"/>
  <c r="F938" i="12"/>
  <c r="E938" i="12"/>
  <c r="N938" i="12" s="1"/>
  <c r="D938" i="12"/>
  <c r="C938" i="12"/>
  <c r="B938" i="12"/>
  <c r="A938" i="12"/>
  <c r="K937" i="12"/>
  <c r="J937" i="12"/>
  <c r="I937" i="12"/>
  <c r="H937" i="12"/>
  <c r="G937" i="12"/>
  <c r="F937" i="12"/>
  <c r="E937" i="12"/>
  <c r="N937" i="12" s="1"/>
  <c r="D937" i="12"/>
  <c r="C937" i="12"/>
  <c r="B937" i="12"/>
  <c r="A937" i="12"/>
  <c r="K936" i="12"/>
  <c r="J936" i="12"/>
  <c r="I936" i="12"/>
  <c r="H936" i="12"/>
  <c r="G936" i="12"/>
  <c r="F936" i="12"/>
  <c r="E936" i="12"/>
  <c r="N936" i="12" s="1"/>
  <c r="D936" i="12"/>
  <c r="C936" i="12"/>
  <c r="B936" i="12"/>
  <c r="A936" i="12"/>
  <c r="K935" i="12"/>
  <c r="J935" i="12"/>
  <c r="I935" i="12"/>
  <c r="H935" i="12"/>
  <c r="G935" i="12"/>
  <c r="F935" i="12"/>
  <c r="E935" i="12"/>
  <c r="N935" i="12" s="1"/>
  <c r="D935" i="12"/>
  <c r="C935" i="12"/>
  <c r="B935" i="12"/>
  <c r="A935" i="12"/>
  <c r="K934" i="12"/>
  <c r="J934" i="12"/>
  <c r="I934" i="12"/>
  <c r="H934" i="12"/>
  <c r="G934" i="12"/>
  <c r="F934" i="12"/>
  <c r="E934" i="12"/>
  <c r="N934" i="12" s="1"/>
  <c r="D934" i="12"/>
  <c r="C934" i="12"/>
  <c r="B934" i="12"/>
  <c r="A934" i="12"/>
  <c r="K933" i="12"/>
  <c r="J933" i="12"/>
  <c r="I933" i="12"/>
  <c r="H933" i="12"/>
  <c r="G933" i="12"/>
  <c r="F933" i="12"/>
  <c r="E933" i="12"/>
  <c r="N933" i="12" s="1"/>
  <c r="D933" i="12"/>
  <c r="C933" i="12"/>
  <c r="B933" i="12"/>
  <c r="A933" i="12"/>
  <c r="K932" i="12"/>
  <c r="J932" i="12"/>
  <c r="I932" i="12"/>
  <c r="H932" i="12"/>
  <c r="G932" i="12"/>
  <c r="F932" i="12"/>
  <c r="E932" i="12"/>
  <c r="N932" i="12" s="1"/>
  <c r="D932" i="12"/>
  <c r="C932" i="12"/>
  <c r="B932" i="12"/>
  <c r="A932" i="12"/>
  <c r="K931" i="12"/>
  <c r="J931" i="12"/>
  <c r="I931" i="12"/>
  <c r="H931" i="12"/>
  <c r="G931" i="12"/>
  <c r="F931" i="12"/>
  <c r="E931" i="12"/>
  <c r="N931" i="12" s="1"/>
  <c r="D931" i="12"/>
  <c r="C931" i="12"/>
  <c r="B931" i="12"/>
  <c r="A931" i="12"/>
  <c r="K930" i="12"/>
  <c r="J930" i="12"/>
  <c r="I930" i="12"/>
  <c r="H930" i="12"/>
  <c r="G930" i="12"/>
  <c r="F930" i="12"/>
  <c r="E930" i="12"/>
  <c r="N930" i="12" s="1"/>
  <c r="D930" i="12"/>
  <c r="C930" i="12"/>
  <c r="B930" i="12"/>
  <c r="A930" i="12"/>
  <c r="K929" i="12"/>
  <c r="J929" i="12"/>
  <c r="I929" i="12"/>
  <c r="H929" i="12"/>
  <c r="G929" i="12"/>
  <c r="F929" i="12"/>
  <c r="E929" i="12"/>
  <c r="N929" i="12" s="1"/>
  <c r="D929" i="12"/>
  <c r="C929" i="12"/>
  <c r="B929" i="12"/>
  <c r="A929" i="12"/>
  <c r="K928" i="12"/>
  <c r="J928" i="12"/>
  <c r="I928" i="12"/>
  <c r="H928" i="12"/>
  <c r="G928" i="12"/>
  <c r="F928" i="12"/>
  <c r="E928" i="12"/>
  <c r="N928" i="12" s="1"/>
  <c r="D928" i="12"/>
  <c r="C928" i="12"/>
  <c r="B928" i="12"/>
  <c r="A928" i="12"/>
  <c r="K927" i="12"/>
  <c r="J927" i="12"/>
  <c r="I927" i="12"/>
  <c r="H927" i="12"/>
  <c r="G927" i="12"/>
  <c r="F927" i="12"/>
  <c r="E927" i="12"/>
  <c r="N927" i="12" s="1"/>
  <c r="D927" i="12"/>
  <c r="C927" i="12"/>
  <c r="B927" i="12"/>
  <c r="A927" i="12"/>
  <c r="K926" i="12"/>
  <c r="J926" i="12"/>
  <c r="I926" i="12"/>
  <c r="H926" i="12"/>
  <c r="G926" i="12"/>
  <c r="F926" i="12"/>
  <c r="E926" i="12"/>
  <c r="N926" i="12" s="1"/>
  <c r="D926" i="12"/>
  <c r="C926" i="12"/>
  <c r="B926" i="12"/>
  <c r="A926" i="12"/>
  <c r="K925" i="12"/>
  <c r="J925" i="12"/>
  <c r="I925" i="12"/>
  <c r="H925" i="12"/>
  <c r="G925" i="12"/>
  <c r="F925" i="12"/>
  <c r="E925" i="12"/>
  <c r="N925" i="12" s="1"/>
  <c r="D925" i="12"/>
  <c r="C925" i="12"/>
  <c r="B925" i="12"/>
  <c r="A925" i="12"/>
  <c r="K924" i="12"/>
  <c r="J924" i="12"/>
  <c r="I924" i="12"/>
  <c r="H924" i="12"/>
  <c r="G924" i="12"/>
  <c r="F924" i="12"/>
  <c r="E924" i="12"/>
  <c r="N924" i="12" s="1"/>
  <c r="D924" i="12"/>
  <c r="C924" i="12"/>
  <c r="B924" i="12"/>
  <c r="A924" i="12"/>
  <c r="K923" i="12"/>
  <c r="J923" i="12"/>
  <c r="I923" i="12"/>
  <c r="H923" i="12"/>
  <c r="G923" i="12"/>
  <c r="F923" i="12"/>
  <c r="E923" i="12"/>
  <c r="N923" i="12" s="1"/>
  <c r="D923" i="12"/>
  <c r="C923" i="12"/>
  <c r="B923" i="12"/>
  <c r="A923" i="12"/>
  <c r="K922" i="12"/>
  <c r="J922" i="12"/>
  <c r="I922" i="12"/>
  <c r="H922" i="12"/>
  <c r="G922" i="12"/>
  <c r="F922" i="12"/>
  <c r="E922" i="12"/>
  <c r="N922" i="12" s="1"/>
  <c r="D922" i="12"/>
  <c r="C922" i="12"/>
  <c r="B922" i="12"/>
  <c r="A922" i="12"/>
  <c r="K921" i="12"/>
  <c r="J921" i="12"/>
  <c r="I921" i="12"/>
  <c r="H921" i="12"/>
  <c r="G921" i="12"/>
  <c r="F921" i="12"/>
  <c r="E921" i="12"/>
  <c r="N921" i="12" s="1"/>
  <c r="D921" i="12"/>
  <c r="C921" i="12"/>
  <c r="B921" i="12"/>
  <c r="A921" i="12"/>
  <c r="K920" i="12"/>
  <c r="J920" i="12"/>
  <c r="I920" i="12"/>
  <c r="H920" i="12"/>
  <c r="G920" i="12"/>
  <c r="F920" i="12"/>
  <c r="E920" i="12"/>
  <c r="N920" i="12" s="1"/>
  <c r="D920" i="12"/>
  <c r="C920" i="12"/>
  <c r="B920" i="12"/>
  <c r="A920" i="12"/>
  <c r="K919" i="12"/>
  <c r="J919" i="12"/>
  <c r="I919" i="12"/>
  <c r="H919" i="12"/>
  <c r="G919" i="12"/>
  <c r="F919" i="12"/>
  <c r="E919" i="12"/>
  <c r="N919" i="12" s="1"/>
  <c r="D919" i="12"/>
  <c r="C919" i="12"/>
  <c r="B919" i="12"/>
  <c r="A919" i="12"/>
  <c r="K918" i="12"/>
  <c r="J918" i="12"/>
  <c r="I918" i="12"/>
  <c r="H918" i="12"/>
  <c r="G918" i="12"/>
  <c r="F918" i="12"/>
  <c r="E918" i="12"/>
  <c r="N918" i="12" s="1"/>
  <c r="D918" i="12"/>
  <c r="C918" i="12"/>
  <c r="B918" i="12"/>
  <c r="A918" i="12"/>
  <c r="S917" i="12"/>
  <c r="R917" i="12"/>
  <c r="P917" i="12"/>
  <c r="O917" i="12"/>
  <c r="N917" i="12"/>
  <c r="M917" i="12"/>
  <c r="Q917" i="12" s="1"/>
  <c r="L917" i="12"/>
  <c r="K917" i="12"/>
  <c r="J917" i="12"/>
  <c r="I917" i="12"/>
  <c r="H917" i="12"/>
  <c r="G917" i="12"/>
  <c r="F917" i="12"/>
  <c r="E917" i="12"/>
  <c r="D917" i="12"/>
  <c r="C917" i="12"/>
  <c r="B917" i="12"/>
  <c r="A917" i="12"/>
  <c r="K916" i="12"/>
  <c r="J916" i="12"/>
  <c r="I916" i="12"/>
  <c r="H916" i="12"/>
  <c r="G916" i="12"/>
  <c r="F916" i="12"/>
  <c r="E916" i="12"/>
  <c r="N916" i="12" s="1"/>
  <c r="D916" i="12"/>
  <c r="C916" i="12"/>
  <c r="B916" i="12"/>
  <c r="A916" i="12"/>
  <c r="K915" i="12"/>
  <c r="J915" i="12"/>
  <c r="I915" i="12"/>
  <c r="H915" i="12"/>
  <c r="G915" i="12"/>
  <c r="F915" i="12"/>
  <c r="E915" i="12"/>
  <c r="N915" i="12" s="1"/>
  <c r="D915" i="12"/>
  <c r="C915" i="12"/>
  <c r="B915" i="12"/>
  <c r="A915" i="12"/>
  <c r="K914" i="12"/>
  <c r="J914" i="12"/>
  <c r="I914" i="12"/>
  <c r="H914" i="12"/>
  <c r="G914" i="12"/>
  <c r="F914" i="12"/>
  <c r="E914" i="12"/>
  <c r="N914" i="12" s="1"/>
  <c r="D914" i="12"/>
  <c r="C914" i="12"/>
  <c r="B914" i="12"/>
  <c r="A914" i="12"/>
  <c r="K913" i="12"/>
  <c r="J913" i="12"/>
  <c r="I913" i="12"/>
  <c r="H913" i="12"/>
  <c r="G913" i="12"/>
  <c r="F913" i="12"/>
  <c r="E913" i="12"/>
  <c r="N913" i="12" s="1"/>
  <c r="D913" i="12"/>
  <c r="C913" i="12"/>
  <c r="B913" i="12"/>
  <c r="A913" i="12"/>
  <c r="K912" i="12"/>
  <c r="J912" i="12"/>
  <c r="I912" i="12"/>
  <c r="H912" i="12"/>
  <c r="G912" i="12"/>
  <c r="F912" i="12"/>
  <c r="E912" i="12"/>
  <c r="N912" i="12" s="1"/>
  <c r="D912" i="12"/>
  <c r="C912" i="12"/>
  <c r="B912" i="12"/>
  <c r="A912" i="12"/>
  <c r="K911" i="12"/>
  <c r="J911" i="12"/>
  <c r="I911" i="12"/>
  <c r="H911" i="12"/>
  <c r="G911" i="12"/>
  <c r="F911" i="12"/>
  <c r="E911" i="12"/>
  <c r="N911" i="12" s="1"/>
  <c r="D911" i="12"/>
  <c r="C911" i="12"/>
  <c r="B911" i="12"/>
  <c r="A911" i="12"/>
  <c r="K910" i="12"/>
  <c r="J910" i="12"/>
  <c r="I910" i="12"/>
  <c r="H910" i="12"/>
  <c r="G910" i="12"/>
  <c r="F910" i="12"/>
  <c r="E910" i="12"/>
  <c r="N910" i="12" s="1"/>
  <c r="D910" i="12"/>
  <c r="C910" i="12"/>
  <c r="B910" i="12"/>
  <c r="A910" i="12"/>
  <c r="K909" i="12"/>
  <c r="J909" i="12"/>
  <c r="I909" i="12"/>
  <c r="H909" i="12"/>
  <c r="G909" i="12"/>
  <c r="F909" i="12"/>
  <c r="E909" i="12"/>
  <c r="N909" i="12" s="1"/>
  <c r="D909" i="12"/>
  <c r="C909" i="12"/>
  <c r="B909" i="12"/>
  <c r="A909" i="12"/>
  <c r="K908" i="12"/>
  <c r="J908" i="12"/>
  <c r="I908" i="12"/>
  <c r="H908" i="12"/>
  <c r="G908" i="12"/>
  <c r="F908" i="12"/>
  <c r="E908" i="12"/>
  <c r="N908" i="12" s="1"/>
  <c r="D908" i="12"/>
  <c r="C908" i="12"/>
  <c r="B908" i="12"/>
  <c r="A908" i="12"/>
  <c r="K907" i="12"/>
  <c r="J907" i="12"/>
  <c r="I907" i="12"/>
  <c r="H907" i="12"/>
  <c r="G907" i="12"/>
  <c r="F907" i="12"/>
  <c r="E907" i="12"/>
  <c r="N907" i="12" s="1"/>
  <c r="D907" i="12"/>
  <c r="C907" i="12"/>
  <c r="B907" i="12"/>
  <c r="A907" i="12"/>
  <c r="K906" i="12"/>
  <c r="J906" i="12"/>
  <c r="I906" i="12"/>
  <c r="H906" i="12"/>
  <c r="G906" i="12"/>
  <c r="F906" i="12"/>
  <c r="E906" i="12"/>
  <c r="N906" i="12" s="1"/>
  <c r="D906" i="12"/>
  <c r="C906" i="12"/>
  <c r="B906" i="12"/>
  <c r="A906" i="12"/>
  <c r="K905" i="12"/>
  <c r="J905" i="12"/>
  <c r="I905" i="12"/>
  <c r="H905" i="12"/>
  <c r="G905" i="12"/>
  <c r="F905" i="12"/>
  <c r="E905" i="12"/>
  <c r="N905" i="12" s="1"/>
  <c r="D905" i="12"/>
  <c r="C905" i="12"/>
  <c r="B905" i="12"/>
  <c r="A905" i="12"/>
  <c r="K904" i="12"/>
  <c r="J904" i="12"/>
  <c r="I904" i="12"/>
  <c r="H904" i="12"/>
  <c r="G904" i="12"/>
  <c r="F904" i="12"/>
  <c r="E904" i="12"/>
  <c r="N904" i="12" s="1"/>
  <c r="D904" i="12"/>
  <c r="C904" i="12"/>
  <c r="B904" i="12"/>
  <c r="A904" i="12"/>
  <c r="K903" i="12"/>
  <c r="J903" i="12"/>
  <c r="I903" i="12"/>
  <c r="H903" i="12"/>
  <c r="G903" i="12"/>
  <c r="F903" i="12"/>
  <c r="E903" i="12"/>
  <c r="N903" i="12" s="1"/>
  <c r="D903" i="12"/>
  <c r="C903" i="12"/>
  <c r="B903" i="12"/>
  <c r="A903" i="12"/>
  <c r="K902" i="12"/>
  <c r="J902" i="12"/>
  <c r="I902" i="12"/>
  <c r="H902" i="12"/>
  <c r="G902" i="12"/>
  <c r="F902" i="12"/>
  <c r="E902" i="12"/>
  <c r="N902" i="12" s="1"/>
  <c r="D902" i="12"/>
  <c r="C902" i="12"/>
  <c r="B902" i="12"/>
  <c r="A902" i="12"/>
  <c r="K901" i="12"/>
  <c r="J901" i="12"/>
  <c r="I901" i="12"/>
  <c r="H901" i="12"/>
  <c r="G901" i="12"/>
  <c r="F901" i="12"/>
  <c r="E901" i="12"/>
  <c r="N901" i="12" s="1"/>
  <c r="D901" i="12"/>
  <c r="C901" i="12"/>
  <c r="B901" i="12"/>
  <c r="A901" i="12"/>
  <c r="K900" i="12"/>
  <c r="J900" i="12"/>
  <c r="I900" i="12"/>
  <c r="H900" i="12"/>
  <c r="G900" i="12"/>
  <c r="F900" i="12"/>
  <c r="E900" i="12"/>
  <c r="N900" i="12" s="1"/>
  <c r="D900" i="12"/>
  <c r="C900" i="12"/>
  <c r="B900" i="12"/>
  <c r="A900" i="12"/>
  <c r="K899" i="12"/>
  <c r="J899" i="12"/>
  <c r="I899" i="12"/>
  <c r="H899" i="12"/>
  <c r="G899" i="12"/>
  <c r="F899" i="12"/>
  <c r="E899" i="12"/>
  <c r="N899" i="12" s="1"/>
  <c r="D899" i="12"/>
  <c r="C899" i="12"/>
  <c r="B899" i="12"/>
  <c r="A899" i="12"/>
  <c r="K898" i="12"/>
  <c r="J898" i="12"/>
  <c r="I898" i="12"/>
  <c r="H898" i="12"/>
  <c r="G898" i="12"/>
  <c r="F898" i="12"/>
  <c r="E898" i="12"/>
  <c r="N898" i="12" s="1"/>
  <c r="D898" i="12"/>
  <c r="C898" i="12"/>
  <c r="B898" i="12"/>
  <c r="A898" i="12"/>
  <c r="K897" i="12"/>
  <c r="J897" i="12"/>
  <c r="I897" i="12"/>
  <c r="H897" i="12"/>
  <c r="G897" i="12"/>
  <c r="F897" i="12"/>
  <c r="E897" i="12"/>
  <c r="N897" i="12" s="1"/>
  <c r="D897" i="12"/>
  <c r="C897" i="12"/>
  <c r="B897" i="12"/>
  <c r="A897" i="12"/>
  <c r="K896" i="12"/>
  <c r="J896" i="12"/>
  <c r="I896" i="12"/>
  <c r="H896" i="12"/>
  <c r="G896" i="12"/>
  <c r="F896" i="12"/>
  <c r="E896" i="12"/>
  <c r="N896" i="12" s="1"/>
  <c r="D896" i="12"/>
  <c r="C896" i="12"/>
  <c r="B896" i="12"/>
  <c r="A896" i="12"/>
  <c r="K895" i="12"/>
  <c r="J895" i="12"/>
  <c r="I895" i="12"/>
  <c r="H895" i="12"/>
  <c r="G895" i="12"/>
  <c r="F895" i="12"/>
  <c r="E895" i="12"/>
  <c r="N895" i="12" s="1"/>
  <c r="D895" i="12"/>
  <c r="C895" i="12"/>
  <c r="B895" i="12"/>
  <c r="A895" i="12"/>
  <c r="K894" i="12"/>
  <c r="J894" i="12"/>
  <c r="I894" i="12"/>
  <c r="H894" i="12"/>
  <c r="G894" i="12"/>
  <c r="F894" i="12"/>
  <c r="E894" i="12"/>
  <c r="N894" i="12" s="1"/>
  <c r="D894" i="12"/>
  <c r="C894" i="12"/>
  <c r="B894" i="12"/>
  <c r="A894" i="12"/>
  <c r="K893" i="12"/>
  <c r="J893" i="12"/>
  <c r="I893" i="12"/>
  <c r="H893" i="12"/>
  <c r="G893" i="12"/>
  <c r="F893" i="12"/>
  <c r="E893" i="12"/>
  <c r="N893" i="12" s="1"/>
  <c r="D893" i="12"/>
  <c r="C893" i="12"/>
  <c r="B893" i="12"/>
  <c r="A893" i="12"/>
  <c r="K892" i="12"/>
  <c r="J892" i="12"/>
  <c r="I892" i="12"/>
  <c r="H892" i="12"/>
  <c r="G892" i="12"/>
  <c r="F892" i="12"/>
  <c r="E892" i="12"/>
  <c r="N892" i="12" s="1"/>
  <c r="D892" i="12"/>
  <c r="C892" i="12"/>
  <c r="B892" i="12"/>
  <c r="A892" i="12"/>
  <c r="K891" i="12"/>
  <c r="J891" i="12"/>
  <c r="I891" i="12"/>
  <c r="H891" i="12"/>
  <c r="G891" i="12"/>
  <c r="F891" i="12"/>
  <c r="E891" i="12"/>
  <c r="N891" i="12" s="1"/>
  <c r="D891" i="12"/>
  <c r="C891" i="12"/>
  <c r="B891" i="12"/>
  <c r="A891" i="12"/>
  <c r="K890" i="12"/>
  <c r="J890" i="12"/>
  <c r="I890" i="12"/>
  <c r="H890" i="12"/>
  <c r="G890" i="12"/>
  <c r="F890" i="12"/>
  <c r="E890" i="12"/>
  <c r="N890" i="12" s="1"/>
  <c r="D890" i="12"/>
  <c r="C890" i="12"/>
  <c r="B890" i="12"/>
  <c r="A890" i="12"/>
  <c r="K889" i="12"/>
  <c r="J889" i="12"/>
  <c r="I889" i="12"/>
  <c r="H889" i="12"/>
  <c r="G889" i="12"/>
  <c r="F889" i="12"/>
  <c r="E889" i="12"/>
  <c r="N889" i="12" s="1"/>
  <c r="D889" i="12"/>
  <c r="C889" i="12"/>
  <c r="B889" i="12"/>
  <c r="A889" i="12"/>
  <c r="K888" i="12"/>
  <c r="J888" i="12"/>
  <c r="I888" i="12"/>
  <c r="H888" i="12"/>
  <c r="G888" i="12"/>
  <c r="F888" i="12"/>
  <c r="E888" i="12"/>
  <c r="N888" i="12" s="1"/>
  <c r="D888" i="12"/>
  <c r="C888" i="12"/>
  <c r="B888" i="12"/>
  <c r="A888" i="12"/>
  <c r="K887" i="12"/>
  <c r="J887" i="12"/>
  <c r="I887" i="12"/>
  <c r="H887" i="12"/>
  <c r="G887" i="12"/>
  <c r="F887" i="12"/>
  <c r="E887" i="12"/>
  <c r="N887" i="12" s="1"/>
  <c r="D887" i="12"/>
  <c r="C887" i="12"/>
  <c r="B887" i="12"/>
  <c r="A887" i="12"/>
  <c r="K886" i="12"/>
  <c r="J886" i="12"/>
  <c r="I886" i="12"/>
  <c r="H886" i="12"/>
  <c r="G886" i="12"/>
  <c r="F886" i="12"/>
  <c r="E886" i="12"/>
  <c r="N886" i="12" s="1"/>
  <c r="D886" i="12"/>
  <c r="C886" i="12"/>
  <c r="B886" i="12"/>
  <c r="A886" i="12"/>
  <c r="K885" i="12"/>
  <c r="J885" i="12"/>
  <c r="I885" i="12"/>
  <c r="H885" i="12"/>
  <c r="G885" i="12"/>
  <c r="F885" i="12"/>
  <c r="E885" i="12"/>
  <c r="N885" i="12" s="1"/>
  <c r="D885" i="12"/>
  <c r="C885" i="12"/>
  <c r="B885" i="12"/>
  <c r="A885" i="12"/>
  <c r="K884" i="12"/>
  <c r="J884" i="12"/>
  <c r="I884" i="12"/>
  <c r="H884" i="12"/>
  <c r="G884" i="12"/>
  <c r="F884" i="12"/>
  <c r="E884" i="12"/>
  <c r="N884" i="12" s="1"/>
  <c r="D884" i="12"/>
  <c r="C884" i="12"/>
  <c r="B884" i="12"/>
  <c r="A884" i="12"/>
  <c r="K883" i="12"/>
  <c r="J883" i="12"/>
  <c r="I883" i="12"/>
  <c r="H883" i="12"/>
  <c r="G883" i="12"/>
  <c r="F883" i="12"/>
  <c r="E883" i="12"/>
  <c r="N883" i="12" s="1"/>
  <c r="D883" i="12"/>
  <c r="C883" i="12"/>
  <c r="B883" i="12"/>
  <c r="A883" i="12"/>
  <c r="K882" i="12"/>
  <c r="J882" i="12"/>
  <c r="I882" i="12"/>
  <c r="H882" i="12"/>
  <c r="G882" i="12"/>
  <c r="F882" i="12"/>
  <c r="E882" i="12"/>
  <c r="N882" i="12" s="1"/>
  <c r="D882" i="12"/>
  <c r="C882" i="12"/>
  <c r="B882" i="12"/>
  <c r="A882" i="12"/>
  <c r="K881" i="12"/>
  <c r="J881" i="12"/>
  <c r="I881" i="12"/>
  <c r="H881" i="12"/>
  <c r="G881" i="12"/>
  <c r="F881" i="12"/>
  <c r="E881" i="12"/>
  <c r="N881" i="12" s="1"/>
  <c r="D881" i="12"/>
  <c r="C881" i="12"/>
  <c r="B881" i="12"/>
  <c r="A881" i="12"/>
  <c r="K880" i="12"/>
  <c r="J880" i="12"/>
  <c r="I880" i="12"/>
  <c r="H880" i="12"/>
  <c r="G880" i="12"/>
  <c r="F880" i="12"/>
  <c r="E880" i="12"/>
  <c r="N880" i="12" s="1"/>
  <c r="D880" i="12"/>
  <c r="C880" i="12"/>
  <c r="B880" i="12"/>
  <c r="A880" i="12"/>
  <c r="K879" i="12"/>
  <c r="J879" i="12"/>
  <c r="I879" i="12"/>
  <c r="H879" i="12"/>
  <c r="G879" i="12"/>
  <c r="F879" i="12"/>
  <c r="E879" i="12"/>
  <c r="N879" i="12" s="1"/>
  <c r="D879" i="12"/>
  <c r="C879" i="12"/>
  <c r="B879" i="12"/>
  <c r="A879" i="12"/>
  <c r="K878" i="12"/>
  <c r="J878" i="12"/>
  <c r="I878" i="12"/>
  <c r="H878" i="12"/>
  <c r="G878" i="12"/>
  <c r="F878" i="12"/>
  <c r="E878" i="12"/>
  <c r="N878" i="12" s="1"/>
  <c r="D878" i="12"/>
  <c r="C878" i="12"/>
  <c r="B878" i="12"/>
  <c r="A878" i="12"/>
  <c r="K877" i="12"/>
  <c r="J877" i="12"/>
  <c r="I877" i="12"/>
  <c r="H877" i="12"/>
  <c r="G877" i="12"/>
  <c r="F877" i="12"/>
  <c r="E877" i="12"/>
  <c r="N877" i="12" s="1"/>
  <c r="D877" i="12"/>
  <c r="C877" i="12"/>
  <c r="B877" i="12"/>
  <c r="A877" i="12"/>
  <c r="K876" i="12"/>
  <c r="J876" i="12"/>
  <c r="I876" i="12"/>
  <c r="H876" i="12"/>
  <c r="G876" i="12"/>
  <c r="F876" i="12"/>
  <c r="E876" i="12"/>
  <c r="N876" i="12" s="1"/>
  <c r="D876" i="12"/>
  <c r="C876" i="12"/>
  <c r="B876" i="12"/>
  <c r="A876" i="12"/>
  <c r="K875" i="12"/>
  <c r="J875" i="12"/>
  <c r="I875" i="12"/>
  <c r="H875" i="12"/>
  <c r="G875" i="12"/>
  <c r="F875" i="12"/>
  <c r="E875" i="12"/>
  <c r="N875" i="12" s="1"/>
  <c r="D875" i="12"/>
  <c r="C875" i="12"/>
  <c r="B875" i="12"/>
  <c r="A875" i="12"/>
  <c r="K874" i="12"/>
  <c r="J874" i="12"/>
  <c r="I874" i="12"/>
  <c r="H874" i="12"/>
  <c r="G874" i="12"/>
  <c r="F874" i="12"/>
  <c r="E874" i="12"/>
  <c r="N874" i="12" s="1"/>
  <c r="D874" i="12"/>
  <c r="C874" i="12"/>
  <c r="B874" i="12"/>
  <c r="A874" i="12"/>
  <c r="K873" i="12"/>
  <c r="J873" i="12"/>
  <c r="I873" i="12"/>
  <c r="H873" i="12"/>
  <c r="G873" i="12"/>
  <c r="F873" i="12"/>
  <c r="E873" i="12"/>
  <c r="N873" i="12" s="1"/>
  <c r="D873" i="12"/>
  <c r="C873" i="12"/>
  <c r="B873" i="12"/>
  <c r="A873" i="12"/>
  <c r="K872" i="12"/>
  <c r="J872" i="12"/>
  <c r="I872" i="12"/>
  <c r="H872" i="12"/>
  <c r="G872" i="12"/>
  <c r="F872" i="12"/>
  <c r="E872" i="12"/>
  <c r="N872" i="12" s="1"/>
  <c r="D872" i="12"/>
  <c r="C872" i="12"/>
  <c r="B872" i="12"/>
  <c r="A872" i="12"/>
  <c r="K871" i="12"/>
  <c r="J871" i="12"/>
  <c r="I871" i="12"/>
  <c r="H871" i="12"/>
  <c r="G871" i="12"/>
  <c r="F871" i="12"/>
  <c r="E871" i="12"/>
  <c r="N871" i="12" s="1"/>
  <c r="D871" i="12"/>
  <c r="C871" i="12"/>
  <c r="B871" i="12"/>
  <c r="A871" i="12"/>
  <c r="K870" i="12"/>
  <c r="J870" i="12"/>
  <c r="I870" i="12"/>
  <c r="H870" i="12"/>
  <c r="G870" i="12"/>
  <c r="F870" i="12"/>
  <c r="E870" i="12"/>
  <c r="N870" i="12" s="1"/>
  <c r="D870" i="12"/>
  <c r="C870" i="12"/>
  <c r="B870" i="12"/>
  <c r="A870" i="12"/>
  <c r="K869" i="12"/>
  <c r="J869" i="12"/>
  <c r="I869" i="12"/>
  <c r="H869" i="12"/>
  <c r="G869" i="12"/>
  <c r="F869" i="12"/>
  <c r="E869" i="12"/>
  <c r="N869" i="12" s="1"/>
  <c r="D869" i="12"/>
  <c r="C869" i="12"/>
  <c r="B869" i="12"/>
  <c r="A869" i="12"/>
  <c r="K868" i="12"/>
  <c r="J868" i="12"/>
  <c r="I868" i="12"/>
  <c r="H868" i="12"/>
  <c r="G868" i="12"/>
  <c r="F868" i="12"/>
  <c r="E868" i="12"/>
  <c r="N868" i="12" s="1"/>
  <c r="D868" i="12"/>
  <c r="C868" i="12"/>
  <c r="B868" i="12"/>
  <c r="A868" i="12"/>
  <c r="K867" i="12"/>
  <c r="J867" i="12"/>
  <c r="I867" i="12"/>
  <c r="H867" i="12"/>
  <c r="G867" i="12"/>
  <c r="F867" i="12"/>
  <c r="E867" i="12"/>
  <c r="N867" i="12" s="1"/>
  <c r="D867" i="12"/>
  <c r="C867" i="12"/>
  <c r="B867" i="12"/>
  <c r="A867" i="12"/>
  <c r="K866" i="12"/>
  <c r="J866" i="12"/>
  <c r="I866" i="12"/>
  <c r="H866" i="12"/>
  <c r="G866" i="12"/>
  <c r="F866" i="12"/>
  <c r="E866" i="12"/>
  <c r="N866" i="12" s="1"/>
  <c r="D866" i="12"/>
  <c r="C866" i="12"/>
  <c r="B866" i="12"/>
  <c r="A866" i="12"/>
  <c r="K865" i="12"/>
  <c r="J865" i="12"/>
  <c r="I865" i="12"/>
  <c r="H865" i="12"/>
  <c r="G865" i="12"/>
  <c r="F865" i="12"/>
  <c r="E865" i="12"/>
  <c r="N865" i="12" s="1"/>
  <c r="D865" i="12"/>
  <c r="C865" i="12"/>
  <c r="B865" i="12"/>
  <c r="A865" i="12"/>
  <c r="K864" i="12"/>
  <c r="J864" i="12"/>
  <c r="I864" i="12"/>
  <c r="H864" i="12"/>
  <c r="G864" i="12"/>
  <c r="F864" i="12"/>
  <c r="E864" i="12"/>
  <c r="N864" i="12" s="1"/>
  <c r="D864" i="12"/>
  <c r="C864" i="12"/>
  <c r="B864" i="12"/>
  <c r="A864" i="12"/>
  <c r="K863" i="12"/>
  <c r="J863" i="12"/>
  <c r="I863" i="12"/>
  <c r="H863" i="12"/>
  <c r="G863" i="12"/>
  <c r="F863" i="12"/>
  <c r="E863" i="12"/>
  <c r="N863" i="12" s="1"/>
  <c r="D863" i="12"/>
  <c r="C863" i="12"/>
  <c r="B863" i="12"/>
  <c r="A863" i="12"/>
  <c r="K862" i="12"/>
  <c r="J862" i="12"/>
  <c r="I862" i="12"/>
  <c r="H862" i="12"/>
  <c r="G862" i="12"/>
  <c r="F862" i="12"/>
  <c r="E862" i="12"/>
  <c r="N862" i="12" s="1"/>
  <c r="D862" i="12"/>
  <c r="C862" i="12"/>
  <c r="B862" i="12"/>
  <c r="A862" i="12"/>
  <c r="K861" i="12"/>
  <c r="J861" i="12"/>
  <c r="I861" i="12"/>
  <c r="H861" i="12"/>
  <c r="G861" i="12"/>
  <c r="F861" i="12"/>
  <c r="E861" i="12"/>
  <c r="N861" i="12" s="1"/>
  <c r="D861" i="12"/>
  <c r="C861" i="12"/>
  <c r="B861" i="12"/>
  <c r="A861" i="12"/>
  <c r="K860" i="12"/>
  <c r="J860" i="12"/>
  <c r="I860" i="12"/>
  <c r="H860" i="12"/>
  <c r="G860" i="12"/>
  <c r="F860" i="12"/>
  <c r="E860" i="12"/>
  <c r="N860" i="12" s="1"/>
  <c r="D860" i="12"/>
  <c r="C860" i="12"/>
  <c r="B860" i="12"/>
  <c r="A860" i="12"/>
  <c r="K859" i="12"/>
  <c r="J859" i="12"/>
  <c r="I859" i="12"/>
  <c r="H859" i="12"/>
  <c r="G859" i="12"/>
  <c r="F859" i="12"/>
  <c r="E859" i="12"/>
  <c r="N859" i="12" s="1"/>
  <c r="D859" i="12"/>
  <c r="C859" i="12"/>
  <c r="B859" i="12"/>
  <c r="A859" i="12"/>
  <c r="K858" i="12"/>
  <c r="J858" i="12"/>
  <c r="I858" i="12"/>
  <c r="H858" i="12"/>
  <c r="G858" i="12"/>
  <c r="F858" i="12"/>
  <c r="E858" i="12"/>
  <c r="N858" i="12" s="1"/>
  <c r="D858" i="12"/>
  <c r="C858" i="12"/>
  <c r="B858" i="12"/>
  <c r="A858" i="12"/>
  <c r="K857" i="12"/>
  <c r="J857" i="12"/>
  <c r="I857" i="12"/>
  <c r="H857" i="12"/>
  <c r="G857" i="12"/>
  <c r="F857" i="12"/>
  <c r="E857" i="12"/>
  <c r="N857" i="12" s="1"/>
  <c r="D857" i="12"/>
  <c r="C857" i="12"/>
  <c r="B857" i="12"/>
  <c r="A857" i="12"/>
  <c r="K856" i="12"/>
  <c r="J856" i="12"/>
  <c r="I856" i="12"/>
  <c r="H856" i="12"/>
  <c r="G856" i="12"/>
  <c r="F856" i="12"/>
  <c r="E856" i="12"/>
  <c r="N856" i="12" s="1"/>
  <c r="D856" i="12"/>
  <c r="C856" i="12"/>
  <c r="B856" i="12"/>
  <c r="A856" i="12"/>
  <c r="K855" i="12"/>
  <c r="J855" i="12"/>
  <c r="I855" i="12"/>
  <c r="H855" i="12"/>
  <c r="G855" i="12"/>
  <c r="F855" i="12"/>
  <c r="E855" i="12"/>
  <c r="N855" i="12" s="1"/>
  <c r="D855" i="12"/>
  <c r="C855" i="12"/>
  <c r="B855" i="12"/>
  <c r="A855" i="12"/>
  <c r="K854" i="12"/>
  <c r="J854" i="12"/>
  <c r="I854" i="12"/>
  <c r="H854" i="12"/>
  <c r="G854" i="12"/>
  <c r="F854" i="12"/>
  <c r="E854" i="12"/>
  <c r="N854" i="12" s="1"/>
  <c r="D854" i="12"/>
  <c r="C854" i="12"/>
  <c r="B854" i="12"/>
  <c r="A854" i="12"/>
  <c r="S853" i="12"/>
  <c r="R853" i="12"/>
  <c r="P853" i="12"/>
  <c r="O853" i="12"/>
  <c r="K853" i="12"/>
  <c r="J853" i="12"/>
  <c r="I853" i="12"/>
  <c r="H853" i="12"/>
  <c r="G853" i="12"/>
  <c r="F853" i="12"/>
  <c r="E853" i="12"/>
  <c r="N853" i="12" s="1"/>
  <c r="D853" i="12"/>
  <c r="C853" i="12"/>
  <c r="B853" i="12"/>
  <c r="A853" i="12"/>
  <c r="K852" i="12"/>
  <c r="J852" i="12"/>
  <c r="I852" i="12"/>
  <c r="H852" i="12"/>
  <c r="G852" i="12"/>
  <c r="F852" i="12"/>
  <c r="E852" i="12"/>
  <c r="N852" i="12" s="1"/>
  <c r="D852" i="12"/>
  <c r="C852" i="12"/>
  <c r="B852" i="12"/>
  <c r="A852" i="12"/>
  <c r="K851" i="12"/>
  <c r="J851" i="12"/>
  <c r="I851" i="12"/>
  <c r="H851" i="12"/>
  <c r="G851" i="12"/>
  <c r="F851" i="12"/>
  <c r="E851" i="12"/>
  <c r="N851" i="12" s="1"/>
  <c r="D851" i="12"/>
  <c r="C851" i="12"/>
  <c r="B851" i="12"/>
  <c r="A851" i="12"/>
  <c r="K850" i="12"/>
  <c r="J850" i="12"/>
  <c r="I850" i="12"/>
  <c r="H850" i="12"/>
  <c r="G850" i="12"/>
  <c r="F850" i="12"/>
  <c r="E850" i="12"/>
  <c r="N850" i="12" s="1"/>
  <c r="D850" i="12"/>
  <c r="C850" i="12"/>
  <c r="B850" i="12"/>
  <c r="A850" i="12"/>
  <c r="K849" i="12"/>
  <c r="J849" i="12"/>
  <c r="I849" i="12"/>
  <c r="H849" i="12"/>
  <c r="G849" i="12"/>
  <c r="F849" i="12"/>
  <c r="E849" i="12"/>
  <c r="N849" i="12" s="1"/>
  <c r="D849" i="12"/>
  <c r="C849" i="12"/>
  <c r="B849" i="12"/>
  <c r="A849" i="12"/>
  <c r="K848" i="12"/>
  <c r="J848" i="12"/>
  <c r="I848" i="12"/>
  <c r="H848" i="12"/>
  <c r="G848" i="12"/>
  <c r="F848" i="12"/>
  <c r="E848" i="12"/>
  <c r="N848" i="12" s="1"/>
  <c r="D848" i="12"/>
  <c r="C848" i="12"/>
  <c r="B848" i="12"/>
  <c r="A848" i="12"/>
  <c r="K847" i="12"/>
  <c r="J847" i="12"/>
  <c r="I847" i="12"/>
  <c r="H847" i="12"/>
  <c r="G847" i="12"/>
  <c r="F847" i="12"/>
  <c r="E847" i="12"/>
  <c r="N847" i="12" s="1"/>
  <c r="D847" i="12"/>
  <c r="C847" i="12"/>
  <c r="B847" i="12"/>
  <c r="A847" i="12"/>
  <c r="K846" i="12"/>
  <c r="J846" i="12"/>
  <c r="I846" i="12"/>
  <c r="H846" i="12"/>
  <c r="G846" i="12"/>
  <c r="F846" i="12"/>
  <c r="E846" i="12"/>
  <c r="N846" i="12" s="1"/>
  <c r="D846" i="12"/>
  <c r="C846" i="12"/>
  <c r="B846" i="12"/>
  <c r="A846" i="12"/>
  <c r="K845" i="12"/>
  <c r="J845" i="12"/>
  <c r="I845" i="12"/>
  <c r="H845" i="12"/>
  <c r="G845" i="12"/>
  <c r="F845" i="12"/>
  <c r="E845" i="12"/>
  <c r="N845" i="12" s="1"/>
  <c r="D845" i="12"/>
  <c r="C845" i="12"/>
  <c r="B845" i="12"/>
  <c r="A845" i="12"/>
  <c r="K844" i="12"/>
  <c r="J844" i="12"/>
  <c r="I844" i="12"/>
  <c r="H844" i="12"/>
  <c r="G844" i="12"/>
  <c r="F844" i="12"/>
  <c r="E844" i="12"/>
  <c r="N844" i="12" s="1"/>
  <c r="D844" i="12"/>
  <c r="C844" i="12"/>
  <c r="B844" i="12"/>
  <c r="A844" i="12"/>
  <c r="K843" i="12"/>
  <c r="J843" i="12"/>
  <c r="I843" i="12"/>
  <c r="H843" i="12"/>
  <c r="G843" i="12"/>
  <c r="F843" i="12"/>
  <c r="E843" i="12"/>
  <c r="N843" i="12" s="1"/>
  <c r="D843" i="12"/>
  <c r="C843" i="12"/>
  <c r="B843" i="12"/>
  <c r="A843" i="12"/>
  <c r="K842" i="12"/>
  <c r="J842" i="12"/>
  <c r="I842" i="12"/>
  <c r="H842" i="12"/>
  <c r="G842" i="12"/>
  <c r="F842" i="12"/>
  <c r="E842" i="12"/>
  <c r="N842" i="12" s="1"/>
  <c r="D842" i="12"/>
  <c r="C842" i="12"/>
  <c r="B842" i="12"/>
  <c r="A842" i="12"/>
  <c r="K841" i="12"/>
  <c r="J841" i="12"/>
  <c r="I841" i="12"/>
  <c r="H841" i="12"/>
  <c r="G841" i="12"/>
  <c r="F841" i="12"/>
  <c r="E841" i="12"/>
  <c r="N841" i="12" s="1"/>
  <c r="D841" i="12"/>
  <c r="C841" i="12"/>
  <c r="B841" i="12"/>
  <c r="A841" i="12"/>
  <c r="K840" i="12"/>
  <c r="J840" i="12"/>
  <c r="I840" i="12"/>
  <c r="H840" i="12"/>
  <c r="G840" i="12"/>
  <c r="F840" i="12"/>
  <c r="E840" i="12"/>
  <c r="N840" i="12" s="1"/>
  <c r="D840" i="12"/>
  <c r="C840" i="12"/>
  <c r="B840" i="12"/>
  <c r="A840" i="12"/>
  <c r="K839" i="12"/>
  <c r="J839" i="12"/>
  <c r="I839" i="12"/>
  <c r="H839" i="12"/>
  <c r="G839" i="12"/>
  <c r="F839" i="12"/>
  <c r="E839" i="12"/>
  <c r="N839" i="12" s="1"/>
  <c r="D839" i="12"/>
  <c r="C839" i="12"/>
  <c r="B839" i="12"/>
  <c r="A839" i="12"/>
  <c r="K838" i="12"/>
  <c r="J838" i="12"/>
  <c r="I838" i="12"/>
  <c r="H838" i="12"/>
  <c r="G838" i="12"/>
  <c r="F838" i="12"/>
  <c r="E838" i="12"/>
  <c r="N838" i="12" s="1"/>
  <c r="D838" i="12"/>
  <c r="C838" i="12"/>
  <c r="B838" i="12"/>
  <c r="A838" i="12"/>
  <c r="K837" i="12"/>
  <c r="J837" i="12"/>
  <c r="I837" i="12"/>
  <c r="H837" i="12"/>
  <c r="G837" i="12"/>
  <c r="F837" i="12"/>
  <c r="E837" i="12"/>
  <c r="N837" i="12" s="1"/>
  <c r="D837" i="12"/>
  <c r="C837" i="12"/>
  <c r="B837" i="12"/>
  <c r="A837" i="12"/>
  <c r="K836" i="12"/>
  <c r="J836" i="12"/>
  <c r="I836" i="12"/>
  <c r="H836" i="12"/>
  <c r="G836" i="12"/>
  <c r="F836" i="12"/>
  <c r="E836" i="12"/>
  <c r="N836" i="12" s="1"/>
  <c r="D836" i="12"/>
  <c r="C836" i="12"/>
  <c r="B836" i="12"/>
  <c r="A836" i="12"/>
  <c r="K835" i="12"/>
  <c r="J835" i="12"/>
  <c r="I835" i="12"/>
  <c r="H835" i="12"/>
  <c r="G835" i="12"/>
  <c r="F835" i="12"/>
  <c r="E835" i="12"/>
  <c r="N835" i="12" s="1"/>
  <c r="D835" i="12"/>
  <c r="C835" i="12"/>
  <c r="B835" i="12"/>
  <c r="A835" i="12"/>
  <c r="K834" i="12"/>
  <c r="J834" i="12"/>
  <c r="I834" i="12"/>
  <c r="H834" i="12"/>
  <c r="G834" i="12"/>
  <c r="F834" i="12"/>
  <c r="E834" i="12"/>
  <c r="N834" i="12" s="1"/>
  <c r="D834" i="12"/>
  <c r="C834" i="12"/>
  <c r="B834" i="12"/>
  <c r="A834" i="12"/>
  <c r="K833" i="12"/>
  <c r="J833" i="12"/>
  <c r="I833" i="12"/>
  <c r="H833" i="12"/>
  <c r="G833" i="12"/>
  <c r="F833" i="12"/>
  <c r="E833" i="12"/>
  <c r="N833" i="12" s="1"/>
  <c r="D833" i="12"/>
  <c r="C833" i="12"/>
  <c r="B833" i="12"/>
  <c r="A833" i="12"/>
  <c r="K832" i="12"/>
  <c r="J832" i="12"/>
  <c r="I832" i="12"/>
  <c r="H832" i="12"/>
  <c r="G832" i="12"/>
  <c r="F832" i="12"/>
  <c r="E832" i="12"/>
  <c r="N832" i="12" s="1"/>
  <c r="D832" i="12"/>
  <c r="C832" i="12"/>
  <c r="B832" i="12"/>
  <c r="A832" i="12"/>
  <c r="K831" i="12"/>
  <c r="J831" i="12"/>
  <c r="I831" i="12"/>
  <c r="H831" i="12"/>
  <c r="G831" i="12"/>
  <c r="F831" i="12"/>
  <c r="E831" i="12"/>
  <c r="N831" i="12" s="1"/>
  <c r="D831" i="12"/>
  <c r="C831" i="12"/>
  <c r="B831" i="12"/>
  <c r="A831" i="12"/>
  <c r="K830" i="12"/>
  <c r="J830" i="12"/>
  <c r="I830" i="12"/>
  <c r="H830" i="12"/>
  <c r="G830" i="12"/>
  <c r="F830" i="12"/>
  <c r="E830" i="12"/>
  <c r="N830" i="12" s="1"/>
  <c r="D830" i="12"/>
  <c r="C830" i="12"/>
  <c r="B830" i="12"/>
  <c r="A830" i="12"/>
  <c r="K829" i="12"/>
  <c r="J829" i="12"/>
  <c r="I829" i="12"/>
  <c r="H829" i="12"/>
  <c r="G829" i="12"/>
  <c r="F829" i="12"/>
  <c r="E829" i="12"/>
  <c r="N829" i="12" s="1"/>
  <c r="D829" i="12"/>
  <c r="C829" i="12"/>
  <c r="B829" i="12"/>
  <c r="A829" i="12"/>
  <c r="K828" i="12"/>
  <c r="J828" i="12"/>
  <c r="I828" i="12"/>
  <c r="H828" i="12"/>
  <c r="G828" i="12"/>
  <c r="F828" i="12"/>
  <c r="E828" i="12"/>
  <c r="N828" i="12" s="1"/>
  <c r="D828" i="12"/>
  <c r="C828" i="12"/>
  <c r="B828" i="12"/>
  <c r="A828" i="12"/>
  <c r="K827" i="12"/>
  <c r="J827" i="12"/>
  <c r="I827" i="12"/>
  <c r="H827" i="12"/>
  <c r="G827" i="12"/>
  <c r="F827" i="12"/>
  <c r="E827" i="12"/>
  <c r="N827" i="12" s="1"/>
  <c r="D827" i="12"/>
  <c r="C827" i="12"/>
  <c r="B827" i="12"/>
  <c r="A827" i="12"/>
  <c r="K826" i="12"/>
  <c r="J826" i="12"/>
  <c r="I826" i="12"/>
  <c r="H826" i="12"/>
  <c r="G826" i="12"/>
  <c r="F826" i="12"/>
  <c r="E826" i="12"/>
  <c r="N826" i="12" s="1"/>
  <c r="D826" i="12"/>
  <c r="C826" i="12"/>
  <c r="B826" i="12"/>
  <c r="A826" i="12"/>
  <c r="K825" i="12"/>
  <c r="J825" i="12"/>
  <c r="I825" i="12"/>
  <c r="H825" i="12"/>
  <c r="G825" i="12"/>
  <c r="F825" i="12"/>
  <c r="E825" i="12"/>
  <c r="N825" i="12" s="1"/>
  <c r="D825" i="12"/>
  <c r="C825" i="12"/>
  <c r="B825" i="12"/>
  <c r="A825" i="12"/>
  <c r="K824" i="12"/>
  <c r="J824" i="12"/>
  <c r="I824" i="12"/>
  <c r="H824" i="12"/>
  <c r="G824" i="12"/>
  <c r="F824" i="12"/>
  <c r="E824" i="12"/>
  <c r="N824" i="12" s="1"/>
  <c r="D824" i="12"/>
  <c r="C824" i="12"/>
  <c r="B824" i="12"/>
  <c r="A824" i="12"/>
  <c r="K823" i="12"/>
  <c r="J823" i="12"/>
  <c r="I823" i="12"/>
  <c r="H823" i="12"/>
  <c r="G823" i="12"/>
  <c r="F823" i="12"/>
  <c r="E823" i="12"/>
  <c r="N823" i="12" s="1"/>
  <c r="D823" i="12"/>
  <c r="C823" i="12"/>
  <c r="B823" i="12"/>
  <c r="A823" i="12"/>
  <c r="K822" i="12"/>
  <c r="J822" i="12"/>
  <c r="I822" i="12"/>
  <c r="H822" i="12"/>
  <c r="G822" i="12"/>
  <c r="F822" i="12"/>
  <c r="E822" i="12"/>
  <c r="N822" i="12" s="1"/>
  <c r="D822" i="12"/>
  <c r="C822" i="12"/>
  <c r="B822" i="12"/>
  <c r="A822" i="12"/>
  <c r="K821" i="12"/>
  <c r="J821" i="12"/>
  <c r="I821" i="12"/>
  <c r="H821" i="12"/>
  <c r="G821" i="12"/>
  <c r="F821" i="12"/>
  <c r="E821" i="12"/>
  <c r="N821" i="12" s="1"/>
  <c r="D821" i="12"/>
  <c r="C821" i="12"/>
  <c r="B821" i="12"/>
  <c r="A821" i="12"/>
  <c r="K820" i="12"/>
  <c r="J820" i="12"/>
  <c r="I820" i="12"/>
  <c r="H820" i="12"/>
  <c r="G820" i="12"/>
  <c r="F820" i="12"/>
  <c r="E820" i="12"/>
  <c r="N820" i="12" s="1"/>
  <c r="D820" i="12"/>
  <c r="C820" i="12"/>
  <c r="B820" i="12"/>
  <c r="A820" i="12"/>
  <c r="K819" i="12"/>
  <c r="J819" i="12"/>
  <c r="I819" i="12"/>
  <c r="H819" i="12"/>
  <c r="G819" i="12"/>
  <c r="F819" i="12"/>
  <c r="E819" i="12"/>
  <c r="N819" i="12" s="1"/>
  <c r="D819" i="12"/>
  <c r="C819" i="12"/>
  <c r="B819" i="12"/>
  <c r="A819" i="12"/>
  <c r="K818" i="12"/>
  <c r="J818" i="12"/>
  <c r="I818" i="12"/>
  <c r="H818" i="12"/>
  <c r="G818" i="12"/>
  <c r="F818" i="12"/>
  <c r="E818" i="12"/>
  <c r="N818" i="12" s="1"/>
  <c r="D818" i="12"/>
  <c r="C818" i="12"/>
  <c r="B818" i="12"/>
  <c r="A818" i="12"/>
  <c r="K817" i="12"/>
  <c r="J817" i="12"/>
  <c r="I817" i="12"/>
  <c r="H817" i="12"/>
  <c r="G817" i="12"/>
  <c r="F817" i="12"/>
  <c r="E817" i="12"/>
  <c r="N817" i="12" s="1"/>
  <c r="D817" i="12"/>
  <c r="C817" i="12"/>
  <c r="B817" i="12"/>
  <c r="A817" i="12"/>
  <c r="K816" i="12"/>
  <c r="J816" i="12"/>
  <c r="I816" i="12"/>
  <c r="H816" i="12"/>
  <c r="G816" i="12"/>
  <c r="F816" i="12"/>
  <c r="E816" i="12"/>
  <c r="N816" i="12" s="1"/>
  <c r="D816" i="12"/>
  <c r="C816" i="12"/>
  <c r="B816" i="12"/>
  <c r="A816" i="12"/>
  <c r="K815" i="12"/>
  <c r="J815" i="12"/>
  <c r="I815" i="12"/>
  <c r="H815" i="12"/>
  <c r="G815" i="12"/>
  <c r="F815" i="12"/>
  <c r="E815" i="12"/>
  <c r="N815" i="12" s="1"/>
  <c r="D815" i="12"/>
  <c r="C815" i="12"/>
  <c r="B815" i="12"/>
  <c r="A815" i="12"/>
  <c r="K814" i="12"/>
  <c r="J814" i="12"/>
  <c r="I814" i="12"/>
  <c r="H814" i="12"/>
  <c r="G814" i="12"/>
  <c r="F814" i="12"/>
  <c r="E814" i="12"/>
  <c r="N814" i="12" s="1"/>
  <c r="D814" i="12"/>
  <c r="C814" i="12"/>
  <c r="B814" i="12"/>
  <c r="A814" i="12"/>
  <c r="K813" i="12"/>
  <c r="J813" i="12"/>
  <c r="I813" i="12"/>
  <c r="H813" i="12"/>
  <c r="G813" i="12"/>
  <c r="F813" i="12"/>
  <c r="E813" i="12"/>
  <c r="N813" i="12" s="1"/>
  <c r="D813" i="12"/>
  <c r="C813" i="12"/>
  <c r="B813" i="12"/>
  <c r="A813" i="12"/>
  <c r="K812" i="12"/>
  <c r="J812" i="12"/>
  <c r="I812" i="12"/>
  <c r="H812" i="12"/>
  <c r="G812" i="12"/>
  <c r="F812" i="12"/>
  <c r="E812" i="12"/>
  <c r="N812" i="12" s="1"/>
  <c r="D812" i="12"/>
  <c r="C812" i="12"/>
  <c r="B812" i="12"/>
  <c r="A812" i="12"/>
  <c r="K811" i="12"/>
  <c r="J811" i="12"/>
  <c r="I811" i="12"/>
  <c r="H811" i="12"/>
  <c r="G811" i="12"/>
  <c r="F811" i="12"/>
  <c r="E811" i="12"/>
  <c r="N811" i="12" s="1"/>
  <c r="D811" i="12"/>
  <c r="C811" i="12"/>
  <c r="B811" i="12"/>
  <c r="A811" i="12"/>
  <c r="K810" i="12"/>
  <c r="J810" i="12"/>
  <c r="I810" i="12"/>
  <c r="H810" i="12"/>
  <c r="G810" i="12"/>
  <c r="F810" i="12"/>
  <c r="E810" i="12"/>
  <c r="N810" i="12" s="1"/>
  <c r="D810" i="12"/>
  <c r="C810" i="12"/>
  <c r="B810" i="12"/>
  <c r="A810" i="12"/>
  <c r="K809" i="12"/>
  <c r="J809" i="12"/>
  <c r="I809" i="12"/>
  <c r="H809" i="12"/>
  <c r="G809" i="12"/>
  <c r="F809" i="12"/>
  <c r="E809" i="12"/>
  <c r="N809" i="12" s="1"/>
  <c r="D809" i="12"/>
  <c r="C809" i="12"/>
  <c r="B809" i="12"/>
  <c r="A809" i="12"/>
  <c r="K808" i="12"/>
  <c r="J808" i="12"/>
  <c r="I808" i="12"/>
  <c r="H808" i="12"/>
  <c r="G808" i="12"/>
  <c r="F808" i="12"/>
  <c r="E808" i="12"/>
  <c r="N808" i="12" s="1"/>
  <c r="D808" i="12"/>
  <c r="C808" i="12"/>
  <c r="B808" i="12"/>
  <c r="A808" i="12"/>
  <c r="K807" i="12"/>
  <c r="J807" i="12"/>
  <c r="I807" i="12"/>
  <c r="H807" i="12"/>
  <c r="G807" i="12"/>
  <c r="F807" i="12"/>
  <c r="E807" i="12"/>
  <c r="N807" i="12" s="1"/>
  <c r="D807" i="12"/>
  <c r="C807" i="12"/>
  <c r="B807" i="12"/>
  <c r="A807" i="12"/>
  <c r="K806" i="12"/>
  <c r="J806" i="12"/>
  <c r="I806" i="12"/>
  <c r="H806" i="12"/>
  <c r="G806" i="12"/>
  <c r="F806" i="12"/>
  <c r="E806" i="12"/>
  <c r="N806" i="12" s="1"/>
  <c r="D806" i="12"/>
  <c r="C806" i="12"/>
  <c r="B806" i="12"/>
  <c r="A806" i="12"/>
  <c r="K805" i="12"/>
  <c r="J805" i="12"/>
  <c r="I805" i="12"/>
  <c r="H805" i="12"/>
  <c r="G805" i="12"/>
  <c r="F805" i="12"/>
  <c r="E805" i="12"/>
  <c r="N805" i="12" s="1"/>
  <c r="D805" i="12"/>
  <c r="C805" i="12"/>
  <c r="B805" i="12"/>
  <c r="A805" i="12"/>
  <c r="K804" i="12"/>
  <c r="J804" i="12"/>
  <c r="I804" i="12"/>
  <c r="H804" i="12"/>
  <c r="G804" i="12"/>
  <c r="F804" i="12"/>
  <c r="E804" i="12"/>
  <c r="N804" i="12" s="1"/>
  <c r="D804" i="12"/>
  <c r="C804" i="12"/>
  <c r="B804" i="12"/>
  <c r="A804" i="12"/>
  <c r="K803" i="12"/>
  <c r="J803" i="12"/>
  <c r="I803" i="12"/>
  <c r="H803" i="12"/>
  <c r="G803" i="12"/>
  <c r="F803" i="12"/>
  <c r="E803" i="12"/>
  <c r="N803" i="12" s="1"/>
  <c r="D803" i="12"/>
  <c r="C803" i="12"/>
  <c r="B803" i="12"/>
  <c r="A803" i="12"/>
  <c r="K802" i="12"/>
  <c r="J802" i="12"/>
  <c r="I802" i="12"/>
  <c r="H802" i="12"/>
  <c r="G802" i="12"/>
  <c r="F802" i="12"/>
  <c r="E802" i="12"/>
  <c r="N802" i="12" s="1"/>
  <c r="D802" i="12"/>
  <c r="C802" i="12"/>
  <c r="B802" i="12"/>
  <c r="A802" i="12"/>
  <c r="K801" i="12"/>
  <c r="J801" i="12"/>
  <c r="I801" i="12"/>
  <c r="H801" i="12"/>
  <c r="G801" i="12"/>
  <c r="F801" i="12"/>
  <c r="E801" i="12"/>
  <c r="N801" i="12" s="1"/>
  <c r="D801" i="12"/>
  <c r="C801" i="12"/>
  <c r="B801" i="12"/>
  <c r="A801" i="12"/>
  <c r="K800" i="12"/>
  <c r="J800" i="12"/>
  <c r="I800" i="12"/>
  <c r="H800" i="12"/>
  <c r="G800" i="12"/>
  <c r="F800" i="12"/>
  <c r="E800" i="12"/>
  <c r="N800" i="12" s="1"/>
  <c r="D800" i="12"/>
  <c r="C800" i="12"/>
  <c r="B800" i="12"/>
  <c r="A800" i="12"/>
  <c r="K799" i="12"/>
  <c r="J799" i="12"/>
  <c r="I799" i="12"/>
  <c r="H799" i="12"/>
  <c r="G799" i="12"/>
  <c r="F799" i="12"/>
  <c r="E799" i="12"/>
  <c r="N799" i="12" s="1"/>
  <c r="D799" i="12"/>
  <c r="C799" i="12"/>
  <c r="B799" i="12"/>
  <c r="A799" i="12"/>
  <c r="K798" i="12"/>
  <c r="J798" i="12"/>
  <c r="I798" i="12"/>
  <c r="H798" i="12"/>
  <c r="G798" i="12"/>
  <c r="F798" i="12"/>
  <c r="E798" i="12"/>
  <c r="N798" i="12" s="1"/>
  <c r="D798" i="12"/>
  <c r="C798" i="12"/>
  <c r="B798" i="12"/>
  <c r="A798" i="12"/>
  <c r="K797" i="12"/>
  <c r="J797" i="12"/>
  <c r="I797" i="12"/>
  <c r="H797" i="12"/>
  <c r="G797" i="12"/>
  <c r="F797" i="12"/>
  <c r="E797" i="12"/>
  <c r="N797" i="12" s="1"/>
  <c r="D797" i="12"/>
  <c r="C797" i="12"/>
  <c r="B797" i="12"/>
  <c r="A797" i="12"/>
  <c r="K796" i="12"/>
  <c r="J796" i="12"/>
  <c r="I796" i="12"/>
  <c r="H796" i="12"/>
  <c r="G796" i="12"/>
  <c r="F796" i="12"/>
  <c r="E796" i="12"/>
  <c r="N796" i="12" s="1"/>
  <c r="D796" i="12"/>
  <c r="C796" i="12"/>
  <c r="B796" i="12"/>
  <c r="A796" i="12"/>
  <c r="K795" i="12"/>
  <c r="J795" i="12"/>
  <c r="I795" i="12"/>
  <c r="H795" i="12"/>
  <c r="G795" i="12"/>
  <c r="F795" i="12"/>
  <c r="E795" i="12"/>
  <c r="N795" i="12" s="1"/>
  <c r="D795" i="12"/>
  <c r="C795" i="12"/>
  <c r="B795" i="12"/>
  <c r="A795" i="12"/>
  <c r="K794" i="12"/>
  <c r="J794" i="12"/>
  <c r="I794" i="12"/>
  <c r="H794" i="12"/>
  <c r="G794" i="12"/>
  <c r="F794" i="12"/>
  <c r="E794" i="12"/>
  <c r="N794" i="12" s="1"/>
  <c r="D794" i="12"/>
  <c r="C794" i="12"/>
  <c r="B794" i="12"/>
  <c r="A794" i="12"/>
  <c r="K793" i="12"/>
  <c r="J793" i="12"/>
  <c r="I793" i="12"/>
  <c r="H793" i="12"/>
  <c r="G793" i="12"/>
  <c r="F793" i="12"/>
  <c r="E793" i="12"/>
  <c r="N793" i="12" s="1"/>
  <c r="D793" i="12"/>
  <c r="C793" i="12"/>
  <c r="B793" i="12"/>
  <c r="A793" i="12"/>
  <c r="K792" i="12"/>
  <c r="J792" i="12"/>
  <c r="I792" i="12"/>
  <c r="H792" i="12"/>
  <c r="G792" i="12"/>
  <c r="F792" i="12"/>
  <c r="E792" i="12"/>
  <c r="N792" i="12" s="1"/>
  <c r="D792" i="12"/>
  <c r="C792" i="12"/>
  <c r="B792" i="12"/>
  <c r="A792" i="12"/>
  <c r="K791" i="12"/>
  <c r="J791" i="12"/>
  <c r="I791" i="12"/>
  <c r="H791" i="12"/>
  <c r="G791" i="12"/>
  <c r="F791" i="12"/>
  <c r="E791" i="12"/>
  <c r="N791" i="12" s="1"/>
  <c r="D791" i="12"/>
  <c r="C791" i="12"/>
  <c r="B791" i="12"/>
  <c r="A791" i="12"/>
  <c r="K790" i="12"/>
  <c r="J790" i="12"/>
  <c r="I790" i="12"/>
  <c r="H790" i="12"/>
  <c r="G790" i="12"/>
  <c r="F790" i="12"/>
  <c r="E790" i="12"/>
  <c r="N790" i="12" s="1"/>
  <c r="D790" i="12"/>
  <c r="C790" i="12"/>
  <c r="B790" i="12"/>
  <c r="A790" i="12"/>
  <c r="S789" i="12"/>
  <c r="K789" i="12"/>
  <c r="J789" i="12"/>
  <c r="I789" i="12"/>
  <c r="H789" i="12"/>
  <c r="G789" i="12"/>
  <c r="F789" i="12"/>
  <c r="E789" i="12"/>
  <c r="N789" i="12" s="1"/>
  <c r="D789" i="12"/>
  <c r="C789" i="12"/>
  <c r="B789" i="12"/>
  <c r="A789" i="12"/>
  <c r="K788" i="12"/>
  <c r="J788" i="12"/>
  <c r="I788" i="12"/>
  <c r="H788" i="12"/>
  <c r="G788" i="12"/>
  <c r="F788" i="12"/>
  <c r="E788" i="12"/>
  <c r="N788" i="12" s="1"/>
  <c r="D788" i="12"/>
  <c r="C788" i="12"/>
  <c r="B788" i="12"/>
  <c r="A788" i="12"/>
  <c r="K787" i="12"/>
  <c r="J787" i="12"/>
  <c r="I787" i="12"/>
  <c r="H787" i="12"/>
  <c r="G787" i="12"/>
  <c r="F787" i="12"/>
  <c r="E787" i="12"/>
  <c r="N787" i="12" s="1"/>
  <c r="D787" i="12"/>
  <c r="C787" i="12"/>
  <c r="B787" i="12"/>
  <c r="A787" i="12"/>
  <c r="K786" i="12"/>
  <c r="J786" i="12"/>
  <c r="I786" i="12"/>
  <c r="H786" i="12"/>
  <c r="G786" i="12"/>
  <c r="F786" i="12"/>
  <c r="E786" i="12"/>
  <c r="N786" i="12" s="1"/>
  <c r="D786" i="12"/>
  <c r="C786" i="12"/>
  <c r="B786" i="12"/>
  <c r="A786" i="12"/>
  <c r="K785" i="12"/>
  <c r="J785" i="12"/>
  <c r="I785" i="12"/>
  <c r="H785" i="12"/>
  <c r="G785" i="12"/>
  <c r="F785" i="12"/>
  <c r="E785" i="12"/>
  <c r="N785" i="12" s="1"/>
  <c r="D785" i="12"/>
  <c r="C785" i="12"/>
  <c r="B785" i="12"/>
  <c r="A785" i="12"/>
  <c r="K784" i="12"/>
  <c r="J784" i="12"/>
  <c r="I784" i="12"/>
  <c r="H784" i="12"/>
  <c r="G784" i="12"/>
  <c r="F784" i="12"/>
  <c r="E784" i="12"/>
  <c r="N784" i="12" s="1"/>
  <c r="D784" i="12"/>
  <c r="C784" i="12"/>
  <c r="B784" i="12"/>
  <c r="A784" i="12"/>
  <c r="K783" i="12"/>
  <c r="J783" i="12"/>
  <c r="I783" i="12"/>
  <c r="H783" i="12"/>
  <c r="G783" i="12"/>
  <c r="F783" i="12"/>
  <c r="E783" i="12"/>
  <c r="N783" i="12" s="1"/>
  <c r="D783" i="12"/>
  <c r="C783" i="12"/>
  <c r="B783" i="12"/>
  <c r="A783" i="12"/>
  <c r="K782" i="12"/>
  <c r="J782" i="12"/>
  <c r="I782" i="12"/>
  <c r="H782" i="12"/>
  <c r="G782" i="12"/>
  <c r="F782" i="12"/>
  <c r="E782" i="12"/>
  <c r="N782" i="12" s="1"/>
  <c r="D782" i="12"/>
  <c r="C782" i="12"/>
  <c r="B782" i="12"/>
  <c r="A782" i="12"/>
  <c r="K781" i="12"/>
  <c r="J781" i="12"/>
  <c r="I781" i="12"/>
  <c r="H781" i="12"/>
  <c r="G781" i="12"/>
  <c r="F781" i="12"/>
  <c r="E781" i="12"/>
  <c r="N781" i="12" s="1"/>
  <c r="D781" i="12"/>
  <c r="C781" i="12"/>
  <c r="B781" i="12"/>
  <c r="A781" i="12"/>
  <c r="K780" i="12"/>
  <c r="J780" i="12"/>
  <c r="I780" i="12"/>
  <c r="H780" i="12"/>
  <c r="G780" i="12"/>
  <c r="F780" i="12"/>
  <c r="E780" i="12"/>
  <c r="N780" i="12" s="1"/>
  <c r="D780" i="12"/>
  <c r="C780" i="12"/>
  <c r="B780" i="12"/>
  <c r="A780" i="12"/>
  <c r="K779" i="12"/>
  <c r="J779" i="12"/>
  <c r="I779" i="12"/>
  <c r="H779" i="12"/>
  <c r="G779" i="12"/>
  <c r="F779" i="12"/>
  <c r="E779" i="12"/>
  <c r="N779" i="12" s="1"/>
  <c r="D779" i="12"/>
  <c r="C779" i="12"/>
  <c r="B779" i="12"/>
  <c r="A779" i="12"/>
  <c r="K778" i="12"/>
  <c r="J778" i="12"/>
  <c r="I778" i="12"/>
  <c r="H778" i="12"/>
  <c r="G778" i="12"/>
  <c r="F778" i="12"/>
  <c r="E778" i="12"/>
  <c r="N778" i="12" s="1"/>
  <c r="D778" i="12"/>
  <c r="C778" i="12"/>
  <c r="B778" i="12"/>
  <c r="A778" i="12"/>
  <c r="K777" i="12"/>
  <c r="J777" i="12"/>
  <c r="I777" i="12"/>
  <c r="H777" i="12"/>
  <c r="G777" i="12"/>
  <c r="F777" i="12"/>
  <c r="E777" i="12"/>
  <c r="N777" i="12" s="1"/>
  <c r="D777" i="12"/>
  <c r="C777" i="12"/>
  <c r="B777" i="12"/>
  <c r="A777" i="12"/>
  <c r="K776" i="12"/>
  <c r="J776" i="12"/>
  <c r="I776" i="12"/>
  <c r="H776" i="12"/>
  <c r="G776" i="12"/>
  <c r="F776" i="12"/>
  <c r="E776" i="12"/>
  <c r="N776" i="12" s="1"/>
  <c r="D776" i="12"/>
  <c r="C776" i="12"/>
  <c r="B776" i="12"/>
  <c r="A776" i="12"/>
  <c r="K775" i="12"/>
  <c r="J775" i="12"/>
  <c r="I775" i="12"/>
  <c r="H775" i="12"/>
  <c r="G775" i="12"/>
  <c r="F775" i="12"/>
  <c r="E775" i="12"/>
  <c r="N775" i="12" s="1"/>
  <c r="D775" i="12"/>
  <c r="C775" i="12"/>
  <c r="B775" i="12"/>
  <c r="A775" i="12"/>
  <c r="K774" i="12"/>
  <c r="J774" i="12"/>
  <c r="I774" i="12"/>
  <c r="H774" i="12"/>
  <c r="G774" i="12"/>
  <c r="F774" i="12"/>
  <c r="E774" i="12"/>
  <c r="N774" i="12" s="1"/>
  <c r="D774" i="12"/>
  <c r="C774" i="12"/>
  <c r="B774" i="12"/>
  <c r="A774" i="12"/>
  <c r="K773" i="12"/>
  <c r="J773" i="12"/>
  <c r="I773" i="12"/>
  <c r="H773" i="12"/>
  <c r="G773" i="12"/>
  <c r="F773" i="12"/>
  <c r="E773" i="12"/>
  <c r="N773" i="12" s="1"/>
  <c r="D773" i="12"/>
  <c r="C773" i="12"/>
  <c r="B773" i="12"/>
  <c r="A773" i="12"/>
  <c r="K772" i="12"/>
  <c r="J772" i="12"/>
  <c r="I772" i="12"/>
  <c r="H772" i="12"/>
  <c r="G772" i="12"/>
  <c r="F772" i="12"/>
  <c r="E772" i="12"/>
  <c r="N772" i="12" s="1"/>
  <c r="D772" i="12"/>
  <c r="C772" i="12"/>
  <c r="B772" i="12"/>
  <c r="A772" i="12"/>
  <c r="K771" i="12"/>
  <c r="J771" i="12"/>
  <c r="I771" i="12"/>
  <c r="H771" i="12"/>
  <c r="G771" i="12"/>
  <c r="F771" i="12"/>
  <c r="E771" i="12"/>
  <c r="N771" i="12" s="1"/>
  <c r="D771" i="12"/>
  <c r="C771" i="12"/>
  <c r="B771" i="12"/>
  <c r="A771" i="12"/>
  <c r="K770" i="12"/>
  <c r="J770" i="12"/>
  <c r="I770" i="12"/>
  <c r="H770" i="12"/>
  <c r="G770" i="12"/>
  <c r="F770" i="12"/>
  <c r="E770" i="12"/>
  <c r="N770" i="12" s="1"/>
  <c r="D770" i="12"/>
  <c r="C770" i="12"/>
  <c r="B770" i="12"/>
  <c r="A770" i="12"/>
  <c r="K769" i="12"/>
  <c r="J769" i="12"/>
  <c r="I769" i="12"/>
  <c r="H769" i="12"/>
  <c r="G769" i="12"/>
  <c r="F769" i="12"/>
  <c r="E769" i="12"/>
  <c r="N769" i="12" s="1"/>
  <c r="D769" i="12"/>
  <c r="C769" i="12"/>
  <c r="B769" i="12"/>
  <c r="A769" i="12"/>
  <c r="K768" i="12"/>
  <c r="J768" i="12"/>
  <c r="I768" i="12"/>
  <c r="H768" i="12"/>
  <c r="G768" i="12"/>
  <c r="F768" i="12"/>
  <c r="E768" i="12"/>
  <c r="N768" i="12" s="1"/>
  <c r="D768" i="12"/>
  <c r="C768" i="12"/>
  <c r="B768" i="12"/>
  <c r="A768" i="12"/>
  <c r="K767" i="12"/>
  <c r="J767" i="12"/>
  <c r="I767" i="12"/>
  <c r="H767" i="12"/>
  <c r="G767" i="12"/>
  <c r="F767" i="12"/>
  <c r="E767" i="12"/>
  <c r="N767" i="12" s="1"/>
  <c r="D767" i="12"/>
  <c r="C767" i="12"/>
  <c r="B767" i="12"/>
  <c r="A767" i="12"/>
  <c r="K766" i="12"/>
  <c r="J766" i="12"/>
  <c r="I766" i="12"/>
  <c r="H766" i="12"/>
  <c r="G766" i="12"/>
  <c r="F766" i="12"/>
  <c r="E766" i="12"/>
  <c r="N766" i="12" s="1"/>
  <c r="D766" i="12"/>
  <c r="C766" i="12"/>
  <c r="B766" i="12"/>
  <c r="A766" i="12"/>
  <c r="K765" i="12"/>
  <c r="J765" i="12"/>
  <c r="I765" i="12"/>
  <c r="H765" i="12"/>
  <c r="G765" i="12"/>
  <c r="F765" i="12"/>
  <c r="E765" i="12"/>
  <c r="N765" i="12" s="1"/>
  <c r="D765" i="12"/>
  <c r="C765" i="12"/>
  <c r="B765" i="12"/>
  <c r="A765" i="12"/>
  <c r="K764" i="12"/>
  <c r="J764" i="12"/>
  <c r="I764" i="12"/>
  <c r="H764" i="12"/>
  <c r="G764" i="12"/>
  <c r="F764" i="12"/>
  <c r="E764" i="12"/>
  <c r="N764" i="12" s="1"/>
  <c r="D764" i="12"/>
  <c r="C764" i="12"/>
  <c r="B764" i="12"/>
  <c r="A764" i="12"/>
  <c r="K763" i="12"/>
  <c r="J763" i="12"/>
  <c r="I763" i="12"/>
  <c r="H763" i="12"/>
  <c r="G763" i="12"/>
  <c r="F763" i="12"/>
  <c r="E763" i="12"/>
  <c r="N763" i="12" s="1"/>
  <c r="D763" i="12"/>
  <c r="C763" i="12"/>
  <c r="B763" i="12"/>
  <c r="A763" i="12"/>
  <c r="K762" i="12"/>
  <c r="J762" i="12"/>
  <c r="I762" i="12"/>
  <c r="H762" i="12"/>
  <c r="G762" i="12"/>
  <c r="F762" i="12"/>
  <c r="E762" i="12"/>
  <c r="N762" i="12" s="1"/>
  <c r="D762" i="12"/>
  <c r="C762" i="12"/>
  <c r="B762" i="12"/>
  <c r="A762" i="12"/>
  <c r="K761" i="12"/>
  <c r="J761" i="12"/>
  <c r="I761" i="12"/>
  <c r="H761" i="12"/>
  <c r="G761" i="12"/>
  <c r="F761" i="12"/>
  <c r="E761" i="12"/>
  <c r="N761" i="12" s="1"/>
  <c r="D761" i="12"/>
  <c r="C761" i="12"/>
  <c r="B761" i="12"/>
  <c r="A761" i="12"/>
  <c r="K760" i="12"/>
  <c r="J760" i="12"/>
  <c r="I760" i="12"/>
  <c r="H760" i="12"/>
  <c r="G760" i="12"/>
  <c r="F760" i="12"/>
  <c r="E760" i="12"/>
  <c r="N760" i="12" s="1"/>
  <c r="D760" i="12"/>
  <c r="C760" i="12"/>
  <c r="B760" i="12"/>
  <c r="A760" i="12"/>
  <c r="K759" i="12"/>
  <c r="J759" i="12"/>
  <c r="I759" i="12"/>
  <c r="H759" i="12"/>
  <c r="G759" i="12"/>
  <c r="F759" i="12"/>
  <c r="E759" i="12"/>
  <c r="N759" i="12" s="1"/>
  <c r="D759" i="12"/>
  <c r="C759" i="12"/>
  <c r="B759" i="12"/>
  <c r="A759" i="12"/>
  <c r="K758" i="12"/>
  <c r="J758" i="12"/>
  <c r="I758" i="12"/>
  <c r="H758" i="12"/>
  <c r="G758" i="12"/>
  <c r="F758" i="12"/>
  <c r="E758" i="12"/>
  <c r="N758" i="12" s="1"/>
  <c r="D758" i="12"/>
  <c r="C758" i="12"/>
  <c r="B758" i="12"/>
  <c r="A758" i="12"/>
  <c r="K757" i="12"/>
  <c r="J757" i="12"/>
  <c r="I757" i="12"/>
  <c r="H757" i="12"/>
  <c r="G757" i="12"/>
  <c r="F757" i="12"/>
  <c r="E757" i="12"/>
  <c r="N757" i="12" s="1"/>
  <c r="D757" i="12"/>
  <c r="C757" i="12"/>
  <c r="B757" i="12"/>
  <c r="A757" i="12"/>
  <c r="K756" i="12"/>
  <c r="J756" i="12"/>
  <c r="I756" i="12"/>
  <c r="H756" i="12"/>
  <c r="G756" i="12"/>
  <c r="F756" i="12"/>
  <c r="E756" i="12"/>
  <c r="N756" i="12" s="1"/>
  <c r="D756" i="12"/>
  <c r="C756" i="12"/>
  <c r="B756" i="12"/>
  <c r="A756" i="12"/>
  <c r="K755" i="12"/>
  <c r="J755" i="12"/>
  <c r="I755" i="12"/>
  <c r="H755" i="12"/>
  <c r="G755" i="12"/>
  <c r="F755" i="12"/>
  <c r="E755" i="12"/>
  <c r="N755" i="12" s="1"/>
  <c r="D755" i="12"/>
  <c r="C755" i="12"/>
  <c r="B755" i="12"/>
  <c r="A755" i="12"/>
  <c r="K754" i="12"/>
  <c r="J754" i="12"/>
  <c r="I754" i="12"/>
  <c r="H754" i="12"/>
  <c r="G754" i="12"/>
  <c r="F754" i="12"/>
  <c r="E754" i="12"/>
  <c r="N754" i="12" s="1"/>
  <c r="D754" i="12"/>
  <c r="C754" i="12"/>
  <c r="B754" i="12"/>
  <c r="A754" i="12"/>
  <c r="K753" i="12"/>
  <c r="J753" i="12"/>
  <c r="I753" i="12"/>
  <c r="H753" i="12"/>
  <c r="G753" i="12"/>
  <c r="F753" i="12"/>
  <c r="E753" i="12"/>
  <c r="N753" i="12" s="1"/>
  <c r="D753" i="12"/>
  <c r="C753" i="12"/>
  <c r="B753" i="12"/>
  <c r="A753" i="12"/>
  <c r="K752" i="12"/>
  <c r="J752" i="12"/>
  <c r="I752" i="12"/>
  <c r="H752" i="12"/>
  <c r="G752" i="12"/>
  <c r="F752" i="12"/>
  <c r="E752" i="12"/>
  <c r="N752" i="12" s="1"/>
  <c r="D752" i="12"/>
  <c r="C752" i="12"/>
  <c r="B752" i="12"/>
  <c r="A752" i="12"/>
  <c r="K751" i="12"/>
  <c r="J751" i="12"/>
  <c r="I751" i="12"/>
  <c r="H751" i="12"/>
  <c r="G751" i="12"/>
  <c r="F751" i="12"/>
  <c r="E751" i="12"/>
  <c r="N751" i="12" s="1"/>
  <c r="D751" i="12"/>
  <c r="C751" i="12"/>
  <c r="B751" i="12"/>
  <c r="A751" i="12"/>
  <c r="K750" i="12"/>
  <c r="J750" i="12"/>
  <c r="I750" i="12"/>
  <c r="H750" i="12"/>
  <c r="G750" i="12"/>
  <c r="F750" i="12"/>
  <c r="E750" i="12"/>
  <c r="N750" i="12" s="1"/>
  <c r="D750" i="12"/>
  <c r="C750" i="12"/>
  <c r="B750" i="12"/>
  <c r="A750" i="12"/>
  <c r="K749" i="12"/>
  <c r="J749" i="12"/>
  <c r="I749" i="12"/>
  <c r="H749" i="12"/>
  <c r="G749" i="12"/>
  <c r="F749" i="12"/>
  <c r="E749" i="12"/>
  <c r="N749" i="12" s="1"/>
  <c r="D749" i="12"/>
  <c r="C749" i="12"/>
  <c r="B749" i="12"/>
  <c r="A749" i="12"/>
  <c r="K748" i="12"/>
  <c r="J748" i="12"/>
  <c r="I748" i="12"/>
  <c r="H748" i="12"/>
  <c r="G748" i="12"/>
  <c r="F748" i="12"/>
  <c r="E748" i="12"/>
  <c r="N748" i="12" s="1"/>
  <c r="D748" i="12"/>
  <c r="C748" i="12"/>
  <c r="B748" i="12"/>
  <c r="A748" i="12"/>
  <c r="K747" i="12"/>
  <c r="J747" i="12"/>
  <c r="I747" i="12"/>
  <c r="H747" i="12"/>
  <c r="G747" i="12"/>
  <c r="F747" i="12"/>
  <c r="E747" i="12"/>
  <c r="N747" i="12" s="1"/>
  <c r="D747" i="12"/>
  <c r="C747" i="12"/>
  <c r="B747" i="12"/>
  <c r="A747" i="12"/>
  <c r="K746" i="12"/>
  <c r="J746" i="12"/>
  <c r="I746" i="12"/>
  <c r="H746" i="12"/>
  <c r="G746" i="12"/>
  <c r="F746" i="12"/>
  <c r="E746" i="12"/>
  <c r="N746" i="12" s="1"/>
  <c r="D746" i="12"/>
  <c r="C746" i="12"/>
  <c r="B746" i="12"/>
  <c r="A746" i="12"/>
  <c r="K745" i="12"/>
  <c r="J745" i="12"/>
  <c r="I745" i="12"/>
  <c r="H745" i="12"/>
  <c r="G745" i="12"/>
  <c r="F745" i="12"/>
  <c r="E745" i="12"/>
  <c r="N745" i="12" s="1"/>
  <c r="D745" i="12"/>
  <c r="C745" i="12"/>
  <c r="B745" i="12"/>
  <c r="A745" i="12"/>
  <c r="K744" i="12"/>
  <c r="J744" i="12"/>
  <c r="I744" i="12"/>
  <c r="H744" i="12"/>
  <c r="G744" i="12"/>
  <c r="F744" i="12"/>
  <c r="E744" i="12"/>
  <c r="N744" i="12" s="1"/>
  <c r="D744" i="12"/>
  <c r="C744" i="12"/>
  <c r="B744" i="12"/>
  <c r="A744" i="12"/>
  <c r="K743" i="12"/>
  <c r="J743" i="12"/>
  <c r="I743" i="12"/>
  <c r="H743" i="12"/>
  <c r="G743" i="12"/>
  <c r="F743" i="12"/>
  <c r="E743" i="12"/>
  <c r="N743" i="12" s="1"/>
  <c r="D743" i="12"/>
  <c r="C743" i="12"/>
  <c r="B743" i="12"/>
  <c r="A743" i="12"/>
  <c r="K742" i="12"/>
  <c r="J742" i="12"/>
  <c r="I742" i="12"/>
  <c r="H742" i="12"/>
  <c r="G742" i="12"/>
  <c r="F742" i="12"/>
  <c r="E742" i="12"/>
  <c r="N742" i="12" s="1"/>
  <c r="D742" i="12"/>
  <c r="C742" i="12"/>
  <c r="B742" i="12"/>
  <c r="A742" i="12"/>
  <c r="K741" i="12"/>
  <c r="J741" i="12"/>
  <c r="I741" i="12"/>
  <c r="H741" i="12"/>
  <c r="G741" i="12"/>
  <c r="F741" i="12"/>
  <c r="E741" i="12"/>
  <c r="N741" i="12" s="1"/>
  <c r="D741" i="12"/>
  <c r="C741" i="12"/>
  <c r="B741" i="12"/>
  <c r="A741" i="12"/>
  <c r="K740" i="12"/>
  <c r="J740" i="12"/>
  <c r="I740" i="12"/>
  <c r="H740" i="12"/>
  <c r="G740" i="12"/>
  <c r="F740" i="12"/>
  <c r="E740" i="12"/>
  <c r="N740" i="12" s="1"/>
  <c r="D740" i="12"/>
  <c r="C740" i="12"/>
  <c r="B740" i="12"/>
  <c r="A740" i="12"/>
  <c r="K739" i="12"/>
  <c r="J739" i="12"/>
  <c r="I739" i="12"/>
  <c r="H739" i="12"/>
  <c r="G739" i="12"/>
  <c r="F739" i="12"/>
  <c r="E739" i="12"/>
  <c r="N739" i="12" s="1"/>
  <c r="D739" i="12"/>
  <c r="C739" i="12"/>
  <c r="B739" i="12"/>
  <c r="A739" i="12"/>
  <c r="K738" i="12"/>
  <c r="J738" i="12"/>
  <c r="I738" i="12"/>
  <c r="H738" i="12"/>
  <c r="G738" i="12"/>
  <c r="F738" i="12"/>
  <c r="E738" i="12"/>
  <c r="N738" i="12" s="1"/>
  <c r="D738" i="12"/>
  <c r="C738" i="12"/>
  <c r="B738" i="12"/>
  <c r="A738" i="12"/>
  <c r="K737" i="12"/>
  <c r="J737" i="12"/>
  <c r="I737" i="12"/>
  <c r="H737" i="12"/>
  <c r="G737" i="12"/>
  <c r="F737" i="12"/>
  <c r="E737" i="12"/>
  <c r="N737" i="12" s="1"/>
  <c r="D737" i="12"/>
  <c r="C737" i="12"/>
  <c r="B737" i="12"/>
  <c r="A737" i="12"/>
  <c r="K736" i="12"/>
  <c r="J736" i="12"/>
  <c r="I736" i="12"/>
  <c r="H736" i="12"/>
  <c r="G736" i="12"/>
  <c r="F736" i="12"/>
  <c r="E736" i="12"/>
  <c r="N736" i="12" s="1"/>
  <c r="D736" i="12"/>
  <c r="C736" i="12"/>
  <c r="B736" i="12"/>
  <c r="A736" i="12"/>
  <c r="K735" i="12"/>
  <c r="J735" i="12"/>
  <c r="I735" i="12"/>
  <c r="H735" i="12"/>
  <c r="G735" i="12"/>
  <c r="F735" i="12"/>
  <c r="E735" i="12"/>
  <c r="N735" i="12" s="1"/>
  <c r="D735" i="12"/>
  <c r="C735" i="12"/>
  <c r="B735" i="12"/>
  <c r="A735" i="12"/>
  <c r="K734" i="12"/>
  <c r="J734" i="12"/>
  <c r="I734" i="12"/>
  <c r="H734" i="12"/>
  <c r="G734" i="12"/>
  <c r="F734" i="12"/>
  <c r="E734" i="12"/>
  <c r="N734" i="12" s="1"/>
  <c r="D734" i="12"/>
  <c r="C734" i="12"/>
  <c r="B734" i="12"/>
  <c r="A734" i="12"/>
  <c r="K733" i="12"/>
  <c r="J733" i="12"/>
  <c r="I733" i="12"/>
  <c r="H733" i="12"/>
  <c r="G733" i="12"/>
  <c r="F733" i="12"/>
  <c r="E733" i="12"/>
  <c r="N733" i="12" s="1"/>
  <c r="D733" i="12"/>
  <c r="C733" i="12"/>
  <c r="B733" i="12"/>
  <c r="A733" i="12"/>
  <c r="K732" i="12"/>
  <c r="J732" i="12"/>
  <c r="I732" i="12"/>
  <c r="H732" i="12"/>
  <c r="G732" i="12"/>
  <c r="F732" i="12"/>
  <c r="E732" i="12"/>
  <c r="N732" i="12" s="1"/>
  <c r="D732" i="12"/>
  <c r="C732" i="12"/>
  <c r="B732" i="12"/>
  <c r="A732" i="12"/>
  <c r="K731" i="12"/>
  <c r="J731" i="12"/>
  <c r="I731" i="12"/>
  <c r="H731" i="12"/>
  <c r="G731" i="12"/>
  <c r="F731" i="12"/>
  <c r="E731" i="12"/>
  <c r="N731" i="12" s="1"/>
  <c r="D731" i="12"/>
  <c r="C731" i="12"/>
  <c r="B731" i="12"/>
  <c r="A731" i="12"/>
  <c r="K730" i="12"/>
  <c r="J730" i="12"/>
  <c r="I730" i="12"/>
  <c r="H730" i="12"/>
  <c r="G730" i="12"/>
  <c r="F730" i="12"/>
  <c r="E730" i="12"/>
  <c r="N730" i="12" s="1"/>
  <c r="D730" i="12"/>
  <c r="C730" i="12"/>
  <c r="B730" i="12"/>
  <c r="A730" i="12"/>
  <c r="K729" i="12"/>
  <c r="J729" i="12"/>
  <c r="I729" i="12"/>
  <c r="H729" i="12"/>
  <c r="G729" i="12"/>
  <c r="F729" i="12"/>
  <c r="E729" i="12"/>
  <c r="N729" i="12" s="1"/>
  <c r="D729" i="12"/>
  <c r="C729" i="12"/>
  <c r="B729" i="12"/>
  <c r="A729" i="12"/>
  <c r="K728" i="12"/>
  <c r="J728" i="12"/>
  <c r="I728" i="12"/>
  <c r="H728" i="12"/>
  <c r="G728" i="12"/>
  <c r="F728" i="12"/>
  <c r="E728" i="12"/>
  <c r="N728" i="12" s="1"/>
  <c r="D728" i="12"/>
  <c r="C728" i="12"/>
  <c r="B728" i="12"/>
  <c r="A728" i="12"/>
  <c r="K727" i="12"/>
  <c r="J727" i="12"/>
  <c r="I727" i="12"/>
  <c r="H727" i="12"/>
  <c r="G727" i="12"/>
  <c r="F727" i="12"/>
  <c r="E727" i="12"/>
  <c r="N727" i="12" s="1"/>
  <c r="D727" i="12"/>
  <c r="C727" i="12"/>
  <c r="B727" i="12"/>
  <c r="AE6" i="12" s="1"/>
  <c r="A727" i="12"/>
  <c r="R726" i="12"/>
  <c r="P726" i="12"/>
  <c r="O726" i="12"/>
  <c r="K726" i="12"/>
  <c r="J726" i="12"/>
  <c r="I726" i="12"/>
  <c r="H726" i="12"/>
  <c r="G726" i="12"/>
  <c r="F726" i="12"/>
  <c r="E726" i="12"/>
  <c r="N726" i="12" s="1"/>
  <c r="D726" i="12"/>
  <c r="C726" i="12"/>
  <c r="B726" i="12"/>
  <c r="A726" i="12"/>
  <c r="K725" i="12"/>
  <c r="J725" i="12"/>
  <c r="I725" i="12"/>
  <c r="H725" i="12"/>
  <c r="G725" i="12"/>
  <c r="F725" i="12"/>
  <c r="E725" i="12"/>
  <c r="N725" i="12" s="1"/>
  <c r="D725" i="12"/>
  <c r="C725" i="12"/>
  <c r="B725" i="12"/>
  <c r="A725" i="12"/>
  <c r="K724" i="12"/>
  <c r="J724" i="12"/>
  <c r="I724" i="12"/>
  <c r="H724" i="12"/>
  <c r="G724" i="12"/>
  <c r="F724" i="12"/>
  <c r="E724" i="12"/>
  <c r="N724" i="12" s="1"/>
  <c r="D724" i="12"/>
  <c r="C724" i="12"/>
  <c r="B724" i="12"/>
  <c r="A724" i="12"/>
  <c r="K723" i="12"/>
  <c r="J723" i="12"/>
  <c r="I723" i="12"/>
  <c r="H723" i="12"/>
  <c r="G723" i="12"/>
  <c r="F723" i="12"/>
  <c r="E723" i="12"/>
  <c r="N723" i="12" s="1"/>
  <c r="D723" i="12"/>
  <c r="C723" i="12"/>
  <c r="B723" i="12"/>
  <c r="A723" i="12"/>
  <c r="K722" i="12"/>
  <c r="J722" i="12"/>
  <c r="I722" i="12"/>
  <c r="H722" i="12"/>
  <c r="G722" i="12"/>
  <c r="F722" i="12"/>
  <c r="E722" i="12"/>
  <c r="N722" i="12" s="1"/>
  <c r="D722" i="12"/>
  <c r="C722" i="12"/>
  <c r="B722" i="12"/>
  <c r="A722" i="12"/>
  <c r="K721" i="12"/>
  <c r="J721" i="12"/>
  <c r="I721" i="12"/>
  <c r="H721" i="12"/>
  <c r="G721" i="12"/>
  <c r="F721" i="12"/>
  <c r="E721" i="12"/>
  <c r="N721" i="12" s="1"/>
  <c r="D721" i="12"/>
  <c r="C721" i="12"/>
  <c r="B721" i="12"/>
  <c r="A721" i="12"/>
  <c r="K720" i="12"/>
  <c r="J720" i="12"/>
  <c r="I720" i="12"/>
  <c r="H720" i="12"/>
  <c r="G720" i="12"/>
  <c r="F720" i="12"/>
  <c r="E720" i="12"/>
  <c r="N720" i="12" s="1"/>
  <c r="D720" i="12"/>
  <c r="C720" i="12"/>
  <c r="B720" i="12"/>
  <c r="A720" i="12"/>
  <c r="K719" i="12"/>
  <c r="J719" i="12"/>
  <c r="I719" i="12"/>
  <c r="H719" i="12"/>
  <c r="G719" i="12"/>
  <c r="F719" i="12"/>
  <c r="E719" i="12"/>
  <c r="N719" i="12" s="1"/>
  <c r="D719" i="12"/>
  <c r="C719" i="12"/>
  <c r="B719" i="12"/>
  <c r="A719" i="12"/>
  <c r="K718" i="12"/>
  <c r="J718" i="12"/>
  <c r="I718" i="12"/>
  <c r="H718" i="12"/>
  <c r="G718" i="12"/>
  <c r="F718" i="12"/>
  <c r="E718" i="12"/>
  <c r="N718" i="12" s="1"/>
  <c r="D718" i="12"/>
  <c r="C718" i="12"/>
  <c r="B718" i="12"/>
  <c r="A718" i="12"/>
  <c r="K717" i="12"/>
  <c r="J717" i="12"/>
  <c r="I717" i="12"/>
  <c r="H717" i="12"/>
  <c r="G717" i="12"/>
  <c r="F717" i="12"/>
  <c r="E717" i="12"/>
  <c r="N717" i="12" s="1"/>
  <c r="D717" i="12"/>
  <c r="C717" i="12"/>
  <c r="B717" i="12"/>
  <c r="A717" i="12"/>
  <c r="K716" i="12"/>
  <c r="J716" i="12"/>
  <c r="I716" i="12"/>
  <c r="H716" i="12"/>
  <c r="G716" i="12"/>
  <c r="F716" i="12"/>
  <c r="E716" i="12"/>
  <c r="N716" i="12" s="1"/>
  <c r="D716" i="12"/>
  <c r="C716" i="12"/>
  <c r="B716" i="12"/>
  <c r="A716" i="12"/>
  <c r="K715" i="12"/>
  <c r="J715" i="12"/>
  <c r="I715" i="12"/>
  <c r="H715" i="12"/>
  <c r="G715" i="12"/>
  <c r="F715" i="12"/>
  <c r="E715" i="12"/>
  <c r="N715" i="12" s="1"/>
  <c r="D715" i="12"/>
  <c r="C715" i="12"/>
  <c r="B715" i="12"/>
  <c r="A715" i="12"/>
  <c r="K714" i="12"/>
  <c r="J714" i="12"/>
  <c r="I714" i="12"/>
  <c r="H714" i="12"/>
  <c r="G714" i="12"/>
  <c r="F714" i="12"/>
  <c r="E714" i="12"/>
  <c r="N714" i="12" s="1"/>
  <c r="D714" i="12"/>
  <c r="C714" i="12"/>
  <c r="B714" i="12"/>
  <c r="A714" i="12"/>
  <c r="K713" i="12"/>
  <c r="J713" i="12"/>
  <c r="I713" i="12"/>
  <c r="H713" i="12"/>
  <c r="G713" i="12"/>
  <c r="F713" i="12"/>
  <c r="E713" i="12"/>
  <c r="N713" i="12" s="1"/>
  <c r="D713" i="12"/>
  <c r="C713" i="12"/>
  <c r="B713" i="12"/>
  <c r="A713" i="12"/>
  <c r="K712" i="12"/>
  <c r="J712" i="12"/>
  <c r="I712" i="12"/>
  <c r="H712" i="12"/>
  <c r="G712" i="12"/>
  <c r="F712" i="12"/>
  <c r="E712" i="12"/>
  <c r="N712" i="12" s="1"/>
  <c r="D712" i="12"/>
  <c r="C712" i="12"/>
  <c r="B712" i="12"/>
  <c r="A712" i="12"/>
  <c r="K711" i="12"/>
  <c r="J711" i="12"/>
  <c r="I711" i="12"/>
  <c r="H711" i="12"/>
  <c r="G711" i="12"/>
  <c r="F711" i="12"/>
  <c r="E711" i="12"/>
  <c r="N711" i="12" s="1"/>
  <c r="D711" i="12"/>
  <c r="C711" i="12"/>
  <c r="B711" i="12"/>
  <c r="A711" i="12"/>
  <c r="K710" i="12"/>
  <c r="J710" i="12"/>
  <c r="I710" i="12"/>
  <c r="H710" i="12"/>
  <c r="G710" i="12"/>
  <c r="F710" i="12"/>
  <c r="E710" i="12"/>
  <c r="N710" i="12" s="1"/>
  <c r="D710" i="12"/>
  <c r="C710" i="12"/>
  <c r="B710" i="12"/>
  <c r="A710" i="12"/>
  <c r="K709" i="12"/>
  <c r="J709" i="12"/>
  <c r="I709" i="12"/>
  <c r="H709" i="12"/>
  <c r="G709" i="12"/>
  <c r="F709" i="12"/>
  <c r="E709" i="12"/>
  <c r="N709" i="12" s="1"/>
  <c r="D709" i="12"/>
  <c r="C709" i="12"/>
  <c r="B709" i="12"/>
  <c r="A709" i="12"/>
  <c r="K708" i="12"/>
  <c r="J708" i="12"/>
  <c r="I708" i="12"/>
  <c r="H708" i="12"/>
  <c r="G708" i="12"/>
  <c r="F708" i="12"/>
  <c r="E708" i="12"/>
  <c r="N708" i="12" s="1"/>
  <c r="D708" i="12"/>
  <c r="C708" i="12"/>
  <c r="B708" i="12"/>
  <c r="A708" i="12"/>
  <c r="K707" i="12"/>
  <c r="J707" i="12"/>
  <c r="I707" i="12"/>
  <c r="H707" i="12"/>
  <c r="G707" i="12"/>
  <c r="F707" i="12"/>
  <c r="E707" i="12"/>
  <c r="N707" i="12" s="1"/>
  <c r="D707" i="12"/>
  <c r="C707" i="12"/>
  <c r="B707" i="12"/>
  <c r="A707" i="12"/>
  <c r="K706" i="12"/>
  <c r="J706" i="12"/>
  <c r="I706" i="12"/>
  <c r="H706" i="12"/>
  <c r="G706" i="12"/>
  <c r="F706" i="12"/>
  <c r="E706" i="12"/>
  <c r="N706" i="12" s="1"/>
  <c r="D706" i="12"/>
  <c r="C706" i="12"/>
  <c r="B706" i="12"/>
  <c r="A706" i="12"/>
  <c r="K705" i="12"/>
  <c r="J705" i="12"/>
  <c r="I705" i="12"/>
  <c r="H705" i="12"/>
  <c r="G705" i="12"/>
  <c r="F705" i="12"/>
  <c r="E705" i="12"/>
  <c r="N705" i="12" s="1"/>
  <c r="D705" i="12"/>
  <c r="C705" i="12"/>
  <c r="B705" i="12"/>
  <c r="A705" i="12"/>
  <c r="K704" i="12"/>
  <c r="J704" i="12"/>
  <c r="I704" i="12"/>
  <c r="H704" i="12"/>
  <c r="G704" i="12"/>
  <c r="F704" i="12"/>
  <c r="E704" i="12"/>
  <c r="N704" i="12" s="1"/>
  <c r="D704" i="12"/>
  <c r="C704" i="12"/>
  <c r="B704" i="12"/>
  <c r="A704" i="12"/>
  <c r="K703" i="12"/>
  <c r="J703" i="12"/>
  <c r="I703" i="12"/>
  <c r="H703" i="12"/>
  <c r="G703" i="12"/>
  <c r="F703" i="12"/>
  <c r="E703" i="12"/>
  <c r="N703" i="12" s="1"/>
  <c r="D703" i="12"/>
  <c r="C703" i="12"/>
  <c r="B703" i="12"/>
  <c r="A703" i="12"/>
  <c r="K702" i="12"/>
  <c r="J702" i="12"/>
  <c r="I702" i="12"/>
  <c r="H702" i="12"/>
  <c r="G702" i="12"/>
  <c r="F702" i="12"/>
  <c r="E702" i="12"/>
  <c r="N702" i="12" s="1"/>
  <c r="D702" i="12"/>
  <c r="C702" i="12"/>
  <c r="B702" i="12"/>
  <c r="A702" i="12"/>
  <c r="K701" i="12"/>
  <c r="J701" i="12"/>
  <c r="I701" i="12"/>
  <c r="H701" i="12"/>
  <c r="G701" i="12"/>
  <c r="F701" i="12"/>
  <c r="E701" i="12"/>
  <c r="N701" i="12" s="1"/>
  <c r="D701" i="12"/>
  <c r="C701" i="12"/>
  <c r="B701" i="12"/>
  <c r="A701" i="12"/>
  <c r="K700" i="12"/>
  <c r="J700" i="12"/>
  <c r="I700" i="12"/>
  <c r="H700" i="12"/>
  <c r="G700" i="12"/>
  <c r="F700" i="12"/>
  <c r="E700" i="12"/>
  <c r="N700" i="12" s="1"/>
  <c r="D700" i="12"/>
  <c r="C700" i="12"/>
  <c r="B700" i="12"/>
  <c r="A700" i="12"/>
  <c r="K699" i="12"/>
  <c r="J699" i="12"/>
  <c r="I699" i="12"/>
  <c r="H699" i="12"/>
  <c r="G699" i="12"/>
  <c r="F699" i="12"/>
  <c r="E699" i="12"/>
  <c r="N699" i="12" s="1"/>
  <c r="D699" i="12"/>
  <c r="C699" i="12"/>
  <c r="B699" i="12"/>
  <c r="A699" i="12"/>
  <c r="K698" i="12"/>
  <c r="J698" i="12"/>
  <c r="I698" i="12"/>
  <c r="H698" i="12"/>
  <c r="G698" i="12"/>
  <c r="F698" i="12"/>
  <c r="E698" i="12"/>
  <c r="N698" i="12" s="1"/>
  <c r="D698" i="12"/>
  <c r="C698" i="12"/>
  <c r="B698" i="12"/>
  <c r="A698" i="12"/>
  <c r="K697" i="12"/>
  <c r="J697" i="12"/>
  <c r="I697" i="12"/>
  <c r="H697" i="12"/>
  <c r="G697" i="12"/>
  <c r="F697" i="12"/>
  <c r="E697" i="12"/>
  <c r="N697" i="12" s="1"/>
  <c r="D697" i="12"/>
  <c r="C697" i="12"/>
  <c r="B697" i="12"/>
  <c r="A697" i="12"/>
  <c r="K696" i="12"/>
  <c r="J696" i="12"/>
  <c r="I696" i="12"/>
  <c r="H696" i="12"/>
  <c r="G696" i="12"/>
  <c r="F696" i="12"/>
  <c r="E696" i="12"/>
  <c r="N696" i="12" s="1"/>
  <c r="D696" i="12"/>
  <c r="C696" i="12"/>
  <c r="B696" i="12"/>
  <c r="A696" i="12"/>
  <c r="K695" i="12"/>
  <c r="J695" i="12"/>
  <c r="I695" i="12"/>
  <c r="H695" i="12"/>
  <c r="G695" i="12"/>
  <c r="F695" i="12"/>
  <c r="E695" i="12"/>
  <c r="N695" i="12" s="1"/>
  <c r="D695" i="12"/>
  <c r="C695" i="12"/>
  <c r="B695" i="12"/>
  <c r="A695" i="12"/>
  <c r="K694" i="12"/>
  <c r="J694" i="12"/>
  <c r="I694" i="12"/>
  <c r="H694" i="12"/>
  <c r="G694" i="12"/>
  <c r="F694" i="12"/>
  <c r="E694" i="12"/>
  <c r="N694" i="12" s="1"/>
  <c r="D694" i="12"/>
  <c r="C694" i="12"/>
  <c r="B694" i="12"/>
  <c r="A694" i="12"/>
  <c r="K693" i="12"/>
  <c r="J693" i="12"/>
  <c r="I693" i="12"/>
  <c r="H693" i="12"/>
  <c r="G693" i="12"/>
  <c r="F693" i="12"/>
  <c r="E693" i="12"/>
  <c r="N693" i="12" s="1"/>
  <c r="D693" i="12"/>
  <c r="C693" i="12"/>
  <c r="B693" i="12"/>
  <c r="A693" i="12"/>
  <c r="K692" i="12"/>
  <c r="J692" i="12"/>
  <c r="I692" i="12"/>
  <c r="H692" i="12"/>
  <c r="G692" i="12"/>
  <c r="F692" i="12"/>
  <c r="E692" i="12"/>
  <c r="N692" i="12" s="1"/>
  <c r="D692" i="12"/>
  <c r="C692" i="12"/>
  <c r="B692" i="12"/>
  <c r="A692" i="12"/>
  <c r="K691" i="12"/>
  <c r="J691" i="12"/>
  <c r="I691" i="12"/>
  <c r="H691" i="12"/>
  <c r="G691" i="12"/>
  <c r="F691" i="12"/>
  <c r="E691" i="12"/>
  <c r="N691" i="12" s="1"/>
  <c r="D691" i="12"/>
  <c r="C691" i="12"/>
  <c r="B691" i="12"/>
  <c r="A691" i="12"/>
  <c r="K690" i="12"/>
  <c r="J690" i="12"/>
  <c r="I690" i="12"/>
  <c r="H690" i="12"/>
  <c r="G690" i="12"/>
  <c r="F690" i="12"/>
  <c r="E690" i="12"/>
  <c r="N690" i="12" s="1"/>
  <c r="D690" i="12"/>
  <c r="C690" i="12"/>
  <c r="B690" i="12"/>
  <c r="A690" i="12"/>
  <c r="K689" i="12"/>
  <c r="J689" i="12"/>
  <c r="I689" i="12"/>
  <c r="H689" i="12"/>
  <c r="G689" i="12"/>
  <c r="F689" i="12"/>
  <c r="E689" i="12"/>
  <c r="N689" i="12" s="1"/>
  <c r="D689" i="12"/>
  <c r="C689" i="12"/>
  <c r="B689" i="12"/>
  <c r="A689" i="12"/>
  <c r="K688" i="12"/>
  <c r="J688" i="12"/>
  <c r="I688" i="12"/>
  <c r="H688" i="12"/>
  <c r="G688" i="12"/>
  <c r="F688" i="12"/>
  <c r="E688" i="12"/>
  <c r="N688" i="12" s="1"/>
  <c r="D688" i="12"/>
  <c r="C688" i="12"/>
  <c r="B688" i="12"/>
  <c r="A688" i="12"/>
  <c r="K687" i="12"/>
  <c r="J687" i="12"/>
  <c r="I687" i="12"/>
  <c r="H687" i="12"/>
  <c r="G687" i="12"/>
  <c r="F687" i="12"/>
  <c r="E687" i="12"/>
  <c r="N687" i="12" s="1"/>
  <c r="D687" i="12"/>
  <c r="C687" i="12"/>
  <c r="B687" i="12"/>
  <c r="A687" i="12"/>
  <c r="K686" i="12"/>
  <c r="J686" i="12"/>
  <c r="I686" i="12"/>
  <c r="H686" i="12"/>
  <c r="G686" i="12"/>
  <c r="F686" i="12"/>
  <c r="E686" i="12"/>
  <c r="N686" i="12" s="1"/>
  <c r="D686" i="12"/>
  <c r="C686" i="12"/>
  <c r="B686" i="12"/>
  <c r="A686" i="12"/>
  <c r="K685" i="12"/>
  <c r="J685" i="12"/>
  <c r="I685" i="12"/>
  <c r="H685" i="12"/>
  <c r="G685" i="12"/>
  <c r="F685" i="12"/>
  <c r="E685" i="12"/>
  <c r="N685" i="12" s="1"/>
  <c r="D685" i="12"/>
  <c r="C685" i="12"/>
  <c r="B685" i="12"/>
  <c r="A685" i="12"/>
  <c r="K684" i="12"/>
  <c r="J684" i="12"/>
  <c r="I684" i="12"/>
  <c r="H684" i="12"/>
  <c r="G684" i="12"/>
  <c r="F684" i="12"/>
  <c r="E684" i="12"/>
  <c r="N684" i="12" s="1"/>
  <c r="D684" i="12"/>
  <c r="C684" i="12"/>
  <c r="B684" i="12"/>
  <c r="A684" i="12"/>
  <c r="K683" i="12"/>
  <c r="J683" i="12"/>
  <c r="I683" i="12"/>
  <c r="H683" i="12"/>
  <c r="G683" i="12"/>
  <c r="F683" i="12"/>
  <c r="E683" i="12"/>
  <c r="N683" i="12" s="1"/>
  <c r="D683" i="12"/>
  <c r="C683" i="12"/>
  <c r="B683" i="12"/>
  <c r="A683" i="12"/>
  <c r="K682" i="12"/>
  <c r="J682" i="12"/>
  <c r="I682" i="12"/>
  <c r="H682" i="12"/>
  <c r="G682" i="12"/>
  <c r="F682" i="12"/>
  <c r="E682" i="12"/>
  <c r="N682" i="12" s="1"/>
  <c r="D682" i="12"/>
  <c r="C682" i="12"/>
  <c r="B682" i="12"/>
  <c r="A682" i="12"/>
  <c r="K681" i="12"/>
  <c r="J681" i="12"/>
  <c r="I681" i="12"/>
  <c r="H681" i="12"/>
  <c r="G681" i="12"/>
  <c r="F681" i="12"/>
  <c r="E681" i="12"/>
  <c r="N681" i="12" s="1"/>
  <c r="D681" i="12"/>
  <c r="C681" i="12"/>
  <c r="B681" i="12"/>
  <c r="A681" i="12"/>
  <c r="K680" i="12"/>
  <c r="J680" i="12"/>
  <c r="I680" i="12"/>
  <c r="H680" i="12"/>
  <c r="G680" i="12"/>
  <c r="F680" i="12"/>
  <c r="E680" i="12"/>
  <c r="N680" i="12" s="1"/>
  <c r="D680" i="12"/>
  <c r="C680" i="12"/>
  <c r="B680" i="12"/>
  <c r="A680" i="12"/>
  <c r="K679" i="12"/>
  <c r="J679" i="12"/>
  <c r="I679" i="12"/>
  <c r="H679" i="12"/>
  <c r="G679" i="12"/>
  <c r="F679" i="12"/>
  <c r="E679" i="12"/>
  <c r="N679" i="12" s="1"/>
  <c r="D679" i="12"/>
  <c r="C679" i="12"/>
  <c r="B679" i="12"/>
  <c r="A679" i="12"/>
  <c r="K678" i="12"/>
  <c r="J678" i="12"/>
  <c r="I678" i="12"/>
  <c r="H678" i="12"/>
  <c r="G678" i="12"/>
  <c r="F678" i="12"/>
  <c r="E678" i="12"/>
  <c r="N678" i="12" s="1"/>
  <c r="D678" i="12"/>
  <c r="C678" i="12"/>
  <c r="B678" i="12"/>
  <c r="A678" i="12"/>
  <c r="K677" i="12"/>
  <c r="J677" i="12"/>
  <c r="I677" i="12"/>
  <c r="H677" i="12"/>
  <c r="G677" i="12"/>
  <c r="F677" i="12"/>
  <c r="E677" i="12"/>
  <c r="N677" i="12" s="1"/>
  <c r="D677" i="12"/>
  <c r="C677" i="12"/>
  <c r="B677" i="12"/>
  <c r="A677" i="12"/>
  <c r="K676" i="12"/>
  <c r="J676" i="12"/>
  <c r="I676" i="12"/>
  <c r="H676" i="12"/>
  <c r="G676" i="12"/>
  <c r="F676" i="12"/>
  <c r="E676" i="12"/>
  <c r="N676" i="12" s="1"/>
  <c r="D676" i="12"/>
  <c r="C676" i="12"/>
  <c r="B676" i="12"/>
  <c r="A676" i="12"/>
  <c r="K675" i="12"/>
  <c r="J675" i="12"/>
  <c r="I675" i="12"/>
  <c r="H675" i="12"/>
  <c r="G675" i="12"/>
  <c r="F675" i="12"/>
  <c r="E675" i="12"/>
  <c r="N675" i="12" s="1"/>
  <c r="D675" i="12"/>
  <c r="C675" i="12"/>
  <c r="B675" i="12"/>
  <c r="A675" i="12"/>
  <c r="K674" i="12"/>
  <c r="J674" i="12"/>
  <c r="I674" i="12"/>
  <c r="H674" i="12"/>
  <c r="G674" i="12"/>
  <c r="F674" i="12"/>
  <c r="E674" i="12"/>
  <c r="N674" i="12" s="1"/>
  <c r="D674" i="12"/>
  <c r="C674" i="12"/>
  <c r="B674" i="12"/>
  <c r="A674" i="12"/>
  <c r="K673" i="12"/>
  <c r="J673" i="12"/>
  <c r="I673" i="12"/>
  <c r="H673" i="12"/>
  <c r="G673" i="12"/>
  <c r="F673" i="12"/>
  <c r="E673" i="12"/>
  <c r="N673" i="12" s="1"/>
  <c r="D673" i="12"/>
  <c r="C673" i="12"/>
  <c r="B673" i="12"/>
  <c r="A673" i="12"/>
  <c r="K672" i="12"/>
  <c r="J672" i="12"/>
  <c r="I672" i="12"/>
  <c r="H672" i="12"/>
  <c r="G672" i="12"/>
  <c r="F672" i="12"/>
  <c r="E672" i="12"/>
  <c r="N672" i="12" s="1"/>
  <c r="D672" i="12"/>
  <c r="C672" i="12"/>
  <c r="B672" i="12"/>
  <c r="A672" i="12"/>
  <c r="K671" i="12"/>
  <c r="J671" i="12"/>
  <c r="I671" i="12"/>
  <c r="H671" i="12"/>
  <c r="G671" i="12"/>
  <c r="F671" i="12"/>
  <c r="E671" i="12"/>
  <c r="N671" i="12" s="1"/>
  <c r="D671" i="12"/>
  <c r="C671" i="12"/>
  <c r="B671" i="12"/>
  <c r="A671" i="12"/>
  <c r="K670" i="12"/>
  <c r="J670" i="12"/>
  <c r="I670" i="12"/>
  <c r="H670" i="12"/>
  <c r="G670" i="12"/>
  <c r="F670" i="12"/>
  <c r="E670" i="12"/>
  <c r="N670" i="12" s="1"/>
  <c r="D670" i="12"/>
  <c r="C670" i="12"/>
  <c r="B670" i="12"/>
  <c r="A670" i="12"/>
  <c r="K669" i="12"/>
  <c r="J669" i="12"/>
  <c r="I669" i="12"/>
  <c r="H669" i="12"/>
  <c r="G669" i="12"/>
  <c r="F669" i="12"/>
  <c r="E669" i="12"/>
  <c r="N669" i="12" s="1"/>
  <c r="D669" i="12"/>
  <c r="C669" i="12"/>
  <c r="B669" i="12"/>
  <c r="A669" i="12"/>
  <c r="K668" i="12"/>
  <c r="J668" i="12"/>
  <c r="I668" i="12"/>
  <c r="H668" i="12"/>
  <c r="G668" i="12"/>
  <c r="F668" i="12"/>
  <c r="E668" i="12"/>
  <c r="N668" i="12" s="1"/>
  <c r="D668" i="12"/>
  <c r="C668" i="12"/>
  <c r="B668" i="12"/>
  <c r="A668" i="12"/>
  <c r="K667" i="12"/>
  <c r="J667" i="12"/>
  <c r="I667" i="12"/>
  <c r="H667" i="12"/>
  <c r="G667" i="12"/>
  <c r="F667" i="12"/>
  <c r="E667" i="12"/>
  <c r="N667" i="12" s="1"/>
  <c r="D667" i="12"/>
  <c r="C667" i="12"/>
  <c r="B667" i="12"/>
  <c r="A667" i="12"/>
  <c r="K666" i="12"/>
  <c r="J666" i="12"/>
  <c r="I666" i="12"/>
  <c r="H666" i="12"/>
  <c r="G666" i="12"/>
  <c r="F666" i="12"/>
  <c r="E666" i="12"/>
  <c r="N666" i="12" s="1"/>
  <c r="D666" i="12"/>
  <c r="C666" i="12"/>
  <c r="B666" i="12"/>
  <c r="A666" i="12"/>
  <c r="K665" i="12"/>
  <c r="J665" i="12"/>
  <c r="I665" i="12"/>
  <c r="H665" i="12"/>
  <c r="G665" i="12"/>
  <c r="F665" i="12"/>
  <c r="E665" i="12"/>
  <c r="N665" i="12" s="1"/>
  <c r="D665" i="12"/>
  <c r="C665" i="12"/>
  <c r="B665" i="12"/>
  <c r="A665" i="12"/>
  <c r="K664" i="12"/>
  <c r="J664" i="12"/>
  <c r="I664" i="12"/>
  <c r="H664" i="12"/>
  <c r="G664" i="12"/>
  <c r="F664" i="12"/>
  <c r="E664" i="12"/>
  <c r="N664" i="12" s="1"/>
  <c r="D664" i="12"/>
  <c r="C664" i="12"/>
  <c r="B664" i="12"/>
  <c r="A664" i="12"/>
  <c r="K663" i="12"/>
  <c r="J663" i="12"/>
  <c r="I663" i="12"/>
  <c r="H663" i="12"/>
  <c r="G663" i="12"/>
  <c r="F663" i="12"/>
  <c r="E663" i="12"/>
  <c r="N663" i="12" s="1"/>
  <c r="D663" i="12"/>
  <c r="C663" i="12"/>
  <c r="B663" i="12"/>
  <c r="A663" i="12"/>
  <c r="S662" i="12"/>
  <c r="R662" i="12"/>
  <c r="P662" i="12"/>
  <c r="O662" i="12"/>
  <c r="N662" i="12"/>
  <c r="M662" i="12"/>
  <c r="Q662" i="12" s="1"/>
  <c r="L662" i="12"/>
  <c r="K662" i="12"/>
  <c r="J662" i="12"/>
  <c r="I662" i="12"/>
  <c r="H662" i="12"/>
  <c r="G662" i="12"/>
  <c r="F662" i="12"/>
  <c r="E662" i="12"/>
  <c r="D662" i="12"/>
  <c r="C662" i="12"/>
  <c r="B662" i="12"/>
  <c r="A662" i="12"/>
  <c r="K661" i="12"/>
  <c r="J661" i="12"/>
  <c r="I661" i="12"/>
  <c r="H661" i="12"/>
  <c r="G661" i="12"/>
  <c r="F661" i="12"/>
  <c r="E661" i="12"/>
  <c r="N661" i="12" s="1"/>
  <c r="D661" i="12"/>
  <c r="C661" i="12"/>
  <c r="B661" i="12"/>
  <c r="A661" i="12"/>
  <c r="K660" i="12"/>
  <c r="J660" i="12"/>
  <c r="I660" i="12"/>
  <c r="H660" i="12"/>
  <c r="G660" i="12"/>
  <c r="F660" i="12"/>
  <c r="E660" i="12"/>
  <c r="N660" i="12" s="1"/>
  <c r="D660" i="12"/>
  <c r="C660" i="12"/>
  <c r="B660" i="12"/>
  <c r="A660" i="12"/>
  <c r="K659" i="12"/>
  <c r="J659" i="12"/>
  <c r="I659" i="12"/>
  <c r="H659" i="12"/>
  <c r="G659" i="12"/>
  <c r="F659" i="12"/>
  <c r="E659" i="12"/>
  <c r="N659" i="12" s="1"/>
  <c r="D659" i="12"/>
  <c r="C659" i="12"/>
  <c r="B659" i="12"/>
  <c r="A659" i="12"/>
  <c r="K658" i="12"/>
  <c r="J658" i="12"/>
  <c r="I658" i="12"/>
  <c r="H658" i="12"/>
  <c r="G658" i="12"/>
  <c r="F658" i="12"/>
  <c r="E658" i="12"/>
  <c r="N658" i="12" s="1"/>
  <c r="D658" i="12"/>
  <c r="C658" i="12"/>
  <c r="B658" i="12"/>
  <c r="A658" i="12"/>
  <c r="K657" i="12"/>
  <c r="J657" i="12"/>
  <c r="I657" i="12"/>
  <c r="H657" i="12"/>
  <c r="G657" i="12"/>
  <c r="F657" i="12"/>
  <c r="E657" i="12"/>
  <c r="N657" i="12" s="1"/>
  <c r="D657" i="12"/>
  <c r="C657" i="12"/>
  <c r="B657" i="12"/>
  <c r="A657" i="12"/>
  <c r="K656" i="12"/>
  <c r="J656" i="12"/>
  <c r="I656" i="12"/>
  <c r="H656" i="12"/>
  <c r="G656" i="12"/>
  <c r="F656" i="12"/>
  <c r="E656" i="12"/>
  <c r="N656" i="12" s="1"/>
  <c r="D656" i="12"/>
  <c r="C656" i="12"/>
  <c r="B656" i="12"/>
  <c r="A656" i="12"/>
  <c r="K655" i="12"/>
  <c r="J655" i="12"/>
  <c r="I655" i="12"/>
  <c r="H655" i="12"/>
  <c r="G655" i="12"/>
  <c r="F655" i="12"/>
  <c r="E655" i="12"/>
  <c r="N655" i="12" s="1"/>
  <c r="D655" i="12"/>
  <c r="C655" i="12"/>
  <c r="B655" i="12"/>
  <c r="A655" i="12"/>
  <c r="K654" i="12"/>
  <c r="J654" i="12"/>
  <c r="I654" i="12"/>
  <c r="H654" i="12"/>
  <c r="G654" i="12"/>
  <c r="F654" i="12"/>
  <c r="E654" i="12"/>
  <c r="N654" i="12" s="1"/>
  <c r="D654" i="12"/>
  <c r="C654" i="12"/>
  <c r="B654" i="12"/>
  <c r="A654" i="12"/>
  <c r="K653" i="12"/>
  <c r="J653" i="12"/>
  <c r="I653" i="12"/>
  <c r="H653" i="12"/>
  <c r="G653" i="12"/>
  <c r="F653" i="12"/>
  <c r="E653" i="12"/>
  <c r="N653" i="12" s="1"/>
  <c r="D653" i="12"/>
  <c r="C653" i="12"/>
  <c r="B653" i="12"/>
  <c r="A653" i="12"/>
  <c r="K652" i="12"/>
  <c r="J652" i="12"/>
  <c r="I652" i="12"/>
  <c r="H652" i="12"/>
  <c r="G652" i="12"/>
  <c r="F652" i="12"/>
  <c r="E652" i="12"/>
  <c r="N652" i="12" s="1"/>
  <c r="D652" i="12"/>
  <c r="C652" i="12"/>
  <c r="B652" i="12"/>
  <c r="A652" i="12"/>
  <c r="K651" i="12"/>
  <c r="J651" i="12"/>
  <c r="I651" i="12"/>
  <c r="H651" i="12"/>
  <c r="G651" i="12"/>
  <c r="F651" i="12"/>
  <c r="E651" i="12"/>
  <c r="N651" i="12" s="1"/>
  <c r="D651" i="12"/>
  <c r="C651" i="12"/>
  <c r="B651" i="12"/>
  <c r="A651" i="12"/>
  <c r="K650" i="12"/>
  <c r="J650" i="12"/>
  <c r="I650" i="12"/>
  <c r="H650" i="12"/>
  <c r="G650" i="12"/>
  <c r="F650" i="12"/>
  <c r="E650" i="12"/>
  <c r="N650" i="12" s="1"/>
  <c r="D650" i="12"/>
  <c r="C650" i="12"/>
  <c r="B650" i="12"/>
  <c r="A650" i="12"/>
  <c r="K649" i="12"/>
  <c r="J649" i="12"/>
  <c r="I649" i="12"/>
  <c r="H649" i="12"/>
  <c r="G649" i="12"/>
  <c r="F649" i="12"/>
  <c r="E649" i="12"/>
  <c r="N649" i="12" s="1"/>
  <c r="D649" i="12"/>
  <c r="C649" i="12"/>
  <c r="B649" i="12"/>
  <c r="A649" i="12"/>
  <c r="K648" i="12"/>
  <c r="J648" i="12"/>
  <c r="I648" i="12"/>
  <c r="H648" i="12"/>
  <c r="G648" i="12"/>
  <c r="F648" i="12"/>
  <c r="E648" i="12"/>
  <c r="N648" i="12" s="1"/>
  <c r="D648" i="12"/>
  <c r="C648" i="12"/>
  <c r="B648" i="12"/>
  <c r="A648" i="12"/>
  <c r="K647" i="12"/>
  <c r="J647" i="12"/>
  <c r="I647" i="12"/>
  <c r="H647" i="12"/>
  <c r="G647" i="12"/>
  <c r="F647" i="12"/>
  <c r="E647" i="12"/>
  <c r="N647" i="12" s="1"/>
  <c r="D647" i="12"/>
  <c r="C647" i="12"/>
  <c r="B647" i="12"/>
  <c r="A647" i="12"/>
  <c r="K646" i="12"/>
  <c r="J646" i="12"/>
  <c r="I646" i="12"/>
  <c r="H646" i="12"/>
  <c r="G646" i="12"/>
  <c r="F646" i="12"/>
  <c r="E646" i="12"/>
  <c r="N646" i="12" s="1"/>
  <c r="D646" i="12"/>
  <c r="C646" i="12"/>
  <c r="B646" i="12"/>
  <c r="A646" i="12"/>
  <c r="K645" i="12"/>
  <c r="J645" i="12"/>
  <c r="I645" i="12"/>
  <c r="H645" i="12"/>
  <c r="G645" i="12"/>
  <c r="F645" i="12"/>
  <c r="E645" i="12"/>
  <c r="N645" i="12" s="1"/>
  <c r="D645" i="12"/>
  <c r="C645" i="12"/>
  <c r="B645" i="12"/>
  <c r="A645" i="12"/>
  <c r="K644" i="12"/>
  <c r="J644" i="12"/>
  <c r="I644" i="12"/>
  <c r="H644" i="12"/>
  <c r="G644" i="12"/>
  <c r="F644" i="12"/>
  <c r="E644" i="12"/>
  <c r="N644" i="12" s="1"/>
  <c r="D644" i="12"/>
  <c r="C644" i="12"/>
  <c r="B644" i="12"/>
  <c r="A644" i="12"/>
  <c r="K643" i="12"/>
  <c r="J643" i="12"/>
  <c r="I643" i="12"/>
  <c r="H643" i="12"/>
  <c r="G643" i="12"/>
  <c r="F643" i="12"/>
  <c r="E643" i="12"/>
  <c r="N643" i="12" s="1"/>
  <c r="D643" i="12"/>
  <c r="C643" i="12"/>
  <c r="B643" i="12"/>
  <c r="A643" i="12"/>
  <c r="K642" i="12"/>
  <c r="J642" i="12"/>
  <c r="I642" i="12"/>
  <c r="H642" i="12"/>
  <c r="G642" i="12"/>
  <c r="F642" i="12"/>
  <c r="E642" i="12"/>
  <c r="N642" i="12" s="1"/>
  <c r="D642" i="12"/>
  <c r="C642" i="12"/>
  <c r="B642" i="12"/>
  <c r="A642" i="12"/>
  <c r="K641" i="12"/>
  <c r="J641" i="12"/>
  <c r="I641" i="12"/>
  <c r="H641" i="12"/>
  <c r="G641" i="12"/>
  <c r="F641" i="12"/>
  <c r="E641" i="12"/>
  <c r="N641" i="12" s="1"/>
  <c r="D641" i="12"/>
  <c r="C641" i="12"/>
  <c r="B641" i="12"/>
  <c r="A641" i="12"/>
  <c r="K640" i="12"/>
  <c r="J640" i="12"/>
  <c r="I640" i="12"/>
  <c r="H640" i="12"/>
  <c r="G640" i="12"/>
  <c r="F640" i="12"/>
  <c r="E640" i="12"/>
  <c r="N640" i="12" s="1"/>
  <c r="D640" i="12"/>
  <c r="C640" i="12"/>
  <c r="B640" i="12"/>
  <c r="A640" i="12"/>
  <c r="K639" i="12"/>
  <c r="J639" i="12"/>
  <c r="I639" i="12"/>
  <c r="H639" i="12"/>
  <c r="G639" i="12"/>
  <c r="F639" i="12"/>
  <c r="E639" i="12"/>
  <c r="N639" i="12" s="1"/>
  <c r="D639" i="12"/>
  <c r="C639" i="12"/>
  <c r="B639" i="12"/>
  <c r="A639" i="12"/>
  <c r="K638" i="12"/>
  <c r="J638" i="12"/>
  <c r="I638" i="12"/>
  <c r="H638" i="12"/>
  <c r="G638" i="12"/>
  <c r="F638" i="12"/>
  <c r="E638" i="12"/>
  <c r="N638" i="12" s="1"/>
  <c r="D638" i="12"/>
  <c r="C638" i="12"/>
  <c r="B638" i="12"/>
  <c r="A638" i="12"/>
  <c r="K637" i="12"/>
  <c r="J637" i="12"/>
  <c r="I637" i="12"/>
  <c r="H637" i="12"/>
  <c r="G637" i="12"/>
  <c r="F637" i="12"/>
  <c r="E637" i="12"/>
  <c r="N637" i="12" s="1"/>
  <c r="D637" i="12"/>
  <c r="C637" i="12"/>
  <c r="B637" i="12"/>
  <c r="A637" i="12"/>
  <c r="K636" i="12"/>
  <c r="J636" i="12"/>
  <c r="I636" i="12"/>
  <c r="H636" i="12"/>
  <c r="G636" i="12"/>
  <c r="F636" i="12"/>
  <c r="E636" i="12"/>
  <c r="N636" i="12" s="1"/>
  <c r="D636" i="12"/>
  <c r="C636" i="12"/>
  <c r="B636" i="12"/>
  <c r="A636" i="12"/>
  <c r="K635" i="12"/>
  <c r="J635" i="12"/>
  <c r="I635" i="12"/>
  <c r="H635" i="12"/>
  <c r="G635" i="12"/>
  <c r="F635" i="12"/>
  <c r="E635" i="12"/>
  <c r="N635" i="12" s="1"/>
  <c r="D635" i="12"/>
  <c r="C635" i="12"/>
  <c r="B635" i="12"/>
  <c r="A635" i="12"/>
  <c r="K634" i="12"/>
  <c r="J634" i="12"/>
  <c r="I634" i="12"/>
  <c r="H634" i="12"/>
  <c r="G634" i="12"/>
  <c r="F634" i="12"/>
  <c r="E634" i="12"/>
  <c r="N634" i="12" s="1"/>
  <c r="D634" i="12"/>
  <c r="C634" i="12"/>
  <c r="B634" i="12"/>
  <c r="A634" i="12"/>
  <c r="K633" i="12"/>
  <c r="J633" i="12"/>
  <c r="I633" i="12"/>
  <c r="H633" i="12"/>
  <c r="G633" i="12"/>
  <c r="F633" i="12"/>
  <c r="E633" i="12"/>
  <c r="N633" i="12" s="1"/>
  <c r="D633" i="12"/>
  <c r="C633" i="12"/>
  <c r="B633" i="12"/>
  <c r="A633" i="12"/>
  <c r="K632" i="12"/>
  <c r="J632" i="12"/>
  <c r="I632" i="12"/>
  <c r="H632" i="12"/>
  <c r="G632" i="12"/>
  <c r="F632" i="12"/>
  <c r="E632" i="12"/>
  <c r="N632" i="12" s="1"/>
  <c r="D632" i="12"/>
  <c r="C632" i="12"/>
  <c r="B632" i="12"/>
  <c r="A632" i="12"/>
  <c r="K631" i="12"/>
  <c r="J631" i="12"/>
  <c r="I631" i="12"/>
  <c r="H631" i="12"/>
  <c r="G631" i="12"/>
  <c r="F631" i="12"/>
  <c r="E631" i="12"/>
  <c r="N631" i="12" s="1"/>
  <c r="D631" i="12"/>
  <c r="C631" i="12"/>
  <c r="B631" i="12"/>
  <c r="A631" i="12"/>
  <c r="K630" i="12"/>
  <c r="J630" i="12"/>
  <c r="I630" i="12"/>
  <c r="H630" i="12"/>
  <c r="G630" i="12"/>
  <c r="F630" i="12"/>
  <c r="E630" i="12"/>
  <c r="N630" i="12" s="1"/>
  <c r="D630" i="12"/>
  <c r="C630" i="12"/>
  <c r="B630" i="12"/>
  <c r="A630" i="12"/>
  <c r="K629" i="12"/>
  <c r="J629" i="12"/>
  <c r="I629" i="12"/>
  <c r="H629" i="12"/>
  <c r="G629" i="12"/>
  <c r="F629" i="12"/>
  <c r="E629" i="12"/>
  <c r="N629" i="12" s="1"/>
  <c r="D629" i="12"/>
  <c r="C629" i="12"/>
  <c r="B629" i="12"/>
  <c r="A629" i="12"/>
  <c r="K628" i="12"/>
  <c r="J628" i="12"/>
  <c r="I628" i="12"/>
  <c r="H628" i="12"/>
  <c r="G628" i="12"/>
  <c r="F628" i="12"/>
  <c r="E628" i="12"/>
  <c r="N628" i="12" s="1"/>
  <c r="D628" i="12"/>
  <c r="C628" i="12"/>
  <c r="B628" i="12"/>
  <c r="A628" i="12"/>
  <c r="K627" i="12"/>
  <c r="J627" i="12"/>
  <c r="I627" i="12"/>
  <c r="H627" i="12"/>
  <c r="G627" i="12"/>
  <c r="F627" i="12"/>
  <c r="E627" i="12"/>
  <c r="N627" i="12" s="1"/>
  <c r="D627" i="12"/>
  <c r="C627" i="12"/>
  <c r="B627" i="12"/>
  <c r="A627" i="12"/>
  <c r="K626" i="12"/>
  <c r="J626" i="12"/>
  <c r="I626" i="12"/>
  <c r="H626" i="12"/>
  <c r="G626" i="12"/>
  <c r="F626" i="12"/>
  <c r="E626" i="12"/>
  <c r="N626" i="12" s="1"/>
  <c r="D626" i="12"/>
  <c r="C626" i="12"/>
  <c r="B626" i="12"/>
  <c r="A626" i="12"/>
  <c r="K625" i="12"/>
  <c r="J625" i="12"/>
  <c r="I625" i="12"/>
  <c r="H625" i="12"/>
  <c r="G625" i="12"/>
  <c r="F625" i="12"/>
  <c r="E625" i="12"/>
  <c r="N625" i="12" s="1"/>
  <c r="D625" i="12"/>
  <c r="C625" i="12"/>
  <c r="B625" i="12"/>
  <c r="A625" i="12"/>
  <c r="K624" i="12"/>
  <c r="J624" i="12"/>
  <c r="I624" i="12"/>
  <c r="H624" i="12"/>
  <c r="G624" i="12"/>
  <c r="F624" i="12"/>
  <c r="E624" i="12"/>
  <c r="N624" i="12" s="1"/>
  <c r="D624" i="12"/>
  <c r="C624" i="12"/>
  <c r="B624" i="12"/>
  <c r="A624" i="12"/>
  <c r="K623" i="12"/>
  <c r="J623" i="12"/>
  <c r="I623" i="12"/>
  <c r="H623" i="12"/>
  <c r="G623" i="12"/>
  <c r="F623" i="12"/>
  <c r="E623" i="12"/>
  <c r="N623" i="12" s="1"/>
  <c r="D623" i="12"/>
  <c r="C623" i="12"/>
  <c r="B623" i="12"/>
  <c r="A623" i="12"/>
  <c r="K622" i="12"/>
  <c r="J622" i="12"/>
  <c r="I622" i="12"/>
  <c r="H622" i="12"/>
  <c r="G622" i="12"/>
  <c r="F622" i="12"/>
  <c r="E622" i="12"/>
  <c r="N622" i="12" s="1"/>
  <c r="D622" i="12"/>
  <c r="C622" i="12"/>
  <c r="B622" i="12"/>
  <c r="A622" i="12"/>
  <c r="K621" i="12"/>
  <c r="J621" i="12"/>
  <c r="I621" i="12"/>
  <c r="H621" i="12"/>
  <c r="G621" i="12"/>
  <c r="F621" i="12"/>
  <c r="E621" i="12"/>
  <c r="N621" i="12" s="1"/>
  <c r="D621" i="12"/>
  <c r="C621" i="12"/>
  <c r="B621" i="12"/>
  <c r="A621" i="12"/>
  <c r="K620" i="12"/>
  <c r="J620" i="12"/>
  <c r="I620" i="12"/>
  <c r="H620" i="12"/>
  <c r="G620" i="12"/>
  <c r="F620" i="12"/>
  <c r="E620" i="12"/>
  <c r="N620" i="12" s="1"/>
  <c r="D620" i="12"/>
  <c r="C620" i="12"/>
  <c r="B620" i="12"/>
  <c r="A620" i="12"/>
  <c r="K619" i="12"/>
  <c r="J619" i="12"/>
  <c r="I619" i="12"/>
  <c r="H619" i="12"/>
  <c r="G619" i="12"/>
  <c r="F619" i="12"/>
  <c r="E619" i="12"/>
  <c r="N619" i="12" s="1"/>
  <c r="D619" i="12"/>
  <c r="C619" i="12"/>
  <c r="B619" i="12"/>
  <c r="A619" i="12"/>
  <c r="K618" i="12"/>
  <c r="J618" i="12"/>
  <c r="I618" i="12"/>
  <c r="H618" i="12"/>
  <c r="G618" i="12"/>
  <c r="F618" i="12"/>
  <c r="E618" i="12"/>
  <c r="N618" i="12" s="1"/>
  <c r="D618" i="12"/>
  <c r="C618" i="12"/>
  <c r="B618" i="12"/>
  <c r="A618" i="12"/>
  <c r="K617" i="12"/>
  <c r="J617" i="12"/>
  <c r="I617" i="12"/>
  <c r="H617" i="12"/>
  <c r="G617" i="12"/>
  <c r="F617" i="12"/>
  <c r="E617" i="12"/>
  <c r="N617" i="12" s="1"/>
  <c r="D617" i="12"/>
  <c r="C617" i="12"/>
  <c r="B617" i="12"/>
  <c r="A617" i="12"/>
  <c r="K616" i="12"/>
  <c r="J616" i="12"/>
  <c r="I616" i="12"/>
  <c r="H616" i="12"/>
  <c r="G616" i="12"/>
  <c r="F616" i="12"/>
  <c r="E616" i="12"/>
  <c r="N616" i="12" s="1"/>
  <c r="D616" i="12"/>
  <c r="C616" i="12"/>
  <c r="B616" i="12"/>
  <c r="A616" i="12"/>
  <c r="K615" i="12"/>
  <c r="J615" i="12"/>
  <c r="I615" i="12"/>
  <c r="H615" i="12"/>
  <c r="G615" i="12"/>
  <c r="F615" i="12"/>
  <c r="E615" i="12"/>
  <c r="N615" i="12" s="1"/>
  <c r="D615" i="12"/>
  <c r="C615" i="12"/>
  <c r="B615" i="12"/>
  <c r="A615" i="12"/>
  <c r="K614" i="12"/>
  <c r="J614" i="12"/>
  <c r="I614" i="12"/>
  <c r="H614" i="12"/>
  <c r="G614" i="12"/>
  <c r="F614" i="12"/>
  <c r="E614" i="12"/>
  <c r="N614" i="12" s="1"/>
  <c r="D614" i="12"/>
  <c r="C614" i="12"/>
  <c r="B614" i="12"/>
  <c r="A614" i="12"/>
  <c r="K613" i="12"/>
  <c r="J613" i="12"/>
  <c r="I613" i="12"/>
  <c r="H613" i="12"/>
  <c r="G613" i="12"/>
  <c r="F613" i="12"/>
  <c r="E613" i="12"/>
  <c r="N613" i="12" s="1"/>
  <c r="D613" i="12"/>
  <c r="C613" i="12"/>
  <c r="B613" i="12"/>
  <c r="A613" i="12"/>
  <c r="K612" i="12"/>
  <c r="J612" i="12"/>
  <c r="I612" i="12"/>
  <c r="H612" i="12"/>
  <c r="G612" i="12"/>
  <c r="F612" i="12"/>
  <c r="E612" i="12"/>
  <c r="N612" i="12" s="1"/>
  <c r="D612" i="12"/>
  <c r="C612" i="12"/>
  <c r="B612" i="12"/>
  <c r="A612" i="12"/>
  <c r="K611" i="12"/>
  <c r="J611" i="12"/>
  <c r="I611" i="12"/>
  <c r="H611" i="12"/>
  <c r="G611" i="12"/>
  <c r="F611" i="12"/>
  <c r="E611" i="12"/>
  <c r="N611" i="12" s="1"/>
  <c r="D611" i="12"/>
  <c r="C611" i="12"/>
  <c r="B611" i="12"/>
  <c r="A611" i="12"/>
  <c r="K610" i="12"/>
  <c r="J610" i="12"/>
  <c r="I610" i="12"/>
  <c r="H610" i="12"/>
  <c r="G610" i="12"/>
  <c r="F610" i="12"/>
  <c r="E610" i="12"/>
  <c r="N610" i="12" s="1"/>
  <c r="D610" i="12"/>
  <c r="C610" i="12"/>
  <c r="B610" i="12"/>
  <c r="A610" i="12"/>
  <c r="K609" i="12"/>
  <c r="J609" i="12"/>
  <c r="I609" i="12"/>
  <c r="H609" i="12"/>
  <c r="G609" i="12"/>
  <c r="F609" i="12"/>
  <c r="E609" i="12"/>
  <c r="N609" i="12" s="1"/>
  <c r="D609" i="12"/>
  <c r="C609" i="12"/>
  <c r="B609" i="12"/>
  <c r="A609" i="12"/>
  <c r="K608" i="12"/>
  <c r="J608" i="12"/>
  <c r="I608" i="12"/>
  <c r="H608" i="12"/>
  <c r="G608" i="12"/>
  <c r="F608" i="12"/>
  <c r="E608" i="12"/>
  <c r="N608" i="12" s="1"/>
  <c r="D608" i="12"/>
  <c r="C608" i="12"/>
  <c r="B608" i="12"/>
  <c r="A608" i="12"/>
  <c r="K607" i="12"/>
  <c r="J607" i="12"/>
  <c r="I607" i="12"/>
  <c r="H607" i="12"/>
  <c r="G607" i="12"/>
  <c r="F607" i="12"/>
  <c r="E607" i="12"/>
  <c r="N607" i="12" s="1"/>
  <c r="D607" i="12"/>
  <c r="C607" i="12"/>
  <c r="B607" i="12"/>
  <c r="A607" i="12"/>
  <c r="K606" i="12"/>
  <c r="J606" i="12"/>
  <c r="I606" i="12"/>
  <c r="H606" i="12"/>
  <c r="G606" i="12"/>
  <c r="F606" i="12"/>
  <c r="E606" i="12"/>
  <c r="N606" i="12" s="1"/>
  <c r="D606" i="12"/>
  <c r="C606" i="12"/>
  <c r="B606" i="12"/>
  <c r="A606" i="12"/>
  <c r="K605" i="12"/>
  <c r="J605" i="12"/>
  <c r="I605" i="12"/>
  <c r="H605" i="12"/>
  <c r="G605" i="12"/>
  <c r="F605" i="12"/>
  <c r="E605" i="12"/>
  <c r="N605" i="12" s="1"/>
  <c r="D605" i="12"/>
  <c r="C605" i="12"/>
  <c r="B605" i="12"/>
  <c r="A605" i="12"/>
  <c r="K604" i="12"/>
  <c r="J604" i="12"/>
  <c r="I604" i="12"/>
  <c r="H604" i="12"/>
  <c r="G604" i="12"/>
  <c r="F604" i="12"/>
  <c r="E604" i="12"/>
  <c r="N604" i="12" s="1"/>
  <c r="D604" i="12"/>
  <c r="C604" i="12"/>
  <c r="B604" i="12"/>
  <c r="A604" i="12"/>
  <c r="K603" i="12"/>
  <c r="J603" i="12"/>
  <c r="I603" i="12"/>
  <c r="H603" i="12"/>
  <c r="G603" i="12"/>
  <c r="F603" i="12"/>
  <c r="E603" i="12"/>
  <c r="N603" i="12" s="1"/>
  <c r="D603" i="12"/>
  <c r="C603" i="12"/>
  <c r="B603" i="12"/>
  <c r="A603" i="12"/>
  <c r="K602" i="12"/>
  <c r="J602" i="12"/>
  <c r="I602" i="12"/>
  <c r="H602" i="12"/>
  <c r="G602" i="12"/>
  <c r="F602" i="12"/>
  <c r="E602" i="12"/>
  <c r="N602" i="12" s="1"/>
  <c r="D602" i="12"/>
  <c r="C602" i="12"/>
  <c r="B602" i="12"/>
  <c r="A602" i="12"/>
  <c r="K601" i="12"/>
  <c r="J601" i="12"/>
  <c r="I601" i="12"/>
  <c r="H601" i="12"/>
  <c r="G601" i="12"/>
  <c r="F601" i="12"/>
  <c r="E601" i="12"/>
  <c r="N601" i="12" s="1"/>
  <c r="D601" i="12"/>
  <c r="C601" i="12"/>
  <c r="B601" i="12"/>
  <c r="A601" i="12"/>
  <c r="K600" i="12"/>
  <c r="J600" i="12"/>
  <c r="I600" i="12"/>
  <c r="H600" i="12"/>
  <c r="G600" i="12"/>
  <c r="F600" i="12"/>
  <c r="E600" i="12"/>
  <c r="N600" i="12" s="1"/>
  <c r="D600" i="12"/>
  <c r="C600" i="12"/>
  <c r="B600" i="12"/>
  <c r="A600" i="12"/>
  <c r="K599" i="12"/>
  <c r="J599" i="12"/>
  <c r="I599" i="12"/>
  <c r="H599" i="12"/>
  <c r="G599" i="12"/>
  <c r="F599" i="12"/>
  <c r="E599" i="12"/>
  <c r="N599" i="12" s="1"/>
  <c r="D599" i="12"/>
  <c r="C599" i="12"/>
  <c r="B599" i="12"/>
  <c r="A599" i="12"/>
  <c r="S598" i="12"/>
  <c r="R598" i="12"/>
  <c r="P598" i="12"/>
  <c r="O598" i="12"/>
  <c r="N598" i="12"/>
  <c r="M598" i="12"/>
  <c r="Q598" i="12" s="1"/>
  <c r="L598" i="12"/>
  <c r="K598" i="12"/>
  <c r="J598" i="12"/>
  <c r="I598" i="12"/>
  <c r="H598" i="12"/>
  <c r="G598" i="12"/>
  <c r="F598" i="12"/>
  <c r="E598" i="12"/>
  <c r="D598" i="12"/>
  <c r="C598" i="12"/>
  <c r="B598" i="12"/>
  <c r="A598" i="12"/>
  <c r="K597" i="12"/>
  <c r="J597" i="12"/>
  <c r="I597" i="12"/>
  <c r="H597" i="12"/>
  <c r="G597" i="12"/>
  <c r="F597" i="12"/>
  <c r="E597" i="12"/>
  <c r="N597" i="12" s="1"/>
  <c r="D597" i="12"/>
  <c r="C597" i="12"/>
  <c r="B597" i="12"/>
  <c r="A597" i="12"/>
  <c r="K596" i="12"/>
  <c r="J596" i="12"/>
  <c r="I596" i="12"/>
  <c r="H596" i="12"/>
  <c r="G596" i="12"/>
  <c r="F596" i="12"/>
  <c r="E596" i="12"/>
  <c r="N596" i="12" s="1"/>
  <c r="D596" i="12"/>
  <c r="C596" i="12"/>
  <c r="B596" i="12"/>
  <c r="A596" i="12"/>
  <c r="K595" i="12"/>
  <c r="J595" i="12"/>
  <c r="I595" i="12"/>
  <c r="H595" i="12"/>
  <c r="G595" i="12"/>
  <c r="F595" i="12"/>
  <c r="E595" i="12"/>
  <c r="N595" i="12" s="1"/>
  <c r="D595" i="12"/>
  <c r="C595" i="12"/>
  <c r="B595" i="12"/>
  <c r="A595" i="12"/>
  <c r="K594" i="12"/>
  <c r="J594" i="12"/>
  <c r="I594" i="12"/>
  <c r="H594" i="12"/>
  <c r="G594" i="12"/>
  <c r="F594" i="12"/>
  <c r="E594" i="12"/>
  <c r="N594" i="12" s="1"/>
  <c r="D594" i="12"/>
  <c r="C594" i="12"/>
  <c r="B594" i="12"/>
  <c r="A594" i="12"/>
  <c r="K593" i="12"/>
  <c r="J593" i="12"/>
  <c r="I593" i="12"/>
  <c r="H593" i="12"/>
  <c r="G593" i="12"/>
  <c r="F593" i="12"/>
  <c r="E593" i="12"/>
  <c r="N593" i="12" s="1"/>
  <c r="D593" i="12"/>
  <c r="C593" i="12"/>
  <c r="B593" i="12"/>
  <c r="A593" i="12"/>
  <c r="K592" i="12"/>
  <c r="J592" i="12"/>
  <c r="I592" i="12"/>
  <c r="H592" i="12"/>
  <c r="G592" i="12"/>
  <c r="F592" i="12"/>
  <c r="E592" i="12"/>
  <c r="N592" i="12" s="1"/>
  <c r="D592" i="12"/>
  <c r="C592" i="12"/>
  <c r="B592" i="12"/>
  <c r="A592" i="12"/>
  <c r="K591" i="12"/>
  <c r="J591" i="12"/>
  <c r="I591" i="12"/>
  <c r="H591" i="12"/>
  <c r="G591" i="12"/>
  <c r="F591" i="12"/>
  <c r="E591" i="12"/>
  <c r="N591" i="12" s="1"/>
  <c r="D591" i="12"/>
  <c r="C591" i="12"/>
  <c r="B591" i="12"/>
  <c r="A591" i="12"/>
  <c r="K590" i="12"/>
  <c r="J590" i="12"/>
  <c r="I590" i="12"/>
  <c r="H590" i="12"/>
  <c r="G590" i="12"/>
  <c r="F590" i="12"/>
  <c r="E590" i="12"/>
  <c r="N590" i="12" s="1"/>
  <c r="D590" i="12"/>
  <c r="C590" i="12"/>
  <c r="B590" i="12"/>
  <c r="A590" i="12"/>
  <c r="K589" i="12"/>
  <c r="J589" i="12"/>
  <c r="I589" i="12"/>
  <c r="H589" i="12"/>
  <c r="G589" i="12"/>
  <c r="F589" i="12"/>
  <c r="E589" i="12"/>
  <c r="N589" i="12" s="1"/>
  <c r="D589" i="12"/>
  <c r="C589" i="12"/>
  <c r="B589" i="12"/>
  <c r="A589" i="12"/>
  <c r="K588" i="12"/>
  <c r="J588" i="12"/>
  <c r="I588" i="12"/>
  <c r="H588" i="12"/>
  <c r="G588" i="12"/>
  <c r="F588" i="12"/>
  <c r="E588" i="12"/>
  <c r="N588" i="12" s="1"/>
  <c r="D588" i="12"/>
  <c r="C588" i="12"/>
  <c r="B588" i="12"/>
  <c r="A588" i="12"/>
  <c r="K587" i="12"/>
  <c r="J587" i="12"/>
  <c r="I587" i="12"/>
  <c r="H587" i="12"/>
  <c r="G587" i="12"/>
  <c r="F587" i="12"/>
  <c r="E587" i="12"/>
  <c r="N587" i="12" s="1"/>
  <c r="D587" i="12"/>
  <c r="C587" i="12"/>
  <c r="B587" i="12"/>
  <c r="A587" i="12"/>
  <c r="K586" i="12"/>
  <c r="J586" i="12"/>
  <c r="I586" i="12"/>
  <c r="H586" i="12"/>
  <c r="G586" i="12"/>
  <c r="F586" i="12"/>
  <c r="E586" i="12"/>
  <c r="N586" i="12" s="1"/>
  <c r="D586" i="12"/>
  <c r="C586" i="12"/>
  <c r="B586" i="12"/>
  <c r="A586" i="12"/>
  <c r="K585" i="12"/>
  <c r="J585" i="12"/>
  <c r="I585" i="12"/>
  <c r="H585" i="12"/>
  <c r="G585" i="12"/>
  <c r="F585" i="12"/>
  <c r="E585" i="12"/>
  <c r="N585" i="12" s="1"/>
  <c r="D585" i="12"/>
  <c r="C585" i="12"/>
  <c r="B585" i="12"/>
  <c r="A585" i="12"/>
  <c r="K584" i="12"/>
  <c r="J584" i="12"/>
  <c r="I584" i="12"/>
  <c r="H584" i="12"/>
  <c r="G584" i="12"/>
  <c r="F584" i="12"/>
  <c r="E584" i="12"/>
  <c r="N584" i="12" s="1"/>
  <c r="D584" i="12"/>
  <c r="C584" i="12"/>
  <c r="B584" i="12"/>
  <c r="A584" i="12"/>
  <c r="K583" i="12"/>
  <c r="J583" i="12"/>
  <c r="I583" i="12"/>
  <c r="H583" i="12"/>
  <c r="G583" i="12"/>
  <c r="F583" i="12"/>
  <c r="E583" i="12"/>
  <c r="N583" i="12" s="1"/>
  <c r="D583" i="12"/>
  <c r="C583" i="12"/>
  <c r="B583" i="12"/>
  <c r="A583" i="12"/>
  <c r="K582" i="12"/>
  <c r="J582" i="12"/>
  <c r="I582" i="12"/>
  <c r="H582" i="12"/>
  <c r="G582" i="12"/>
  <c r="F582" i="12"/>
  <c r="E582" i="12"/>
  <c r="N582" i="12" s="1"/>
  <c r="D582" i="12"/>
  <c r="C582" i="12"/>
  <c r="B582" i="12"/>
  <c r="A582" i="12"/>
  <c r="K581" i="12"/>
  <c r="J581" i="12"/>
  <c r="I581" i="12"/>
  <c r="H581" i="12"/>
  <c r="G581" i="12"/>
  <c r="F581" i="12"/>
  <c r="E581" i="12"/>
  <c r="N581" i="12" s="1"/>
  <c r="D581" i="12"/>
  <c r="C581" i="12"/>
  <c r="B581" i="12"/>
  <c r="A581" i="12"/>
  <c r="K580" i="12"/>
  <c r="J580" i="12"/>
  <c r="I580" i="12"/>
  <c r="H580" i="12"/>
  <c r="G580" i="12"/>
  <c r="F580" i="12"/>
  <c r="E580" i="12"/>
  <c r="N580" i="12" s="1"/>
  <c r="D580" i="12"/>
  <c r="C580" i="12"/>
  <c r="B580" i="12"/>
  <c r="A580" i="12"/>
  <c r="K579" i="12"/>
  <c r="J579" i="12"/>
  <c r="I579" i="12"/>
  <c r="H579" i="12"/>
  <c r="G579" i="12"/>
  <c r="F579" i="12"/>
  <c r="E579" i="12"/>
  <c r="N579" i="12" s="1"/>
  <c r="D579" i="12"/>
  <c r="C579" i="12"/>
  <c r="B579" i="12"/>
  <c r="A579" i="12"/>
  <c r="K578" i="12"/>
  <c r="J578" i="12"/>
  <c r="I578" i="12"/>
  <c r="H578" i="12"/>
  <c r="G578" i="12"/>
  <c r="F578" i="12"/>
  <c r="E578" i="12"/>
  <c r="N578" i="12" s="1"/>
  <c r="D578" i="12"/>
  <c r="C578" i="12"/>
  <c r="B578" i="12"/>
  <c r="A578" i="12"/>
  <c r="K577" i="12"/>
  <c r="J577" i="12"/>
  <c r="I577" i="12"/>
  <c r="H577" i="12"/>
  <c r="G577" i="12"/>
  <c r="F577" i="12"/>
  <c r="E577" i="12"/>
  <c r="N577" i="12" s="1"/>
  <c r="D577" i="12"/>
  <c r="C577" i="12"/>
  <c r="B577" i="12"/>
  <c r="A577" i="12"/>
  <c r="K576" i="12"/>
  <c r="J576" i="12"/>
  <c r="I576" i="12"/>
  <c r="H576" i="12"/>
  <c r="G576" i="12"/>
  <c r="F576" i="12"/>
  <c r="E576" i="12"/>
  <c r="N576" i="12" s="1"/>
  <c r="D576" i="12"/>
  <c r="C576" i="12"/>
  <c r="B576" i="12"/>
  <c r="A576" i="12"/>
  <c r="K575" i="12"/>
  <c r="J575" i="12"/>
  <c r="I575" i="12"/>
  <c r="H575" i="12"/>
  <c r="G575" i="12"/>
  <c r="F575" i="12"/>
  <c r="E575" i="12"/>
  <c r="N575" i="12" s="1"/>
  <c r="D575" i="12"/>
  <c r="C575" i="12"/>
  <c r="B575" i="12"/>
  <c r="A575" i="12"/>
  <c r="K574" i="12"/>
  <c r="J574" i="12"/>
  <c r="I574" i="12"/>
  <c r="H574" i="12"/>
  <c r="G574" i="12"/>
  <c r="F574" i="12"/>
  <c r="E574" i="12"/>
  <c r="N574" i="12" s="1"/>
  <c r="D574" i="12"/>
  <c r="C574" i="12"/>
  <c r="B574" i="12"/>
  <c r="A574" i="12"/>
  <c r="K573" i="12"/>
  <c r="J573" i="12"/>
  <c r="I573" i="12"/>
  <c r="H573" i="12"/>
  <c r="G573" i="12"/>
  <c r="F573" i="12"/>
  <c r="E573" i="12"/>
  <c r="N573" i="12" s="1"/>
  <c r="D573" i="12"/>
  <c r="C573" i="12"/>
  <c r="B573" i="12"/>
  <c r="A573" i="12"/>
  <c r="K572" i="12"/>
  <c r="J572" i="12"/>
  <c r="I572" i="12"/>
  <c r="H572" i="12"/>
  <c r="G572" i="12"/>
  <c r="F572" i="12"/>
  <c r="E572" i="12"/>
  <c r="N572" i="12" s="1"/>
  <c r="D572" i="12"/>
  <c r="C572" i="12"/>
  <c r="B572" i="12"/>
  <c r="A572" i="12"/>
  <c r="K571" i="12"/>
  <c r="J571" i="12"/>
  <c r="I571" i="12"/>
  <c r="H571" i="12"/>
  <c r="G571" i="12"/>
  <c r="F571" i="12"/>
  <c r="E571" i="12"/>
  <c r="N571" i="12" s="1"/>
  <c r="D571" i="12"/>
  <c r="C571" i="12"/>
  <c r="B571" i="12"/>
  <c r="A571" i="12"/>
  <c r="K570" i="12"/>
  <c r="J570" i="12"/>
  <c r="I570" i="12"/>
  <c r="H570" i="12"/>
  <c r="G570" i="12"/>
  <c r="F570" i="12"/>
  <c r="E570" i="12"/>
  <c r="N570" i="12" s="1"/>
  <c r="D570" i="12"/>
  <c r="C570" i="12"/>
  <c r="B570" i="12"/>
  <c r="A570" i="12"/>
  <c r="K569" i="12"/>
  <c r="J569" i="12"/>
  <c r="I569" i="12"/>
  <c r="H569" i="12"/>
  <c r="G569" i="12"/>
  <c r="F569" i="12"/>
  <c r="E569" i="12"/>
  <c r="N569" i="12" s="1"/>
  <c r="D569" i="12"/>
  <c r="C569" i="12"/>
  <c r="B569" i="12"/>
  <c r="A569" i="12"/>
  <c r="K568" i="12"/>
  <c r="J568" i="12"/>
  <c r="I568" i="12"/>
  <c r="H568" i="12"/>
  <c r="G568" i="12"/>
  <c r="F568" i="12"/>
  <c r="E568" i="12"/>
  <c r="N568" i="12" s="1"/>
  <c r="D568" i="12"/>
  <c r="C568" i="12"/>
  <c r="B568" i="12"/>
  <c r="A568" i="12"/>
  <c r="K567" i="12"/>
  <c r="J567" i="12"/>
  <c r="I567" i="12"/>
  <c r="H567" i="12"/>
  <c r="G567" i="12"/>
  <c r="F567" i="12"/>
  <c r="E567" i="12"/>
  <c r="N567" i="12" s="1"/>
  <c r="D567" i="12"/>
  <c r="C567" i="12"/>
  <c r="B567" i="12"/>
  <c r="A567" i="12"/>
  <c r="K566" i="12"/>
  <c r="J566" i="12"/>
  <c r="I566" i="12"/>
  <c r="H566" i="12"/>
  <c r="G566" i="12"/>
  <c r="F566" i="12"/>
  <c r="E566" i="12"/>
  <c r="N566" i="12" s="1"/>
  <c r="D566" i="12"/>
  <c r="C566" i="12"/>
  <c r="B566" i="12"/>
  <c r="A566" i="12"/>
  <c r="K565" i="12"/>
  <c r="J565" i="12"/>
  <c r="I565" i="12"/>
  <c r="H565" i="12"/>
  <c r="G565" i="12"/>
  <c r="F565" i="12"/>
  <c r="E565" i="12"/>
  <c r="N565" i="12" s="1"/>
  <c r="D565" i="12"/>
  <c r="C565" i="12"/>
  <c r="B565" i="12"/>
  <c r="A565" i="12"/>
  <c r="K564" i="12"/>
  <c r="J564" i="12"/>
  <c r="I564" i="12"/>
  <c r="H564" i="12"/>
  <c r="G564" i="12"/>
  <c r="F564" i="12"/>
  <c r="E564" i="12"/>
  <c r="N564" i="12" s="1"/>
  <c r="D564" i="12"/>
  <c r="C564" i="12"/>
  <c r="B564" i="12"/>
  <c r="A564" i="12"/>
  <c r="K563" i="12"/>
  <c r="J563" i="12"/>
  <c r="I563" i="12"/>
  <c r="H563" i="12"/>
  <c r="G563" i="12"/>
  <c r="F563" i="12"/>
  <c r="E563" i="12"/>
  <c r="N563" i="12" s="1"/>
  <c r="D563" i="12"/>
  <c r="C563" i="12"/>
  <c r="B563" i="12"/>
  <c r="A563" i="12"/>
  <c r="K562" i="12"/>
  <c r="J562" i="12"/>
  <c r="I562" i="12"/>
  <c r="H562" i="12"/>
  <c r="G562" i="12"/>
  <c r="F562" i="12"/>
  <c r="E562" i="12"/>
  <c r="N562" i="12" s="1"/>
  <c r="D562" i="12"/>
  <c r="C562" i="12"/>
  <c r="B562" i="12"/>
  <c r="A562" i="12"/>
  <c r="K561" i="12"/>
  <c r="J561" i="12"/>
  <c r="I561" i="12"/>
  <c r="H561" i="12"/>
  <c r="G561" i="12"/>
  <c r="F561" i="12"/>
  <c r="E561" i="12"/>
  <c r="N561" i="12" s="1"/>
  <c r="D561" i="12"/>
  <c r="C561" i="12"/>
  <c r="B561" i="12"/>
  <c r="A561" i="12"/>
  <c r="K560" i="12"/>
  <c r="J560" i="12"/>
  <c r="I560" i="12"/>
  <c r="H560" i="12"/>
  <c r="G560" i="12"/>
  <c r="F560" i="12"/>
  <c r="E560" i="12"/>
  <c r="N560" i="12" s="1"/>
  <c r="D560" i="12"/>
  <c r="C560" i="12"/>
  <c r="B560" i="12"/>
  <c r="A560" i="12"/>
  <c r="K559" i="12"/>
  <c r="J559" i="12"/>
  <c r="I559" i="12"/>
  <c r="H559" i="12"/>
  <c r="G559" i="12"/>
  <c r="F559" i="12"/>
  <c r="E559" i="12"/>
  <c r="N559" i="12" s="1"/>
  <c r="D559" i="12"/>
  <c r="C559" i="12"/>
  <c r="B559" i="12"/>
  <c r="A559" i="12"/>
  <c r="K558" i="12"/>
  <c r="J558" i="12"/>
  <c r="I558" i="12"/>
  <c r="H558" i="12"/>
  <c r="G558" i="12"/>
  <c r="F558" i="12"/>
  <c r="E558" i="12"/>
  <c r="N558" i="12" s="1"/>
  <c r="D558" i="12"/>
  <c r="C558" i="12"/>
  <c r="B558" i="12"/>
  <c r="A558" i="12"/>
  <c r="K557" i="12"/>
  <c r="J557" i="12"/>
  <c r="I557" i="12"/>
  <c r="H557" i="12"/>
  <c r="G557" i="12"/>
  <c r="F557" i="12"/>
  <c r="E557" i="12"/>
  <c r="N557" i="12" s="1"/>
  <c r="D557" i="12"/>
  <c r="C557" i="12"/>
  <c r="B557" i="12"/>
  <c r="A557" i="12"/>
  <c r="K556" i="12"/>
  <c r="J556" i="12"/>
  <c r="I556" i="12"/>
  <c r="H556" i="12"/>
  <c r="G556" i="12"/>
  <c r="F556" i="12"/>
  <c r="E556" i="12"/>
  <c r="N556" i="12" s="1"/>
  <c r="D556" i="12"/>
  <c r="C556" i="12"/>
  <c r="B556" i="12"/>
  <c r="A556" i="12"/>
  <c r="M555" i="12"/>
  <c r="K555" i="12"/>
  <c r="J555" i="12"/>
  <c r="I555" i="12"/>
  <c r="H555" i="12"/>
  <c r="G555" i="12"/>
  <c r="Q555" i="12" s="1"/>
  <c r="F555" i="12"/>
  <c r="E555" i="12"/>
  <c r="N555" i="12" s="1"/>
  <c r="D555" i="12"/>
  <c r="C555" i="12"/>
  <c r="B555" i="12"/>
  <c r="A555" i="12"/>
  <c r="K554" i="12"/>
  <c r="J554" i="12"/>
  <c r="I554" i="12"/>
  <c r="H554" i="12"/>
  <c r="G554" i="12"/>
  <c r="F554" i="12"/>
  <c r="E554" i="12"/>
  <c r="N554" i="12" s="1"/>
  <c r="D554" i="12"/>
  <c r="C554" i="12"/>
  <c r="B554" i="12"/>
  <c r="A554" i="12"/>
  <c r="K553" i="12"/>
  <c r="J553" i="12"/>
  <c r="I553" i="12"/>
  <c r="H553" i="12"/>
  <c r="G553" i="12"/>
  <c r="F553" i="12"/>
  <c r="E553" i="12"/>
  <c r="N553" i="12" s="1"/>
  <c r="D553" i="12"/>
  <c r="C553" i="12"/>
  <c r="B553" i="12"/>
  <c r="A553" i="12"/>
  <c r="K552" i="12"/>
  <c r="J552" i="12"/>
  <c r="I552" i="12"/>
  <c r="H552" i="12"/>
  <c r="G552" i="12"/>
  <c r="F552" i="12"/>
  <c r="E552" i="12"/>
  <c r="N552" i="12" s="1"/>
  <c r="D552" i="12"/>
  <c r="C552" i="12"/>
  <c r="B552" i="12"/>
  <c r="A552" i="12"/>
  <c r="K551" i="12"/>
  <c r="J551" i="12"/>
  <c r="I551" i="12"/>
  <c r="H551" i="12"/>
  <c r="G551" i="12"/>
  <c r="F551" i="12"/>
  <c r="E551" i="12"/>
  <c r="N551" i="12" s="1"/>
  <c r="D551" i="12"/>
  <c r="C551" i="12"/>
  <c r="B551" i="12"/>
  <c r="A551" i="12"/>
  <c r="K550" i="12"/>
  <c r="J550" i="12"/>
  <c r="I550" i="12"/>
  <c r="H550" i="12"/>
  <c r="G550" i="12"/>
  <c r="F550" i="12"/>
  <c r="E550" i="12"/>
  <c r="N550" i="12" s="1"/>
  <c r="D550" i="12"/>
  <c r="C550" i="12"/>
  <c r="B550" i="12"/>
  <c r="A550" i="12"/>
  <c r="K549" i="12"/>
  <c r="J549" i="12"/>
  <c r="I549" i="12"/>
  <c r="H549" i="12"/>
  <c r="G549" i="12"/>
  <c r="F549" i="12"/>
  <c r="E549" i="12"/>
  <c r="N549" i="12" s="1"/>
  <c r="D549" i="12"/>
  <c r="C549" i="12"/>
  <c r="B549" i="12"/>
  <c r="A549" i="12"/>
  <c r="K548" i="12"/>
  <c r="J548" i="12"/>
  <c r="I548" i="12"/>
  <c r="H548" i="12"/>
  <c r="G548" i="12"/>
  <c r="F548" i="12"/>
  <c r="E548" i="12"/>
  <c r="N548" i="12" s="1"/>
  <c r="D548" i="12"/>
  <c r="C548" i="12"/>
  <c r="B548" i="12"/>
  <c r="A548" i="12"/>
  <c r="K547" i="12"/>
  <c r="J547" i="12"/>
  <c r="I547" i="12"/>
  <c r="H547" i="12"/>
  <c r="G547" i="12"/>
  <c r="F547" i="12"/>
  <c r="E547" i="12"/>
  <c r="N547" i="12" s="1"/>
  <c r="D547" i="12"/>
  <c r="C547" i="12"/>
  <c r="B547" i="12"/>
  <c r="A547" i="12"/>
  <c r="K546" i="12"/>
  <c r="J546" i="12"/>
  <c r="I546" i="12"/>
  <c r="H546" i="12"/>
  <c r="G546" i="12"/>
  <c r="F546" i="12"/>
  <c r="E546" i="12"/>
  <c r="N546" i="12" s="1"/>
  <c r="D546" i="12"/>
  <c r="C546" i="12"/>
  <c r="B546" i="12"/>
  <c r="A546" i="12"/>
  <c r="K545" i="12"/>
  <c r="J545" i="12"/>
  <c r="I545" i="12"/>
  <c r="H545" i="12"/>
  <c r="G545" i="12"/>
  <c r="F545" i="12"/>
  <c r="E545" i="12"/>
  <c r="N545" i="12" s="1"/>
  <c r="D545" i="12"/>
  <c r="C545" i="12"/>
  <c r="B545" i="12"/>
  <c r="A545" i="12"/>
  <c r="K544" i="12"/>
  <c r="J544" i="12"/>
  <c r="I544" i="12"/>
  <c r="H544" i="12"/>
  <c r="G544" i="12"/>
  <c r="F544" i="12"/>
  <c r="E544" i="12"/>
  <c r="N544" i="12" s="1"/>
  <c r="D544" i="12"/>
  <c r="C544" i="12"/>
  <c r="B544" i="12"/>
  <c r="A544" i="12"/>
  <c r="K543" i="12"/>
  <c r="J543" i="12"/>
  <c r="I543" i="12"/>
  <c r="H543" i="12"/>
  <c r="G543" i="12"/>
  <c r="F543" i="12"/>
  <c r="E543" i="12"/>
  <c r="N543" i="12" s="1"/>
  <c r="D543" i="12"/>
  <c r="C543" i="12"/>
  <c r="B543" i="12"/>
  <c r="A543" i="12"/>
  <c r="K542" i="12"/>
  <c r="J542" i="12"/>
  <c r="I542" i="12"/>
  <c r="H542" i="12"/>
  <c r="G542" i="12"/>
  <c r="F542" i="12"/>
  <c r="E542" i="12"/>
  <c r="N542" i="12" s="1"/>
  <c r="D542" i="12"/>
  <c r="C542" i="12"/>
  <c r="B542" i="12"/>
  <c r="A542" i="12"/>
  <c r="K541" i="12"/>
  <c r="J541" i="12"/>
  <c r="I541" i="12"/>
  <c r="H541" i="12"/>
  <c r="G541" i="12"/>
  <c r="F541" i="12"/>
  <c r="E541" i="12"/>
  <c r="N541" i="12" s="1"/>
  <c r="D541" i="12"/>
  <c r="C541" i="12"/>
  <c r="B541" i="12"/>
  <c r="A541" i="12"/>
  <c r="K540" i="12"/>
  <c r="J540" i="12"/>
  <c r="I540" i="12"/>
  <c r="H540" i="12"/>
  <c r="G540" i="12"/>
  <c r="F540" i="12"/>
  <c r="E540" i="12"/>
  <c r="N540" i="12" s="1"/>
  <c r="D540" i="12"/>
  <c r="C540" i="12"/>
  <c r="B540" i="12"/>
  <c r="A540" i="12"/>
  <c r="K539" i="12"/>
  <c r="J539" i="12"/>
  <c r="I539" i="12"/>
  <c r="H539" i="12"/>
  <c r="G539" i="12"/>
  <c r="F539" i="12"/>
  <c r="E539" i="12"/>
  <c r="N539" i="12" s="1"/>
  <c r="D539" i="12"/>
  <c r="C539" i="12"/>
  <c r="B539" i="12"/>
  <c r="A539" i="12"/>
  <c r="K538" i="12"/>
  <c r="J538" i="12"/>
  <c r="I538" i="12"/>
  <c r="H538" i="12"/>
  <c r="G538" i="12"/>
  <c r="F538" i="12"/>
  <c r="E538" i="12"/>
  <c r="N538" i="12" s="1"/>
  <c r="D538" i="12"/>
  <c r="C538" i="12"/>
  <c r="B538" i="12"/>
  <c r="A538" i="12"/>
  <c r="K537" i="12"/>
  <c r="J537" i="12"/>
  <c r="I537" i="12"/>
  <c r="H537" i="12"/>
  <c r="G537" i="12"/>
  <c r="F537" i="12"/>
  <c r="E537" i="12"/>
  <c r="N537" i="12" s="1"/>
  <c r="D537" i="12"/>
  <c r="C537" i="12"/>
  <c r="B537" i="12"/>
  <c r="A537" i="12"/>
  <c r="K536" i="12"/>
  <c r="J536" i="12"/>
  <c r="I536" i="12"/>
  <c r="H536" i="12"/>
  <c r="G536" i="12"/>
  <c r="F536" i="12"/>
  <c r="E536" i="12"/>
  <c r="N536" i="12" s="1"/>
  <c r="D536" i="12"/>
  <c r="C536" i="12"/>
  <c r="B536" i="12"/>
  <c r="A536" i="12"/>
  <c r="K535" i="12"/>
  <c r="J535" i="12"/>
  <c r="I535" i="12"/>
  <c r="H535" i="12"/>
  <c r="G535" i="12"/>
  <c r="F535" i="12"/>
  <c r="E535" i="12"/>
  <c r="N535" i="12" s="1"/>
  <c r="D535" i="12"/>
  <c r="C535" i="12"/>
  <c r="B535" i="12"/>
  <c r="A535" i="12"/>
  <c r="S534" i="12"/>
  <c r="R534" i="12"/>
  <c r="P534" i="12"/>
  <c r="O534" i="12"/>
  <c r="K534" i="12"/>
  <c r="J534" i="12"/>
  <c r="I534" i="12"/>
  <c r="H534" i="12"/>
  <c r="G534" i="12"/>
  <c r="F534" i="12"/>
  <c r="E534" i="12"/>
  <c r="N534" i="12" s="1"/>
  <c r="D534" i="12"/>
  <c r="C534" i="12"/>
  <c r="B534" i="12"/>
  <c r="A534" i="12"/>
  <c r="K533" i="12"/>
  <c r="J533" i="12"/>
  <c r="I533" i="12"/>
  <c r="H533" i="12"/>
  <c r="G533" i="12"/>
  <c r="F533" i="12"/>
  <c r="E533" i="12"/>
  <c r="N533" i="12" s="1"/>
  <c r="D533" i="12"/>
  <c r="C533" i="12"/>
  <c r="B533" i="12"/>
  <c r="A533" i="12"/>
  <c r="K532" i="12"/>
  <c r="J532" i="12"/>
  <c r="I532" i="12"/>
  <c r="H532" i="12"/>
  <c r="G532" i="12"/>
  <c r="F532" i="12"/>
  <c r="E532" i="12"/>
  <c r="N532" i="12" s="1"/>
  <c r="D532" i="12"/>
  <c r="C532" i="12"/>
  <c r="B532" i="12"/>
  <c r="A532" i="12"/>
  <c r="K531" i="12"/>
  <c r="J531" i="12"/>
  <c r="I531" i="12"/>
  <c r="H531" i="12"/>
  <c r="G531" i="12"/>
  <c r="F531" i="12"/>
  <c r="E531" i="12"/>
  <c r="N531" i="12" s="1"/>
  <c r="D531" i="12"/>
  <c r="C531" i="12"/>
  <c r="B531" i="12"/>
  <c r="A531" i="12"/>
  <c r="K530" i="12"/>
  <c r="J530" i="12"/>
  <c r="I530" i="12"/>
  <c r="H530" i="12"/>
  <c r="G530" i="12"/>
  <c r="F530" i="12"/>
  <c r="E530" i="12"/>
  <c r="N530" i="12" s="1"/>
  <c r="D530" i="12"/>
  <c r="C530" i="12"/>
  <c r="B530" i="12"/>
  <c r="A530" i="12"/>
  <c r="K529" i="12"/>
  <c r="J529" i="12"/>
  <c r="I529" i="12"/>
  <c r="H529" i="12"/>
  <c r="G529" i="12"/>
  <c r="F529" i="12"/>
  <c r="E529" i="12"/>
  <c r="N529" i="12" s="1"/>
  <c r="D529" i="12"/>
  <c r="C529" i="12"/>
  <c r="B529" i="12"/>
  <c r="A529" i="12"/>
  <c r="K528" i="12"/>
  <c r="J528" i="12"/>
  <c r="I528" i="12"/>
  <c r="H528" i="12"/>
  <c r="G528" i="12"/>
  <c r="F528" i="12"/>
  <c r="E528" i="12"/>
  <c r="N528" i="12" s="1"/>
  <c r="D528" i="12"/>
  <c r="C528" i="12"/>
  <c r="B528" i="12"/>
  <c r="A528" i="12"/>
  <c r="K527" i="12"/>
  <c r="J527" i="12"/>
  <c r="I527" i="12"/>
  <c r="H527" i="12"/>
  <c r="G527" i="12"/>
  <c r="F527" i="12"/>
  <c r="E527" i="12"/>
  <c r="N527" i="12" s="1"/>
  <c r="D527" i="12"/>
  <c r="C527" i="12"/>
  <c r="B527" i="12"/>
  <c r="A527" i="12"/>
  <c r="K526" i="12"/>
  <c r="J526" i="12"/>
  <c r="I526" i="12"/>
  <c r="H526" i="12"/>
  <c r="G526" i="12"/>
  <c r="F526" i="12"/>
  <c r="E526" i="12"/>
  <c r="N526" i="12" s="1"/>
  <c r="D526" i="12"/>
  <c r="C526" i="12"/>
  <c r="B526" i="12"/>
  <c r="A526" i="12"/>
  <c r="K525" i="12"/>
  <c r="J525" i="12"/>
  <c r="I525" i="12"/>
  <c r="H525" i="12"/>
  <c r="G525" i="12"/>
  <c r="F525" i="12"/>
  <c r="E525" i="12"/>
  <c r="N525" i="12" s="1"/>
  <c r="D525" i="12"/>
  <c r="C525" i="12"/>
  <c r="B525" i="12"/>
  <c r="A525" i="12"/>
  <c r="K524" i="12"/>
  <c r="J524" i="12"/>
  <c r="I524" i="12"/>
  <c r="H524" i="12"/>
  <c r="G524" i="12"/>
  <c r="F524" i="12"/>
  <c r="E524" i="12"/>
  <c r="N524" i="12" s="1"/>
  <c r="D524" i="12"/>
  <c r="C524" i="12"/>
  <c r="B524" i="12"/>
  <c r="A524" i="12"/>
  <c r="K523" i="12"/>
  <c r="J523" i="12"/>
  <c r="I523" i="12"/>
  <c r="H523" i="12"/>
  <c r="G523" i="12"/>
  <c r="F523" i="12"/>
  <c r="E523" i="12"/>
  <c r="N523" i="12" s="1"/>
  <c r="D523" i="12"/>
  <c r="C523" i="12"/>
  <c r="B523" i="12"/>
  <c r="A523" i="12"/>
  <c r="K522" i="12"/>
  <c r="J522" i="12"/>
  <c r="I522" i="12"/>
  <c r="H522" i="12"/>
  <c r="G522" i="12"/>
  <c r="F522" i="12"/>
  <c r="E522" i="12"/>
  <c r="N522" i="12" s="1"/>
  <c r="D522" i="12"/>
  <c r="C522" i="12"/>
  <c r="B522" i="12"/>
  <c r="A522" i="12"/>
  <c r="K521" i="12"/>
  <c r="J521" i="12"/>
  <c r="I521" i="12"/>
  <c r="H521" i="12"/>
  <c r="G521" i="12"/>
  <c r="F521" i="12"/>
  <c r="E521" i="12"/>
  <c r="N521" i="12" s="1"/>
  <c r="D521" i="12"/>
  <c r="C521" i="12"/>
  <c r="B521" i="12"/>
  <c r="A521" i="12"/>
  <c r="K520" i="12"/>
  <c r="J520" i="12"/>
  <c r="I520" i="12"/>
  <c r="H520" i="12"/>
  <c r="G520" i="12"/>
  <c r="F520" i="12"/>
  <c r="E520" i="12"/>
  <c r="N520" i="12" s="1"/>
  <c r="D520" i="12"/>
  <c r="C520" i="12"/>
  <c r="B520" i="12"/>
  <c r="A520" i="12"/>
  <c r="K519" i="12"/>
  <c r="J519" i="12"/>
  <c r="I519" i="12"/>
  <c r="H519" i="12"/>
  <c r="G519" i="12"/>
  <c r="F519" i="12"/>
  <c r="E519" i="12"/>
  <c r="N519" i="12" s="1"/>
  <c r="D519" i="12"/>
  <c r="C519" i="12"/>
  <c r="B519" i="12"/>
  <c r="A519" i="12"/>
  <c r="K518" i="12"/>
  <c r="J518" i="12"/>
  <c r="I518" i="12"/>
  <c r="H518" i="12"/>
  <c r="G518" i="12"/>
  <c r="F518" i="12"/>
  <c r="E518" i="12"/>
  <c r="N518" i="12" s="1"/>
  <c r="D518" i="12"/>
  <c r="C518" i="12"/>
  <c r="B518" i="12"/>
  <c r="A518" i="12"/>
  <c r="K517" i="12"/>
  <c r="J517" i="12"/>
  <c r="I517" i="12"/>
  <c r="H517" i="12"/>
  <c r="G517" i="12"/>
  <c r="F517" i="12"/>
  <c r="E517" i="12"/>
  <c r="N517" i="12" s="1"/>
  <c r="D517" i="12"/>
  <c r="C517" i="12"/>
  <c r="B517" i="12"/>
  <c r="A517" i="12"/>
  <c r="K516" i="12"/>
  <c r="J516" i="12"/>
  <c r="I516" i="12"/>
  <c r="H516" i="12"/>
  <c r="G516" i="12"/>
  <c r="F516" i="12"/>
  <c r="E516" i="12"/>
  <c r="N516" i="12" s="1"/>
  <c r="D516" i="12"/>
  <c r="C516" i="12"/>
  <c r="B516" i="12"/>
  <c r="A516" i="12"/>
  <c r="K515" i="12"/>
  <c r="J515" i="12"/>
  <c r="I515" i="12"/>
  <c r="H515" i="12"/>
  <c r="G515" i="12"/>
  <c r="F515" i="12"/>
  <c r="E515" i="12"/>
  <c r="N515" i="12" s="1"/>
  <c r="D515" i="12"/>
  <c r="C515" i="12"/>
  <c r="B515" i="12"/>
  <c r="A515" i="12"/>
  <c r="K514" i="12"/>
  <c r="J514" i="12"/>
  <c r="I514" i="12"/>
  <c r="H514" i="12"/>
  <c r="G514" i="12"/>
  <c r="F514" i="12"/>
  <c r="E514" i="12"/>
  <c r="N514" i="12" s="1"/>
  <c r="D514" i="12"/>
  <c r="C514" i="12"/>
  <c r="B514" i="12"/>
  <c r="A514" i="12"/>
  <c r="K513" i="12"/>
  <c r="J513" i="12"/>
  <c r="I513" i="12"/>
  <c r="H513" i="12"/>
  <c r="G513" i="12"/>
  <c r="F513" i="12"/>
  <c r="E513" i="12"/>
  <c r="N513" i="12" s="1"/>
  <c r="D513" i="12"/>
  <c r="C513" i="12"/>
  <c r="B513" i="12"/>
  <c r="A513" i="12"/>
  <c r="K512" i="12"/>
  <c r="J512" i="12"/>
  <c r="I512" i="12"/>
  <c r="H512" i="12"/>
  <c r="G512" i="12"/>
  <c r="F512" i="12"/>
  <c r="E512" i="12"/>
  <c r="N512" i="12" s="1"/>
  <c r="D512" i="12"/>
  <c r="C512" i="12"/>
  <c r="B512" i="12"/>
  <c r="A512" i="12"/>
  <c r="K511" i="12"/>
  <c r="J511" i="12"/>
  <c r="I511" i="12"/>
  <c r="H511" i="12"/>
  <c r="G511" i="12"/>
  <c r="F511" i="12"/>
  <c r="E511" i="12"/>
  <c r="N511" i="12" s="1"/>
  <c r="D511" i="12"/>
  <c r="C511" i="12"/>
  <c r="B511" i="12"/>
  <c r="A511" i="12"/>
  <c r="K510" i="12"/>
  <c r="J510" i="12"/>
  <c r="I510" i="12"/>
  <c r="H510" i="12"/>
  <c r="G510" i="12"/>
  <c r="F510" i="12"/>
  <c r="E510" i="12"/>
  <c r="N510" i="12" s="1"/>
  <c r="D510" i="12"/>
  <c r="C510" i="12"/>
  <c r="B510" i="12"/>
  <c r="A510" i="12"/>
  <c r="K509" i="12"/>
  <c r="J509" i="12"/>
  <c r="I509" i="12"/>
  <c r="H509" i="12"/>
  <c r="G509" i="12"/>
  <c r="F509" i="12"/>
  <c r="E509" i="12"/>
  <c r="N509" i="12" s="1"/>
  <c r="D509" i="12"/>
  <c r="C509" i="12"/>
  <c r="B509" i="12"/>
  <c r="A509" i="12"/>
  <c r="K508" i="12"/>
  <c r="J508" i="12"/>
  <c r="I508" i="12"/>
  <c r="H508" i="12"/>
  <c r="G508" i="12"/>
  <c r="F508" i="12"/>
  <c r="E508" i="12"/>
  <c r="N508" i="12" s="1"/>
  <c r="D508" i="12"/>
  <c r="C508" i="12"/>
  <c r="B508" i="12"/>
  <c r="A508" i="12"/>
  <c r="K507" i="12"/>
  <c r="J507" i="12"/>
  <c r="I507" i="12"/>
  <c r="H507" i="12"/>
  <c r="G507" i="12"/>
  <c r="F507" i="12"/>
  <c r="E507" i="12"/>
  <c r="N507" i="12" s="1"/>
  <c r="D507" i="12"/>
  <c r="C507" i="12"/>
  <c r="B507" i="12"/>
  <c r="A507" i="12"/>
  <c r="K506" i="12"/>
  <c r="J506" i="12"/>
  <c r="I506" i="12"/>
  <c r="H506" i="12"/>
  <c r="G506" i="12"/>
  <c r="F506" i="12"/>
  <c r="E506" i="12"/>
  <c r="N506" i="12" s="1"/>
  <c r="D506" i="12"/>
  <c r="C506" i="12"/>
  <c r="B506" i="12"/>
  <c r="A506" i="12"/>
  <c r="K505" i="12"/>
  <c r="J505" i="12"/>
  <c r="I505" i="12"/>
  <c r="H505" i="12"/>
  <c r="G505" i="12"/>
  <c r="F505" i="12"/>
  <c r="E505" i="12"/>
  <c r="N505" i="12" s="1"/>
  <c r="D505" i="12"/>
  <c r="C505" i="12"/>
  <c r="B505" i="12"/>
  <c r="A505" i="12"/>
  <c r="K504" i="12"/>
  <c r="J504" i="12"/>
  <c r="I504" i="12"/>
  <c r="H504" i="12"/>
  <c r="G504" i="12"/>
  <c r="F504" i="12"/>
  <c r="E504" i="12"/>
  <c r="N504" i="12" s="1"/>
  <c r="D504" i="12"/>
  <c r="C504" i="12"/>
  <c r="B504" i="12"/>
  <c r="A504" i="12"/>
  <c r="K503" i="12"/>
  <c r="J503" i="12"/>
  <c r="I503" i="12"/>
  <c r="H503" i="12"/>
  <c r="G503" i="12"/>
  <c r="F503" i="12"/>
  <c r="E503" i="12"/>
  <c r="N503" i="12" s="1"/>
  <c r="D503" i="12"/>
  <c r="C503" i="12"/>
  <c r="B503" i="12"/>
  <c r="A503" i="12"/>
  <c r="K502" i="12"/>
  <c r="J502" i="12"/>
  <c r="I502" i="12"/>
  <c r="H502" i="12"/>
  <c r="G502" i="12"/>
  <c r="F502" i="12"/>
  <c r="E502" i="12"/>
  <c r="N502" i="12" s="1"/>
  <c r="D502" i="12"/>
  <c r="C502" i="12"/>
  <c r="B502" i="12"/>
  <c r="A502" i="12"/>
  <c r="K501" i="12"/>
  <c r="J501" i="12"/>
  <c r="I501" i="12"/>
  <c r="H501" i="12"/>
  <c r="G501" i="12"/>
  <c r="F501" i="12"/>
  <c r="E501" i="12"/>
  <c r="N501" i="12" s="1"/>
  <c r="D501" i="12"/>
  <c r="C501" i="12"/>
  <c r="B501" i="12"/>
  <c r="A501" i="12"/>
  <c r="K500" i="12"/>
  <c r="J500" i="12"/>
  <c r="I500" i="12"/>
  <c r="H500" i="12"/>
  <c r="G500" i="12"/>
  <c r="F500" i="12"/>
  <c r="E500" i="12"/>
  <c r="N500" i="12" s="1"/>
  <c r="D500" i="12"/>
  <c r="C500" i="12"/>
  <c r="B500" i="12"/>
  <c r="A500" i="12"/>
  <c r="K499" i="12"/>
  <c r="J499" i="12"/>
  <c r="I499" i="12"/>
  <c r="H499" i="12"/>
  <c r="G499" i="12"/>
  <c r="F499" i="12"/>
  <c r="E499" i="12"/>
  <c r="N499" i="12" s="1"/>
  <c r="D499" i="12"/>
  <c r="C499" i="12"/>
  <c r="B499" i="12"/>
  <c r="A499" i="12"/>
  <c r="K498" i="12"/>
  <c r="J498" i="12"/>
  <c r="I498" i="12"/>
  <c r="H498" i="12"/>
  <c r="G498" i="12"/>
  <c r="F498" i="12"/>
  <c r="E498" i="12"/>
  <c r="N498" i="12" s="1"/>
  <c r="D498" i="12"/>
  <c r="C498" i="12"/>
  <c r="B498" i="12"/>
  <c r="A498" i="12"/>
  <c r="K497" i="12"/>
  <c r="J497" i="12"/>
  <c r="I497" i="12"/>
  <c r="H497" i="12"/>
  <c r="G497" i="12"/>
  <c r="F497" i="12"/>
  <c r="E497" i="12"/>
  <c r="N497" i="12" s="1"/>
  <c r="D497" i="12"/>
  <c r="C497" i="12"/>
  <c r="B497" i="12"/>
  <c r="A497" i="12"/>
  <c r="K496" i="12"/>
  <c r="J496" i="12"/>
  <c r="I496" i="12"/>
  <c r="H496" i="12"/>
  <c r="G496" i="12"/>
  <c r="F496" i="12"/>
  <c r="E496" i="12"/>
  <c r="N496" i="12" s="1"/>
  <c r="D496" i="12"/>
  <c r="C496" i="12"/>
  <c r="B496" i="12"/>
  <c r="A496" i="12"/>
  <c r="K495" i="12"/>
  <c r="J495" i="12"/>
  <c r="I495" i="12"/>
  <c r="H495" i="12"/>
  <c r="G495" i="12"/>
  <c r="F495" i="12"/>
  <c r="E495" i="12"/>
  <c r="N495" i="12" s="1"/>
  <c r="D495" i="12"/>
  <c r="C495" i="12"/>
  <c r="B495" i="12"/>
  <c r="A495" i="12"/>
  <c r="K494" i="12"/>
  <c r="J494" i="12"/>
  <c r="I494" i="12"/>
  <c r="H494" i="12"/>
  <c r="G494" i="12"/>
  <c r="F494" i="12"/>
  <c r="E494" i="12"/>
  <c r="N494" i="12" s="1"/>
  <c r="D494" i="12"/>
  <c r="C494" i="12"/>
  <c r="B494" i="12"/>
  <c r="A494" i="12"/>
  <c r="K493" i="12"/>
  <c r="J493" i="12"/>
  <c r="I493" i="12"/>
  <c r="H493" i="12"/>
  <c r="G493" i="12"/>
  <c r="F493" i="12"/>
  <c r="E493" i="12"/>
  <c r="N493" i="12" s="1"/>
  <c r="D493" i="12"/>
  <c r="C493" i="12"/>
  <c r="B493" i="12"/>
  <c r="A493" i="12"/>
  <c r="K492" i="12"/>
  <c r="J492" i="12"/>
  <c r="I492" i="12"/>
  <c r="H492" i="12"/>
  <c r="G492" i="12"/>
  <c r="F492" i="12"/>
  <c r="E492" i="12"/>
  <c r="N492" i="12" s="1"/>
  <c r="D492" i="12"/>
  <c r="C492" i="12"/>
  <c r="B492" i="12"/>
  <c r="A492" i="12"/>
  <c r="K491" i="12"/>
  <c r="J491" i="12"/>
  <c r="I491" i="12"/>
  <c r="H491" i="12"/>
  <c r="G491" i="12"/>
  <c r="F491" i="12"/>
  <c r="E491" i="12"/>
  <c r="N491" i="12" s="1"/>
  <c r="D491" i="12"/>
  <c r="C491" i="12"/>
  <c r="B491" i="12"/>
  <c r="A491" i="12"/>
  <c r="K490" i="12"/>
  <c r="J490" i="12"/>
  <c r="I490" i="12"/>
  <c r="H490" i="12"/>
  <c r="G490" i="12"/>
  <c r="F490" i="12"/>
  <c r="E490" i="12"/>
  <c r="N490" i="12" s="1"/>
  <c r="D490" i="12"/>
  <c r="C490" i="12"/>
  <c r="B490" i="12"/>
  <c r="A490" i="12"/>
  <c r="K489" i="12"/>
  <c r="J489" i="12"/>
  <c r="I489" i="12"/>
  <c r="H489" i="12"/>
  <c r="G489" i="12"/>
  <c r="F489" i="12"/>
  <c r="E489" i="12"/>
  <c r="N489" i="12" s="1"/>
  <c r="D489" i="12"/>
  <c r="C489" i="12"/>
  <c r="B489" i="12"/>
  <c r="A489" i="12"/>
  <c r="K488" i="12"/>
  <c r="J488" i="12"/>
  <c r="I488" i="12"/>
  <c r="H488" i="12"/>
  <c r="G488" i="12"/>
  <c r="F488" i="12"/>
  <c r="E488" i="12"/>
  <c r="N488" i="12" s="1"/>
  <c r="D488" i="12"/>
  <c r="C488" i="12"/>
  <c r="B488" i="12"/>
  <c r="A488" i="12"/>
  <c r="K487" i="12"/>
  <c r="J487" i="12"/>
  <c r="I487" i="12"/>
  <c r="H487" i="12"/>
  <c r="G487" i="12"/>
  <c r="F487" i="12"/>
  <c r="E487" i="12"/>
  <c r="N487" i="12" s="1"/>
  <c r="D487" i="12"/>
  <c r="C487" i="12"/>
  <c r="B487" i="12"/>
  <c r="A487" i="12"/>
  <c r="K486" i="12"/>
  <c r="J486" i="12"/>
  <c r="I486" i="12"/>
  <c r="H486" i="12"/>
  <c r="G486" i="12"/>
  <c r="F486" i="12"/>
  <c r="E486" i="12"/>
  <c r="N486" i="12" s="1"/>
  <c r="D486" i="12"/>
  <c r="C486" i="12"/>
  <c r="B486" i="12"/>
  <c r="A486" i="12"/>
  <c r="K485" i="12"/>
  <c r="J485" i="12"/>
  <c r="I485" i="12"/>
  <c r="H485" i="12"/>
  <c r="G485" i="12"/>
  <c r="F485" i="12"/>
  <c r="E485" i="12"/>
  <c r="N485" i="12" s="1"/>
  <c r="D485" i="12"/>
  <c r="C485" i="12"/>
  <c r="B485" i="12"/>
  <c r="A485" i="12"/>
  <c r="K484" i="12"/>
  <c r="J484" i="12"/>
  <c r="I484" i="12"/>
  <c r="H484" i="12"/>
  <c r="G484" i="12"/>
  <c r="F484" i="12"/>
  <c r="E484" i="12"/>
  <c r="N484" i="12" s="1"/>
  <c r="D484" i="12"/>
  <c r="C484" i="12"/>
  <c r="B484" i="12"/>
  <c r="A484" i="12"/>
  <c r="K483" i="12"/>
  <c r="J483" i="12"/>
  <c r="I483" i="12"/>
  <c r="H483" i="12"/>
  <c r="G483" i="12"/>
  <c r="F483" i="12"/>
  <c r="E483" i="12"/>
  <c r="N483" i="12" s="1"/>
  <c r="D483" i="12"/>
  <c r="C483" i="12"/>
  <c r="B483" i="12"/>
  <c r="A483" i="12"/>
  <c r="K482" i="12"/>
  <c r="J482" i="12"/>
  <c r="I482" i="12"/>
  <c r="H482" i="12"/>
  <c r="G482" i="12"/>
  <c r="F482" i="12"/>
  <c r="E482" i="12"/>
  <c r="N482" i="12" s="1"/>
  <c r="D482" i="12"/>
  <c r="C482" i="12"/>
  <c r="B482" i="12"/>
  <c r="A482" i="12"/>
  <c r="K481" i="12"/>
  <c r="J481" i="12"/>
  <c r="I481" i="12"/>
  <c r="H481" i="12"/>
  <c r="G481" i="12"/>
  <c r="F481" i="12"/>
  <c r="E481" i="12"/>
  <c r="N481" i="12" s="1"/>
  <c r="D481" i="12"/>
  <c r="C481" i="12"/>
  <c r="B481" i="12"/>
  <c r="A481" i="12"/>
  <c r="K480" i="12"/>
  <c r="J480" i="12"/>
  <c r="I480" i="12"/>
  <c r="H480" i="12"/>
  <c r="G480" i="12"/>
  <c r="F480" i="12"/>
  <c r="E480" i="12"/>
  <c r="N480" i="12" s="1"/>
  <c r="D480" i="12"/>
  <c r="C480" i="12"/>
  <c r="B480" i="12"/>
  <c r="A480" i="12"/>
  <c r="K479" i="12"/>
  <c r="J479" i="12"/>
  <c r="I479" i="12"/>
  <c r="H479" i="12"/>
  <c r="G479" i="12"/>
  <c r="F479" i="12"/>
  <c r="E479" i="12"/>
  <c r="N479" i="12" s="1"/>
  <c r="D479" i="12"/>
  <c r="C479" i="12"/>
  <c r="B479" i="12"/>
  <c r="A479" i="12"/>
  <c r="K478" i="12"/>
  <c r="J478" i="12"/>
  <c r="I478" i="12"/>
  <c r="H478" i="12"/>
  <c r="G478" i="12"/>
  <c r="F478" i="12"/>
  <c r="E478" i="12"/>
  <c r="N478" i="12" s="1"/>
  <c r="D478" i="12"/>
  <c r="C478" i="12"/>
  <c r="B478" i="12"/>
  <c r="A478" i="12"/>
  <c r="K477" i="12"/>
  <c r="J477" i="12"/>
  <c r="I477" i="12"/>
  <c r="H477" i="12"/>
  <c r="G477" i="12"/>
  <c r="F477" i="12"/>
  <c r="E477" i="12"/>
  <c r="N477" i="12" s="1"/>
  <c r="D477" i="12"/>
  <c r="C477" i="12"/>
  <c r="B477" i="12"/>
  <c r="A477" i="12"/>
  <c r="K476" i="12"/>
  <c r="J476" i="12"/>
  <c r="I476" i="12"/>
  <c r="H476" i="12"/>
  <c r="G476" i="12"/>
  <c r="F476" i="12"/>
  <c r="E476" i="12"/>
  <c r="N476" i="12" s="1"/>
  <c r="D476" i="12"/>
  <c r="C476" i="12"/>
  <c r="B476" i="12"/>
  <c r="A476" i="12"/>
  <c r="K475" i="12"/>
  <c r="J475" i="12"/>
  <c r="I475" i="12"/>
  <c r="H475" i="12"/>
  <c r="G475" i="12"/>
  <c r="F475" i="12"/>
  <c r="E475" i="12"/>
  <c r="N475" i="12" s="1"/>
  <c r="D475" i="12"/>
  <c r="C475" i="12"/>
  <c r="B475" i="12"/>
  <c r="A475" i="12"/>
  <c r="K474" i="12"/>
  <c r="J474" i="12"/>
  <c r="I474" i="12"/>
  <c r="H474" i="12"/>
  <c r="G474" i="12"/>
  <c r="F474" i="12"/>
  <c r="E474" i="12"/>
  <c r="N474" i="12" s="1"/>
  <c r="D474" i="12"/>
  <c r="C474" i="12"/>
  <c r="B474" i="12"/>
  <c r="A474" i="12"/>
  <c r="K473" i="12"/>
  <c r="J473" i="12"/>
  <c r="I473" i="12"/>
  <c r="H473" i="12"/>
  <c r="G473" i="12"/>
  <c r="F473" i="12"/>
  <c r="E473" i="12"/>
  <c r="N473" i="12" s="1"/>
  <c r="D473" i="12"/>
  <c r="C473" i="12"/>
  <c r="B473" i="12"/>
  <c r="A473" i="12"/>
  <c r="K472" i="12"/>
  <c r="J472" i="12"/>
  <c r="I472" i="12"/>
  <c r="H472" i="12"/>
  <c r="G472" i="12"/>
  <c r="F472" i="12"/>
  <c r="E472" i="12"/>
  <c r="N472" i="12" s="1"/>
  <c r="D472" i="12"/>
  <c r="C472" i="12"/>
  <c r="B472" i="12"/>
  <c r="A472" i="12"/>
  <c r="K471" i="12"/>
  <c r="J471" i="12"/>
  <c r="I471" i="12"/>
  <c r="H471" i="12"/>
  <c r="G471" i="12"/>
  <c r="F471" i="12"/>
  <c r="E471" i="12"/>
  <c r="N471" i="12" s="1"/>
  <c r="D471" i="12"/>
  <c r="C471" i="12"/>
  <c r="B471" i="12"/>
  <c r="A471" i="12"/>
  <c r="S470" i="12"/>
  <c r="K470" i="12"/>
  <c r="J470" i="12"/>
  <c r="I470" i="12"/>
  <c r="H470" i="12"/>
  <c r="G470" i="12"/>
  <c r="F470" i="12"/>
  <c r="E470" i="12"/>
  <c r="N470" i="12" s="1"/>
  <c r="D470" i="12"/>
  <c r="C470" i="12"/>
  <c r="B470" i="12"/>
  <c r="A470" i="12"/>
  <c r="K469" i="12"/>
  <c r="J469" i="12"/>
  <c r="I469" i="12"/>
  <c r="H469" i="12"/>
  <c r="G469" i="12"/>
  <c r="F469" i="12"/>
  <c r="E469" i="12"/>
  <c r="N469" i="12" s="1"/>
  <c r="D469" i="12"/>
  <c r="C469" i="12"/>
  <c r="B469" i="12"/>
  <c r="A469" i="12"/>
  <c r="K468" i="12"/>
  <c r="J468" i="12"/>
  <c r="I468" i="12"/>
  <c r="H468" i="12"/>
  <c r="G468" i="12"/>
  <c r="F468" i="12"/>
  <c r="E468" i="12"/>
  <c r="N468" i="12" s="1"/>
  <c r="D468" i="12"/>
  <c r="C468" i="12"/>
  <c r="B468" i="12"/>
  <c r="A468" i="12"/>
  <c r="K467" i="12"/>
  <c r="J467" i="12"/>
  <c r="I467" i="12"/>
  <c r="H467" i="12"/>
  <c r="G467" i="12"/>
  <c r="F467" i="12"/>
  <c r="E467" i="12"/>
  <c r="N467" i="12" s="1"/>
  <c r="D467" i="12"/>
  <c r="C467" i="12"/>
  <c r="B467" i="12"/>
  <c r="A467" i="12"/>
  <c r="K466" i="12"/>
  <c r="J466" i="12"/>
  <c r="I466" i="12"/>
  <c r="H466" i="12"/>
  <c r="G466" i="12"/>
  <c r="F466" i="12"/>
  <c r="E466" i="12"/>
  <c r="N466" i="12" s="1"/>
  <c r="D466" i="12"/>
  <c r="C466" i="12"/>
  <c r="B466" i="12"/>
  <c r="A466" i="12"/>
  <c r="K465" i="12"/>
  <c r="J465" i="12"/>
  <c r="I465" i="12"/>
  <c r="H465" i="12"/>
  <c r="G465" i="12"/>
  <c r="F465" i="12"/>
  <c r="E465" i="12"/>
  <c r="N465" i="12" s="1"/>
  <c r="D465" i="12"/>
  <c r="C465" i="12"/>
  <c r="B465" i="12"/>
  <c r="A465" i="12"/>
  <c r="K464" i="12"/>
  <c r="J464" i="12"/>
  <c r="I464" i="12"/>
  <c r="H464" i="12"/>
  <c r="G464" i="12"/>
  <c r="F464" i="12"/>
  <c r="E464" i="12"/>
  <c r="N464" i="12" s="1"/>
  <c r="D464" i="12"/>
  <c r="C464" i="12"/>
  <c r="B464" i="12"/>
  <c r="A464" i="12"/>
  <c r="K463" i="12"/>
  <c r="J463" i="12"/>
  <c r="I463" i="12"/>
  <c r="H463" i="12"/>
  <c r="G463" i="12"/>
  <c r="F463" i="12"/>
  <c r="E463" i="12"/>
  <c r="N463" i="12" s="1"/>
  <c r="D463" i="12"/>
  <c r="C463" i="12"/>
  <c r="B463" i="12"/>
  <c r="A463" i="12"/>
  <c r="K462" i="12"/>
  <c r="J462" i="12"/>
  <c r="I462" i="12"/>
  <c r="H462" i="12"/>
  <c r="G462" i="12"/>
  <c r="F462" i="12"/>
  <c r="E462" i="12"/>
  <c r="N462" i="12" s="1"/>
  <c r="D462" i="12"/>
  <c r="C462" i="12"/>
  <c r="B462" i="12"/>
  <c r="A462" i="12"/>
  <c r="K461" i="12"/>
  <c r="J461" i="12"/>
  <c r="I461" i="12"/>
  <c r="H461" i="12"/>
  <c r="G461" i="12"/>
  <c r="F461" i="12"/>
  <c r="E461" i="12"/>
  <c r="N461" i="12" s="1"/>
  <c r="D461" i="12"/>
  <c r="C461" i="12"/>
  <c r="B461" i="12"/>
  <c r="A461" i="12"/>
  <c r="K460" i="12"/>
  <c r="J460" i="12"/>
  <c r="I460" i="12"/>
  <c r="H460" i="12"/>
  <c r="G460" i="12"/>
  <c r="F460" i="12"/>
  <c r="E460" i="12"/>
  <c r="N460" i="12" s="1"/>
  <c r="D460" i="12"/>
  <c r="C460" i="12"/>
  <c r="B460" i="12"/>
  <c r="A460" i="12"/>
  <c r="K459" i="12"/>
  <c r="J459" i="12"/>
  <c r="I459" i="12"/>
  <c r="H459" i="12"/>
  <c r="G459" i="12"/>
  <c r="F459" i="12"/>
  <c r="E459" i="12"/>
  <c r="N459" i="12" s="1"/>
  <c r="D459" i="12"/>
  <c r="C459" i="12"/>
  <c r="B459" i="12"/>
  <c r="A459" i="12"/>
  <c r="K458" i="12"/>
  <c r="J458" i="12"/>
  <c r="I458" i="12"/>
  <c r="H458" i="12"/>
  <c r="G458" i="12"/>
  <c r="F458" i="12"/>
  <c r="E458" i="12"/>
  <c r="N458" i="12" s="1"/>
  <c r="D458" i="12"/>
  <c r="C458" i="12"/>
  <c r="B458" i="12"/>
  <c r="A458" i="12"/>
  <c r="K457" i="12"/>
  <c r="J457" i="12"/>
  <c r="I457" i="12"/>
  <c r="H457" i="12"/>
  <c r="G457" i="12"/>
  <c r="F457" i="12"/>
  <c r="E457" i="12"/>
  <c r="N457" i="12" s="1"/>
  <c r="D457" i="12"/>
  <c r="C457" i="12"/>
  <c r="B457" i="12"/>
  <c r="A457" i="12"/>
  <c r="K456" i="12"/>
  <c r="J456" i="12"/>
  <c r="I456" i="12"/>
  <c r="H456" i="12"/>
  <c r="G456" i="12"/>
  <c r="F456" i="12"/>
  <c r="E456" i="12"/>
  <c r="N456" i="12" s="1"/>
  <c r="D456" i="12"/>
  <c r="C456" i="12"/>
  <c r="B456" i="12"/>
  <c r="A456" i="12"/>
  <c r="K455" i="12"/>
  <c r="J455" i="12"/>
  <c r="I455" i="12"/>
  <c r="H455" i="12"/>
  <c r="G455" i="12"/>
  <c r="F455" i="12"/>
  <c r="E455" i="12"/>
  <c r="N455" i="12" s="1"/>
  <c r="D455" i="12"/>
  <c r="C455" i="12"/>
  <c r="B455" i="12"/>
  <c r="A455" i="12"/>
  <c r="K454" i="12"/>
  <c r="J454" i="12"/>
  <c r="I454" i="12"/>
  <c r="H454" i="12"/>
  <c r="G454" i="12"/>
  <c r="F454" i="12"/>
  <c r="E454" i="12"/>
  <c r="N454" i="12" s="1"/>
  <c r="D454" i="12"/>
  <c r="C454" i="12"/>
  <c r="B454" i="12"/>
  <c r="A454" i="12"/>
  <c r="K453" i="12"/>
  <c r="J453" i="12"/>
  <c r="I453" i="12"/>
  <c r="H453" i="12"/>
  <c r="G453" i="12"/>
  <c r="F453" i="12"/>
  <c r="E453" i="12"/>
  <c r="N453" i="12" s="1"/>
  <c r="D453" i="12"/>
  <c r="C453" i="12"/>
  <c r="B453" i="12"/>
  <c r="A453" i="12"/>
  <c r="K452" i="12"/>
  <c r="J452" i="12"/>
  <c r="I452" i="12"/>
  <c r="H452" i="12"/>
  <c r="G452" i="12"/>
  <c r="F452" i="12"/>
  <c r="E452" i="12"/>
  <c r="N452" i="12" s="1"/>
  <c r="D452" i="12"/>
  <c r="C452" i="12"/>
  <c r="B452" i="12"/>
  <c r="A452" i="12"/>
  <c r="K451" i="12"/>
  <c r="J451" i="12"/>
  <c r="I451" i="12"/>
  <c r="H451" i="12"/>
  <c r="G451" i="12"/>
  <c r="F451" i="12"/>
  <c r="E451" i="12"/>
  <c r="N451" i="12" s="1"/>
  <c r="D451" i="12"/>
  <c r="C451" i="12"/>
  <c r="B451" i="12"/>
  <c r="A451" i="12"/>
  <c r="K450" i="12"/>
  <c r="J450" i="12"/>
  <c r="I450" i="12"/>
  <c r="H450" i="12"/>
  <c r="G450" i="12"/>
  <c r="F450" i="12"/>
  <c r="E450" i="12"/>
  <c r="N450" i="12" s="1"/>
  <c r="D450" i="12"/>
  <c r="C450" i="12"/>
  <c r="B450" i="12"/>
  <c r="A450" i="12"/>
  <c r="K449" i="12"/>
  <c r="J449" i="12"/>
  <c r="I449" i="12"/>
  <c r="H449" i="12"/>
  <c r="G449" i="12"/>
  <c r="F449" i="12"/>
  <c r="E449" i="12"/>
  <c r="N449" i="12" s="1"/>
  <c r="D449" i="12"/>
  <c r="C449" i="12"/>
  <c r="B449" i="12"/>
  <c r="A449" i="12"/>
  <c r="K448" i="12"/>
  <c r="J448" i="12"/>
  <c r="I448" i="12"/>
  <c r="H448" i="12"/>
  <c r="G448" i="12"/>
  <c r="F448" i="12"/>
  <c r="E448" i="12"/>
  <c r="N448" i="12" s="1"/>
  <c r="D448" i="12"/>
  <c r="C448" i="12"/>
  <c r="B448" i="12"/>
  <c r="A448" i="12"/>
  <c r="K447" i="12"/>
  <c r="J447" i="12"/>
  <c r="I447" i="12"/>
  <c r="H447" i="12"/>
  <c r="G447" i="12"/>
  <c r="F447" i="12"/>
  <c r="E447" i="12"/>
  <c r="N447" i="12" s="1"/>
  <c r="D447" i="12"/>
  <c r="C447" i="12"/>
  <c r="B447" i="12"/>
  <c r="A447" i="12"/>
  <c r="K446" i="12"/>
  <c r="J446" i="12"/>
  <c r="I446" i="12"/>
  <c r="H446" i="12"/>
  <c r="G446" i="12"/>
  <c r="F446" i="12"/>
  <c r="E446" i="12"/>
  <c r="N446" i="12" s="1"/>
  <c r="D446" i="12"/>
  <c r="C446" i="12"/>
  <c r="B446" i="12"/>
  <c r="A446" i="12"/>
  <c r="K445" i="12"/>
  <c r="J445" i="12"/>
  <c r="I445" i="12"/>
  <c r="H445" i="12"/>
  <c r="G445" i="12"/>
  <c r="F445" i="12"/>
  <c r="E445" i="12"/>
  <c r="N445" i="12" s="1"/>
  <c r="D445" i="12"/>
  <c r="C445" i="12"/>
  <c r="B445" i="12"/>
  <c r="A445" i="12"/>
  <c r="K444" i="12"/>
  <c r="J444" i="12"/>
  <c r="I444" i="12"/>
  <c r="H444" i="12"/>
  <c r="G444" i="12"/>
  <c r="F444" i="12"/>
  <c r="E444" i="12"/>
  <c r="N444" i="12" s="1"/>
  <c r="D444" i="12"/>
  <c r="C444" i="12"/>
  <c r="B444" i="12"/>
  <c r="A444" i="12"/>
  <c r="K443" i="12"/>
  <c r="J443" i="12"/>
  <c r="I443" i="12"/>
  <c r="H443" i="12"/>
  <c r="G443" i="12"/>
  <c r="F443" i="12"/>
  <c r="E443" i="12"/>
  <c r="N443" i="12" s="1"/>
  <c r="D443" i="12"/>
  <c r="C443" i="12"/>
  <c r="B443" i="12"/>
  <c r="A443" i="12"/>
  <c r="K442" i="12"/>
  <c r="J442" i="12"/>
  <c r="I442" i="12"/>
  <c r="H442" i="12"/>
  <c r="G442" i="12"/>
  <c r="F442" i="12"/>
  <c r="E442" i="12"/>
  <c r="N442" i="12" s="1"/>
  <c r="D442" i="12"/>
  <c r="C442" i="12"/>
  <c r="B442" i="12"/>
  <c r="A442" i="12"/>
  <c r="K441" i="12"/>
  <c r="J441" i="12"/>
  <c r="I441" i="12"/>
  <c r="H441" i="12"/>
  <c r="G441" i="12"/>
  <c r="F441" i="12"/>
  <c r="E441" i="12"/>
  <c r="N441" i="12" s="1"/>
  <c r="D441" i="12"/>
  <c r="C441" i="12"/>
  <c r="B441" i="12"/>
  <c r="A441" i="12"/>
  <c r="K440" i="12"/>
  <c r="J440" i="12"/>
  <c r="I440" i="12"/>
  <c r="H440" i="12"/>
  <c r="G440" i="12"/>
  <c r="F440" i="12"/>
  <c r="E440" i="12"/>
  <c r="N440" i="12" s="1"/>
  <c r="D440" i="12"/>
  <c r="C440" i="12"/>
  <c r="B440" i="12"/>
  <c r="A440" i="12"/>
  <c r="K439" i="12"/>
  <c r="J439" i="12"/>
  <c r="I439" i="12"/>
  <c r="H439" i="12"/>
  <c r="G439" i="12"/>
  <c r="F439" i="12"/>
  <c r="E439" i="12"/>
  <c r="N439" i="12" s="1"/>
  <c r="D439" i="12"/>
  <c r="C439" i="12"/>
  <c r="B439" i="12"/>
  <c r="A439" i="12"/>
  <c r="K438" i="12"/>
  <c r="J438" i="12"/>
  <c r="I438" i="12"/>
  <c r="H438" i="12"/>
  <c r="G438" i="12"/>
  <c r="F438" i="12"/>
  <c r="E438" i="12"/>
  <c r="N438" i="12" s="1"/>
  <c r="D438" i="12"/>
  <c r="C438" i="12"/>
  <c r="B438" i="12"/>
  <c r="A438" i="12"/>
  <c r="K437" i="12"/>
  <c r="J437" i="12"/>
  <c r="I437" i="12"/>
  <c r="H437" i="12"/>
  <c r="G437" i="12"/>
  <c r="F437" i="12"/>
  <c r="E437" i="12"/>
  <c r="N437" i="12" s="1"/>
  <c r="D437" i="12"/>
  <c r="C437" i="12"/>
  <c r="B437" i="12"/>
  <c r="A437" i="12"/>
  <c r="K436" i="12"/>
  <c r="J436" i="12"/>
  <c r="I436" i="12"/>
  <c r="H436" i="12"/>
  <c r="G436" i="12"/>
  <c r="F436" i="12"/>
  <c r="E436" i="12"/>
  <c r="N436" i="12" s="1"/>
  <c r="D436" i="12"/>
  <c r="C436" i="12"/>
  <c r="B436" i="12"/>
  <c r="A436" i="12"/>
  <c r="K435" i="12"/>
  <c r="J435" i="12"/>
  <c r="I435" i="12"/>
  <c r="H435" i="12"/>
  <c r="G435" i="12"/>
  <c r="F435" i="12"/>
  <c r="E435" i="12"/>
  <c r="N435" i="12" s="1"/>
  <c r="D435" i="12"/>
  <c r="C435" i="12"/>
  <c r="B435" i="12"/>
  <c r="A435" i="12"/>
  <c r="K434" i="12"/>
  <c r="J434" i="12"/>
  <c r="I434" i="12"/>
  <c r="H434" i="12"/>
  <c r="G434" i="12"/>
  <c r="F434" i="12"/>
  <c r="E434" i="12"/>
  <c r="N434" i="12" s="1"/>
  <c r="D434" i="12"/>
  <c r="C434" i="12"/>
  <c r="B434" i="12"/>
  <c r="A434" i="12"/>
  <c r="K433" i="12"/>
  <c r="J433" i="12"/>
  <c r="I433" i="12"/>
  <c r="H433" i="12"/>
  <c r="G433" i="12"/>
  <c r="F433" i="12"/>
  <c r="E433" i="12"/>
  <c r="N433" i="12" s="1"/>
  <c r="D433" i="12"/>
  <c r="C433" i="12"/>
  <c r="B433" i="12"/>
  <c r="A433" i="12"/>
  <c r="K432" i="12"/>
  <c r="J432" i="12"/>
  <c r="I432" i="12"/>
  <c r="H432" i="12"/>
  <c r="G432" i="12"/>
  <c r="F432" i="12"/>
  <c r="E432" i="12"/>
  <c r="N432" i="12" s="1"/>
  <c r="D432" i="12"/>
  <c r="C432" i="12"/>
  <c r="B432" i="12"/>
  <c r="A432" i="12"/>
  <c r="K431" i="12"/>
  <c r="J431" i="12"/>
  <c r="I431" i="12"/>
  <c r="H431" i="12"/>
  <c r="G431" i="12"/>
  <c r="F431" i="12"/>
  <c r="E431" i="12"/>
  <c r="N431" i="12" s="1"/>
  <c r="D431" i="12"/>
  <c r="C431" i="12"/>
  <c r="B431" i="12"/>
  <c r="A431" i="12"/>
  <c r="K430" i="12"/>
  <c r="J430" i="12"/>
  <c r="I430" i="12"/>
  <c r="H430" i="12"/>
  <c r="G430" i="12"/>
  <c r="F430" i="12"/>
  <c r="E430" i="12"/>
  <c r="N430" i="12" s="1"/>
  <c r="D430" i="12"/>
  <c r="C430" i="12"/>
  <c r="B430" i="12"/>
  <c r="A430" i="12"/>
  <c r="K429" i="12"/>
  <c r="J429" i="12"/>
  <c r="I429" i="12"/>
  <c r="H429" i="12"/>
  <c r="G429" i="12"/>
  <c r="F429" i="12"/>
  <c r="E429" i="12"/>
  <c r="N429" i="12" s="1"/>
  <c r="D429" i="12"/>
  <c r="C429" i="12"/>
  <c r="B429" i="12"/>
  <c r="A429" i="12"/>
  <c r="K428" i="12"/>
  <c r="J428" i="12"/>
  <c r="I428" i="12"/>
  <c r="H428" i="12"/>
  <c r="G428" i="12"/>
  <c r="F428" i="12"/>
  <c r="E428" i="12"/>
  <c r="N428" i="12" s="1"/>
  <c r="D428" i="12"/>
  <c r="C428" i="12"/>
  <c r="B428" i="12"/>
  <c r="A428" i="12"/>
  <c r="K427" i="12"/>
  <c r="J427" i="12"/>
  <c r="I427" i="12"/>
  <c r="H427" i="12"/>
  <c r="G427" i="12"/>
  <c r="F427" i="12"/>
  <c r="E427" i="12"/>
  <c r="N427" i="12" s="1"/>
  <c r="D427" i="12"/>
  <c r="C427" i="12"/>
  <c r="B427" i="12"/>
  <c r="A427" i="12"/>
  <c r="K426" i="12"/>
  <c r="J426" i="12"/>
  <c r="I426" i="12"/>
  <c r="H426" i="12"/>
  <c r="G426" i="12"/>
  <c r="F426" i="12"/>
  <c r="E426" i="12"/>
  <c r="N426" i="12" s="1"/>
  <c r="D426" i="12"/>
  <c r="C426" i="12"/>
  <c r="B426" i="12"/>
  <c r="A426" i="12"/>
  <c r="K425" i="12"/>
  <c r="J425" i="12"/>
  <c r="I425" i="12"/>
  <c r="H425" i="12"/>
  <c r="G425" i="12"/>
  <c r="F425" i="12"/>
  <c r="E425" i="12"/>
  <c r="N425" i="12" s="1"/>
  <c r="D425" i="12"/>
  <c r="C425" i="12"/>
  <c r="B425" i="12"/>
  <c r="A425" i="12"/>
  <c r="K424" i="12"/>
  <c r="J424" i="12"/>
  <c r="I424" i="12"/>
  <c r="H424" i="12"/>
  <c r="G424" i="12"/>
  <c r="F424" i="12"/>
  <c r="E424" i="12"/>
  <c r="N424" i="12" s="1"/>
  <c r="D424" i="12"/>
  <c r="C424" i="12"/>
  <c r="B424" i="12"/>
  <c r="A424" i="12"/>
  <c r="K423" i="12"/>
  <c r="J423" i="12"/>
  <c r="I423" i="12"/>
  <c r="H423" i="12"/>
  <c r="G423" i="12"/>
  <c r="F423" i="12"/>
  <c r="E423" i="12"/>
  <c r="N423" i="12" s="1"/>
  <c r="D423" i="12"/>
  <c r="C423" i="12"/>
  <c r="B423" i="12"/>
  <c r="A423" i="12"/>
  <c r="K422" i="12"/>
  <c r="J422" i="12"/>
  <c r="I422" i="12"/>
  <c r="H422" i="12"/>
  <c r="G422" i="12"/>
  <c r="F422" i="12"/>
  <c r="E422" i="12"/>
  <c r="N422" i="12" s="1"/>
  <c r="D422" i="12"/>
  <c r="C422" i="12"/>
  <c r="B422" i="12"/>
  <c r="A422" i="12"/>
  <c r="K421" i="12"/>
  <c r="J421" i="12"/>
  <c r="I421" i="12"/>
  <c r="H421" i="12"/>
  <c r="G421" i="12"/>
  <c r="F421" i="12"/>
  <c r="E421" i="12"/>
  <c r="N421" i="12" s="1"/>
  <c r="D421" i="12"/>
  <c r="C421" i="12"/>
  <c r="B421" i="12"/>
  <c r="A421" i="12"/>
  <c r="K420" i="12"/>
  <c r="J420" i="12"/>
  <c r="I420" i="12"/>
  <c r="H420" i="12"/>
  <c r="G420" i="12"/>
  <c r="F420" i="12"/>
  <c r="E420" i="12"/>
  <c r="N420" i="12" s="1"/>
  <c r="D420" i="12"/>
  <c r="C420" i="12"/>
  <c r="B420" i="12"/>
  <c r="A420" i="12"/>
  <c r="K419" i="12"/>
  <c r="J419" i="12"/>
  <c r="I419" i="12"/>
  <c r="H419" i="12"/>
  <c r="G419" i="12"/>
  <c r="F419" i="12"/>
  <c r="E419" i="12"/>
  <c r="N419" i="12" s="1"/>
  <c r="D419" i="12"/>
  <c r="C419" i="12"/>
  <c r="B419" i="12"/>
  <c r="A419" i="12"/>
  <c r="K418" i="12"/>
  <c r="J418" i="12"/>
  <c r="I418" i="12"/>
  <c r="H418" i="12"/>
  <c r="G418" i="12"/>
  <c r="F418" i="12"/>
  <c r="E418" i="12"/>
  <c r="N418" i="12" s="1"/>
  <c r="D418" i="12"/>
  <c r="C418" i="12"/>
  <c r="B418" i="12"/>
  <c r="A418" i="12"/>
  <c r="K417" i="12"/>
  <c r="J417" i="12"/>
  <c r="I417" i="12"/>
  <c r="H417" i="12"/>
  <c r="G417" i="12"/>
  <c r="F417" i="12"/>
  <c r="E417" i="12"/>
  <c r="N417" i="12" s="1"/>
  <c r="D417" i="12"/>
  <c r="C417" i="12"/>
  <c r="B417" i="12"/>
  <c r="A417" i="12"/>
  <c r="K416" i="12"/>
  <c r="J416" i="12"/>
  <c r="I416" i="12"/>
  <c r="H416" i="12"/>
  <c r="G416" i="12"/>
  <c r="F416" i="12"/>
  <c r="E416" i="12"/>
  <c r="N416" i="12" s="1"/>
  <c r="D416" i="12"/>
  <c r="C416" i="12"/>
  <c r="B416" i="12"/>
  <c r="A416" i="12"/>
  <c r="K415" i="12"/>
  <c r="J415" i="12"/>
  <c r="I415" i="12"/>
  <c r="H415" i="12"/>
  <c r="G415" i="12"/>
  <c r="F415" i="12"/>
  <c r="E415" i="12"/>
  <c r="N415" i="12" s="1"/>
  <c r="D415" i="12"/>
  <c r="C415" i="12"/>
  <c r="B415" i="12"/>
  <c r="A415" i="12"/>
  <c r="K414" i="12"/>
  <c r="J414" i="12"/>
  <c r="I414" i="12"/>
  <c r="H414" i="12"/>
  <c r="G414" i="12"/>
  <c r="F414" i="12"/>
  <c r="E414" i="12"/>
  <c r="N414" i="12" s="1"/>
  <c r="D414" i="12"/>
  <c r="C414" i="12"/>
  <c r="B414" i="12"/>
  <c r="A414" i="12"/>
  <c r="K413" i="12"/>
  <c r="J413" i="12"/>
  <c r="I413" i="12"/>
  <c r="H413" i="12"/>
  <c r="G413" i="12"/>
  <c r="F413" i="12"/>
  <c r="E413" i="12"/>
  <c r="N413" i="12" s="1"/>
  <c r="D413" i="12"/>
  <c r="C413" i="12"/>
  <c r="B413" i="12"/>
  <c r="A413" i="12"/>
  <c r="K412" i="12"/>
  <c r="J412" i="12"/>
  <c r="I412" i="12"/>
  <c r="H412" i="12"/>
  <c r="G412" i="12"/>
  <c r="F412" i="12"/>
  <c r="E412" i="12"/>
  <c r="N412" i="12" s="1"/>
  <c r="D412" i="12"/>
  <c r="C412" i="12"/>
  <c r="B412" i="12"/>
  <c r="A412" i="12"/>
  <c r="K411" i="12"/>
  <c r="J411" i="12"/>
  <c r="I411" i="12"/>
  <c r="H411" i="12"/>
  <c r="G411" i="12"/>
  <c r="F411" i="12"/>
  <c r="E411" i="12"/>
  <c r="N411" i="12" s="1"/>
  <c r="D411" i="12"/>
  <c r="C411" i="12"/>
  <c r="B411" i="12"/>
  <c r="A411" i="12"/>
  <c r="K410" i="12"/>
  <c r="J410" i="12"/>
  <c r="I410" i="12"/>
  <c r="H410" i="12"/>
  <c r="G410" i="12"/>
  <c r="F410" i="12"/>
  <c r="E410" i="12"/>
  <c r="N410" i="12" s="1"/>
  <c r="D410" i="12"/>
  <c r="C410" i="12"/>
  <c r="B410" i="12"/>
  <c r="A410" i="12"/>
  <c r="K409" i="12"/>
  <c r="J409" i="12"/>
  <c r="I409" i="12"/>
  <c r="H409" i="12"/>
  <c r="G409" i="12"/>
  <c r="F409" i="12"/>
  <c r="E409" i="12"/>
  <c r="N409" i="12" s="1"/>
  <c r="D409" i="12"/>
  <c r="C409" i="12"/>
  <c r="B409" i="12"/>
  <c r="A409" i="12"/>
  <c r="K408" i="12"/>
  <c r="J408" i="12"/>
  <c r="I408" i="12"/>
  <c r="H408" i="12"/>
  <c r="G408" i="12"/>
  <c r="F408" i="12"/>
  <c r="E408" i="12"/>
  <c r="N408" i="12" s="1"/>
  <c r="D408" i="12"/>
  <c r="C408" i="12"/>
  <c r="B408" i="12"/>
  <c r="A408" i="12"/>
  <c r="R407" i="12"/>
  <c r="P407" i="12"/>
  <c r="O407" i="12"/>
  <c r="K407" i="12"/>
  <c r="J407" i="12"/>
  <c r="I407" i="12"/>
  <c r="H407" i="12"/>
  <c r="G407" i="12"/>
  <c r="F407" i="12"/>
  <c r="E407" i="12"/>
  <c r="N407" i="12" s="1"/>
  <c r="D407" i="12"/>
  <c r="C407" i="12"/>
  <c r="B407" i="12"/>
  <c r="A407" i="12"/>
  <c r="K406" i="12"/>
  <c r="J406" i="12"/>
  <c r="I406" i="12"/>
  <c r="H406" i="12"/>
  <c r="G406" i="12"/>
  <c r="F406" i="12"/>
  <c r="E406" i="12"/>
  <c r="N406" i="12" s="1"/>
  <c r="D406" i="12"/>
  <c r="C406" i="12"/>
  <c r="B406" i="12"/>
  <c r="A406" i="12"/>
  <c r="K405" i="12"/>
  <c r="J405" i="12"/>
  <c r="I405" i="12"/>
  <c r="H405" i="12"/>
  <c r="G405" i="12"/>
  <c r="F405" i="12"/>
  <c r="E405" i="12"/>
  <c r="N405" i="12" s="1"/>
  <c r="D405" i="12"/>
  <c r="C405" i="12"/>
  <c r="B405" i="12"/>
  <c r="A405" i="12"/>
  <c r="K404" i="12"/>
  <c r="J404" i="12"/>
  <c r="I404" i="12"/>
  <c r="H404" i="12"/>
  <c r="G404" i="12"/>
  <c r="F404" i="12"/>
  <c r="E404" i="12"/>
  <c r="N404" i="12" s="1"/>
  <c r="D404" i="12"/>
  <c r="C404" i="12"/>
  <c r="B404" i="12"/>
  <c r="A404" i="12"/>
  <c r="K403" i="12"/>
  <c r="J403" i="12"/>
  <c r="I403" i="12"/>
  <c r="H403" i="12"/>
  <c r="G403" i="12"/>
  <c r="F403" i="12"/>
  <c r="E403" i="12"/>
  <c r="N403" i="12" s="1"/>
  <c r="D403" i="12"/>
  <c r="C403" i="12"/>
  <c r="B403" i="12"/>
  <c r="A403" i="12"/>
  <c r="K402" i="12"/>
  <c r="J402" i="12"/>
  <c r="I402" i="12"/>
  <c r="H402" i="12"/>
  <c r="G402" i="12"/>
  <c r="F402" i="12"/>
  <c r="E402" i="12"/>
  <c r="N402" i="12" s="1"/>
  <c r="D402" i="12"/>
  <c r="C402" i="12"/>
  <c r="B402" i="12"/>
  <c r="A402" i="12"/>
  <c r="K401" i="12"/>
  <c r="J401" i="12"/>
  <c r="I401" i="12"/>
  <c r="H401" i="12"/>
  <c r="G401" i="12"/>
  <c r="F401" i="12"/>
  <c r="E401" i="12"/>
  <c r="N401" i="12" s="1"/>
  <c r="D401" i="12"/>
  <c r="C401" i="12"/>
  <c r="B401" i="12"/>
  <c r="A401" i="12"/>
  <c r="K400" i="12"/>
  <c r="J400" i="12"/>
  <c r="I400" i="12"/>
  <c r="H400" i="12"/>
  <c r="G400" i="12"/>
  <c r="F400" i="12"/>
  <c r="E400" i="12"/>
  <c r="N400" i="12" s="1"/>
  <c r="D400" i="12"/>
  <c r="C400" i="12"/>
  <c r="B400" i="12"/>
  <c r="A400" i="12"/>
  <c r="K399" i="12"/>
  <c r="J399" i="12"/>
  <c r="I399" i="12"/>
  <c r="H399" i="12"/>
  <c r="G399" i="12"/>
  <c r="F399" i="12"/>
  <c r="E399" i="12"/>
  <c r="N399" i="12" s="1"/>
  <c r="D399" i="12"/>
  <c r="C399" i="12"/>
  <c r="B399" i="12"/>
  <c r="A399" i="12"/>
  <c r="K398" i="12"/>
  <c r="J398" i="12"/>
  <c r="I398" i="12"/>
  <c r="H398" i="12"/>
  <c r="G398" i="12"/>
  <c r="F398" i="12"/>
  <c r="E398" i="12"/>
  <c r="N398" i="12" s="1"/>
  <c r="D398" i="12"/>
  <c r="C398" i="12"/>
  <c r="B398" i="12"/>
  <c r="A398" i="12"/>
  <c r="K397" i="12"/>
  <c r="J397" i="12"/>
  <c r="I397" i="12"/>
  <c r="H397" i="12"/>
  <c r="G397" i="12"/>
  <c r="F397" i="12"/>
  <c r="E397" i="12"/>
  <c r="N397" i="12" s="1"/>
  <c r="D397" i="12"/>
  <c r="C397" i="12"/>
  <c r="B397" i="12"/>
  <c r="A397" i="12"/>
  <c r="K396" i="12"/>
  <c r="J396" i="12"/>
  <c r="I396" i="12"/>
  <c r="H396" i="12"/>
  <c r="G396" i="12"/>
  <c r="F396" i="12"/>
  <c r="E396" i="12"/>
  <c r="N396" i="12" s="1"/>
  <c r="D396" i="12"/>
  <c r="C396" i="12"/>
  <c r="B396" i="12"/>
  <c r="A396" i="12"/>
  <c r="K395" i="12"/>
  <c r="J395" i="12"/>
  <c r="I395" i="12"/>
  <c r="H395" i="12"/>
  <c r="G395" i="12"/>
  <c r="F395" i="12"/>
  <c r="E395" i="12"/>
  <c r="N395" i="12" s="1"/>
  <c r="D395" i="12"/>
  <c r="C395" i="12"/>
  <c r="B395" i="12"/>
  <c r="A395" i="12"/>
  <c r="K394" i="12"/>
  <c r="J394" i="12"/>
  <c r="I394" i="12"/>
  <c r="H394" i="12"/>
  <c r="G394" i="12"/>
  <c r="F394" i="12"/>
  <c r="E394" i="12"/>
  <c r="N394" i="12" s="1"/>
  <c r="D394" i="12"/>
  <c r="C394" i="12"/>
  <c r="B394" i="12"/>
  <c r="A394" i="12"/>
  <c r="K393" i="12"/>
  <c r="J393" i="12"/>
  <c r="I393" i="12"/>
  <c r="H393" i="12"/>
  <c r="G393" i="12"/>
  <c r="F393" i="12"/>
  <c r="E393" i="12"/>
  <c r="N393" i="12" s="1"/>
  <c r="D393" i="12"/>
  <c r="C393" i="12"/>
  <c r="B393" i="12"/>
  <c r="A393" i="12"/>
  <c r="K392" i="12"/>
  <c r="J392" i="12"/>
  <c r="I392" i="12"/>
  <c r="H392" i="12"/>
  <c r="G392" i="12"/>
  <c r="F392" i="12"/>
  <c r="E392" i="12"/>
  <c r="N392" i="12" s="1"/>
  <c r="D392" i="12"/>
  <c r="C392" i="12"/>
  <c r="B392" i="12"/>
  <c r="A392" i="12"/>
  <c r="K391" i="12"/>
  <c r="J391" i="12"/>
  <c r="I391" i="12"/>
  <c r="H391" i="12"/>
  <c r="G391" i="12"/>
  <c r="F391" i="12"/>
  <c r="E391" i="12"/>
  <c r="N391" i="12" s="1"/>
  <c r="D391" i="12"/>
  <c r="C391" i="12"/>
  <c r="B391" i="12"/>
  <c r="A391" i="12"/>
  <c r="K390" i="12"/>
  <c r="J390" i="12"/>
  <c r="I390" i="12"/>
  <c r="H390" i="12"/>
  <c r="G390" i="12"/>
  <c r="F390" i="12"/>
  <c r="E390" i="12"/>
  <c r="N390" i="12" s="1"/>
  <c r="D390" i="12"/>
  <c r="C390" i="12"/>
  <c r="B390" i="12"/>
  <c r="A390" i="12"/>
  <c r="K389" i="12"/>
  <c r="J389" i="12"/>
  <c r="I389" i="12"/>
  <c r="H389" i="12"/>
  <c r="G389" i="12"/>
  <c r="F389" i="12"/>
  <c r="E389" i="12"/>
  <c r="N389" i="12" s="1"/>
  <c r="D389" i="12"/>
  <c r="C389" i="12"/>
  <c r="B389" i="12"/>
  <c r="A389" i="12"/>
  <c r="K388" i="12"/>
  <c r="J388" i="12"/>
  <c r="I388" i="12"/>
  <c r="H388" i="12"/>
  <c r="G388" i="12"/>
  <c r="F388" i="12"/>
  <c r="E388" i="12"/>
  <c r="N388" i="12" s="1"/>
  <c r="D388" i="12"/>
  <c r="C388" i="12"/>
  <c r="B388" i="12"/>
  <c r="A388" i="12"/>
  <c r="K387" i="12"/>
  <c r="J387" i="12"/>
  <c r="I387" i="12"/>
  <c r="H387" i="12"/>
  <c r="G387" i="12"/>
  <c r="F387" i="12"/>
  <c r="E387" i="12"/>
  <c r="N387" i="12" s="1"/>
  <c r="D387" i="12"/>
  <c r="C387" i="12"/>
  <c r="B387" i="12"/>
  <c r="A387" i="12"/>
  <c r="K386" i="12"/>
  <c r="J386" i="12"/>
  <c r="I386" i="12"/>
  <c r="H386" i="12"/>
  <c r="G386" i="12"/>
  <c r="F386" i="12"/>
  <c r="E386" i="12"/>
  <c r="N386" i="12" s="1"/>
  <c r="D386" i="12"/>
  <c r="C386" i="12"/>
  <c r="B386" i="12"/>
  <c r="A386" i="12"/>
  <c r="K385" i="12"/>
  <c r="J385" i="12"/>
  <c r="I385" i="12"/>
  <c r="H385" i="12"/>
  <c r="G385" i="12"/>
  <c r="F385" i="12"/>
  <c r="E385" i="12"/>
  <c r="N385" i="12" s="1"/>
  <c r="D385" i="12"/>
  <c r="C385" i="12"/>
  <c r="B385" i="12"/>
  <c r="A385" i="12"/>
  <c r="K384" i="12"/>
  <c r="J384" i="12"/>
  <c r="I384" i="12"/>
  <c r="H384" i="12"/>
  <c r="G384" i="12"/>
  <c r="F384" i="12"/>
  <c r="E384" i="12"/>
  <c r="N384" i="12" s="1"/>
  <c r="D384" i="12"/>
  <c r="C384" i="12"/>
  <c r="B384" i="12"/>
  <c r="A384" i="12"/>
  <c r="K383" i="12"/>
  <c r="J383" i="12"/>
  <c r="I383" i="12"/>
  <c r="H383" i="12"/>
  <c r="G383" i="12"/>
  <c r="F383" i="12"/>
  <c r="E383" i="12"/>
  <c r="N383" i="12" s="1"/>
  <c r="D383" i="12"/>
  <c r="C383" i="12"/>
  <c r="B383" i="12"/>
  <c r="A383" i="12"/>
  <c r="K382" i="12"/>
  <c r="J382" i="12"/>
  <c r="I382" i="12"/>
  <c r="H382" i="12"/>
  <c r="G382" i="12"/>
  <c r="F382" i="12"/>
  <c r="E382" i="12"/>
  <c r="N382" i="12" s="1"/>
  <c r="D382" i="12"/>
  <c r="C382" i="12"/>
  <c r="B382" i="12"/>
  <c r="A382" i="12"/>
  <c r="K381" i="12"/>
  <c r="J381" i="12"/>
  <c r="I381" i="12"/>
  <c r="H381" i="12"/>
  <c r="G381" i="12"/>
  <c r="F381" i="12"/>
  <c r="E381" i="12"/>
  <c r="N381" i="12" s="1"/>
  <c r="D381" i="12"/>
  <c r="C381" i="12"/>
  <c r="B381" i="12"/>
  <c r="A381" i="12"/>
  <c r="K380" i="12"/>
  <c r="J380" i="12"/>
  <c r="I380" i="12"/>
  <c r="H380" i="12"/>
  <c r="G380" i="12"/>
  <c r="F380" i="12"/>
  <c r="E380" i="12"/>
  <c r="N380" i="12" s="1"/>
  <c r="D380" i="12"/>
  <c r="C380" i="12"/>
  <c r="B380" i="12"/>
  <c r="A380" i="12"/>
  <c r="K379" i="12"/>
  <c r="J379" i="12"/>
  <c r="I379" i="12"/>
  <c r="H379" i="12"/>
  <c r="G379" i="12"/>
  <c r="F379" i="12"/>
  <c r="E379" i="12"/>
  <c r="N379" i="12" s="1"/>
  <c r="D379" i="12"/>
  <c r="C379" i="12"/>
  <c r="B379" i="12"/>
  <c r="A379" i="12"/>
  <c r="K378" i="12"/>
  <c r="J378" i="12"/>
  <c r="I378" i="12"/>
  <c r="H378" i="12"/>
  <c r="G378" i="12"/>
  <c r="F378" i="12"/>
  <c r="E378" i="12"/>
  <c r="N378" i="12" s="1"/>
  <c r="D378" i="12"/>
  <c r="C378" i="12"/>
  <c r="B378" i="12"/>
  <c r="A378" i="12"/>
  <c r="K377" i="12"/>
  <c r="J377" i="12"/>
  <c r="I377" i="12"/>
  <c r="H377" i="12"/>
  <c r="G377" i="12"/>
  <c r="F377" i="12"/>
  <c r="E377" i="12"/>
  <c r="N377" i="12" s="1"/>
  <c r="D377" i="12"/>
  <c r="C377" i="12"/>
  <c r="B377" i="12"/>
  <c r="A377" i="12"/>
  <c r="K376" i="12"/>
  <c r="J376" i="12"/>
  <c r="I376" i="12"/>
  <c r="H376" i="12"/>
  <c r="G376" i="12"/>
  <c r="F376" i="12"/>
  <c r="E376" i="12"/>
  <c r="N376" i="12" s="1"/>
  <c r="D376" i="12"/>
  <c r="C376" i="12"/>
  <c r="B376" i="12"/>
  <c r="A376" i="12"/>
  <c r="K375" i="12"/>
  <c r="J375" i="12"/>
  <c r="I375" i="12"/>
  <c r="H375" i="12"/>
  <c r="G375" i="12"/>
  <c r="F375" i="12"/>
  <c r="E375" i="12"/>
  <c r="N375" i="12" s="1"/>
  <c r="D375" i="12"/>
  <c r="C375" i="12"/>
  <c r="B375" i="12"/>
  <c r="A375" i="12"/>
  <c r="K374" i="12"/>
  <c r="J374" i="12"/>
  <c r="I374" i="12"/>
  <c r="H374" i="12"/>
  <c r="G374" i="12"/>
  <c r="F374" i="12"/>
  <c r="E374" i="12"/>
  <c r="N374" i="12" s="1"/>
  <c r="D374" i="12"/>
  <c r="C374" i="12"/>
  <c r="B374" i="12"/>
  <c r="A374" i="12"/>
  <c r="K373" i="12"/>
  <c r="J373" i="12"/>
  <c r="I373" i="12"/>
  <c r="H373" i="12"/>
  <c r="G373" i="12"/>
  <c r="F373" i="12"/>
  <c r="E373" i="12"/>
  <c r="N373" i="12" s="1"/>
  <c r="D373" i="12"/>
  <c r="C373" i="12"/>
  <c r="B373" i="12"/>
  <c r="A373" i="12"/>
  <c r="K372" i="12"/>
  <c r="J372" i="12"/>
  <c r="I372" i="12"/>
  <c r="H372" i="12"/>
  <c r="G372" i="12"/>
  <c r="F372" i="12"/>
  <c r="E372" i="12"/>
  <c r="N372" i="12" s="1"/>
  <c r="D372" i="12"/>
  <c r="C372" i="12"/>
  <c r="B372" i="12"/>
  <c r="A372" i="12"/>
  <c r="K371" i="12"/>
  <c r="J371" i="12"/>
  <c r="I371" i="12"/>
  <c r="H371" i="12"/>
  <c r="G371" i="12"/>
  <c r="F371" i="12"/>
  <c r="E371" i="12"/>
  <c r="N371" i="12" s="1"/>
  <c r="D371" i="12"/>
  <c r="C371" i="12"/>
  <c r="B371" i="12"/>
  <c r="A371" i="12"/>
  <c r="K370" i="12"/>
  <c r="J370" i="12"/>
  <c r="I370" i="12"/>
  <c r="H370" i="12"/>
  <c r="G370" i="12"/>
  <c r="F370" i="12"/>
  <c r="E370" i="12"/>
  <c r="N370" i="12" s="1"/>
  <c r="D370" i="12"/>
  <c r="C370" i="12"/>
  <c r="B370" i="12"/>
  <c r="A370" i="12"/>
  <c r="K369" i="12"/>
  <c r="J369" i="12"/>
  <c r="I369" i="12"/>
  <c r="H369" i="12"/>
  <c r="G369" i="12"/>
  <c r="F369" i="12"/>
  <c r="E369" i="12"/>
  <c r="N369" i="12" s="1"/>
  <c r="D369" i="12"/>
  <c r="C369" i="12"/>
  <c r="B369" i="12"/>
  <c r="A369" i="12"/>
  <c r="K368" i="12"/>
  <c r="J368" i="12"/>
  <c r="I368" i="12"/>
  <c r="H368" i="12"/>
  <c r="G368" i="12"/>
  <c r="F368" i="12"/>
  <c r="E368" i="12"/>
  <c r="N368" i="12" s="1"/>
  <c r="D368" i="12"/>
  <c r="C368" i="12"/>
  <c r="B368" i="12"/>
  <c r="A368" i="12"/>
  <c r="K367" i="12"/>
  <c r="J367" i="12"/>
  <c r="I367" i="12"/>
  <c r="H367" i="12"/>
  <c r="G367" i="12"/>
  <c r="F367" i="12"/>
  <c r="E367" i="12"/>
  <c r="N367" i="12" s="1"/>
  <c r="D367" i="12"/>
  <c r="C367" i="12"/>
  <c r="B367" i="12"/>
  <c r="A367" i="12"/>
  <c r="K366" i="12"/>
  <c r="J366" i="12"/>
  <c r="I366" i="12"/>
  <c r="H366" i="12"/>
  <c r="G366" i="12"/>
  <c r="F366" i="12"/>
  <c r="E366" i="12"/>
  <c r="N366" i="12" s="1"/>
  <c r="D366" i="12"/>
  <c r="C366" i="12"/>
  <c r="B366" i="12"/>
  <c r="A366" i="12"/>
  <c r="K365" i="12"/>
  <c r="J365" i="12"/>
  <c r="I365" i="12"/>
  <c r="H365" i="12"/>
  <c r="G365" i="12"/>
  <c r="F365" i="12"/>
  <c r="E365" i="12"/>
  <c r="N365" i="12" s="1"/>
  <c r="D365" i="12"/>
  <c r="C365" i="12"/>
  <c r="B365" i="12"/>
  <c r="A365" i="12"/>
  <c r="K364" i="12"/>
  <c r="J364" i="12"/>
  <c r="I364" i="12"/>
  <c r="H364" i="12"/>
  <c r="G364" i="12"/>
  <c r="F364" i="12"/>
  <c r="E364" i="12"/>
  <c r="N364" i="12" s="1"/>
  <c r="D364" i="12"/>
  <c r="C364" i="12"/>
  <c r="B364" i="12"/>
  <c r="A364" i="12"/>
  <c r="K363" i="12"/>
  <c r="J363" i="12"/>
  <c r="I363" i="12"/>
  <c r="H363" i="12"/>
  <c r="G363" i="12"/>
  <c r="F363" i="12"/>
  <c r="E363" i="12"/>
  <c r="N363" i="12" s="1"/>
  <c r="D363" i="12"/>
  <c r="C363" i="12"/>
  <c r="B363" i="12"/>
  <c r="A363" i="12"/>
  <c r="K362" i="12"/>
  <c r="J362" i="12"/>
  <c r="I362" i="12"/>
  <c r="H362" i="12"/>
  <c r="G362" i="12"/>
  <c r="F362" i="12"/>
  <c r="E362" i="12"/>
  <c r="N362" i="12" s="1"/>
  <c r="D362" i="12"/>
  <c r="C362" i="12"/>
  <c r="B362" i="12"/>
  <c r="A362" i="12"/>
  <c r="K361" i="12"/>
  <c r="J361" i="12"/>
  <c r="I361" i="12"/>
  <c r="H361" i="12"/>
  <c r="G361" i="12"/>
  <c r="F361" i="12"/>
  <c r="E361" i="12"/>
  <c r="N361" i="12" s="1"/>
  <c r="D361" i="12"/>
  <c r="C361" i="12"/>
  <c r="B361" i="12"/>
  <c r="A361" i="12"/>
  <c r="K360" i="12"/>
  <c r="J360" i="12"/>
  <c r="I360" i="12"/>
  <c r="H360" i="12"/>
  <c r="G360" i="12"/>
  <c r="F360" i="12"/>
  <c r="E360" i="12"/>
  <c r="N360" i="12" s="1"/>
  <c r="D360" i="12"/>
  <c r="C360" i="12"/>
  <c r="B360" i="12"/>
  <c r="A360" i="12"/>
  <c r="K359" i="12"/>
  <c r="J359" i="12"/>
  <c r="I359" i="12"/>
  <c r="H359" i="12"/>
  <c r="G359" i="12"/>
  <c r="F359" i="12"/>
  <c r="E359" i="12"/>
  <c r="N359" i="12" s="1"/>
  <c r="D359" i="12"/>
  <c r="C359" i="12"/>
  <c r="B359" i="12"/>
  <c r="A359" i="12"/>
  <c r="K358" i="12"/>
  <c r="J358" i="12"/>
  <c r="I358" i="12"/>
  <c r="H358" i="12"/>
  <c r="G358" i="12"/>
  <c r="F358" i="12"/>
  <c r="E358" i="12"/>
  <c r="N358" i="12" s="1"/>
  <c r="D358" i="12"/>
  <c r="C358" i="12"/>
  <c r="B358" i="12"/>
  <c r="A358" i="12"/>
  <c r="K357" i="12"/>
  <c r="J357" i="12"/>
  <c r="I357" i="12"/>
  <c r="H357" i="12"/>
  <c r="G357" i="12"/>
  <c r="F357" i="12"/>
  <c r="E357" i="12"/>
  <c r="N357" i="12" s="1"/>
  <c r="D357" i="12"/>
  <c r="C357" i="12"/>
  <c r="B357" i="12"/>
  <c r="A357" i="12"/>
  <c r="K356" i="12"/>
  <c r="J356" i="12"/>
  <c r="I356" i="12"/>
  <c r="H356" i="12"/>
  <c r="G356" i="12"/>
  <c r="F356" i="12"/>
  <c r="E356" i="12"/>
  <c r="N356" i="12" s="1"/>
  <c r="D356" i="12"/>
  <c r="C356" i="12"/>
  <c r="B356" i="12"/>
  <c r="A356" i="12"/>
  <c r="K355" i="12"/>
  <c r="J355" i="12"/>
  <c r="I355" i="12"/>
  <c r="H355" i="12"/>
  <c r="G355" i="12"/>
  <c r="F355" i="12"/>
  <c r="E355" i="12"/>
  <c r="N355" i="12" s="1"/>
  <c r="D355" i="12"/>
  <c r="C355" i="12"/>
  <c r="B355" i="12"/>
  <c r="A355" i="12"/>
  <c r="K354" i="12"/>
  <c r="J354" i="12"/>
  <c r="I354" i="12"/>
  <c r="H354" i="12"/>
  <c r="G354" i="12"/>
  <c r="F354" i="12"/>
  <c r="E354" i="12"/>
  <c r="N354" i="12" s="1"/>
  <c r="D354" i="12"/>
  <c r="C354" i="12"/>
  <c r="B354" i="12"/>
  <c r="A354" i="12"/>
  <c r="K353" i="12"/>
  <c r="J353" i="12"/>
  <c r="I353" i="12"/>
  <c r="H353" i="12"/>
  <c r="G353" i="12"/>
  <c r="F353" i="12"/>
  <c r="E353" i="12"/>
  <c r="N353" i="12" s="1"/>
  <c r="D353" i="12"/>
  <c r="C353" i="12"/>
  <c r="B353" i="12"/>
  <c r="A353" i="12"/>
  <c r="K352" i="12"/>
  <c r="J352" i="12"/>
  <c r="I352" i="12"/>
  <c r="H352" i="12"/>
  <c r="G352" i="12"/>
  <c r="F352" i="12"/>
  <c r="E352" i="12"/>
  <c r="N352" i="12" s="1"/>
  <c r="D352" i="12"/>
  <c r="C352" i="12"/>
  <c r="B352" i="12"/>
  <c r="A352" i="12"/>
  <c r="K351" i="12"/>
  <c r="J351" i="12"/>
  <c r="I351" i="12"/>
  <c r="H351" i="12"/>
  <c r="G351" i="12"/>
  <c r="F351" i="12"/>
  <c r="E351" i="12"/>
  <c r="N351" i="12" s="1"/>
  <c r="D351" i="12"/>
  <c r="C351" i="12"/>
  <c r="B351" i="12"/>
  <c r="A351" i="12"/>
  <c r="K350" i="12"/>
  <c r="J350" i="12"/>
  <c r="I350" i="12"/>
  <c r="H350" i="12"/>
  <c r="G350" i="12"/>
  <c r="F350" i="12"/>
  <c r="E350" i="12"/>
  <c r="N350" i="12" s="1"/>
  <c r="D350" i="12"/>
  <c r="C350" i="12"/>
  <c r="B350" i="12"/>
  <c r="A350" i="12"/>
  <c r="K349" i="12"/>
  <c r="J349" i="12"/>
  <c r="I349" i="12"/>
  <c r="H349" i="12"/>
  <c r="G349" i="12"/>
  <c r="F349" i="12"/>
  <c r="E349" i="12"/>
  <c r="N349" i="12" s="1"/>
  <c r="D349" i="12"/>
  <c r="C349" i="12"/>
  <c r="B349" i="12"/>
  <c r="A349" i="12"/>
  <c r="K348" i="12"/>
  <c r="J348" i="12"/>
  <c r="I348" i="12"/>
  <c r="H348" i="12"/>
  <c r="G348" i="12"/>
  <c r="F348" i="12"/>
  <c r="E348" i="12"/>
  <c r="N348" i="12" s="1"/>
  <c r="D348" i="12"/>
  <c r="C348" i="12"/>
  <c r="B348" i="12"/>
  <c r="A348" i="12"/>
  <c r="K347" i="12"/>
  <c r="J347" i="12"/>
  <c r="I347" i="12"/>
  <c r="H347" i="12"/>
  <c r="G347" i="12"/>
  <c r="F347" i="12"/>
  <c r="E347" i="12"/>
  <c r="N347" i="12" s="1"/>
  <c r="D347" i="12"/>
  <c r="C347" i="12"/>
  <c r="B347" i="12"/>
  <c r="A347" i="12"/>
  <c r="K346" i="12"/>
  <c r="J346" i="12"/>
  <c r="I346" i="12"/>
  <c r="H346" i="12"/>
  <c r="G346" i="12"/>
  <c r="F346" i="12"/>
  <c r="E346" i="12"/>
  <c r="N346" i="12" s="1"/>
  <c r="D346" i="12"/>
  <c r="C346" i="12"/>
  <c r="B346" i="12"/>
  <c r="A346" i="12"/>
  <c r="K345" i="12"/>
  <c r="J345" i="12"/>
  <c r="I345" i="12"/>
  <c r="H345" i="12"/>
  <c r="G345" i="12"/>
  <c r="F345" i="12"/>
  <c r="E345" i="12"/>
  <c r="N345" i="12" s="1"/>
  <c r="D345" i="12"/>
  <c r="C345" i="12"/>
  <c r="B345" i="12"/>
  <c r="A345" i="12"/>
  <c r="K344" i="12"/>
  <c r="J344" i="12"/>
  <c r="I344" i="12"/>
  <c r="H344" i="12"/>
  <c r="G344" i="12"/>
  <c r="F344" i="12"/>
  <c r="E344" i="12"/>
  <c r="N344" i="12" s="1"/>
  <c r="D344" i="12"/>
  <c r="C344" i="12"/>
  <c r="B344" i="12"/>
  <c r="A344" i="12"/>
  <c r="S343" i="12"/>
  <c r="R343" i="12"/>
  <c r="P343" i="12"/>
  <c r="O343" i="12"/>
  <c r="N343" i="12"/>
  <c r="M343" i="12"/>
  <c r="Q343" i="12" s="1"/>
  <c r="L343" i="12"/>
  <c r="K343" i="12"/>
  <c r="J343" i="12"/>
  <c r="I343" i="12"/>
  <c r="H343" i="12"/>
  <c r="G343" i="12"/>
  <c r="F343" i="12"/>
  <c r="E343" i="12"/>
  <c r="D343" i="12"/>
  <c r="C343" i="12"/>
  <c r="B343" i="12"/>
  <c r="A343" i="12"/>
  <c r="K342" i="12"/>
  <c r="J342" i="12"/>
  <c r="I342" i="12"/>
  <c r="H342" i="12"/>
  <c r="G342" i="12"/>
  <c r="F342" i="12"/>
  <c r="E342" i="12"/>
  <c r="N342" i="12" s="1"/>
  <c r="D342" i="12"/>
  <c r="C342" i="12"/>
  <c r="B342" i="12"/>
  <c r="A342" i="12"/>
  <c r="K341" i="12"/>
  <c r="J341" i="12"/>
  <c r="I341" i="12"/>
  <c r="H341" i="12"/>
  <c r="G341" i="12"/>
  <c r="F341" i="12"/>
  <c r="E341" i="12"/>
  <c r="N341" i="12" s="1"/>
  <c r="D341" i="12"/>
  <c r="C341" i="12"/>
  <c r="B341" i="12"/>
  <c r="A341" i="12"/>
  <c r="K340" i="12"/>
  <c r="J340" i="12"/>
  <c r="I340" i="12"/>
  <c r="H340" i="12"/>
  <c r="G340" i="12"/>
  <c r="F340" i="12"/>
  <c r="E340" i="12"/>
  <c r="N340" i="12" s="1"/>
  <c r="D340" i="12"/>
  <c r="C340" i="12"/>
  <c r="B340" i="12"/>
  <c r="A340" i="12"/>
  <c r="K339" i="12"/>
  <c r="J339" i="12"/>
  <c r="I339" i="12"/>
  <c r="H339" i="12"/>
  <c r="G339" i="12"/>
  <c r="F339" i="12"/>
  <c r="E339" i="12"/>
  <c r="N339" i="12" s="1"/>
  <c r="D339" i="12"/>
  <c r="C339" i="12"/>
  <c r="B339" i="12"/>
  <c r="A339" i="12"/>
  <c r="K338" i="12"/>
  <c r="J338" i="12"/>
  <c r="I338" i="12"/>
  <c r="H338" i="12"/>
  <c r="G338" i="12"/>
  <c r="F338" i="12"/>
  <c r="E338" i="12"/>
  <c r="N338" i="12" s="1"/>
  <c r="D338" i="12"/>
  <c r="C338" i="12"/>
  <c r="B338" i="12"/>
  <c r="A338" i="12"/>
  <c r="K337" i="12"/>
  <c r="J337" i="12"/>
  <c r="I337" i="12"/>
  <c r="H337" i="12"/>
  <c r="G337" i="12"/>
  <c r="F337" i="12"/>
  <c r="E337" i="12"/>
  <c r="N337" i="12" s="1"/>
  <c r="D337" i="12"/>
  <c r="C337" i="12"/>
  <c r="B337" i="12"/>
  <c r="A337" i="12"/>
  <c r="K336" i="12"/>
  <c r="J336" i="12"/>
  <c r="I336" i="12"/>
  <c r="H336" i="12"/>
  <c r="G336" i="12"/>
  <c r="F336" i="12"/>
  <c r="E336" i="12"/>
  <c r="N336" i="12" s="1"/>
  <c r="D336" i="12"/>
  <c r="C336" i="12"/>
  <c r="B336" i="12"/>
  <c r="A336" i="12"/>
  <c r="K335" i="12"/>
  <c r="J335" i="12"/>
  <c r="I335" i="12"/>
  <c r="H335" i="12"/>
  <c r="G335" i="12"/>
  <c r="F335" i="12"/>
  <c r="E335" i="12"/>
  <c r="N335" i="12" s="1"/>
  <c r="D335" i="12"/>
  <c r="C335" i="12"/>
  <c r="B335" i="12"/>
  <c r="A335" i="12"/>
  <c r="K334" i="12"/>
  <c r="J334" i="12"/>
  <c r="I334" i="12"/>
  <c r="H334" i="12"/>
  <c r="G334" i="12"/>
  <c r="F334" i="12"/>
  <c r="E334" i="12"/>
  <c r="N334" i="12" s="1"/>
  <c r="D334" i="12"/>
  <c r="C334" i="12"/>
  <c r="B334" i="12"/>
  <c r="A334" i="12"/>
  <c r="K333" i="12"/>
  <c r="J333" i="12"/>
  <c r="I333" i="12"/>
  <c r="H333" i="12"/>
  <c r="G333" i="12"/>
  <c r="F333" i="12"/>
  <c r="E333" i="12"/>
  <c r="N333" i="12" s="1"/>
  <c r="D333" i="12"/>
  <c r="C333" i="12"/>
  <c r="B333" i="12"/>
  <c r="A333" i="12"/>
  <c r="K332" i="12"/>
  <c r="J332" i="12"/>
  <c r="I332" i="12"/>
  <c r="H332" i="12"/>
  <c r="G332" i="12"/>
  <c r="F332" i="12"/>
  <c r="E332" i="12"/>
  <c r="N332" i="12" s="1"/>
  <c r="D332" i="12"/>
  <c r="C332" i="12"/>
  <c r="B332" i="12"/>
  <c r="A332" i="12"/>
  <c r="K331" i="12"/>
  <c r="J331" i="12"/>
  <c r="I331" i="12"/>
  <c r="H331" i="12"/>
  <c r="G331" i="12"/>
  <c r="F331" i="12"/>
  <c r="E331" i="12"/>
  <c r="N331" i="12" s="1"/>
  <c r="D331" i="12"/>
  <c r="C331" i="12"/>
  <c r="B331" i="12"/>
  <c r="A331" i="12"/>
  <c r="K330" i="12"/>
  <c r="J330" i="12"/>
  <c r="I330" i="12"/>
  <c r="H330" i="12"/>
  <c r="G330" i="12"/>
  <c r="F330" i="12"/>
  <c r="E330" i="12"/>
  <c r="N330" i="12" s="1"/>
  <c r="D330" i="12"/>
  <c r="C330" i="12"/>
  <c r="B330" i="12"/>
  <c r="A330" i="12"/>
  <c r="K329" i="12"/>
  <c r="J329" i="12"/>
  <c r="I329" i="12"/>
  <c r="H329" i="12"/>
  <c r="G329" i="12"/>
  <c r="F329" i="12"/>
  <c r="E329" i="12"/>
  <c r="N329" i="12" s="1"/>
  <c r="D329" i="12"/>
  <c r="C329" i="12"/>
  <c r="B329" i="12"/>
  <c r="A329" i="12"/>
  <c r="K328" i="12"/>
  <c r="J328" i="12"/>
  <c r="I328" i="12"/>
  <c r="H328" i="12"/>
  <c r="G328" i="12"/>
  <c r="F328" i="12"/>
  <c r="E328" i="12"/>
  <c r="N328" i="12" s="1"/>
  <c r="D328" i="12"/>
  <c r="C328" i="12"/>
  <c r="B328" i="12"/>
  <c r="A328" i="12"/>
  <c r="K327" i="12"/>
  <c r="J327" i="12"/>
  <c r="I327" i="12"/>
  <c r="H327" i="12"/>
  <c r="G327" i="12"/>
  <c r="F327" i="12"/>
  <c r="E327" i="12"/>
  <c r="N327" i="12" s="1"/>
  <c r="D327" i="12"/>
  <c r="C327" i="12"/>
  <c r="B327" i="12"/>
  <c r="A327" i="12"/>
  <c r="K326" i="12"/>
  <c r="J326" i="12"/>
  <c r="I326" i="12"/>
  <c r="H326" i="12"/>
  <c r="G326" i="12"/>
  <c r="F326" i="12"/>
  <c r="E326" i="12"/>
  <c r="N326" i="12" s="1"/>
  <c r="D326" i="12"/>
  <c r="C326" i="12"/>
  <c r="B326" i="12"/>
  <c r="A326" i="12"/>
  <c r="K325" i="12"/>
  <c r="J325" i="12"/>
  <c r="I325" i="12"/>
  <c r="H325" i="12"/>
  <c r="G325" i="12"/>
  <c r="F325" i="12"/>
  <c r="E325" i="12"/>
  <c r="N325" i="12" s="1"/>
  <c r="D325" i="12"/>
  <c r="C325" i="12"/>
  <c r="B325" i="12"/>
  <c r="A325" i="12"/>
  <c r="K324" i="12"/>
  <c r="J324" i="12"/>
  <c r="I324" i="12"/>
  <c r="H324" i="12"/>
  <c r="G324" i="12"/>
  <c r="F324" i="12"/>
  <c r="E324" i="12"/>
  <c r="N324" i="12" s="1"/>
  <c r="D324" i="12"/>
  <c r="C324" i="12"/>
  <c r="B324" i="12"/>
  <c r="A324" i="12"/>
  <c r="K323" i="12"/>
  <c r="J323" i="12"/>
  <c r="I323" i="12"/>
  <c r="H323" i="12"/>
  <c r="G323" i="12"/>
  <c r="F323" i="12"/>
  <c r="E323" i="12"/>
  <c r="N323" i="12" s="1"/>
  <c r="D323" i="12"/>
  <c r="C323" i="12"/>
  <c r="B323" i="12"/>
  <c r="A323" i="12"/>
  <c r="K322" i="12"/>
  <c r="J322" i="12"/>
  <c r="I322" i="12"/>
  <c r="H322" i="12"/>
  <c r="G322" i="12"/>
  <c r="F322" i="12"/>
  <c r="E322" i="12"/>
  <c r="N322" i="12" s="1"/>
  <c r="D322" i="12"/>
  <c r="C322" i="12"/>
  <c r="B322" i="12"/>
  <c r="A322" i="12"/>
  <c r="K321" i="12"/>
  <c r="J321" i="12"/>
  <c r="I321" i="12"/>
  <c r="H321" i="12"/>
  <c r="G321" i="12"/>
  <c r="F321" i="12"/>
  <c r="E321" i="12"/>
  <c r="N321" i="12" s="1"/>
  <c r="D321" i="12"/>
  <c r="C321" i="12"/>
  <c r="B321" i="12"/>
  <c r="A321" i="12"/>
  <c r="K320" i="12"/>
  <c r="J320" i="12"/>
  <c r="I320" i="12"/>
  <c r="H320" i="12"/>
  <c r="G320" i="12"/>
  <c r="F320" i="12"/>
  <c r="E320" i="12"/>
  <c r="N320" i="12" s="1"/>
  <c r="D320" i="12"/>
  <c r="C320" i="12"/>
  <c r="B320" i="12"/>
  <c r="A320" i="12"/>
  <c r="K319" i="12"/>
  <c r="J319" i="12"/>
  <c r="I319" i="12"/>
  <c r="H319" i="12"/>
  <c r="G319" i="12"/>
  <c r="F319" i="12"/>
  <c r="E319" i="12"/>
  <c r="N319" i="12" s="1"/>
  <c r="D319" i="12"/>
  <c r="C319" i="12"/>
  <c r="B319" i="12"/>
  <c r="A319" i="12"/>
  <c r="K318" i="12"/>
  <c r="J318" i="12"/>
  <c r="I318" i="12"/>
  <c r="H318" i="12"/>
  <c r="G318" i="12"/>
  <c r="F318" i="12"/>
  <c r="E318" i="12"/>
  <c r="N318" i="12" s="1"/>
  <c r="D318" i="12"/>
  <c r="C318" i="12"/>
  <c r="B318" i="12"/>
  <c r="A318" i="12"/>
  <c r="K317" i="12"/>
  <c r="J317" i="12"/>
  <c r="I317" i="12"/>
  <c r="H317" i="12"/>
  <c r="G317" i="12"/>
  <c r="F317" i="12"/>
  <c r="E317" i="12"/>
  <c r="N317" i="12" s="1"/>
  <c r="D317" i="12"/>
  <c r="C317" i="12"/>
  <c r="B317" i="12"/>
  <c r="A317" i="12"/>
  <c r="K316" i="12"/>
  <c r="J316" i="12"/>
  <c r="I316" i="12"/>
  <c r="H316" i="12"/>
  <c r="G316" i="12"/>
  <c r="F316" i="12"/>
  <c r="E316" i="12"/>
  <c r="N316" i="12" s="1"/>
  <c r="D316" i="12"/>
  <c r="C316" i="12"/>
  <c r="B316" i="12"/>
  <c r="A316" i="12"/>
  <c r="K315" i="12"/>
  <c r="J315" i="12"/>
  <c r="I315" i="12"/>
  <c r="H315" i="12"/>
  <c r="G315" i="12"/>
  <c r="F315" i="12"/>
  <c r="E315" i="12"/>
  <c r="N315" i="12" s="1"/>
  <c r="D315" i="12"/>
  <c r="C315" i="12"/>
  <c r="B315" i="12"/>
  <c r="A315" i="12"/>
  <c r="K314" i="12"/>
  <c r="J314" i="12"/>
  <c r="I314" i="12"/>
  <c r="H314" i="12"/>
  <c r="G314" i="12"/>
  <c r="F314" i="12"/>
  <c r="E314" i="12"/>
  <c r="N314" i="12" s="1"/>
  <c r="D314" i="12"/>
  <c r="C314" i="12"/>
  <c r="B314" i="12"/>
  <c r="A314" i="12"/>
  <c r="K313" i="12"/>
  <c r="J313" i="12"/>
  <c r="I313" i="12"/>
  <c r="H313" i="12"/>
  <c r="G313" i="12"/>
  <c r="F313" i="12"/>
  <c r="E313" i="12"/>
  <c r="N313" i="12" s="1"/>
  <c r="D313" i="12"/>
  <c r="C313" i="12"/>
  <c r="B313" i="12"/>
  <c r="A313" i="12"/>
  <c r="K312" i="12"/>
  <c r="J312" i="12"/>
  <c r="I312" i="12"/>
  <c r="H312" i="12"/>
  <c r="G312" i="12"/>
  <c r="F312" i="12"/>
  <c r="E312" i="12"/>
  <c r="N312" i="12" s="1"/>
  <c r="D312" i="12"/>
  <c r="C312" i="12"/>
  <c r="B312" i="12"/>
  <c r="A312" i="12"/>
  <c r="K311" i="12"/>
  <c r="J311" i="12"/>
  <c r="I311" i="12"/>
  <c r="H311" i="12"/>
  <c r="G311" i="12"/>
  <c r="F311" i="12"/>
  <c r="E311" i="12"/>
  <c r="N311" i="12" s="1"/>
  <c r="D311" i="12"/>
  <c r="C311" i="12"/>
  <c r="B311" i="12"/>
  <c r="A311" i="12"/>
  <c r="K310" i="12"/>
  <c r="J310" i="12"/>
  <c r="I310" i="12"/>
  <c r="H310" i="12"/>
  <c r="G310" i="12"/>
  <c r="F310" i="12"/>
  <c r="E310" i="12"/>
  <c r="N310" i="12" s="1"/>
  <c r="D310" i="12"/>
  <c r="C310" i="12"/>
  <c r="B310" i="12"/>
  <c r="A310" i="12"/>
  <c r="K309" i="12"/>
  <c r="J309" i="12"/>
  <c r="I309" i="12"/>
  <c r="H309" i="12"/>
  <c r="G309" i="12"/>
  <c r="F309" i="12"/>
  <c r="E309" i="12"/>
  <c r="N309" i="12" s="1"/>
  <c r="D309" i="12"/>
  <c r="C309" i="12"/>
  <c r="B309" i="12"/>
  <c r="A309" i="12"/>
  <c r="K308" i="12"/>
  <c r="J308" i="12"/>
  <c r="I308" i="12"/>
  <c r="H308" i="12"/>
  <c r="G308" i="12"/>
  <c r="F308" i="12"/>
  <c r="E308" i="12"/>
  <c r="N308" i="12" s="1"/>
  <c r="D308" i="12"/>
  <c r="C308" i="12"/>
  <c r="B308" i="12"/>
  <c r="A308" i="12"/>
  <c r="K307" i="12"/>
  <c r="J307" i="12"/>
  <c r="I307" i="12"/>
  <c r="H307" i="12"/>
  <c r="G307" i="12"/>
  <c r="F307" i="12"/>
  <c r="E307" i="12"/>
  <c r="N307" i="12" s="1"/>
  <c r="D307" i="12"/>
  <c r="C307" i="12"/>
  <c r="B307" i="12"/>
  <c r="A307" i="12"/>
  <c r="K306" i="12"/>
  <c r="J306" i="12"/>
  <c r="I306" i="12"/>
  <c r="H306" i="12"/>
  <c r="G306" i="12"/>
  <c r="F306" i="12"/>
  <c r="E306" i="12"/>
  <c r="N306" i="12" s="1"/>
  <c r="D306" i="12"/>
  <c r="C306" i="12"/>
  <c r="B306" i="12"/>
  <c r="A306" i="12"/>
  <c r="K305" i="12"/>
  <c r="J305" i="12"/>
  <c r="I305" i="12"/>
  <c r="H305" i="12"/>
  <c r="G305" i="12"/>
  <c r="F305" i="12"/>
  <c r="E305" i="12"/>
  <c r="N305" i="12" s="1"/>
  <c r="D305" i="12"/>
  <c r="C305" i="12"/>
  <c r="B305" i="12"/>
  <c r="A305" i="12"/>
  <c r="K304" i="12"/>
  <c r="J304" i="12"/>
  <c r="I304" i="12"/>
  <c r="H304" i="12"/>
  <c r="G304" i="12"/>
  <c r="F304" i="12"/>
  <c r="E304" i="12"/>
  <c r="N304" i="12" s="1"/>
  <c r="D304" i="12"/>
  <c r="C304" i="12"/>
  <c r="B304" i="12"/>
  <c r="A304" i="12"/>
  <c r="M303" i="12"/>
  <c r="K303" i="12"/>
  <c r="J303" i="12"/>
  <c r="I303" i="12"/>
  <c r="H303" i="12"/>
  <c r="G303" i="12"/>
  <c r="Q303" i="12" s="1"/>
  <c r="F303" i="12"/>
  <c r="E303" i="12"/>
  <c r="N303" i="12" s="1"/>
  <c r="D303" i="12"/>
  <c r="C303" i="12"/>
  <c r="B303" i="12"/>
  <c r="A303" i="12"/>
  <c r="K302" i="12"/>
  <c r="J302" i="12"/>
  <c r="I302" i="12"/>
  <c r="H302" i="12"/>
  <c r="G302" i="12"/>
  <c r="F302" i="12"/>
  <c r="E302" i="12"/>
  <c r="N302" i="12" s="1"/>
  <c r="D302" i="12"/>
  <c r="C302" i="12"/>
  <c r="B302" i="12"/>
  <c r="A302" i="12"/>
  <c r="K301" i="12"/>
  <c r="J301" i="12"/>
  <c r="I301" i="12"/>
  <c r="H301" i="12"/>
  <c r="G301" i="12"/>
  <c r="F301" i="12"/>
  <c r="E301" i="12"/>
  <c r="N301" i="12" s="1"/>
  <c r="D301" i="12"/>
  <c r="C301" i="12"/>
  <c r="B301" i="12"/>
  <c r="A301" i="12"/>
  <c r="K300" i="12"/>
  <c r="J300" i="12"/>
  <c r="I300" i="12"/>
  <c r="H300" i="12"/>
  <c r="G300" i="12"/>
  <c r="F300" i="12"/>
  <c r="E300" i="12"/>
  <c r="N300" i="12" s="1"/>
  <c r="D300" i="12"/>
  <c r="C300" i="12"/>
  <c r="B300" i="12"/>
  <c r="A300" i="12"/>
  <c r="K299" i="12"/>
  <c r="J299" i="12"/>
  <c r="I299" i="12"/>
  <c r="H299" i="12"/>
  <c r="G299" i="12"/>
  <c r="F299" i="12"/>
  <c r="E299" i="12"/>
  <c r="N299" i="12" s="1"/>
  <c r="D299" i="12"/>
  <c r="C299" i="12"/>
  <c r="B299" i="12"/>
  <c r="A299" i="12"/>
  <c r="K298" i="12"/>
  <c r="J298" i="12"/>
  <c r="I298" i="12"/>
  <c r="H298" i="12"/>
  <c r="G298" i="12"/>
  <c r="F298" i="12"/>
  <c r="E298" i="12"/>
  <c r="N298" i="12" s="1"/>
  <c r="D298" i="12"/>
  <c r="C298" i="12"/>
  <c r="B298" i="12"/>
  <c r="A298" i="12"/>
  <c r="K297" i="12"/>
  <c r="J297" i="12"/>
  <c r="I297" i="12"/>
  <c r="H297" i="12"/>
  <c r="G297" i="12"/>
  <c r="F297" i="12"/>
  <c r="E297" i="12"/>
  <c r="N297" i="12" s="1"/>
  <c r="D297" i="12"/>
  <c r="C297" i="12"/>
  <c r="B297" i="12"/>
  <c r="A297" i="12"/>
  <c r="K296" i="12"/>
  <c r="J296" i="12"/>
  <c r="I296" i="12"/>
  <c r="H296" i="12"/>
  <c r="G296" i="12"/>
  <c r="F296" i="12"/>
  <c r="E296" i="12"/>
  <c r="N296" i="12" s="1"/>
  <c r="D296" i="12"/>
  <c r="C296" i="12"/>
  <c r="B296" i="12"/>
  <c r="A296" i="12"/>
  <c r="K295" i="12"/>
  <c r="J295" i="12"/>
  <c r="I295" i="12"/>
  <c r="H295" i="12"/>
  <c r="G295" i="12"/>
  <c r="F295" i="12"/>
  <c r="E295" i="12"/>
  <c r="N295" i="12" s="1"/>
  <c r="D295" i="12"/>
  <c r="C295" i="12"/>
  <c r="B295" i="12"/>
  <c r="A295" i="12"/>
  <c r="K294" i="12"/>
  <c r="J294" i="12"/>
  <c r="I294" i="12"/>
  <c r="H294" i="12"/>
  <c r="G294" i="12"/>
  <c r="F294" i="12"/>
  <c r="E294" i="12"/>
  <c r="N294" i="12" s="1"/>
  <c r="D294" i="12"/>
  <c r="C294" i="12"/>
  <c r="B294" i="12"/>
  <c r="A294" i="12"/>
  <c r="K293" i="12"/>
  <c r="J293" i="12"/>
  <c r="I293" i="12"/>
  <c r="H293" i="12"/>
  <c r="G293" i="12"/>
  <c r="F293" i="12"/>
  <c r="E293" i="12"/>
  <c r="N293" i="12" s="1"/>
  <c r="D293" i="12"/>
  <c r="C293" i="12"/>
  <c r="B293" i="12"/>
  <c r="A293" i="12"/>
  <c r="K292" i="12"/>
  <c r="J292" i="12"/>
  <c r="I292" i="12"/>
  <c r="H292" i="12"/>
  <c r="G292" i="12"/>
  <c r="F292" i="12"/>
  <c r="E292" i="12"/>
  <c r="N292" i="12" s="1"/>
  <c r="D292" i="12"/>
  <c r="C292" i="12"/>
  <c r="B292" i="12"/>
  <c r="A292" i="12"/>
  <c r="K291" i="12"/>
  <c r="J291" i="12"/>
  <c r="I291" i="12"/>
  <c r="H291" i="12"/>
  <c r="G291" i="12"/>
  <c r="F291" i="12"/>
  <c r="E291" i="12"/>
  <c r="N291" i="12" s="1"/>
  <c r="D291" i="12"/>
  <c r="C291" i="12"/>
  <c r="B291" i="12"/>
  <c r="A291" i="12"/>
  <c r="K290" i="12"/>
  <c r="J290" i="12"/>
  <c r="I290" i="12"/>
  <c r="H290" i="12"/>
  <c r="G290" i="12"/>
  <c r="F290" i="12"/>
  <c r="E290" i="12"/>
  <c r="N290" i="12" s="1"/>
  <c r="D290" i="12"/>
  <c r="C290" i="12"/>
  <c r="B290" i="12"/>
  <c r="A290" i="12"/>
  <c r="K289" i="12"/>
  <c r="J289" i="12"/>
  <c r="I289" i="12"/>
  <c r="H289" i="12"/>
  <c r="G289" i="12"/>
  <c r="F289" i="12"/>
  <c r="E289" i="12"/>
  <c r="N289" i="12" s="1"/>
  <c r="D289" i="12"/>
  <c r="C289" i="12"/>
  <c r="B289" i="12"/>
  <c r="A289" i="12"/>
  <c r="K288" i="12"/>
  <c r="J288" i="12"/>
  <c r="I288" i="12"/>
  <c r="H288" i="12"/>
  <c r="G288" i="12"/>
  <c r="F288" i="12"/>
  <c r="E288" i="12"/>
  <c r="N288" i="12" s="1"/>
  <c r="D288" i="12"/>
  <c r="C288" i="12"/>
  <c r="B288" i="12"/>
  <c r="A288" i="12"/>
  <c r="K287" i="12"/>
  <c r="J287" i="12"/>
  <c r="I287" i="12"/>
  <c r="H287" i="12"/>
  <c r="G287" i="12"/>
  <c r="F287" i="12"/>
  <c r="E287" i="12"/>
  <c r="N287" i="12" s="1"/>
  <c r="D287" i="12"/>
  <c r="C287" i="12"/>
  <c r="B287" i="12"/>
  <c r="A287" i="12"/>
  <c r="K286" i="12"/>
  <c r="J286" i="12"/>
  <c r="I286" i="12"/>
  <c r="H286" i="12"/>
  <c r="G286" i="12"/>
  <c r="F286" i="12"/>
  <c r="E286" i="12"/>
  <c r="N286" i="12" s="1"/>
  <c r="D286" i="12"/>
  <c r="C286" i="12"/>
  <c r="B286" i="12"/>
  <c r="A286" i="12"/>
  <c r="K285" i="12"/>
  <c r="J285" i="12"/>
  <c r="I285" i="12"/>
  <c r="H285" i="12"/>
  <c r="G285" i="12"/>
  <c r="F285" i="12"/>
  <c r="E285" i="12"/>
  <c r="N285" i="12" s="1"/>
  <c r="D285" i="12"/>
  <c r="C285" i="12"/>
  <c r="B285" i="12"/>
  <c r="A285" i="12"/>
  <c r="K284" i="12"/>
  <c r="J284" i="12"/>
  <c r="I284" i="12"/>
  <c r="H284" i="12"/>
  <c r="G284" i="12"/>
  <c r="F284" i="12"/>
  <c r="E284" i="12"/>
  <c r="N284" i="12" s="1"/>
  <c r="D284" i="12"/>
  <c r="C284" i="12"/>
  <c r="B284" i="12"/>
  <c r="A284" i="12"/>
  <c r="K283" i="12"/>
  <c r="J283" i="12"/>
  <c r="I283" i="12"/>
  <c r="H283" i="12"/>
  <c r="G283" i="12"/>
  <c r="F283" i="12"/>
  <c r="E283" i="12"/>
  <c r="N283" i="12" s="1"/>
  <c r="D283" i="12"/>
  <c r="C283" i="12"/>
  <c r="B283" i="12"/>
  <c r="A283" i="12"/>
  <c r="K282" i="12"/>
  <c r="J282" i="12"/>
  <c r="I282" i="12"/>
  <c r="H282" i="12"/>
  <c r="G282" i="12"/>
  <c r="F282" i="12"/>
  <c r="E282" i="12"/>
  <c r="N282" i="12" s="1"/>
  <c r="D282" i="12"/>
  <c r="C282" i="12"/>
  <c r="B282" i="12"/>
  <c r="A282" i="12"/>
  <c r="K281" i="12"/>
  <c r="J281" i="12"/>
  <c r="I281" i="12"/>
  <c r="H281" i="12"/>
  <c r="G281" i="12"/>
  <c r="F281" i="12"/>
  <c r="E281" i="12"/>
  <c r="N281" i="12" s="1"/>
  <c r="D281" i="12"/>
  <c r="C281" i="12"/>
  <c r="B281" i="12"/>
  <c r="A281" i="12"/>
  <c r="K280" i="12"/>
  <c r="J280" i="12"/>
  <c r="I280" i="12"/>
  <c r="H280" i="12"/>
  <c r="G280" i="12"/>
  <c r="F280" i="12"/>
  <c r="E280" i="12"/>
  <c r="N280" i="12" s="1"/>
  <c r="D280" i="12"/>
  <c r="C280" i="12"/>
  <c r="B280" i="12"/>
  <c r="A280" i="12"/>
  <c r="S279" i="12"/>
  <c r="R279" i="12"/>
  <c r="P279" i="12"/>
  <c r="O279" i="12"/>
  <c r="N279" i="12"/>
  <c r="M279" i="12"/>
  <c r="Q279" i="12" s="1"/>
  <c r="L279" i="12"/>
  <c r="K279" i="12"/>
  <c r="J279" i="12"/>
  <c r="I279" i="12"/>
  <c r="H279" i="12"/>
  <c r="G279" i="12"/>
  <c r="F279" i="12"/>
  <c r="E279" i="12"/>
  <c r="D279" i="12"/>
  <c r="C279" i="12"/>
  <c r="B279" i="12"/>
  <c r="A279" i="12"/>
  <c r="K278" i="12"/>
  <c r="J278" i="12"/>
  <c r="I278" i="12"/>
  <c r="H278" i="12"/>
  <c r="G278" i="12"/>
  <c r="F278" i="12"/>
  <c r="E278" i="12"/>
  <c r="N278" i="12" s="1"/>
  <c r="D278" i="12"/>
  <c r="C278" i="12"/>
  <c r="B278" i="12"/>
  <c r="A278" i="12"/>
  <c r="K277" i="12"/>
  <c r="J277" i="12"/>
  <c r="I277" i="12"/>
  <c r="H277" i="12"/>
  <c r="G277" i="12"/>
  <c r="F277" i="12"/>
  <c r="E277" i="12"/>
  <c r="N277" i="12" s="1"/>
  <c r="D277" i="12"/>
  <c r="C277" i="12"/>
  <c r="B277" i="12"/>
  <c r="A277" i="12"/>
  <c r="K276" i="12"/>
  <c r="J276" i="12"/>
  <c r="I276" i="12"/>
  <c r="H276" i="12"/>
  <c r="G276" i="12"/>
  <c r="F276" i="12"/>
  <c r="E276" i="12"/>
  <c r="N276" i="12" s="1"/>
  <c r="D276" i="12"/>
  <c r="C276" i="12"/>
  <c r="B276" i="12"/>
  <c r="A276" i="12"/>
  <c r="K275" i="12"/>
  <c r="J275" i="12"/>
  <c r="I275" i="12"/>
  <c r="H275" i="12"/>
  <c r="G275" i="12"/>
  <c r="F275" i="12"/>
  <c r="E275" i="12"/>
  <c r="N275" i="12" s="1"/>
  <c r="D275" i="12"/>
  <c r="C275" i="12"/>
  <c r="B275" i="12"/>
  <c r="A275" i="12"/>
  <c r="K274" i="12"/>
  <c r="J274" i="12"/>
  <c r="I274" i="12"/>
  <c r="H274" i="12"/>
  <c r="G274" i="12"/>
  <c r="F274" i="12"/>
  <c r="E274" i="12"/>
  <c r="N274" i="12" s="1"/>
  <c r="D274" i="12"/>
  <c r="C274" i="12"/>
  <c r="B274" i="12"/>
  <c r="A274" i="12"/>
  <c r="K273" i="12"/>
  <c r="J273" i="12"/>
  <c r="I273" i="12"/>
  <c r="H273" i="12"/>
  <c r="G273" i="12"/>
  <c r="F273" i="12"/>
  <c r="E273" i="12"/>
  <c r="N273" i="12" s="1"/>
  <c r="D273" i="12"/>
  <c r="C273" i="12"/>
  <c r="B273" i="12"/>
  <c r="A273" i="12"/>
  <c r="K272" i="12"/>
  <c r="J272" i="12"/>
  <c r="I272" i="12"/>
  <c r="H272" i="12"/>
  <c r="G272" i="12"/>
  <c r="F272" i="12"/>
  <c r="E272" i="12"/>
  <c r="N272" i="12" s="1"/>
  <c r="D272" i="12"/>
  <c r="C272" i="12"/>
  <c r="B272" i="12"/>
  <c r="A272" i="12"/>
  <c r="K271" i="12"/>
  <c r="J271" i="12"/>
  <c r="I271" i="12"/>
  <c r="H271" i="12"/>
  <c r="G271" i="12"/>
  <c r="F271" i="12"/>
  <c r="E271" i="12"/>
  <c r="N271" i="12" s="1"/>
  <c r="D271" i="12"/>
  <c r="C271" i="12"/>
  <c r="B271" i="12"/>
  <c r="A271" i="12"/>
  <c r="K270" i="12"/>
  <c r="J270" i="12"/>
  <c r="I270" i="12"/>
  <c r="H270" i="12"/>
  <c r="G270" i="12"/>
  <c r="F270" i="12"/>
  <c r="E270" i="12"/>
  <c r="N270" i="12" s="1"/>
  <c r="D270" i="12"/>
  <c r="C270" i="12"/>
  <c r="B270" i="12"/>
  <c r="A270" i="12"/>
  <c r="K269" i="12"/>
  <c r="J269" i="12"/>
  <c r="I269" i="12"/>
  <c r="H269" i="12"/>
  <c r="G269" i="12"/>
  <c r="F269" i="12"/>
  <c r="E269" i="12"/>
  <c r="N269" i="12" s="1"/>
  <c r="D269" i="12"/>
  <c r="C269" i="12"/>
  <c r="B269" i="12"/>
  <c r="A269" i="12"/>
  <c r="K268" i="12"/>
  <c r="J268" i="12"/>
  <c r="I268" i="12"/>
  <c r="H268" i="12"/>
  <c r="G268" i="12"/>
  <c r="F268" i="12"/>
  <c r="E268" i="12"/>
  <c r="N268" i="12" s="1"/>
  <c r="D268" i="12"/>
  <c r="C268" i="12"/>
  <c r="B268" i="12"/>
  <c r="A268" i="12"/>
  <c r="K267" i="12"/>
  <c r="J267" i="12"/>
  <c r="I267" i="12"/>
  <c r="H267" i="12"/>
  <c r="G267" i="12"/>
  <c r="F267" i="12"/>
  <c r="E267" i="12"/>
  <c r="N267" i="12" s="1"/>
  <c r="D267" i="12"/>
  <c r="C267" i="12"/>
  <c r="B267" i="12"/>
  <c r="A267" i="12"/>
  <c r="K266" i="12"/>
  <c r="J266" i="12"/>
  <c r="I266" i="12"/>
  <c r="H266" i="12"/>
  <c r="G266" i="12"/>
  <c r="F266" i="12"/>
  <c r="E266" i="12"/>
  <c r="N266" i="12" s="1"/>
  <c r="D266" i="12"/>
  <c r="C266" i="12"/>
  <c r="B266" i="12"/>
  <c r="A266" i="12"/>
  <c r="K265" i="12"/>
  <c r="J265" i="12"/>
  <c r="I265" i="12"/>
  <c r="H265" i="12"/>
  <c r="G265" i="12"/>
  <c r="F265" i="12"/>
  <c r="E265" i="12"/>
  <c r="N265" i="12" s="1"/>
  <c r="D265" i="12"/>
  <c r="C265" i="12"/>
  <c r="B265" i="12"/>
  <c r="A265" i="12"/>
  <c r="K264" i="12"/>
  <c r="J264" i="12"/>
  <c r="I264" i="12"/>
  <c r="H264" i="12"/>
  <c r="G264" i="12"/>
  <c r="F264" i="12"/>
  <c r="E264" i="12"/>
  <c r="N264" i="12" s="1"/>
  <c r="D264" i="12"/>
  <c r="C264" i="12"/>
  <c r="B264" i="12"/>
  <c r="A264" i="12"/>
  <c r="K263" i="12"/>
  <c r="J263" i="12"/>
  <c r="I263" i="12"/>
  <c r="H263" i="12"/>
  <c r="G263" i="12"/>
  <c r="F263" i="12"/>
  <c r="E263" i="12"/>
  <c r="N263" i="12" s="1"/>
  <c r="D263" i="12"/>
  <c r="C263" i="12"/>
  <c r="B263" i="12"/>
  <c r="A263" i="12"/>
  <c r="K262" i="12"/>
  <c r="J262" i="12"/>
  <c r="I262" i="12"/>
  <c r="H262" i="12"/>
  <c r="G262" i="12"/>
  <c r="F262" i="12"/>
  <c r="E262" i="12"/>
  <c r="N262" i="12" s="1"/>
  <c r="D262" i="12"/>
  <c r="C262" i="12"/>
  <c r="B262" i="12"/>
  <c r="A262" i="12"/>
  <c r="K261" i="12"/>
  <c r="J261" i="12"/>
  <c r="I261" i="12"/>
  <c r="H261" i="12"/>
  <c r="G261" i="12"/>
  <c r="F261" i="12"/>
  <c r="E261" i="12"/>
  <c r="N261" i="12" s="1"/>
  <c r="D261" i="12"/>
  <c r="C261" i="12"/>
  <c r="B261" i="12"/>
  <c r="A261" i="12"/>
  <c r="K260" i="12"/>
  <c r="J260" i="12"/>
  <c r="I260" i="12"/>
  <c r="H260" i="12"/>
  <c r="G260" i="12"/>
  <c r="F260" i="12"/>
  <c r="E260" i="12"/>
  <c r="N260" i="12" s="1"/>
  <c r="D260" i="12"/>
  <c r="C260" i="12"/>
  <c r="B260" i="12"/>
  <c r="A260" i="12"/>
  <c r="K259" i="12"/>
  <c r="J259" i="12"/>
  <c r="I259" i="12"/>
  <c r="H259" i="12"/>
  <c r="G259" i="12"/>
  <c r="F259" i="12"/>
  <c r="E259" i="12"/>
  <c r="N259" i="12" s="1"/>
  <c r="D259" i="12"/>
  <c r="C259" i="12"/>
  <c r="B259" i="12"/>
  <c r="A259" i="12"/>
  <c r="K258" i="12"/>
  <c r="J258" i="12"/>
  <c r="I258" i="12"/>
  <c r="H258" i="12"/>
  <c r="G258" i="12"/>
  <c r="F258" i="12"/>
  <c r="E258" i="12"/>
  <c r="N258" i="12" s="1"/>
  <c r="D258" i="12"/>
  <c r="C258" i="12"/>
  <c r="B258" i="12"/>
  <c r="A258" i="12"/>
  <c r="K257" i="12"/>
  <c r="J257" i="12"/>
  <c r="I257" i="12"/>
  <c r="H257" i="12"/>
  <c r="G257" i="12"/>
  <c r="F257" i="12"/>
  <c r="E257" i="12"/>
  <c r="N257" i="12" s="1"/>
  <c r="D257" i="12"/>
  <c r="C257" i="12"/>
  <c r="B257" i="12"/>
  <c r="A257" i="12"/>
  <c r="K256" i="12"/>
  <c r="J256" i="12"/>
  <c r="I256" i="12"/>
  <c r="H256" i="12"/>
  <c r="G256" i="12"/>
  <c r="F256" i="12"/>
  <c r="E256" i="12"/>
  <c r="N256" i="12" s="1"/>
  <c r="D256" i="12"/>
  <c r="C256" i="12"/>
  <c r="B256" i="12"/>
  <c r="A256" i="12"/>
  <c r="K255" i="12"/>
  <c r="J255" i="12"/>
  <c r="I255" i="12"/>
  <c r="H255" i="12"/>
  <c r="G255" i="12"/>
  <c r="F255" i="12"/>
  <c r="E255" i="12"/>
  <c r="N255" i="12" s="1"/>
  <c r="D255" i="12"/>
  <c r="C255" i="12"/>
  <c r="B255" i="12"/>
  <c r="A255" i="12"/>
  <c r="K254" i="12"/>
  <c r="J254" i="12"/>
  <c r="I254" i="12"/>
  <c r="H254" i="12"/>
  <c r="G254" i="12"/>
  <c r="F254" i="12"/>
  <c r="E254" i="12"/>
  <c r="N254" i="12" s="1"/>
  <c r="D254" i="12"/>
  <c r="C254" i="12"/>
  <c r="B254" i="12"/>
  <c r="A254" i="12"/>
  <c r="K253" i="12"/>
  <c r="J253" i="12"/>
  <c r="I253" i="12"/>
  <c r="H253" i="12"/>
  <c r="G253" i="12"/>
  <c r="F253" i="12"/>
  <c r="E253" i="12"/>
  <c r="N253" i="12" s="1"/>
  <c r="D253" i="12"/>
  <c r="C253" i="12"/>
  <c r="B253" i="12"/>
  <c r="A253" i="12"/>
  <c r="K252" i="12"/>
  <c r="J252" i="12"/>
  <c r="I252" i="12"/>
  <c r="H252" i="12"/>
  <c r="G252" i="12"/>
  <c r="F252" i="12"/>
  <c r="E252" i="12"/>
  <c r="N252" i="12" s="1"/>
  <c r="D252" i="12"/>
  <c r="C252" i="12"/>
  <c r="B252" i="12"/>
  <c r="A252" i="12"/>
  <c r="K251" i="12"/>
  <c r="J251" i="12"/>
  <c r="I251" i="12"/>
  <c r="H251" i="12"/>
  <c r="G251" i="12"/>
  <c r="F251" i="12"/>
  <c r="E251" i="12"/>
  <c r="N251" i="12" s="1"/>
  <c r="D251" i="12"/>
  <c r="C251" i="12"/>
  <c r="B251" i="12"/>
  <c r="A251" i="12"/>
  <c r="K250" i="12"/>
  <c r="J250" i="12"/>
  <c r="I250" i="12"/>
  <c r="H250" i="12"/>
  <c r="G250" i="12"/>
  <c r="F250" i="12"/>
  <c r="E250" i="12"/>
  <c r="N250" i="12" s="1"/>
  <c r="D250" i="12"/>
  <c r="C250" i="12"/>
  <c r="B250" i="12"/>
  <c r="A250" i="12"/>
  <c r="K249" i="12"/>
  <c r="J249" i="12"/>
  <c r="I249" i="12"/>
  <c r="H249" i="12"/>
  <c r="G249" i="12"/>
  <c r="F249" i="12"/>
  <c r="E249" i="12"/>
  <c r="N249" i="12" s="1"/>
  <c r="D249" i="12"/>
  <c r="C249" i="12"/>
  <c r="B249" i="12"/>
  <c r="A249" i="12"/>
  <c r="K248" i="12"/>
  <c r="J248" i="12"/>
  <c r="I248" i="12"/>
  <c r="H248" i="12"/>
  <c r="G248" i="12"/>
  <c r="F248" i="12"/>
  <c r="E248" i="12"/>
  <c r="N248" i="12" s="1"/>
  <c r="D248" i="12"/>
  <c r="C248" i="12"/>
  <c r="B248" i="12"/>
  <c r="A248" i="12"/>
  <c r="K247" i="12"/>
  <c r="J247" i="12"/>
  <c r="I247" i="12"/>
  <c r="H247" i="12"/>
  <c r="G247" i="12"/>
  <c r="F247" i="12"/>
  <c r="E247" i="12"/>
  <c r="N247" i="12" s="1"/>
  <c r="D247" i="12"/>
  <c r="C247" i="12"/>
  <c r="B247" i="12"/>
  <c r="A247" i="12"/>
  <c r="K246" i="12"/>
  <c r="J246" i="12"/>
  <c r="I246" i="12"/>
  <c r="H246" i="12"/>
  <c r="G246" i="12"/>
  <c r="F246" i="12"/>
  <c r="E246" i="12"/>
  <c r="N246" i="12" s="1"/>
  <c r="D246" i="12"/>
  <c r="C246" i="12"/>
  <c r="B246" i="12"/>
  <c r="A246" i="12"/>
  <c r="K245" i="12"/>
  <c r="J245" i="12"/>
  <c r="I245" i="12"/>
  <c r="H245" i="12"/>
  <c r="G245" i="12"/>
  <c r="F245" i="12"/>
  <c r="E245" i="12"/>
  <c r="N245" i="12" s="1"/>
  <c r="D245" i="12"/>
  <c r="C245" i="12"/>
  <c r="B245" i="12"/>
  <c r="A245" i="12"/>
  <c r="K244" i="12"/>
  <c r="J244" i="12"/>
  <c r="I244" i="12"/>
  <c r="H244" i="12"/>
  <c r="G244" i="12"/>
  <c r="F244" i="12"/>
  <c r="E244" i="12"/>
  <c r="N244" i="12" s="1"/>
  <c r="D244" i="12"/>
  <c r="C244" i="12"/>
  <c r="B244" i="12"/>
  <c r="A244" i="12"/>
  <c r="K243" i="12"/>
  <c r="J243" i="12"/>
  <c r="I243" i="12"/>
  <c r="H243" i="12"/>
  <c r="G243" i="12"/>
  <c r="F243" i="12"/>
  <c r="E243" i="12"/>
  <c r="N243" i="12" s="1"/>
  <c r="D243" i="12"/>
  <c r="C243" i="12"/>
  <c r="B243" i="12"/>
  <c r="A243" i="12"/>
  <c r="K242" i="12"/>
  <c r="J242" i="12"/>
  <c r="I242" i="12"/>
  <c r="H242" i="12"/>
  <c r="G242" i="12"/>
  <c r="F242" i="12"/>
  <c r="E242" i="12"/>
  <c r="N242" i="12" s="1"/>
  <c r="D242" i="12"/>
  <c r="C242" i="12"/>
  <c r="B242" i="12"/>
  <c r="A242" i="12"/>
  <c r="K241" i="12"/>
  <c r="J241" i="12"/>
  <c r="I241" i="12"/>
  <c r="H241" i="12"/>
  <c r="G241" i="12"/>
  <c r="F241" i="12"/>
  <c r="E241" i="12"/>
  <c r="N241" i="12" s="1"/>
  <c r="D241" i="12"/>
  <c r="C241" i="12"/>
  <c r="B241" i="12"/>
  <c r="A241" i="12"/>
  <c r="K240" i="12"/>
  <c r="J240" i="12"/>
  <c r="I240" i="12"/>
  <c r="H240" i="12"/>
  <c r="G240" i="12"/>
  <c r="F240" i="12"/>
  <c r="E240" i="12"/>
  <c r="N240" i="12" s="1"/>
  <c r="D240" i="12"/>
  <c r="C240" i="12"/>
  <c r="B240" i="12"/>
  <c r="A240" i="12"/>
  <c r="K239" i="12"/>
  <c r="J239" i="12"/>
  <c r="I239" i="12"/>
  <c r="H239" i="12"/>
  <c r="G239" i="12"/>
  <c r="F239" i="12"/>
  <c r="E239" i="12"/>
  <c r="N239" i="12" s="1"/>
  <c r="D239" i="12"/>
  <c r="C239" i="12"/>
  <c r="B239" i="12"/>
  <c r="A239" i="12"/>
  <c r="K238" i="12"/>
  <c r="J238" i="12"/>
  <c r="I238" i="12"/>
  <c r="H238" i="12"/>
  <c r="G238" i="12"/>
  <c r="F238" i="12"/>
  <c r="E238" i="12"/>
  <c r="N238" i="12" s="1"/>
  <c r="D238" i="12"/>
  <c r="C238" i="12"/>
  <c r="B238" i="12"/>
  <c r="A238" i="12"/>
  <c r="K237" i="12"/>
  <c r="J237" i="12"/>
  <c r="I237" i="12"/>
  <c r="H237" i="12"/>
  <c r="G237" i="12"/>
  <c r="F237" i="12"/>
  <c r="E237" i="12"/>
  <c r="N237" i="12" s="1"/>
  <c r="D237" i="12"/>
  <c r="C237" i="12"/>
  <c r="B237" i="12"/>
  <c r="A237" i="12"/>
  <c r="K236" i="12"/>
  <c r="J236" i="12"/>
  <c r="I236" i="12"/>
  <c r="H236" i="12"/>
  <c r="G236" i="12"/>
  <c r="F236" i="12"/>
  <c r="E236" i="12"/>
  <c r="N236" i="12" s="1"/>
  <c r="D236" i="12"/>
  <c r="C236" i="12"/>
  <c r="B236" i="12"/>
  <c r="A236" i="12"/>
  <c r="K235" i="12"/>
  <c r="J235" i="12"/>
  <c r="I235" i="12"/>
  <c r="H235" i="12"/>
  <c r="G235" i="12"/>
  <c r="F235" i="12"/>
  <c r="E235" i="12"/>
  <c r="N235" i="12" s="1"/>
  <c r="D235" i="12"/>
  <c r="C235" i="12"/>
  <c r="B235" i="12"/>
  <c r="A235" i="12"/>
  <c r="K234" i="12"/>
  <c r="J234" i="12"/>
  <c r="I234" i="12"/>
  <c r="H234" i="12"/>
  <c r="G234" i="12"/>
  <c r="F234" i="12"/>
  <c r="E234" i="12"/>
  <c r="N234" i="12" s="1"/>
  <c r="D234" i="12"/>
  <c r="C234" i="12"/>
  <c r="B234" i="12"/>
  <c r="A234" i="12"/>
  <c r="K233" i="12"/>
  <c r="J233" i="12"/>
  <c r="I233" i="12"/>
  <c r="H233" i="12"/>
  <c r="G233" i="12"/>
  <c r="F233" i="12"/>
  <c r="E233" i="12"/>
  <c r="N233" i="12" s="1"/>
  <c r="D233" i="12"/>
  <c r="C233" i="12"/>
  <c r="B233" i="12"/>
  <c r="A233" i="12"/>
  <c r="K232" i="12"/>
  <c r="J232" i="12"/>
  <c r="I232" i="12"/>
  <c r="H232" i="12"/>
  <c r="G232" i="12"/>
  <c r="F232" i="12"/>
  <c r="E232" i="12"/>
  <c r="N232" i="12" s="1"/>
  <c r="D232" i="12"/>
  <c r="C232" i="12"/>
  <c r="B232" i="12"/>
  <c r="A232" i="12"/>
  <c r="K231" i="12"/>
  <c r="J231" i="12"/>
  <c r="I231" i="12"/>
  <c r="H231" i="12"/>
  <c r="G231" i="12"/>
  <c r="F231" i="12"/>
  <c r="E231" i="12"/>
  <c r="N231" i="12" s="1"/>
  <c r="D231" i="12"/>
  <c r="C231" i="12"/>
  <c r="B231" i="12"/>
  <c r="A231" i="12"/>
  <c r="K230" i="12"/>
  <c r="J230" i="12"/>
  <c r="I230" i="12"/>
  <c r="H230" i="12"/>
  <c r="G230" i="12"/>
  <c r="F230" i="12"/>
  <c r="E230" i="12"/>
  <c r="N230" i="12" s="1"/>
  <c r="D230" i="12"/>
  <c r="C230" i="12"/>
  <c r="B230" i="12"/>
  <c r="A230" i="12"/>
  <c r="K229" i="12"/>
  <c r="J229" i="12"/>
  <c r="I229" i="12"/>
  <c r="H229" i="12"/>
  <c r="G229" i="12"/>
  <c r="F229" i="12"/>
  <c r="E229" i="12"/>
  <c r="N229" i="12" s="1"/>
  <c r="D229" i="12"/>
  <c r="C229" i="12"/>
  <c r="B229" i="12"/>
  <c r="A229" i="12"/>
  <c r="K228" i="12"/>
  <c r="J228" i="12"/>
  <c r="I228" i="12"/>
  <c r="H228" i="12"/>
  <c r="G228" i="12"/>
  <c r="F228" i="12"/>
  <c r="E228" i="12"/>
  <c r="N228" i="12" s="1"/>
  <c r="D228" i="12"/>
  <c r="C228" i="12"/>
  <c r="B228" i="12"/>
  <c r="A228" i="12"/>
  <c r="K227" i="12"/>
  <c r="J227" i="12"/>
  <c r="I227" i="12"/>
  <c r="H227" i="12"/>
  <c r="G227" i="12"/>
  <c r="F227" i="12"/>
  <c r="E227" i="12"/>
  <c r="N227" i="12" s="1"/>
  <c r="D227" i="12"/>
  <c r="C227" i="12"/>
  <c r="B227" i="12"/>
  <c r="A227" i="12"/>
  <c r="K226" i="12"/>
  <c r="J226" i="12"/>
  <c r="I226" i="12"/>
  <c r="H226" i="12"/>
  <c r="G226" i="12"/>
  <c r="F226" i="12"/>
  <c r="E226" i="12"/>
  <c r="N226" i="12" s="1"/>
  <c r="D226" i="12"/>
  <c r="C226" i="12"/>
  <c r="B226" i="12"/>
  <c r="A226" i="12"/>
  <c r="K225" i="12"/>
  <c r="J225" i="12"/>
  <c r="I225" i="12"/>
  <c r="H225" i="12"/>
  <c r="G225" i="12"/>
  <c r="F225" i="12"/>
  <c r="E225" i="12"/>
  <c r="N225" i="12" s="1"/>
  <c r="D225" i="12"/>
  <c r="C225" i="12"/>
  <c r="B225" i="12"/>
  <c r="A225" i="12"/>
  <c r="K224" i="12"/>
  <c r="J224" i="12"/>
  <c r="I224" i="12"/>
  <c r="H224" i="12"/>
  <c r="G224" i="12"/>
  <c r="F224" i="12"/>
  <c r="E224" i="12"/>
  <c r="N224" i="12" s="1"/>
  <c r="D224" i="12"/>
  <c r="C224" i="12"/>
  <c r="B224" i="12"/>
  <c r="A224" i="12"/>
  <c r="K223" i="12"/>
  <c r="J223" i="12"/>
  <c r="I223" i="12"/>
  <c r="H223" i="12"/>
  <c r="G223" i="12"/>
  <c r="F223" i="12"/>
  <c r="E223" i="12"/>
  <c r="N223" i="12" s="1"/>
  <c r="D223" i="12"/>
  <c r="C223" i="12"/>
  <c r="B223" i="12"/>
  <c r="A223" i="12"/>
  <c r="K222" i="12"/>
  <c r="J222" i="12"/>
  <c r="I222" i="12"/>
  <c r="H222" i="12"/>
  <c r="G222" i="12"/>
  <c r="F222" i="12"/>
  <c r="E222" i="12"/>
  <c r="N222" i="12" s="1"/>
  <c r="D222" i="12"/>
  <c r="C222" i="12"/>
  <c r="B222" i="12"/>
  <c r="A222" i="12"/>
  <c r="K221" i="12"/>
  <c r="J221" i="12"/>
  <c r="I221" i="12"/>
  <c r="H221" i="12"/>
  <c r="G221" i="12"/>
  <c r="F221" i="12"/>
  <c r="E221" i="12"/>
  <c r="N221" i="12" s="1"/>
  <c r="D221" i="12"/>
  <c r="C221" i="12"/>
  <c r="B221" i="12"/>
  <c r="A221" i="12"/>
  <c r="K220" i="12"/>
  <c r="J220" i="12"/>
  <c r="I220" i="12"/>
  <c r="H220" i="12"/>
  <c r="G220" i="12"/>
  <c r="F220" i="12"/>
  <c r="E220" i="12"/>
  <c r="N220" i="12" s="1"/>
  <c r="D220" i="12"/>
  <c r="C220" i="12"/>
  <c r="B220" i="12"/>
  <c r="A220" i="12"/>
  <c r="K219" i="12"/>
  <c r="J219" i="12"/>
  <c r="I219" i="12"/>
  <c r="H219" i="12"/>
  <c r="G219" i="12"/>
  <c r="F219" i="12"/>
  <c r="E219" i="12"/>
  <c r="N219" i="12" s="1"/>
  <c r="D219" i="12"/>
  <c r="C219" i="12"/>
  <c r="B219" i="12"/>
  <c r="A219" i="12"/>
  <c r="K218" i="12"/>
  <c r="J218" i="12"/>
  <c r="I218" i="12"/>
  <c r="H218" i="12"/>
  <c r="G218" i="12"/>
  <c r="F218" i="12"/>
  <c r="E218" i="12"/>
  <c r="N218" i="12" s="1"/>
  <c r="D218" i="12"/>
  <c r="C218" i="12"/>
  <c r="B218" i="12"/>
  <c r="A218" i="12"/>
  <c r="K217" i="12"/>
  <c r="J217" i="12"/>
  <c r="I217" i="12"/>
  <c r="H217" i="12"/>
  <c r="G217" i="12"/>
  <c r="F217" i="12"/>
  <c r="E217" i="12"/>
  <c r="N217" i="12" s="1"/>
  <c r="D217" i="12"/>
  <c r="C217" i="12"/>
  <c r="B217" i="12"/>
  <c r="A217" i="12"/>
  <c r="K216" i="12"/>
  <c r="J216" i="12"/>
  <c r="I216" i="12"/>
  <c r="H216" i="12"/>
  <c r="G216" i="12"/>
  <c r="F216" i="12"/>
  <c r="E216" i="12"/>
  <c r="N216" i="12" s="1"/>
  <c r="D216" i="12"/>
  <c r="C216" i="12"/>
  <c r="B216" i="12"/>
  <c r="A216" i="12"/>
  <c r="S215" i="12"/>
  <c r="R215" i="12"/>
  <c r="P215" i="12"/>
  <c r="K215" i="12"/>
  <c r="J215" i="12"/>
  <c r="I215" i="12"/>
  <c r="H215" i="12"/>
  <c r="G215" i="12"/>
  <c r="F215" i="12"/>
  <c r="E215" i="12"/>
  <c r="N215" i="12" s="1"/>
  <c r="D215" i="12"/>
  <c r="C215" i="12"/>
  <c r="O215" i="12" s="1"/>
  <c r="B215" i="12"/>
  <c r="A215" i="12"/>
  <c r="K214" i="12"/>
  <c r="J214" i="12"/>
  <c r="I214" i="12"/>
  <c r="H214" i="12"/>
  <c r="G214" i="12"/>
  <c r="F214" i="12"/>
  <c r="E214" i="12"/>
  <c r="N214" i="12" s="1"/>
  <c r="D214" i="12"/>
  <c r="C214" i="12"/>
  <c r="B214" i="12"/>
  <c r="A214" i="12"/>
  <c r="K213" i="12"/>
  <c r="J213" i="12"/>
  <c r="I213" i="12"/>
  <c r="H213" i="12"/>
  <c r="G213" i="12"/>
  <c r="F213" i="12"/>
  <c r="E213" i="12"/>
  <c r="N213" i="12" s="1"/>
  <c r="D213" i="12"/>
  <c r="C213" i="12"/>
  <c r="B213" i="12"/>
  <c r="A213" i="12"/>
  <c r="K212" i="12"/>
  <c r="J212" i="12"/>
  <c r="I212" i="12"/>
  <c r="H212" i="12"/>
  <c r="G212" i="12"/>
  <c r="F212" i="12"/>
  <c r="E212" i="12"/>
  <c r="N212" i="12" s="1"/>
  <c r="D212" i="12"/>
  <c r="C212" i="12"/>
  <c r="B212" i="12"/>
  <c r="A212" i="12"/>
  <c r="K211" i="12"/>
  <c r="J211" i="12"/>
  <c r="I211" i="12"/>
  <c r="H211" i="12"/>
  <c r="G211" i="12"/>
  <c r="F211" i="12"/>
  <c r="E211" i="12"/>
  <c r="N211" i="12" s="1"/>
  <c r="D211" i="12"/>
  <c r="C211" i="12"/>
  <c r="B211" i="12"/>
  <c r="A211" i="12"/>
  <c r="K210" i="12"/>
  <c r="J210" i="12"/>
  <c r="I210" i="12"/>
  <c r="H210" i="12"/>
  <c r="G210" i="12"/>
  <c r="F210" i="12"/>
  <c r="E210" i="12"/>
  <c r="N210" i="12" s="1"/>
  <c r="D210" i="12"/>
  <c r="C210" i="12"/>
  <c r="B210" i="12"/>
  <c r="A210" i="12"/>
  <c r="K209" i="12"/>
  <c r="J209" i="12"/>
  <c r="I209" i="12"/>
  <c r="H209" i="12"/>
  <c r="G209" i="12"/>
  <c r="F209" i="12"/>
  <c r="E209" i="12"/>
  <c r="N209" i="12" s="1"/>
  <c r="D209" i="12"/>
  <c r="C209" i="12"/>
  <c r="B209" i="12"/>
  <c r="A209" i="12"/>
  <c r="K208" i="12"/>
  <c r="J208" i="12"/>
  <c r="I208" i="12"/>
  <c r="H208" i="12"/>
  <c r="G208" i="12"/>
  <c r="F208" i="12"/>
  <c r="E208" i="12"/>
  <c r="N208" i="12" s="1"/>
  <c r="D208" i="12"/>
  <c r="C208" i="12"/>
  <c r="B208" i="12"/>
  <c r="A208" i="12"/>
  <c r="K207" i="12"/>
  <c r="J207" i="12"/>
  <c r="I207" i="12"/>
  <c r="H207" i="12"/>
  <c r="G207" i="12"/>
  <c r="F207" i="12"/>
  <c r="E207" i="12"/>
  <c r="N207" i="12" s="1"/>
  <c r="D207" i="12"/>
  <c r="C207" i="12"/>
  <c r="B207" i="12"/>
  <c r="A207" i="12"/>
  <c r="K206" i="12"/>
  <c r="J206" i="12"/>
  <c r="I206" i="12"/>
  <c r="H206" i="12"/>
  <c r="G206" i="12"/>
  <c r="F206" i="12"/>
  <c r="E206" i="12"/>
  <c r="N206" i="12" s="1"/>
  <c r="D206" i="12"/>
  <c r="C206" i="12"/>
  <c r="B206" i="12"/>
  <c r="A206" i="12"/>
  <c r="K205" i="12"/>
  <c r="J205" i="12"/>
  <c r="I205" i="12"/>
  <c r="H205" i="12"/>
  <c r="G205" i="12"/>
  <c r="F205" i="12"/>
  <c r="E205" i="12"/>
  <c r="N205" i="12" s="1"/>
  <c r="D205" i="12"/>
  <c r="C205" i="12"/>
  <c r="B205" i="12"/>
  <c r="A205" i="12"/>
  <c r="K204" i="12"/>
  <c r="J204" i="12"/>
  <c r="I204" i="12"/>
  <c r="H204" i="12"/>
  <c r="G204" i="12"/>
  <c r="F204" i="12"/>
  <c r="E204" i="12"/>
  <c r="N204" i="12" s="1"/>
  <c r="D204" i="12"/>
  <c r="C204" i="12"/>
  <c r="B204" i="12"/>
  <c r="A204" i="12"/>
  <c r="K203" i="12"/>
  <c r="J203" i="12"/>
  <c r="I203" i="12"/>
  <c r="H203" i="12"/>
  <c r="G203" i="12"/>
  <c r="F203" i="12"/>
  <c r="E203" i="12"/>
  <c r="N203" i="12" s="1"/>
  <c r="D203" i="12"/>
  <c r="C203" i="12"/>
  <c r="B203" i="12"/>
  <c r="A203" i="12"/>
  <c r="K202" i="12"/>
  <c r="J202" i="12"/>
  <c r="I202" i="12"/>
  <c r="H202" i="12"/>
  <c r="G202" i="12"/>
  <c r="F202" i="12"/>
  <c r="E202" i="12"/>
  <c r="N202" i="12" s="1"/>
  <c r="D202" i="12"/>
  <c r="C202" i="12"/>
  <c r="B202" i="12"/>
  <c r="A202" i="12"/>
  <c r="K201" i="12"/>
  <c r="J201" i="12"/>
  <c r="I201" i="12"/>
  <c r="H201" i="12"/>
  <c r="G201" i="12"/>
  <c r="F201" i="12"/>
  <c r="E201" i="12"/>
  <c r="N201" i="12" s="1"/>
  <c r="D201" i="12"/>
  <c r="C201" i="12"/>
  <c r="B201" i="12"/>
  <c r="A201" i="12"/>
  <c r="K200" i="12"/>
  <c r="J200" i="12"/>
  <c r="I200" i="12"/>
  <c r="H200" i="12"/>
  <c r="G200" i="12"/>
  <c r="F200" i="12"/>
  <c r="E200" i="12"/>
  <c r="N200" i="12" s="1"/>
  <c r="D200" i="12"/>
  <c r="C200" i="12"/>
  <c r="B200" i="12"/>
  <c r="A200" i="12"/>
  <c r="K199" i="12"/>
  <c r="J199" i="12"/>
  <c r="I199" i="12"/>
  <c r="H199" i="12"/>
  <c r="G199" i="12"/>
  <c r="F199" i="12"/>
  <c r="E199" i="12"/>
  <c r="N199" i="12" s="1"/>
  <c r="D199" i="12"/>
  <c r="C199" i="12"/>
  <c r="B199" i="12"/>
  <c r="A199" i="12"/>
  <c r="K198" i="12"/>
  <c r="J198" i="12"/>
  <c r="I198" i="12"/>
  <c r="H198" i="12"/>
  <c r="G198" i="12"/>
  <c r="F198" i="12"/>
  <c r="E198" i="12"/>
  <c r="N198" i="12" s="1"/>
  <c r="D198" i="12"/>
  <c r="C198" i="12"/>
  <c r="B198" i="12"/>
  <c r="A198" i="12"/>
  <c r="K197" i="12"/>
  <c r="J197" i="12"/>
  <c r="I197" i="12"/>
  <c r="H197" i="12"/>
  <c r="G197" i="12"/>
  <c r="F197" i="12"/>
  <c r="E197" i="12"/>
  <c r="N197" i="12" s="1"/>
  <c r="D197" i="12"/>
  <c r="C197" i="12"/>
  <c r="B197" i="12"/>
  <c r="A197" i="12"/>
  <c r="K196" i="12"/>
  <c r="J196" i="12"/>
  <c r="I196" i="12"/>
  <c r="H196" i="12"/>
  <c r="G196" i="12"/>
  <c r="F196" i="12"/>
  <c r="E196" i="12"/>
  <c r="N196" i="12" s="1"/>
  <c r="D196" i="12"/>
  <c r="C196" i="12"/>
  <c r="B196" i="12"/>
  <c r="A196" i="12"/>
  <c r="K195" i="12"/>
  <c r="J195" i="12"/>
  <c r="I195" i="12"/>
  <c r="H195" i="12"/>
  <c r="G195" i="12"/>
  <c r="F195" i="12"/>
  <c r="E195" i="12"/>
  <c r="N195" i="12" s="1"/>
  <c r="D195" i="12"/>
  <c r="C195" i="12"/>
  <c r="B195" i="12"/>
  <c r="A195" i="12"/>
  <c r="K194" i="12"/>
  <c r="J194" i="12"/>
  <c r="I194" i="12"/>
  <c r="H194" i="12"/>
  <c r="G194" i="12"/>
  <c r="F194" i="12"/>
  <c r="E194" i="12"/>
  <c r="N194" i="12" s="1"/>
  <c r="D194" i="12"/>
  <c r="C194" i="12"/>
  <c r="B194" i="12"/>
  <c r="A194" i="12"/>
  <c r="K193" i="12"/>
  <c r="J193" i="12"/>
  <c r="I193" i="12"/>
  <c r="H193" i="12"/>
  <c r="G193" i="12"/>
  <c r="F193" i="12"/>
  <c r="E193" i="12"/>
  <c r="N193" i="12" s="1"/>
  <c r="D193" i="12"/>
  <c r="C193" i="12"/>
  <c r="B193" i="12"/>
  <c r="A193" i="12"/>
  <c r="K192" i="12"/>
  <c r="J192" i="12"/>
  <c r="I192" i="12"/>
  <c r="H192" i="12"/>
  <c r="G192" i="12"/>
  <c r="F192" i="12"/>
  <c r="E192" i="12"/>
  <c r="N192" i="12" s="1"/>
  <c r="D192" i="12"/>
  <c r="C192" i="12"/>
  <c r="B192" i="12"/>
  <c r="A192" i="12"/>
  <c r="K191" i="12"/>
  <c r="J191" i="12"/>
  <c r="I191" i="12"/>
  <c r="H191" i="12"/>
  <c r="G191" i="12"/>
  <c r="F191" i="12"/>
  <c r="E191" i="12"/>
  <c r="N191" i="12" s="1"/>
  <c r="D191" i="12"/>
  <c r="C191" i="12"/>
  <c r="B191" i="12"/>
  <c r="A191" i="12"/>
  <c r="K190" i="12"/>
  <c r="J190" i="12"/>
  <c r="I190" i="12"/>
  <c r="H190" i="12"/>
  <c r="G190" i="12"/>
  <c r="F190" i="12"/>
  <c r="E190" i="12"/>
  <c r="N190" i="12" s="1"/>
  <c r="D190" i="12"/>
  <c r="C190" i="12"/>
  <c r="B190" i="12"/>
  <c r="A190" i="12"/>
  <c r="K189" i="12"/>
  <c r="J189" i="12"/>
  <c r="I189" i="12"/>
  <c r="H189" i="12"/>
  <c r="G189" i="12"/>
  <c r="F189" i="12"/>
  <c r="E189" i="12"/>
  <c r="N189" i="12" s="1"/>
  <c r="D189" i="12"/>
  <c r="C189" i="12"/>
  <c r="B189" i="12"/>
  <c r="A189" i="12"/>
  <c r="K188" i="12"/>
  <c r="J188" i="12"/>
  <c r="I188" i="12"/>
  <c r="H188" i="12"/>
  <c r="G188" i="12"/>
  <c r="F188" i="12"/>
  <c r="E188" i="12"/>
  <c r="N188" i="12" s="1"/>
  <c r="D188" i="12"/>
  <c r="C188" i="12"/>
  <c r="B188" i="12"/>
  <c r="A188" i="12"/>
  <c r="K187" i="12"/>
  <c r="J187" i="12"/>
  <c r="I187" i="12"/>
  <c r="H187" i="12"/>
  <c r="G187" i="12"/>
  <c r="F187" i="12"/>
  <c r="E187" i="12"/>
  <c r="N187" i="12" s="1"/>
  <c r="D187" i="12"/>
  <c r="C187" i="12"/>
  <c r="B187" i="12"/>
  <c r="A187" i="12"/>
  <c r="K186" i="12"/>
  <c r="J186" i="12"/>
  <c r="I186" i="12"/>
  <c r="H186" i="12"/>
  <c r="G186" i="12"/>
  <c r="F186" i="12"/>
  <c r="E186" i="12"/>
  <c r="N186" i="12" s="1"/>
  <c r="D186" i="12"/>
  <c r="C186" i="12"/>
  <c r="B186" i="12"/>
  <c r="A186" i="12"/>
  <c r="K185" i="12"/>
  <c r="J185" i="12"/>
  <c r="I185" i="12"/>
  <c r="H185" i="12"/>
  <c r="G185" i="12"/>
  <c r="F185" i="12"/>
  <c r="E185" i="12"/>
  <c r="N185" i="12" s="1"/>
  <c r="D185" i="12"/>
  <c r="C185" i="12"/>
  <c r="B185" i="12"/>
  <c r="A185" i="12"/>
  <c r="K184" i="12"/>
  <c r="J184" i="12"/>
  <c r="I184" i="12"/>
  <c r="H184" i="12"/>
  <c r="G184" i="12"/>
  <c r="F184" i="12"/>
  <c r="E184" i="12"/>
  <c r="N184" i="12" s="1"/>
  <c r="D184" i="12"/>
  <c r="C184" i="12"/>
  <c r="B184" i="12"/>
  <c r="A184" i="12"/>
  <c r="K183" i="12"/>
  <c r="J183" i="12"/>
  <c r="I183" i="12"/>
  <c r="H183" i="12"/>
  <c r="G183" i="12"/>
  <c r="F183" i="12"/>
  <c r="E183" i="12"/>
  <c r="N183" i="12" s="1"/>
  <c r="D183" i="12"/>
  <c r="C183" i="12"/>
  <c r="B183" i="12"/>
  <c r="A183" i="12"/>
  <c r="K182" i="12"/>
  <c r="J182" i="12"/>
  <c r="I182" i="12"/>
  <c r="H182" i="12"/>
  <c r="G182" i="12"/>
  <c r="F182" i="12"/>
  <c r="E182" i="12"/>
  <c r="N182" i="12" s="1"/>
  <c r="D182" i="12"/>
  <c r="C182" i="12"/>
  <c r="B182" i="12"/>
  <c r="A182" i="12"/>
  <c r="K181" i="12"/>
  <c r="J181" i="12"/>
  <c r="I181" i="12"/>
  <c r="H181" i="12"/>
  <c r="G181" i="12"/>
  <c r="F181" i="12"/>
  <c r="E181" i="12"/>
  <c r="N181" i="12" s="1"/>
  <c r="D181" i="12"/>
  <c r="C181" i="12"/>
  <c r="B181" i="12"/>
  <c r="A181" i="12"/>
  <c r="K180" i="12"/>
  <c r="J180" i="12"/>
  <c r="I180" i="12"/>
  <c r="H180" i="12"/>
  <c r="G180" i="12"/>
  <c r="F180" i="12"/>
  <c r="E180" i="12"/>
  <c r="N180" i="12" s="1"/>
  <c r="D180" i="12"/>
  <c r="C180" i="12"/>
  <c r="B180" i="12"/>
  <c r="A180" i="12"/>
  <c r="K179" i="12"/>
  <c r="J179" i="12"/>
  <c r="I179" i="12"/>
  <c r="H179" i="12"/>
  <c r="G179" i="12"/>
  <c r="F179" i="12"/>
  <c r="E179" i="12"/>
  <c r="N179" i="12" s="1"/>
  <c r="D179" i="12"/>
  <c r="C179" i="12"/>
  <c r="B179" i="12"/>
  <c r="A179" i="12"/>
  <c r="K178" i="12"/>
  <c r="J178" i="12"/>
  <c r="I178" i="12"/>
  <c r="H178" i="12"/>
  <c r="G178" i="12"/>
  <c r="F178" i="12"/>
  <c r="E178" i="12"/>
  <c r="N178" i="12" s="1"/>
  <c r="D178" i="12"/>
  <c r="C178" i="12"/>
  <c r="B178" i="12"/>
  <c r="A178" i="12"/>
  <c r="K177" i="12"/>
  <c r="J177" i="12"/>
  <c r="I177" i="12"/>
  <c r="H177" i="12"/>
  <c r="G177" i="12"/>
  <c r="F177" i="12"/>
  <c r="E177" i="12"/>
  <c r="N177" i="12" s="1"/>
  <c r="D177" i="12"/>
  <c r="C177" i="12"/>
  <c r="B177" i="12"/>
  <c r="A177" i="12"/>
  <c r="K176" i="12"/>
  <c r="J176" i="12"/>
  <c r="I176" i="12"/>
  <c r="H176" i="12"/>
  <c r="G176" i="12"/>
  <c r="F176" i="12"/>
  <c r="E176" i="12"/>
  <c r="N176" i="12" s="1"/>
  <c r="D176" i="12"/>
  <c r="C176" i="12"/>
  <c r="B176" i="12"/>
  <c r="A176" i="12"/>
  <c r="K175" i="12"/>
  <c r="J175" i="12"/>
  <c r="I175" i="12"/>
  <c r="H175" i="12"/>
  <c r="G175" i="12"/>
  <c r="F175" i="12"/>
  <c r="E175" i="12"/>
  <c r="N175" i="12" s="1"/>
  <c r="D175" i="12"/>
  <c r="C175" i="12"/>
  <c r="B175" i="12"/>
  <c r="A175" i="12"/>
  <c r="K174" i="12"/>
  <c r="J174" i="12"/>
  <c r="I174" i="12"/>
  <c r="H174" i="12"/>
  <c r="G174" i="12"/>
  <c r="F174" i="12"/>
  <c r="E174" i="12"/>
  <c r="N174" i="12" s="1"/>
  <c r="D174" i="12"/>
  <c r="C174" i="12"/>
  <c r="B174" i="12"/>
  <c r="A174" i="12"/>
  <c r="K173" i="12"/>
  <c r="J173" i="12"/>
  <c r="I173" i="12"/>
  <c r="H173" i="12"/>
  <c r="G173" i="12"/>
  <c r="F173" i="12"/>
  <c r="E173" i="12"/>
  <c r="N173" i="12" s="1"/>
  <c r="D173" i="12"/>
  <c r="C173" i="12"/>
  <c r="B173" i="12"/>
  <c r="A173" i="12"/>
  <c r="K172" i="12"/>
  <c r="J172" i="12"/>
  <c r="I172" i="12"/>
  <c r="H172" i="12"/>
  <c r="G172" i="12"/>
  <c r="F172" i="12"/>
  <c r="E172" i="12"/>
  <c r="N172" i="12" s="1"/>
  <c r="D172" i="12"/>
  <c r="C172" i="12"/>
  <c r="B172" i="12"/>
  <c r="A172" i="12"/>
  <c r="K171" i="12"/>
  <c r="J171" i="12"/>
  <c r="I171" i="12"/>
  <c r="H171" i="12"/>
  <c r="G171" i="12"/>
  <c r="F171" i="12"/>
  <c r="E171" i="12"/>
  <c r="N171" i="12" s="1"/>
  <c r="D171" i="12"/>
  <c r="C171" i="12"/>
  <c r="B171" i="12"/>
  <c r="A171" i="12"/>
  <c r="K170" i="12"/>
  <c r="J170" i="12"/>
  <c r="I170" i="12"/>
  <c r="H170" i="12"/>
  <c r="G170" i="12"/>
  <c r="F170" i="12"/>
  <c r="E170" i="12"/>
  <c r="N170" i="12" s="1"/>
  <c r="D170" i="12"/>
  <c r="C170" i="12"/>
  <c r="B170" i="12"/>
  <c r="A170" i="12"/>
  <c r="K169" i="12"/>
  <c r="J169" i="12"/>
  <c r="I169" i="12"/>
  <c r="H169" i="12"/>
  <c r="G169" i="12"/>
  <c r="F169" i="12"/>
  <c r="E169" i="12"/>
  <c r="N169" i="12" s="1"/>
  <c r="D169" i="12"/>
  <c r="C169" i="12"/>
  <c r="B169" i="12"/>
  <c r="A169" i="12"/>
  <c r="K168" i="12"/>
  <c r="J168" i="12"/>
  <c r="I168" i="12"/>
  <c r="H168" i="12"/>
  <c r="G168" i="12"/>
  <c r="F168" i="12"/>
  <c r="E168" i="12"/>
  <c r="N168" i="12" s="1"/>
  <c r="D168" i="12"/>
  <c r="C168" i="12"/>
  <c r="B168" i="12"/>
  <c r="A168" i="12"/>
  <c r="K167" i="12"/>
  <c r="J167" i="12"/>
  <c r="I167" i="12"/>
  <c r="H167" i="12"/>
  <c r="G167" i="12"/>
  <c r="F167" i="12"/>
  <c r="E167" i="12"/>
  <c r="N167" i="12" s="1"/>
  <c r="D167" i="12"/>
  <c r="C167" i="12"/>
  <c r="B167" i="12"/>
  <c r="A167" i="12"/>
  <c r="K166" i="12"/>
  <c r="J166" i="12"/>
  <c r="I166" i="12"/>
  <c r="H166" i="12"/>
  <c r="G166" i="12"/>
  <c r="F166" i="12"/>
  <c r="E166" i="12"/>
  <c r="N166" i="12" s="1"/>
  <c r="D166" i="12"/>
  <c r="C166" i="12"/>
  <c r="B166" i="12"/>
  <c r="A166" i="12"/>
  <c r="K165" i="12"/>
  <c r="J165" i="12"/>
  <c r="I165" i="12"/>
  <c r="H165" i="12"/>
  <c r="G165" i="12"/>
  <c r="F165" i="12"/>
  <c r="E165" i="12"/>
  <c r="N165" i="12" s="1"/>
  <c r="D165" i="12"/>
  <c r="C165" i="12"/>
  <c r="B165" i="12"/>
  <c r="A165" i="12"/>
  <c r="K164" i="12"/>
  <c r="J164" i="12"/>
  <c r="I164" i="12"/>
  <c r="H164" i="12"/>
  <c r="G164" i="12"/>
  <c r="F164" i="12"/>
  <c r="E164" i="12"/>
  <c r="N164" i="12" s="1"/>
  <c r="D164" i="12"/>
  <c r="C164" i="12"/>
  <c r="B164" i="12"/>
  <c r="A164" i="12"/>
  <c r="K163" i="12"/>
  <c r="J163" i="12"/>
  <c r="I163" i="12"/>
  <c r="H163" i="12"/>
  <c r="G163" i="12"/>
  <c r="F163" i="12"/>
  <c r="E163" i="12"/>
  <c r="N163" i="12" s="1"/>
  <c r="D163" i="12"/>
  <c r="C163" i="12"/>
  <c r="B163" i="12"/>
  <c r="A163" i="12"/>
  <c r="K162" i="12"/>
  <c r="J162" i="12"/>
  <c r="I162" i="12"/>
  <c r="H162" i="12"/>
  <c r="G162" i="12"/>
  <c r="F162" i="12"/>
  <c r="E162" i="12"/>
  <c r="N162" i="12" s="1"/>
  <c r="D162" i="12"/>
  <c r="C162" i="12"/>
  <c r="B162" i="12"/>
  <c r="A162" i="12"/>
  <c r="K161" i="12"/>
  <c r="J161" i="12"/>
  <c r="I161" i="12"/>
  <c r="H161" i="12"/>
  <c r="G161" i="12"/>
  <c r="F161" i="12"/>
  <c r="E161" i="12"/>
  <c r="N161" i="12" s="1"/>
  <c r="D161" i="12"/>
  <c r="C161" i="12"/>
  <c r="B161" i="12"/>
  <c r="A161" i="12"/>
  <c r="K160" i="12"/>
  <c r="J160" i="12"/>
  <c r="I160" i="12"/>
  <c r="H160" i="12"/>
  <c r="G160" i="12"/>
  <c r="F160" i="12"/>
  <c r="E160" i="12"/>
  <c r="N160" i="12" s="1"/>
  <c r="D160" i="12"/>
  <c r="C160" i="12"/>
  <c r="B160" i="12"/>
  <c r="A160" i="12"/>
  <c r="K159" i="12"/>
  <c r="J159" i="12"/>
  <c r="I159" i="12"/>
  <c r="H159" i="12"/>
  <c r="G159" i="12"/>
  <c r="F159" i="12"/>
  <c r="E159" i="12"/>
  <c r="N159" i="12" s="1"/>
  <c r="D159" i="12"/>
  <c r="C159" i="12"/>
  <c r="B159" i="12"/>
  <c r="A159" i="12"/>
  <c r="K158" i="12"/>
  <c r="J158" i="12"/>
  <c r="I158" i="12"/>
  <c r="H158" i="12"/>
  <c r="G158" i="12"/>
  <c r="F158" i="12"/>
  <c r="E158" i="12"/>
  <c r="N158" i="12" s="1"/>
  <c r="D158" i="12"/>
  <c r="C158" i="12"/>
  <c r="B158" i="12"/>
  <c r="A158" i="12"/>
  <c r="K157" i="12"/>
  <c r="J157" i="12"/>
  <c r="I157" i="12"/>
  <c r="H157" i="12"/>
  <c r="G157" i="12"/>
  <c r="F157" i="12"/>
  <c r="E157" i="12"/>
  <c r="N157" i="12" s="1"/>
  <c r="D157" i="12"/>
  <c r="C157" i="12"/>
  <c r="B157" i="12"/>
  <c r="A157" i="12"/>
  <c r="K156" i="12"/>
  <c r="J156" i="12"/>
  <c r="I156" i="12"/>
  <c r="H156" i="12"/>
  <c r="G156" i="12"/>
  <c r="F156" i="12"/>
  <c r="E156" i="12"/>
  <c r="N156" i="12" s="1"/>
  <c r="D156" i="12"/>
  <c r="C156" i="12"/>
  <c r="B156" i="12"/>
  <c r="A156" i="12"/>
  <c r="K155" i="12"/>
  <c r="J155" i="12"/>
  <c r="I155" i="12"/>
  <c r="H155" i="12"/>
  <c r="G155" i="12"/>
  <c r="F155" i="12"/>
  <c r="E155" i="12"/>
  <c r="N155" i="12" s="1"/>
  <c r="D155" i="12"/>
  <c r="C155" i="12"/>
  <c r="B155" i="12"/>
  <c r="A155" i="12"/>
  <c r="K154" i="12"/>
  <c r="J154" i="12"/>
  <c r="I154" i="12"/>
  <c r="H154" i="12"/>
  <c r="G154" i="12"/>
  <c r="F154" i="12"/>
  <c r="E154" i="12"/>
  <c r="N154" i="12" s="1"/>
  <c r="D154" i="12"/>
  <c r="C154" i="12"/>
  <c r="B154" i="12"/>
  <c r="A154" i="12"/>
  <c r="K153" i="12"/>
  <c r="J153" i="12"/>
  <c r="I153" i="12"/>
  <c r="H153" i="12"/>
  <c r="G153" i="12"/>
  <c r="F153" i="12"/>
  <c r="E153" i="12"/>
  <c r="N153" i="12" s="1"/>
  <c r="D153" i="12"/>
  <c r="C153" i="12"/>
  <c r="B153" i="12"/>
  <c r="A153" i="12"/>
  <c r="K152" i="12"/>
  <c r="J152" i="12"/>
  <c r="I152" i="12"/>
  <c r="H152" i="12"/>
  <c r="G152" i="12"/>
  <c r="F152" i="12"/>
  <c r="E152" i="12"/>
  <c r="N152" i="12" s="1"/>
  <c r="D152" i="12"/>
  <c r="C152" i="12"/>
  <c r="B152" i="12"/>
  <c r="A152" i="12"/>
  <c r="K151" i="12"/>
  <c r="J151" i="12"/>
  <c r="I151" i="12"/>
  <c r="H151" i="12"/>
  <c r="G151" i="12"/>
  <c r="F151" i="12"/>
  <c r="E151" i="12"/>
  <c r="N151" i="12" s="1"/>
  <c r="D151" i="12"/>
  <c r="C151" i="12"/>
  <c r="B151" i="12"/>
  <c r="A151" i="12"/>
  <c r="K150" i="12"/>
  <c r="J150" i="12"/>
  <c r="I150" i="12"/>
  <c r="H150" i="12"/>
  <c r="G150" i="12"/>
  <c r="F150" i="12"/>
  <c r="E150" i="12"/>
  <c r="N150" i="12" s="1"/>
  <c r="D150" i="12"/>
  <c r="C150" i="12"/>
  <c r="B150" i="12"/>
  <c r="A150" i="12"/>
  <c r="K149" i="12"/>
  <c r="J149" i="12"/>
  <c r="I149" i="12"/>
  <c r="H149" i="12"/>
  <c r="G149" i="12"/>
  <c r="F149" i="12"/>
  <c r="E149" i="12"/>
  <c r="N149" i="12" s="1"/>
  <c r="D149" i="12"/>
  <c r="C149" i="12"/>
  <c r="B149" i="12"/>
  <c r="A149" i="12"/>
  <c r="K148" i="12"/>
  <c r="J148" i="12"/>
  <c r="I148" i="12"/>
  <c r="H148" i="12"/>
  <c r="G148" i="12"/>
  <c r="F148" i="12"/>
  <c r="E148" i="12"/>
  <c r="N148" i="12" s="1"/>
  <c r="D148" i="12"/>
  <c r="C148" i="12"/>
  <c r="B148" i="12"/>
  <c r="A148" i="12"/>
  <c r="K147" i="12"/>
  <c r="J147" i="12"/>
  <c r="I147" i="12"/>
  <c r="H147" i="12"/>
  <c r="G147" i="12"/>
  <c r="F147" i="12"/>
  <c r="E147" i="12"/>
  <c r="N147" i="12" s="1"/>
  <c r="D147" i="12"/>
  <c r="C147" i="12"/>
  <c r="B147" i="12"/>
  <c r="A147" i="12"/>
  <c r="K146" i="12"/>
  <c r="J146" i="12"/>
  <c r="I146" i="12"/>
  <c r="H146" i="12"/>
  <c r="G146" i="12"/>
  <c r="F146" i="12"/>
  <c r="E146" i="12"/>
  <c r="N146" i="12" s="1"/>
  <c r="D146" i="12"/>
  <c r="C146" i="12"/>
  <c r="B146" i="12"/>
  <c r="A146" i="12"/>
  <c r="K145" i="12"/>
  <c r="J145" i="12"/>
  <c r="I145" i="12"/>
  <c r="H145" i="12"/>
  <c r="G145" i="12"/>
  <c r="F145" i="12"/>
  <c r="E145" i="12"/>
  <c r="N145" i="12" s="1"/>
  <c r="D145" i="12"/>
  <c r="C145" i="12"/>
  <c r="B145" i="12"/>
  <c r="A145" i="12"/>
  <c r="K144" i="12"/>
  <c r="J144" i="12"/>
  <c r="I144" i="12"/>
  <c r="H144" i="12"/>
  <c r="G144" i="12"/>
  <c r="F144" i="12"/>
  <c r="E144" i="12"/>
  <c r="N144" i="12" s="1"/>
  <c r="D144" i="12"/>
  <c r="C144" i="12"/>
  <c r="B144" i="12"/>
  <c r="A144" i="12"/>
  <c r="K143" i="12"/>
  <c r="J143" i="12"/>
  <c r="I143" i="12"/>
  <c r="H143" i="12"/>
  <c r="G143" i="12"/>
  <c r="F143" i="12"/>
  <c r="E143" i="12"/>
  <c r="N143" i="12" s="1"/>
  <c r="D143" i="12"/>
  <c r="C143" i="12"/>
  <c r="B143" i="12"/>
  <c r="A143" i="12"/>
  <c r="K142" i="12"/>
  <c r="J142" i="12"/>
  <c r="I142" i="12"/>
  <c r="H142" i="12"/>
  <c r="G142" i="12"/>
  <c r="F142" i="12"/>
  <c r="E142" i="12"/>
  <c r="N142" i="12" s="1"/>
  <c r="D142" i="12"/>
  <c r="C142" i="12"/>
  <c r="B142" i="12"/>
  <c r="A142" i="12"/>
  <c r="K141" i="12"/>
  <c r="J141" i="12"/>
  <c r="I141" i="12"/>
  <c r="H141" i="12"/>
  <c r="G141" i="12"/>
  <c r="F141" i="12"/>
  <c r="E141" i="12"/>
  <c r="N141" i="12" s="1"/>
  <c r="D141" i="12"/>
  <c r="C141" i="12"/>
  <c r="B141" i="12"/>
  <c r="A141" i="12"/>
  <c r="K140" i="12"/>
  <c r="J140" i="12"/>
  <c r="I140" i="12"/>
  <c r="H140" i="12"/>
  <c r="G140" i="12"/>
  <c r="F140" i="12"/>
  <c r="E140" i="12"/>
  <c r="N140" i="12" s="1"/>
  <c r="D140" i="12"/>
  <c r="C140" i="12"/>
  <c r="B140" i="12"/>
  <c r="A140" i="12"/>
  <c r="K139" i="12"/>
  <c r="J139" i="12"/>
  <c r="I139" i="12"/>
  <c r="H139" i="12"/>
  <c r="G139" i="12"/>
  <c r="F139" i="12"/>
  <c r="E139" i="12"/>
  <c r="N139" i="12" s="1"/>
  <c r="D139" i="12"/>
  <c r="C139" i="12"/>
  <c r="B139" i="12"/>
  <c r="A139" i="12"/>
  <c r="K138" i="12"/>
  <c r="J138" i="12"/>
  <c r="I138" i="12"/>
  <c r="H138" i="12"/>
  <c r="G138" i="12"/>
  <c r="F138" i="12"/>
  <c r="E138" i="12"/>
  <c r="N138" i="12" s="1"/>
  <c r="D138" i="12"/>
  <c r="C138" i="12"/>
  <c r="B138" i="12"/>
  <c r="A138" i="12"/>
  <c r="K137" i="12"/>
  <c r="J137" i="12"/>
  <c r="I137" i="12"/>
  <c r="H137" i="12"/>
  <c r="G137" i="12"/>
  <c r="F137" i="12"/>
  <c r="E137" i="12"/>
  <c r="N137" i="12" s="1"/>
  <c r="D137" i="12"/>
  <c r="C137" i="12"/>
  <c r="B137" i="12"/>
  <c r="A137" i="12"/>
  <c r="K136" i="12"/>
  <c r="J136" i="12"/>
  <c r="I136" i="12"/>
  <c r="H136" i="12"/>
  <c r="G136" i="12"/>
  <c r="F136" i="12"/>
  <c r="E136" i="12"/>
  <c r="N136" i="12" s="1"/>
  <c r="D136" i="12"/>
  <c r="C136" i="12"/>
  <c r="B136" i="12"/>
  <c r="A136" i="12"/>
  <c r="K135" i="12"/>
  <c r="J135" i="12"/>
  <c r="I135" i="12"/>
  <c r="H135" i="12"/>
  <c r="G135" i="12"/>
  <c r="F135" i="12"/>
  <c r="E135" i="12"/>
  <c r="N135" i="12" s="1"/>
  <c r="D135" i="12"/>
  <c r="C135" i="12"/>
  <c r="B135" i="12"/>
  <c r="A135" i="12"/>
  <c r="K134" i="12"/>
  <c r="J134" i="12"/>
  <c r="I134" i="12"/>
  <c r="H134" i="12"/>
  <c r="G134" i="12"/>
  <c r="F134" i="12"/>
  <c r="E134" i="12"/>
  <c r="N134" i="12" s="1"/>
  <c r="D134" i="12"/>
  <c r="C134" i="12"/>
  <c r="B134" i="12"/>
  <c r="A134" i="12"/>
  <c r="K133" i="12"/>
  <c r="J133" i="12"/>
  <c r="I133" i="12"/>
  <c r="H133" i="12"/>
  <c r="G133" i="12"/>
  <c r="F133" i="12"/>
  <c r="E133" i="12"/>
  <c r="N133" i="12" s="1"/>
  <c r="D133" i="12"/>
  <c r="C133" i="12"/>
  <c r="B133" i="12"/>
  <c r="A133" i="12"/>
  <c r="K132" i="12"/>
  <c r="J132" i="12"/>
  <c r="I132" i="12"/>
  <c r="H132" i="12"/>
  <c r="G132" i="12"/>
  <c r="F132" i="12"/>
  <c r="E132" i="12"/>
  <c r="N132" i="12" s="1"/>
  <c r="D132" i="12"/>
  <c r="C132" i="12"/>
  <c r="B132" i="12"/>
  <c r="A132" i="12"/>
  <c r="K131" i="12"/>
  <c r="J131" i="12"/>
  <c r="I131" i="12"/>
  <c r="H131" i="12"/>
  <c r="G131" i="12"/>
  <c r="F131" i="12"/>
  <c r="E131" i="12"/>
  <c r="N131" i="12" s="1"/>
  <c r="D131" i="12"/>
  <c r="C131" i="12"/>
  <c r="B131" i="12"/>
  <c r="A131" i="12"/>
  <c r="K130" i="12"/>
  <c r="J130" i="12"/>
  <c r="I130" i="12"/>
  <c r="H130" i="12"/>
  <c r="G130" i="12"/>
  <c r="F130" i="12"/>
  <c r="E130" i="12"/>
  <c r="N130" i="12" s="1"/>
  <c r="D130" i="12"/>
  <c r="C130" i="12"/>
  <c r="B130" i="12"/>
  <c r="A130" i="12"/>
  <c r="K129" i="12"/>
  <c r="J129" i="12"/>
  <c r="I129" i="12"/>
  <c r="H129" i="12"/>
  <c r="G129" i="12"/>
  <c r="F129" i="12"/>
  <c r="E129" i="12"/>
  <c r="N129" i="12" s="1"/>
  <c r="D129" i="12"/>
  <c r="C129" i="12"/>
  <c r="B129" i="12"/>
  <c r="A129" i="12"/>
  <c r="K128" i="12"/>
  <c r="J128" i="12"/>
  <c r="I128" i="12"/>
  <c r="H128" i="12"/>
  <c r="G128" i="12"/>
  <c r="F128" i="12"/>
  <c r="E128" i="12"/>
  <c r="N128" i="12" s="1"/>
  <c r="D128" i="12"/>
  <c r="C128" i="12"/>
  <c r="B128" i="12"/>
  <c r="A128" i="12"/>
  <c r="K127" i="12"/>
  <c r="J127" i="12"/>
  <c r="I127" i="12"/>
  <c r="H127" i="12"/>
  <c r="G127" i="12"/>
  <c r="F127" i="12"/>
  <c r="E127" i="12"/>
  <c r="N127" i="12" s="1"/>
  <c r="D127" i="12"/>
  <c r="C127" i="12"/>
  <c r="B127" i="12"/>
  <c r="A127" i="12"/>
  <c r="K126" i="12"/>
  <c r="J126" i="12"/>
  <c r="I126" i="12"/>
  <c r="H126" i="12"/>
  <c r="G126" i="12"/>
  <c r="F126" i="12"/>
  <c r="E126" i="12"/>
  <c r="N126" i="12" s="1"/>
  <c r="D126" i="12"/>
  <c r="C126" i="12"/>
  <c r="B126" i="12"/>
  <c r="A126" i="12"/>
  <c r="K125" i="12"/>
  <c r="J125" i="12"/>
  <c r="I125" i="12"/>
  <c r="H125" i="12"/>
  <c r="G125" i="12"/>
  <c r="F125" i="12"/>
  <c r="E125" i="12"/>
  <c r="N125" i="12" s="1"/>
  <c r="D125" i="12"/>
  <c r="C125" i="12"/>
  <c r="B125" i="12"/>
  <c r="A125" i="12"/>
  <c r="K124" i="12"/>
  <c r="J124" i="12"/>
  <c r="I124" i="12"/>
  <c r="H124" i="12"/>
  <c r="G124" i="12"/>
  <c r="F124" i="12"/>
  <c r="E124" i="12"/>
  <c r="N124" i="12" s="1"/>
  <c r="D124" i="12"/>
  <c r="C124" i="12"/>
  <c r="B124" i="12"/>
  <c r="A124" i="12"/>
  <c r="K123" i="12"/>
  <c r="J123" i="12"/>
  <c r="I123" i="12"/>
  <c r="H123" i="12"/>
  <c r="G123" i="12"/>
  <c r="F123" i="12"/>
  <c r="E123" i="12"/>
  <c r="N123" i="12" s="1"/>
  <c r="D123" i="12"/>
  <c r="C123" i="12"/>
  <c r="B123" i="12"/>
  <c r="A123" i="12"/>
  <c r="K122" i="12"/>
  <c r="J122" i="12"/>
  <c r="I122" i="12"/>
  <c r="H122" i="12"/>
  <c r="G122" i="12"/>
  <c r="F122" i="12"/>
  <c r="E122" i="12"/>
  <c r="N122" i="12" s="1"/>
  <c r="D122" i="12"/>
  <c r="C122" i="12"/>
  <c r="B122" i="12"/>
  <c r="A122" i="12"/>
  <c r="K121" i="12"/>
  <c r="J121" i="12"/>
  <c r="I121" i="12"/>
  <c r="H121" i="12"/>
  <c r="G121" i="12"/>
  <c r="F121" i="12"/>
  <c r="E121" i="12"/>
  <c r="N121" i="12" s="1"/>
  <c r="D121" i="12"/>
  <c r="C121" i="12"/>
  <c r="B121" i="12"/>
  <c r="A121" i="12"/>
  <c r="K120" i="12"/>
  <c r="J120" i="12"/>
  <c r="I120" i="12"/>
  <c r="H120" i="12"/>
  <c r="G120" i="12"/>
  <c r="F120" i="12"/>
  <c r="E120" i="12"/>
  <c r="N120" i="12" s="1"/>
  <c r="D120" i="12"/>
  <c r="C120" i="12"/>
  <c r="B120" i="12"/>
  <c r="A120" i="12"/>
  <c r="K119" i="12"/>
  <c r="J119" i="12"/>
  <c r="I119" i="12"/>
  <c r="H119" i="12"/>
  <c r="G119" i="12"/>
  <c r="F119" i="12"/>
  <c r="E119" i="12"/>
  <c r="N119" i="12" s="1"/>
  <c r="D119" i="12"/>
  <c r="C119" i="12"/>
  <c r="B119" i="12"/>
  <c r="A119" i="12"/>
  <c r="K118" i="12"/>
  <c r="J118" i="12"/>
  <c r="I118" i="12"/>
  <c r="H118" i="12"/>
  <c r="G118" i="12"/>
  <c r="F118" i="12"/>
  <c r="E118" i="12"/>
  <c r="N118" i="12" s="1"/>
  <c r="D118" i="12"/>
  <c r="C118" i="12"/>
  <c r="B118" i="12"/>
  <c r="A118" i="12"/>
  <c r="K117" i="12"/>
  <c r="J117" i="12"/>
  <c r="I117" i="12"/>
  <c r="H117" i="12"/>
  <c r="G117" i="12"/>
  <c r="F117" i="12"/>
  <c r="E117" i="12"/>
  <c r="N117" i="12" s="1"/>
  <c r="D117" i="12"/>
  <c r="C117" i="12"/>
  <c r="B117" i="12"/>
  <c r="A117" i="12"/>
  <c r="K116" i="12"/>
  <c r="J116" i="12"/>
  <c r="I116" i="12"/>
  <c r="H116" i="12"/>
  <c r="G116" i="12"/>
  <c r="F116" i="12"/>
  <c r="E116" i="12"/>
  <c r="N116" i="12" s="1"/>
  <c r="D116" i="12"/>
  <c r="C116" i="12"/>
  <c r="B116" i="12"/>
  <c r="A116" i="12"/>
  <c r="K115" i="12"/>
  <c r="J115" i="12"/>
  <c r="I115" i="12"/>
  <c r="H115" i="12"/>
  <c r="G115" i="12"/>
  <c r="F115" i="12"/>
  <c r="E115" i="12"/>
  <c r="N115" i="12" s="1"/>
  <c r="D115" i="12"/>
  <c r="C115" i="12"/>
  <c r="B115" i="12"/>
  <c r="A115" i="12"/>
  <c r="K114" i="12"/>
  <c r="J114" i="12"/>
  <c r="I114" i="12"/>
  <c r="H114" i="12"/>
  <c r="G114" i="12"/>
  <c r="F114" i="12"/>
  <c r="E114" i="12"/>
  <c r="N114" i="12" s="1"/>
  <c r="D114" i="12"/>
  <c r="C114" i="12"/>
  <c r="B114" i="12"/>
  <c r="A114" i="12"/>
  <c r="K113" i="12"/>
  <c r="J113" i="12"/>
  <c r="I113" i="12"/>
  <c r="H113" i="12"/>
  <c r="G113" i="12"/>
  <c r="F113" i="12"/>
  <c r="E113" i="12"/>
  <c r="N113" i="12" s="1"/>
  <c r="D113" i="12"/>
  <c r="C113" i="12"/>
  <c r="B113" i="12"/>
  <c r="A113" i="12"/>
  <c r="K112" i="12"/>
  <c r="J112" i="12"/>
  <c r="I112" i="12"/>
  <c r="H112" i="12"/>
  <c r="G112" i="12"/>
  <c r="F112" i="12"/>
  <c r="E112" i="12"/>
  <c r="N112" i="12" s="1"/>
  <c r="D112" i="12"/>
  <c r="C112" i="12"/>
  <c r="B112" i="12"/>
  <c r="A112" i="12"/>
  <c r="K111" i="12"/>
  <c r="J111" i="12"/>
  <c r="I111" i="12"/>
  <c r="H111" i="12"/>
  <c r="G111" i="12"/>
  <c r="F111" i="12"/>
  <c r="E111" i="12"/>
  <c r="N111" i="12" s="1"/>
  <c r="D111" i="12"/>
  <c r="C111" i="12"/>
  <c r="B111" i="12"/>
  <c r="A111" i="12"/>
  <c r="K110" i="12"/>
  <c r="J110" i="12"/>
  <c r="I110" i="12"/>
  <c r="H110" i="12"/>
  <c r="G110" i="12"/>
  <c r="F110" i="12"/>
  <c r="E110" i="12"/>
  <c r="N110" i="12" s="1"/>
  <c r="D110" i="12"/>
  <c r="C110" i="12"/>
  <c r="B110" i="12"/>
  <c r="A110" i="12"/>
  <c r="K109" i="12"/>
  <c r="J109" i="12"/>
  <c r="I109" i="12"/>
  <c r="H109" i="12"/>
  <c r="G109" i="12"/>
  <c r="F109" i="12"/>
  <c r="E109" i="12"/>
  <c r="N109" i="12" s="1"/>
  <c r="D109" i="12"/>
  <c r="C109" i="12"/>
  <c r="B109" i="12"/>
  <c r="A109" i="12"/>
  <c r="K108" i="12"/>
  <c r="J108" i="12"/>
  <c r="I108" i="12"/>
  <c r="H108" i="12"/>
  <c r="G108" i="12"/>
  <c r="F108" i="12"/>
  <c r="E108" i="12"/>
  <c r="N108" i="12" s="1"/>
  <c r="D108" i="12"/>
  <c r="C108" i="12"/>
  <c r="B108" i="12"/>
  <c r="A108" i="12"/>
  <c r="K107" i="12"/>
  <c r="J107" i="12"/>
  <c r="I107" i="12"/>
  <c r="H107" i="12"/>
  <c r="G107" i="12"/>
  <c r="F107" i="12"/>
  <c r="E107" i="12"/>
  <c r="N107" i="12" s="1"/>
  <c r="D107" i="12"/>
  <c r="C107" i="12"/>
  <c r="B107" i="12"/>
  <c r="A107" i="12"/>
  <c r="K106" i="12"/>
  <c r="J106" i="12"/>
  <c r="I106" i="12"/>
  <c r="H106" i="12"/>
  <c r="G106" i="12"/>
  <c r="F106" i="12"/>
  <c r="E106" i="12"/>
  <c r="N106" i="12" s="1"/>
  <c r="D106" i="12"/>
  <c r="C106" i="12"/>
  <c r="B106" i="12"/>
  <c r="A106" i="12"/>
  <c r="K105" i="12"/>
  <c r="J105" i="12"/>
  <c r="I105" i="12"/>
  <c r="H105" i="12"/>
  <c r="G105" i="12"/>
  <c r="F105" i="12"/>
  <c r="E105" i="12"/>
  <c r="N105" i="12" s="1"/>
  <c r="D105" i="12"/>
  <c r="C105" i="12"/>
  <c r="B105" i="12"/>
  <c r="A105" i="12"/>
  <c r="K104" i="12"/>
  <c r="J104" i="12"/>
  <c r="I104" i="12"/>
  <c r="H104" i="12"/>
  <c r="G104" i="12"/>
  <c r="F104" i="12"/>
  <c r="E104" i="12"/>
  <c r="N104" i="12" s="1"/>
  <c r="D104" i="12"/>
  <c r="C104" i="12"/>
  <c r="B104" i="12"/>
  <c r="A104" i="12"/>
  <c r="K103" i="12"/>
  <c r="J103" i="12"/>
  <c r="I103" i="12"/>
  <c r="H103" i="12"/>
  <c r="G103" i="12"/>
  <c r="F103" i="12"/>
  <c r="E103" i="12"/>
  <c r="N103" i="12" s="1"/>
  <c r="D103" i="12"/>
  <c r="C103" i="12"/>
  <c r="B103" i="12"/>
  <c r="A103" i="12"/>
  <c r="K102" i="12"/>
  <c r="J102" i="12"/>
  <c r="I102" i="12"/>
  <c r="H102" i="12"/>
  <c r="G102" i="12"/>
  <c r="F102" i="12"/>
  <c r="E102" i="12"/>
  <c r="N102" i="12" s="1"/>
  <c r="D102" i="12"/>
  <c r="C102" i="12"/>
  <c r="B102" i="12"/>
  <c r="A102" i="12"/>
  <c r="K101" i="12"/>
  <c r="J101" i="12"/>
  <c r="I101" i="12"/>
  <c r="H101" i="12"/>
  <c r="G101" i="12"/>
  <c r="F101" i="12"/>
  <c r="E101" i="12"/>
  <c r="N101" i="12" s="1"/>
  <c r="D101" i="12"/>
  <c r="C101" i="12"/>
  <c r="B101" i="12"/>
  <c r="A101" i="12"/>
  <c r="K100" i="12"/>
  <c r="J100" i="12"/>
  <c r="I100" i="12"/>
  <c r="H100" i="12"/>
  <c r="G100" i="12"/>
  <c r="F100" i="12"/>
  <c r="E100" i="12"/>
  <c r="N100" i="12" s="1"/>
  <c r="D100" i="12"/>
  <c r="C100" i="12"/>
  <c r="B100" i="12"/>
  <c r="A100" i="12"/>
  <c r="K99" i="12"/>
  <c r="J99" i="12"/>
  <c r="I99" i="12"/>
  <c r="H99" i="12"/>
  <c r="G99" i="12"/>
  <c r="F99" i="12"/>
  <c r="E99" i="12"/>
  <c r="N99" i="12" s="1"/>
  <c r="D99" i="12"/>
  <c r="C99" i="12"/>
  <c r="B99" i="12"/>
  <c r="A99" i="12"/>
  <c r="K98" i="12"/>
  <c r="J98" i="12"/>
  <c r="I98" i="12"/>
  <c r="H98" i="12"/>
  <c r="G98" i="12"/>
  <c r="F98" i="12"/>
  <c r="E98" i="12"/>
  <c r="N98" i="12" s="1"/>
  <c r="D98" i="12"/>
  <c r="C98" i="12"/>
  <c r="B98" i="12"/>
  <c r="A98" i="12"/>
  <c r="K97" i="12"/>
  <c r="J97" i="12"/>
  <c r="I97" i="12"/>
  <c r="H97" i="12"/>
  <c r="G97" i="12"/>
  <c r="F97" i="12"/>
  <c r="E97" i="12"/>
  <c r="N97" i="12" s="1"/>
  <c r="D97" i="12"/>
  <c r="C97" i="12"/>
  <c r="B97" i="12"/>
  <c r="A97" i="12"/>
  <c r="K96" i="12"/>
  <c r="J96" i="12"/>
  <c r="I96" i="12"/>
  <c r="H96" i="12"/>
  <c r="G96" i="12"/>
  <c r="F96" i="12"/>
  <c r="E96" i="12"/>
  <c r="N96" i="12" s="1"/>
  <c r="D96" i="12"/>
  <c r="C96" i="12"/>
  <c r="B96" i="12"/>
  <c r="A96" i="12"/>
  <c r="K95" i="12"/>
  <c r="J95" i="12"/>
  <c r="I95" i="12"/>
  <c r="H95" i="12"/>
  <c r="G95" i="12"/>
  <c r="F95" i="12"/>
  <c r="E95" i="12"/>
  <c r="N95" i="12" s="1"/>
  <c r="D95" i="12"/>
  <c r="C95" i="12"/>
  <c r="B95" i="12"/>
  <c r="A95" i="12"/>
  <c r="K94" i="12"/>
  <c r="J94" i="12"/>
  <c r="I94" i="12"/>
  <c r="H94" i="12"/>
  <c r="G94" i="12"/>
  <c r="F94" i="12"/>
  <c r="E94" i="12"/>
  <c r="N94" i="12" s="1"/>
  <c r="D94" i="12"/>
  <c r="C94" i="12"/>
  <c r="B94" i="12"/>
  <c r="A94" i="12"/>
  <c r="K93" i="12"/>
  <c r="J93" i="12"/>
  <c r="I93" i="12"/>
  <c r="H93" i="12"/>
  <c r="G93" i="12"/>
  <c r="F93" i="12"/>
  <c r="E93" i="12"/>
  <c r="N93" i="12" s="1"/>
  <c r="D93" i="12"/>
  <c r="C93" i="12"/>
  <c r="B93" i="12"/>
  <c r="A93" i="12"/>
  <c r="K92" i="12"/>
  <c r="J92" i="12"/>
  <c r="I92" i="12"/>
  <c r="H92" i="12"/>
  <c r="G92" i="12"/>
  <c r="F92" i="12"/>
  <c r="E92" i="12"/>
  <c r="N92" i="12" s="1"/>
  <c r="D92" i="12"/>
  <c r="C92" i="12"/>
  <c r="B92" i="12"/>
  <c r="A92" i="12"/>
  <c r="K91" i="12"/>
  <c r="J91" i="12"/>
  <c r="I91" i="12"/>
  <c r="H91" i="12"/>
  <c r="G91" i="12"/>
  <c r="F91" i="12"/>
  <c r="E91" i="12"/>
  <c r="N91" i="12" s="1"/>
  <c r="D91" i="12"/>
  <c r="C91" i="12"/>
  <c r="B91" i="12"/>
  <c r="A91" i="12"/>
  <c r="K90" i="12"/>
  <c r="J90" i="12"/>
  <c r="I90" i="12"/>
  <c r="H90" i="12"/>
  <c r="G90" i="12"/>
  <c r="F90" i="12"/>
  <c r="E90" i="12"/>
  <c r="N90" i="12" s="1"/>
  <c r="D90" i="12"/>
  <c r="C90" i="12"/>
  <c r="B90" i="12"/>
  <c r="A90" i="12"/>
  <c r="K89" i="12"/>
  <c r="J89" i="12"/>
  <c r="I89" i="12"/>
  <c r="H89" i="12"/>
  <c r="G89" i="12"/>
  <c r="F89" i="12"/>
  <c r="E89" i="12"/>
  <c r="N89" i="12" s="1"/>
  <c r="D89" i="12"/>
  <c r="C89" i="12"/>
  <c r="B89" i="12"/>
  <c r="A89" i="12"/>
  <c r="S88" i="12"/>
  <c r="R88" i="12"/>
  <c r="P88" i="12"/>
  <c r="O88" i="12"/>
  <c r="M88" i="12"/>
  <c r="L88" i="12"/>
  <c r="K88" i="12"/>
  <c r="J88" i="12"/>
  <c r="I88" i="12"/>
  <c r="H88" i="12"/>
  <c r="G88" i="12"/>
  <c r="Q88" i="12" s="1"/>
  <c r="F88" i="12"/>
  <c r="E88" i="12"/>
  <c r="N88" i="12" s="1"/>
  <c r="D88" i="12"/>
  <c r="C88" i="12"/>
  <c r="B88" i="12"/>
  <c r="A88" i="12"/>
  <c r="K87" i="12"/>
  <c r="J87" i="12"/>
  <c r="I87" i="12"/>
  <c r="H87" i="12"/>
  <c r="G87" i="12"/>
  <c r="F87" i="12"/>
  <c r="E87" i="12"/>
  <c r="N87" i="12" s="1"/>
  <c r="D87" i="12"/>
  <c r="C87" i="12"/>
  <c r="B87" i="12"/>
  <c r="A87" i="12"/>
  <c r="K86" i="12"/>
  <c r="J86" i="12"/>
  <c r="I86" i="12"/>
  <c r="H86" i="12"/>
  <c r="G86" i="12"/>
  <c r="F86" i="12"/>
  <c r="E86" i="12"/>
  <c r="N86" i="12" s="1"/>
  <c r="D86" i="12"/>
  <c r="C86" i="12"/>
  <c r="B86" i="12"/>
  <c r="A86" i="12"/>
  <c r="K85" i="12"/>
  <c r="J85" i="12"/>
  <c r="I85" i="12"/>
  <c r="H85" i="12"/>
  <c r="G85" i="12"/>
  <c r="F85" i="12"/>
  <c r="E85" i="12"/>
  <c r="N85" i="12" s="1"/>
  <c r="D85" i="12"/>
  <c r="C85" i="12"/>
  <c r="B85" i="12"/>
  <c r="A85" i="12"/>
  <c r="K84" i="12"/>
  <c r="J84" i="12"/>
  <c r="I84" i="12"/>
  <c r="H84" i="12"/>
  <c r="G84" i="12"/>
  <c r="F84" i="12"/>
  <c r="E84" i="12"/>
  <c r="N84" i="12" s="1"/>
  <c r="D84" i="12"/>
  <c r="C84" i="12"/>
  <c r="B84" i="12"/>
  <c r="A84" i="12"/>
  <c r="K83" i="12"/>
  <c r="J83" i="12"/>
  <c r="I83" i="12"/>
  <c r="H83" i="12"/>
  <c r="G83" i="12"/>
  <c r="F83" i="12"/>
  <c r="E83" i="12"/>
  <c r="N83" i="12" s="1"/>
  <c r="D83" i="12"/>
  <c r="C83" i="12"/>
  <c r="B83" i="12"/>
  <c r="A83" i="12"/>
  <c r="K82" i="12"/>
  <c r="J82" i="12"/>
  <c r="I82" i="12"/>
  <c r="H82" i="12"/>
  <c r="G82" i="12"/>
  <c r="F82" i="12"/>
  <c r="E82" i="12"/>
  <c r="N82" i="12" s="1"/>
  <c r="D82" i="12"/>
  <c r="C82" i="12"/>
  <c r="B82" i="12"/>
  <c r="A82" i="12"/>
  <c r="K81" i="12"/>
  <c r="J81" i="12"/>
  <c r="I81" i="12"/>
  <c r="H81" i="12"/>
  <c r="G81" i="12"/>
  <c r="F81" i="12"/>
  <c r="E81" i="12"/>
  <c r="N81" i="12" s="1"/>
  <c r="D81" i="12"/>
  <c r="C81" i="12"/>
  <c r="B81" i="12"/>
  <c r="A81" i="12"/>
  <c r="K80" i="12"/>
  <c r="J80" i="12"/>
  <c r="I80" i="12"/>
  <c r="H80" i="12"/>
  <c r="G80" i="12"/>
  <c r="F80" i="12"/>
  <c r="E80" i="12"/>
  <c r="N80" i="12" s="1"/>
  <c r="D80" i="12"/>
  <c r="C80" i="12"/>
  <c r="B80" i="12"/>
  <c r="A80" i="12"/>
  <c r="K79" i="12"/>
  <c r="J79" i="12"/>
  <c r="I79" i="12"/>
  <c r="H79" i="12"/>
  <c r="G79" i="12"/>
  <c r="F79" i="12"/>
  <c r="E79" i="12"/>
  <c r="N79" i="12" s="1"/>
  <c r="D79" i="12"/>
  <c r="C79" i="12"/>
  <c r="B79" i="12"/>
  <c r="A79" i="12"/>
  <c r="K78" i="12"/>
  <c r="J78" i="12"/>
  <c r="I78" i="12"/>
  <c r="H78" i="12"/>
  <c r="G78" i="12"/>
  <c r="F78" i="12"/>
  <c r="E78" i="12"/>
  <c r="N78" i="12" s="1"/>
  <c r="D78" i="12"/>
  <c r="C78" i="12"/>
  <c r="B78" i="12"/>
  <c r="A78" i="12"/>
  <c r="K77" i="12"/>
  <c r="J77" i="12"/>
  <c r="I77" i="12"/>
  <c r="H77" i="12"/>
  <c r="G77" i="12"/>
  <c r="F77" i="12"/>
  <c r="E77" i="12"/>
  <c r="N77" i="12" s="1"/>
  <c r="D77" i="12"/>
  <c r="C77" i="12"/>
  <c r="B77" i="12"/>
  <c r="A77" i="12"/>
  <c r="K76" i="12"/>
  <c r="J76" i="12"/>
  <c r="I76" i="12"/>
  <c r="H76" i="12"/>
  <c r="G76" i="12"/>
  <c r="F76" i="12"/>
  <c r="E76" i="12"/>
  <c r="N76" i="12" s="1"/>
  <c r="D76" i="12"/>
  <c r="C76" i="12"/>
  <c r="B76" i="12"/>
  <c r="A76" i="12"/>
  <c r="K75" i="12"/>
  <c r="J75" i="12"/>
  <c r="I75" i="12"/>
  <c r="H75" i="12"/>
  <c r="G75" i="12"/>
  <c r="F75" i="12"/>
  <c r="E75" i="12"/>
  <c r="N75" i="12" s="1"/>
  <c r="D75" i="12"/>
  <c r="C75" i="12"/>
  <c r="B75" i="12"/>
  <c r="A75" i="12"/>
  <c r="K74" i="12"/>
  <c r="J74" i="12"/>
  <c r="I74" i="12"/>
  <c r="H74" i="12"/>
  <c r="G74" i="12"/>
  <c r="F74" i="12"/>
  <c r="E74" i="12"/>
  <c r="N74" i="12" s="1"/>
  <c r="D74" i="12"/>
  <c r="C74" i="12"/>
  <c r="B74" i="12"/>
  <c r="A74" i="12"/>
  <c r="K73" i="12"/>
  <c r="J73" i="12"/>
  <c r="I73" i="12"/>
  <c r="H73" i="12"/>
  <c r="G73" i="12"/>
  <c r="F73" i="12"/>
  <c r="E73" i="12"/>
  <c r="N73" i="12" s="1"/>
  <c r="D73" i="12"/>
  <c r="C73" i="12"/>
  <c r="B73" i="12"/>
  <c r="A73" i="12"/>
  <c r="K72" i="12"/>
  <c r="J72" i="12"/>
  <c r="I72" i="12"/>
  <c r="H72" i="12"/>
  <c r="G72" i="12"/>
  <c r="F72" i="12"/>
  <c r="E72" i="12"/>
  <c r="N72" i="12" s="1"/>
  <c r="D72" i="12"/>
  <c r="C72" i="12"/>
  <c r="B72" i="12"/>
  <c r="A72" i="12"/>
  <c r="K71" i="12"/>
  <c r="J71" i="12"/>
  <c r="I71" i="12"/>
  <c r="H71" i="12"/>
  <c r="G71" i="12"/>
  <c r="F71" i="12"/>
  <c r="E71" i="12"/>
  <c r="N71" i="12" s="1"/>
  <c r="D71" i="12"/>
  <c r="C71" i="12"/>
  <c r="B71" i="12"/>
  <c r="A71" i="12"/>
  <c r="K70" i="12"/>
  <c r="J70" i="12"/>
  <c r="I70" i="12"/>
  <c r="H70" i="12"/>
  <c r="G70" i="12"/>
  <c r="F70" i="12"/>
  <c r="E70" i="12"/>
  <c r="N70" i="12" s="1"/>
  <c r="D70" i="12"/>
  <c r="C70" i="12"/>
  <c r="B70" i="12"/>
  <c r="A70" i="12"/>
  <c r="K69" i="12"/>
  <c r="J69" i="12"/>
  <c r="I69" i="12"/>
  <c r="H69" i="12"/>
  <c r="G69" i="12"/>
  <c r="F69" i="12"/>
  <c r="E69" i="12"/>
  <c r="N69" i="12" s="1"/>
  <c r="D69" i="12"/>
  <c r="C69" i="12"/>
  <c r="B69" i="12"/>
  <c r="A69" i="12"/>
  <c r="K68" i="12"/>
  <c r="J68" i="12"/>
  <c r="I68" i="12"/>
  <c r="H68" i="12"/>
  <c r="G68" i="12"/>
  <c r="F68" i="12"/>
  <c r="E68" i="12"/>
  <c r="N68" i="12" s="1"/>
  <c r="D68" i="12"/>
  <c r="C68" i="12"/>
  <c r="B68" i="12"/>
  <c r="A68" i="12"/>
  <c r="K67" i="12"/>
  <c r="J67" i="12"/>
  <c r="I67" i="12"/>
  <c r="H67" i="12"/>
  <c r="G67" i="12"/>
  <c r="F67" i="12"/>
  <c r="E67" i="12"/>
  <c r="N67" i="12" s="1"/>
  <c r="D67" i="12"/>
  <c r="C67" i="12"/>
  <c r="B67" i="12"/>
  <c r="A67" i="12"/>
  <c r="K66" i="12"/>
  <c r="J66" i="12"/>
  <c r="I66" i="12"/>
  <c r="H66" i="12"/>
  <c r="G66" i="12"/>
  <c r="F66" i="12"/>
  <c r="E66" i="12"/>
  <c r="N66" i="12" s="1"/>
  <c r="D66" i="12"/>
  <c r="C66" i="12"/>
  <c r="B66" i="12"/>
  <c r="A66" i="12"/>
  <c r="K65" i="12"/>
  <c r="J65" i="12"/>
  <c r="I65" i="12"/>
  <c r="H65" i="12"/>
  <c r="G65" i="12"/>
  <c r="F65" i="12"/>
  <c r="E65" i="12"/>
  <c r="N65" i="12" s="1"/>
  <c r="D65" i="12"/>
  <c r="C65" i="12"/>
  <c r="B65" i="12"/>
  <c r="A65" i="12"/>
  <c r="K64" i="12"/>
  <c r="J64" i="12"/>
  <c r="I64" i="12"/>
  <c r="H64" i="12"/>
  <c r="G64" i="12"/>
  <c r="F64" i="12"/>
  <c r="E64" i="12"/>
  <c r="N64" i="12" s="1"/>
  <c r="D64" i="12"/>
  <c r="C64" i="12"/>
  <c r="B64" i="12"/>
  <c r="A64" i="12"/>
  <c r="K63" i="12"/>
  <c r="J63" i="12"/>
  <c r="I63" i="12"/>
  <c r="H63" i="12"/>
  <c r="G63" i="12"/>
  <c r="F63" i="12"/>
  <c r="E63" i="12"/>
  <c r="N63" i="12" s="1"/>
  <c r="D63" i="12"/>
  <c r="C63" i="12"/>
  <c r="B63" i="12"/>
  <c r="A63" i="12"/>
  <c r="K62" i="12"/>
  <c r="J62" i="12"/>
  <c r="I62" i="12"/>
  <c r="H62" i="12"/>
  <c r="G62" i="12"/>
  <c r="F62" i="12"/>
  <c r="E62" i="12"/>
  <c r="N62" i="12" s="1"/>
  <c r="D62" i="12"/>
  <c r="C62" i="12"/>
  <c r="B62" i="12"/>
  <c r="A62" i="12"/>
  <c r="BK61" i="12"/>
  <c r="BI61" i="12"/>
  <c r="BH61" i="12"/>
  <c r="BJ61" i="12" s="1"/>
  <c r="K61" i="12"/>
  <c r="J61" i="12"/>
  <c r="I61" i="12"/>
  <c r="H61" i="12"/>
  <c r="G61" i="12"/>
  <c r="F61" i="12"/>
  <c r="E61" i="12"/>
  <c r="N61" i="12" s="1"/>
  <c r="D61" i="12"/>
  <c r="C61" i="12"/>
  <c r="B61" i="12"/>
  <c r="A61" i="12"/>
  <c r="BK60" i="12"/>
  <c r="BI60" i="12"/>
  <c r="BH60" i="12"/>
  <c r="K60" i="12"/>
  <c r="J60" i="12"/>
  <c r="I60" i="12"/>
  <c r="H60" i="12"/>
  <c r="G60" i="12"/>
  <c r="F60" i="12"/>
  <c r="E60" i="12"/>
  <c r="N60" i="12" s="1"/>
  <c r="D60" i="12"/>
  <c r="C60" i="12"/>
  <c r="B60" i="12"/>
  <c r="A60" i="12"/>
  <c r="BK59" i="12"/>
  <c r="BI59" i="12"/>
  <c r="BH59" i="12"/>
  <c r="K59" i="12"/>
  <c r="J59" i="12"/>
  <c r="I59" i="12"/>
  <c r="H59" i="12"/>
  <c r="G59" i="12"/>
  <c r="F59" i="12"/>
  <c r="E59" i="12"/>
  <c r="N59" i="12" s="1"/>
  <c r="D59" i="12"/>
  <c r="C59" i="12"/>
  <c r="B59" i="12"/>
  <c r="A59" i="12"/>
  <c r="BK58" i="12"/>
  <c r="BI58" i="12"/>
  <c r="BH58" i="12"/>
  <c r="K58" i="12"/>
  <c r="J58" i="12"/>
  <c r="I58" i="12"/>
  <c r="H58" i="12"/>
  <c r="G58" i="12"/>
  <c r="F58" i="12"/>
  <c r="E58" i="12"/>
  <c r="N58" i="12" s="1"/>
  <c r="D58" i="12"/>
  <c r="C58" i="12"/>
  <c r="B58" i="12"/>
  <c r="A58" i="12"/>
  <c r="BK57" i="12"/>
  <c r="BI57" i="12"/>
  <c r="BH57" i="12"/>
  <c r="K57" i="12"/>
  <c r="J57" i="12"/>
  <c r="I57" i="12"/>
  <c r="H57" i="12"/>
  <c r="G57" i="12"/>
  <c r="F57" i="12"/>
  <c r="E57" i="12"/>
  <c r="N57" i="12" s="1"/>
  <c r="D57" i="12"/>
  <c r="C57" i="12"/>
  <c r="B57" i="12"/>
  <c r="A57" i="12"/>
  <c r="BK56" i="12"/>
  <c r="BI56" i="12"/>
  <c r="BH56" i="12"/>
  <c r="K56" i="12"/>
  <c r="J56" i="12"/>
  <c r="I56" i="12"/>
  <c r="H56" i="12"/>
  <c r="G56" i="12"/>
  <c r="F56" i="12"/>
  <c r="E56" i="12"/>
  <c r="N56" i="12" s="1"/>
  <c r="D56" i="12"/>
  <c r="C56" i="12"/>
  <c r="B56" i="12"/>
  <c r="A56" i="12"/>
  <c r="BK55" i="12"/>
  <c r="BI55" i="12"/>
  <c r="BH55" i="12"/>
  <c r="K55" i="12"/>
  <c r="J55" i="12"/>
  <c r="I55" i="12"/>
  <c r="H55" i="12"/>
  <c r="G55" i="12"/>
  <c r="F55" i="12"/>
  <c r="E55" i="12"/>
  <c r="N55" i="12" s="1"/>
  <c r="D55" i="12"/>
  <c r="C55" i="12"/>
  <c r="B55" i="12"/>
  <c r="A55" i="12"/>
  <c r="BK54" i="12"/>
  <c r="BI54" i="12"/>
  <c r="BH54" i="12"/>
  <c r="K54" i="12"/>
  <c r="J54" i="12"/>
  <c r="I54" i="12"/>
  <c r="H54" i="12"/>
  <c r="G54" i="12"/>
  <c r="F54" i="12"/>
  <c r="E54" i="12"/>
  <c r="N54" i="12" s="1"/>
  <c r="D54" i="12"/>
  <c r="C54" i="12"/>
  <c r="B54" i="12"/>
  <c r="A54" i="12"/>
  <c r="BK53" i="12"/>
  <c r="BI53" i="12"/>
  <c r="BH53" i="12"/>
  <c r="K53" i="12"/>
  <c r="J53" i="12"/>
  <c r="I53" i="12"/>
  <c r="H53" i="12"/>
  <c r="G53" i="12"/>
  <c r="F53" i="12"/>
  <c r="E53" i="12"/>
  <c r="N53" i="12" s="1"/>
  <c r="D53" i="12"/>
  <c r="C53" i="12"/>
  <c r="B53" i="12"/>
  <c r="A53" i="12"/>
  <c r="BK52" i="12"/>
  <c r="BI52" i="12"/>
  <c r="BH52" i="12"/>
  <c r="K52" i="12"/>
  <c r="J52" i="12"/>
  <c r="I52" i="12"/>
  <c r="H52" i="12"/>
  <c r="G52" i="12"/>
  <c r="F52" i="12"/>
  <c r="E52" i="12"/>
  <c r="N52" i="12" s="1"/>
  <c r="D52" i="12"/>
  <c r="C52" i="12"/>
  <c r="B52" i="12"/>
  <c r="A52" i="12"/>
  <c r="BK51" i="12"/>
  <c r="BI51" i="12"/>
  <c r="BH51" i="12"/>
  <c r="K51" i="12"/>
  <c r="J51" i="12"/>
  <c r="I51" i="12"/>
  <c r="H51" i="12"/>
  <c r="G51" i="12"/>
  <c r="F51" i="12"/>
  <c r="E51" i="12"/>
  <c r="N51" i="12" s="1"/>
  <c r="D51" i="12"/>
  <c r="C51" i="12"/>
  <c r="B51" i="12"/>
  <c r="A51" i="12"/>
  <c r="BK50" i="12"/>
  <c r="BI50" i="12"/>
  <c r="BH50" i="12"/>
  <c r="K50" i="12"/>
  <c r="J50" i="12"/>
  <c r="I50" i="12"/>
  <c r="H50" i="12"/>
  <c r="G50" i="12"/>
  <c r="F50" i="12"/>
  <c r="E50" i="12"/>
  <c r="N50" i="12" s="1"/>
  <c r="D50" i="12"/>
  <c r="C50" i="12"/>
  <c r="B50" i="12"/>
  <c r="A50" i="12"/>
  <c r="BK49" i="12"/>
  <c r="BI49" i="12"/>
  <c r="BH49" i="12"/>
  <c r="K49" i="12"/>
  <c r="J49" i="12"/>
  <c r="I49" i="12"/>
  <c r="H49" i="12"/>
  <c r="G49" i="12"/>
  <c r="F49" i="12"/>
  <c r="E49" i="12"/>
  <c r="N49" i="12" s="1"/>
  <c r="D49" i="12"/>
  <c r="C49" i="12"/>
  <c r="B49" i="12"/>
  <c r="A49" i="12"/>
  <c r="BK48" i="12"/>
  <c r="BI48" i="12"/>
  <c r="BH48" i="12"/>
  <c r="K48" i="12"/>
  <c r="J48" i="12"/>
  <c r="I48" i="12"/>
  <c r="H48" i="12"/>
  <c r="G48" i="12"/>
  <c r="F48" i="12"/>
  <c r="E48" i="12"/>
  <c r="N48" i="12" s="1"/>
  <c r="D48" i="12"/>
  <c r="C48" i="12"/>
  <c r="B48" i="12"/>
  <c r="A48" i="12"/>
  <c r="BK47" i="12"/>
  <c r="BI47" i="12"/>
  <c r="BH47" i="12"/>
  <c r="K47" i="12"/>
  <c r="J47" i="12"/>
  <c r="I47" i="12"/>
  <c r="H47" i="12"/>
  <c r="G47" i="12"/>
  <c r="F47" i="12"/>
  <c r="E47" i="12"/>
  <c r="N47" i="12" s="1"/>
  <c r="D47" i="12"/>
  <c r="C47" i="12"/>
  <c r="B47" i="12"/>
  <c r="A47" i="12"/>
  <c r="BK46" i="12"/>
  <c r="BI46" i="12"/>
  <c r="BH46" i="12"/>
  <c r="K46" i="12"/>
  <c r="J46" i="12"/>
  <c r="I46" i="12"/>
  <c r="H46" i="12"/>
  <c r="G46" i="12"/>
  <c r="F46" i="12"/>
  <c r="E46" i="12"/>
  <c r="N46" i="12" s="1"/>
  <c r="D46" i="12"/>
  <c r="C46" i="12"/>
  <c r="B46" i="12"/>
  <c r="A46" i="12"/>
  <c r="BK45" i="12"/>
  <c r="BI45" i="12"/>
  <c r="BH45" i="12"/>
  <c r="K45" i="12"/>
  <c r="J45" i="12"/>
  <c r="I45" i="12"/>
  <c r="H45" i="12"/>
  <c r="G45" i="12"/>
  <c r="F45" i="12"/>
  <c r="E45" i="12"/>
  <c r="N45" i="12" s="1"/>
  <c r="D45" i="12"/>
  <c r="C45" i="12"/>
  <c r="B45" i="12"/>
  <c r="A45" i="12"/>
  <c r="BK44" i="12"/>
  <c r="BI44" i="12"/>
  <c r="BH44" i="12"/>
  <c r="K44" i="12"/>
  <c r="J44" i="12"/>
  <c r="I44" i="12"/>
  <c r="H44" i="12"/>
  <c r="G44" i="12"/>
  <c r="F44" i="12"/>
  <c r="E44" i="12"/>
  <c r="N44" i="12" s="1"/>
  <c r="D44" i="12"/>
  <c r="C44" i="12"/>
  <c r="B44" i="12"/>
  <c r="A44" i="12"/>
  <c r="BK43" i="12"/>
  <c r="BI43" i="12"/>
  <c r="BH43" i="12"/>
  <c r="K43" i="12"/>
  <c r="J43" i="12"/>
  <c r="I43" i="12"/>
  <c r="H43" i="12"/>
  <c r="G43" i="12"/>
  <c r="F43" i="12"/>
  <c r="E43" i="12"/>
  <c r="N43" i="12" s="1"/>
  <c r="D43" i="12"/>
  <c r="C43" i="12"/>
  <c r="B43" i="12"/>
  <c r="A43" i="12"/>
  <c r="BK42" i="12"/>
  <c r="BI42" i="12"/>
  <c r="BH42" i="12"/>
  <c r="K42" i="12"/>
  <c r="J42" i="12"/>
  <c r="I42" i="12"/>
  <c r="H42" i="12"/>
  <c r="G42" i="12"/>
  <c r="F42" i="12"/>
  <c r="E42" i="12"/>
  <c r="N42" i="12" s="1"/>
  <c r="D42" i="12"/>
  <c r="C42" i="12"/>
  <c r="B42" i="12"/>
  <c r="A42" i="12"/>
  <c r="BK41" i="12"/>
  <c r="BI41" i="12"/>
  <c r="BH41" i="12"/>
  <c r="K41" i="12"/>
  <c r="J41" i="12"/>
  <c r="I41" i="12"/>
  <c r="H41" i="12"/>
  <c r="G41" i="12"/>
  <c r="F41" i="12"/>
  <c r="E41" i="12"/>
  <c r="N41" i="12" s="1"/>
  <c r="D41" i="12"/>
  <c r="C41" i="12"/>
  <c r="B41" i="12"/>
  <c r="A41" i="12"/>
  <c r="BK40" i="12"/>
  <c r="BI40" i="12"/>
  <c r="BH40" i="12"/>
  <c r="K40" i="12"/>
  <c r="J40" i="12"/>
  <c r="I40" i="12"/>
  <c r="H40" i="12"/>
  <c r="G40" i="12"/>
  <c r="F40" i="12"/>
  <c r="E40" i="12"/>
  <c r="N40" i="12" s="1"/>
  <c r="D40" i="12"/>
  <c r="C40" i="12"/>
  <c r="B40" i="12"/>
  <c r="A40" i="12"/>
  <c r="BK39" i="12"/>
  <c r="BI39" i="12"/>
  <c r="BH39" i="12"/>
  <c r="K39" i="12"/>
  <c r="J39" i="12"/>
  <c r="I39" i="12"/>
  <c r="H39" i="12"/>
  <c r="G39" i="12"/>
  <c r="F39" i="12"/>
  <c r="E39" i="12"/>
  <c r="N39" i="12" s="1"/>
  <c r="D39" i="12"/>
  <c r="C39" i="12"/>
  <c r="B39" i="12"/>
  <c r="A39" i="12"/>
  <c r="BK38" i="12"/>
  <c r="BI38" i="12"/>
  <c r="BH38" i="12"/>
  <c r="K38" i="12"/>
  <c r="J38" i="12"/>
  <c r="I38" i="12"/>
  <c r="H38" i="12"/>
  <c r="G38" i="12"/>
  <c r="F38" i="12"/>
  <c r="E38" i="12"/>
  <c r="N38" i="12" s="1"/>
  <c r="D38" i="12"/>
  <c r="C38" i="12"/>
  <c r="B38" i="12"/>
  <c r="A38" i="12"/>
  <c r="BK37" i="12"/>
  <c r="BI37" i="12"/>
  <c r="BH37" i="12"/>
  <c r="K37" i="12"/>
  <c r="J37" i="12"/>
  <c r="I37" i="12"/>
  <c r="H37" i="12"/>
  <c r="G37" i="12"/>
  <c r="F37" i="12"/>
  <c r="E37" i="12"/>
  <c r="N37" i="12" s="1"/>
  <c r="D37" i="12"/>
  <c r="C37" i="12"/>
  <c r="B37" i="12"/>
  <c r="A37" i="12"/>
  <c r="BK36" i="12"/>
  <c r="BI36" i="12"/>
  <c r="BH36" i="12"/>
  <c r="K36" i="12"/>
  <c r="J36" i="12"/>
  <c r="I36" i="12"/>
  <c r="H36" i="12"/>
  <c r="G36" i="12"/>
  <c r="F36" i="12"/>
  <c r="E36" i="12"/>
  <c r="N36" i="12" s="1"/>
  <c r="D36" i="12"/>
  <c r="C36" i="12"/>
  <c r="B36" i="12"/>
  <c r="A36" i="12"/>
  <c r="BK35" i="12"/>
  <c r="BI35" i="12"/>
  <c r="BH35" i="12"/>
  <c r="K35" i="12"/>
  <c r="J35" i="12"/>
  <c r="I35" i="12"/>
  <c r="H35" i="12"/>
  <c r="G35" i="12"/>
  <c r="F35" i="12"/>
  <c r="E35" i="12"/>
  <c r="N35" i="12" s="1"/>
  <c r="D35" i="12"/>
  <c r="C35" i="12"/>
  <c r="B35" i="12"/>
  <c r="A35" i="12"/>
  <c r="BK34" i="12"/>
  <c r="BI34" i="12"/>
  <c r="BH34" i="12"/>
  <c r="K34" i="12"/>
  <c r="J34" i="12"/>
  <c r="I34" i="12"/>
  <c r="H34" i="12"/>
  <c r="G34" i="12"/>
  <c r="F34" i="12"/>
  <c r="E34" i="12"/>
  <c r="N34" i="12" s="1"/>
  <c r="D34" i="12"/>
  <c r="C34" i="12"/>
  <c r="B34" i="12"/>
  <c r="A34" i="12"/>
  <c r="BK33" i="12"/>
  <c r="BI33" i="12"/>
  <c r="BH33" i="12"/>
  <c r="K33" i="12"/>
  <c r="J33" i="12"/>
  <c r="I33" i="12"/>
  <c r="H33" i="12"/>
  <c r="G33" i="12"/>
  <c r="F33" i="12"/>
  <c r="E33" i="12"/>
  <c r="N33" i="12" s="1"/>
  <c r="D33" i="12"/>
  <c r="C33" i="12"/>
  <c r="B33" i="12"/>
  <c r="A33" i="12"/>
  <c r="BK32" i="12"/>
  <c r="BI32" i="12"/>
  <c r="BH32" i="12"/>
  <c r="K32" i="12"/>
  <c r="J32" i="12"/>
  <c r="I32" i="12"/>
  <c r="H32" i="12"/>
  <c r="G32" i="12"/>
  <c r="F32" i="12"/>
  <c r="E32" i="12"/>
  <c r="N32" i="12" s="1"/>
  <c r="D32" i="12"/>
  <c r="C32" i="12"/>
  <c r="B32" i="12"/>
  <c r="A32" i="12"/>
  <c r="BK31" i="12"/>
  <c r="BI31" i="12"/>
  <c r="BH31" i="12"/>
  <c r="Z31" i="12"/>
  <c r="X31" i="12"/>
  <c r="W31" i="12"/>
  <c r="Y31" i="12" s="1"/>
  <c r="U31" i="12"/>
  <c r="S31" i="12"/>
  <c r="R31" i="12"/>
  <c r="P31" i="12"/>
  <c r="O31" i="12"/>
  <c r="M31" i="12"/>
  <c r="L31" i="12"/>
  <c r="K31" i="12"/>
  <c r="J31" i="12"/>
  <c r="I31" i="12"/>
  <c r="H31" i="12"/>
  <c r="G31" i="12"/>
  <c r="Q31" i="12" s="1"/>
  <c r="F31" i="12"/>
  <c r="E31" i="12"/>
  <c r="N31" i="12" s="1"/>
  <c r="D31" i="12"/>
  <c r="C31" i="12"/>
  <c r="B31" i="12"/>
  <c r="A31" i="12"/>
  <c r="BK30" i="12"/>
  <c r="BI30" i="12"/>
  <c r="BH30" i="12"/>
  <c r="Z30" i="12"/>
  <c r="X30" i="12"/>
  <c r="W30" i="12"/>
  <c r="Y30" i="12" s="1"/>
  <c r="K30" i="12"/>
  <c r="J30" i="12"/>
  <c r="I30" i="12"/>
  <c r="H30" i="12"/>
  <c r="G30" i="12"/>
  <c r="F30" i="12"/>
  <c r="E30" i="12"/>
  <c r="N30" i="12" s="1"/>
  <c r="D30" i="12"/>
  <c r="C30" i="12"/>
  <c r="B30" i="12"/>
  <c r="A30" i="12"/>
  <c r="BK29" i="12"/>
  <c r="BI29" i="12"/>
  <c r="BH29" i="12"/>
  <c r="Z29" i="12"/>
  <c r="X29" i="12"/>
  <c r="W29" i="12"/>
  <c r="Y29" i="12" s="1"/>
  <c r="K29" i="12"/>
  <c r="J29" i="12"/>
  <c r="I29" i="12"/>
  <c r="H29" i="12"/>
  <c r="G29" i="12"/>
  <c r="F29" i="12"/>
  <c r="E29" i="12"/>
  <c r="N29" i="12" s="1"/>
  <c r="D29" i="12"/>
  <c r="C29" i="12"/>
  <c r="B29" i="12"/>
  <c r="A29" i="12"/>
  <c r="BK28" i="12"/>
  <c r="BI28" i="12"/>
  <c r="BH28" i="12"/>
  <c r="Z28" i="12"/>
  <c r="X28" i="12"/>
  <c r="W28" i="12"/>
  <c r="Y28" i="12" s="1"/>
  <c r="K28" i="12"/>
  <c r="J28" i="12"/>
  <c r="I28" i="12"/>
  <c r="H28" i="12"/>
  <c r="G28" i="12"/>
  <c r="F28" i="12"/>
  <c r="E28" i="12"/>
  <c r="N28" i="12" s="1"/>
  <c r="D28" i="12"/>
  <c r="C28" i="12"/>
  <c r="B28" i="12"/>
  <c r="A28" i="12"/>
  <c r="BK27" i="12"/>
  <c r="BI27" i="12"/>
  <c r="BH27" i="12"/>
  <c r="Z27" i="12"/>
  <c r="X27" i="12"/>
  <c r="W27" i="12"/>
  <c r="Y27" i="12" s="1"/>
  <c r="K27" i="12"/>
  <c r="J27" i="12"/>
  <c r="I27" i="12"/>
  <c r="H27" i="12"/>
  <c r="G27" i="12"/>
  <c r="F27" i="12"/>
  <c r="E27" i="12"/>
  <c r="N27" i="12" s="1"/>
  <c r="D27" i="12"/>
  <c r="C27" i="12"/>
  <c r="B27" i="12"/>
  <c r="A27" i="12"/>
  <c r="BK26" i="12"/>
  <c r="BI26" i="12"/>
  <c r="BH26" i="12"/>
  <c r="Z26" i="12"/>
  <c r="X26" i="12"/>
  <c r="W26" i="12"/>
  <c r="Y26" i="12" s="1"/>
  <c r="K26" i="12"/>
  <c r="J26" i="12"/>
  <c r="I26" i="12"/>
  <c r="H26" i="12"/>
  <c r="G26" i="12"/>
  <c r="F26" i="12"/>
  <c r="E26" i="12"/>
  <c r="N26" i="12" s="1"/>
  <c r="D26" i="12"/>
  <c r="C26" i="12"/>
  <c r="B26" i="12"/>
  <c r="A26" i="12"/>
  <c r="BK25" i="12"/>
  <c r="BI25" i="12"/>
  <c r="BH25" i="12"/>
  <c r="Z25" i="12"/>
  <c r="X25" i="12"/>
  <c r="W25" i="12"/>
  <c r="Y25" i="12" s="1"/>
  <c r="K25" i="12"/>
  <c r="J25" i="12"/>
  <c r="I25" i="12"/>
  <c r="H25" i="12"/>
  <c r="G25" i="12"/>
  <c r="F25" i="12"/>
  <c r="E25" i="12"/>
  <c r="N25" i="12" s="1"/>
  <c r="D25" i="12"/>
  <c r="C25" i="12"/>
  <c r="B25" i="12"/>
  <c r="A25" i="12"/>
  <c r="BK24" i="12"/>
  <c r="BI24" i="12"/>
  <c r="BH24" i="12"/>
  <c r="Z24" i="12"/>
  <c r="X24" i="12"/>
  <c r="W24" i="12"/>
  <c r="Y24" i="12" s="1"/>
  <c r="K24" i="12"/>
  <c r="J24" i="12"/>
  <c r="I24" i="12"/>
  <c r="H24" i="12"/>
  <c r="G24" i="12"/>
  <c r="F24" i="12"/>
  <c r="E24" i="12"/>
  <c r="N24" i="12" s="1"/>
  <c r="D24" i="12"/>
  <c r="C24" i="12"/>
  <c r="B24" i="12"/>
  <c r="A24" i="12"/>
  <c r="BK23" i="12"/>
  <c r="BI23" i="12"/>
  <c r="BH23" i="12"/>
  <c r="Z23" i="12"/>
  <c r="X23" i="12"/>
  <c r="W23" i="12"/>
  <c r="Y23" i="12" s="1"/>
  <c r="K23" i="12"/>
  <c r="J23" i="12"/>
  <c r="I23" i="12"/>
  <c r="H23" i="12"/>
  <c r="G23" i="12"/>
  <c r="F23" i="12"/>
  <c r="E23" i="12"/>
  <c r="N23" i="12" s="1"/>
  <c r="D23" i="12"/>
  <c r="C23" i="12"/>
  <c r="B23" i="12"/>
  <c r="A23" i="12"/>
  <c r="BK22" i="12"/>
  <c r="BI22" i="12"/>
  <c r="BH22" i="12"/>
  <c r="Z22" i="12"/>
  <c r="X22" i="12"/>
  <c r="W22" i="12"/>
  <c r="Y22" i="12" s="1"/>
  <c r="K22" i="12"/>
  <c r="J22" i="12"/>
  <c r="I22" i="12"/>
  <c r="H22" i="12"/>
  <c r="G22" i="12"/>
  <c r="F22" i="12"/>
  <c r="E22" i="12"/>
  <c r="N22" i="12" s="1"/>
  <c r="D22" i="12"/>
  <c r="C22" i="12"/>
  <c r="B22" i="12"/>
  <c r="A22" i="12"/>
  <c r="BK21" i="12"/>
  <c r="BI21" i="12"/>
  <c r="BH21" i="12"/>
  <c r="Z21" i="12"/>
  <c r="X21" i="12"/>
  <c r="W21" i="12"/>
  <c r="Y21" i="12" s="1"/>
  <c r="K21" i="12"/>
  <c r="J21" i="12"/>
  <c r="I21" i="12"/>
  <c r="H21" i="12"/>
  <c r="G21" i="12"/>
  <c r="F21" i="12"/>
  <c r="E21" i="12"/>
  <c r="N21" i="12" s="1"/>
  <c r="D21" i="12"/>
  <c r="C21" i="12"/>
  <c r="B21" i="12"/>
  <c r="A21" i="12"/>
  <c r="BK20" i="12"/>
  <c r="BI20" i="12"/>
  <c r="BH20" i="12"/>
  <c r="Z20" i="12"/>
  <c r="X20" i="12"/>
  <c r="W20" i="12"/>
  <c r="Y20" i="12" s="1"/>
  <c r="K20" i="12"/>
  <c r="J20" i="12"/>
  <c r="I20" i="12"/>
  <c r="H20" i="12"/>
  <c r="G20" i="12"/>
  <c r="F20" i="12"/>
  <c r="E20" i="12"/>
  <c r="N20" i="12" s="1"/>
  <c r="D20" i="12"/>
  <c r="C20" i="12"/>
  <c r="B20" i="12"/>
  <c r="A20" i="12"/>
  <c r="BK19" i="12"/>
  <c r="BI19" i="12"/>
  <c r="BH19" i="12"/>
  <c r="Z19" i="12"/>
  <c r="X19" i="12"/>
  <c r="W19" i="12"/>
  <c r="Y19" i="12" s="1"/>
  <c r="K19" i="12"/>
  <c r="J19" i="12"/>
  <c r="I19" i="12"/>
  <c r="H19" i="12"/>
  <c r="G19" i="12"/>
  <c r="F19" i="12"/>
  <c r="E19" i="12"/>
  <c r="N19" i="12" s="1"/>
  <c r="D19" i="12"/>
  <c r="C19" i="12"/>
  <c r="B19" i="12"/>
  <c r="A19" i="12"/>
  <c r="BK18" i="12"/>
  <c r="BI18" i="12"/>
  <c r="BH18" i="12"/>
  <c r="Z18" i="12"/>
  <c r="X18" i="12"/>
  <c r="W18" i="12"/>
  <c r="Y18" i="12" s="1"/>
  <c r="K18" i="12"/>
  <c r="J18" i="12"/>
  <c r="I18" i="12"/>
  <c r="H18" i="12"/>
  <c r="G18" i="12"/>
  <c r="F18" i="12"/>
  <c r="E18" i="12"/>
  <c r="N18" i="12" s="1"/>
  <c r="D18" i="12"/>
  <c r="C18" i="12"/>
  <c r="B18" i="12"/>
  <c r="A18" i="12"/>
  <c r="BK17" i="12"/>
  <c r="BI17" i="12"/>
  <c r="BH17" i="12"/>
  <c r="Z17" i="12"/>
  <c r="X17" i="12"/>
  <c r="W17" i="12"/>
  <c r="Y17" i="12" s="1"/>
  <c r="K17" i="12"/>
  <c r="J17" i="12"/>
  <c r="I17" i="12"/>
  <c r="H17" i="12"/>
  <c r="G17" i="12"/>
  <c r="F17" i="12"/>
  <c r="E17" i="12"/>
  <c r="N17" i="12" s="1"/>
  <c r="D17" i="12"/>
  <c r="C17" i="12"/>
  <c r="B17" i="12"/>
  <c r="A17" i="12"/>
  <c r="BK16" i="12"/>
  <c r="BI16" i="12"/>
  <c r="BH16" i="12"/>
  <c r="Z16" i="12"/>
  <c r="X16" i="12"/>
  <c r="W16" i="12"/>
  <c r="Y16" i="12" s="1"/>
  <c r="K16" i="12"/>
  <c r="J16" i="12"/>
  <c r="I16" i="12"/>
  <c r="H16" i="12"/>
  <c r="G16" i="12"/>
  <c r="F16" i="12"/>
  <c r="E16" i="12"/>
  <c r="N16" i="12" s="1"/>
  <c r="D16" i="12"/>
  <c r="C16" i="12"/>
  <c r="B16" i="12"/>
  <c r="A16" i="12"/>
  <c r="BK15" i="12"/>
  <c r="BI15" i="12"/>
  <c r="BH15" i="12"/>
  <c r="Z15" i="12"/>
  <c r="X15" i="12"/>
  <c r="W15" i="12"/>
  <c r="Y15" i="12" s="1"/>
  <c r="K15" i="12"/>
  <c r="J15" i="12"/>
  <c r="I15" i="12"/>
  <c r="H15" i="12"/>
  <c r="G15" i="12"/>
  <c r="F15" i="12"/>
  <c r="E15" i="12"/>
  <c r="N15" i="12" s="1"/>
  <c r="D15" i="12"/>
  <c r="C15" i="12"/>
  <c r="B15" i="12"/>
  <c r="A15" i="12"/>
  <c r="BK14" i="12"/>
  <c r="BI14" i="12"/>
  <c r="BH14" i="12"/>
  <c r="Z14" i="12"/>
  <c r="X14" i="12"/>
  <c r="W14" i="12"/>
  <c r="Y14" i="12" s="1"/>
  <c r="K14" i="12"/>
  <c r="J14" i="12"/>
  <c r="I14" i="12"/>
  <c r="H14" i="12"/>
  <c r="G14" i="12"/>
  <c r="F14" i="12"/>
  <c r="E14" i="12"/>
  <c r="N14" i="12" s="1"/>
  <c r="D14" i="12"/>
  <c r="C14" i="12"/>
  <c r="B14" i="12"/>
  <c r="A14" i="12"/>
  <c r="BK13" i="12"/>
  <c r="BI13" i="12"/>
  <c r="BH13" i="12"/>
  <c r="AY13" i="12"/>
  <c r="AB13" i="12"/>
  <c r="Z13" i="12"/>
  <c r="X13" i="12"/>
  <c r="W13" i="12"/>
  <c r="Y13" i="12" s="1"/>
  <c r="K13" i="12"/>
  <c r="J13" i="12"/>
  <c r="I13" i="12"/>
  <c r="H13" i="12"/>
  <c r="G13" i="12"/>
  <c r="F13" i="12"/>
  <c r="E13" i="12"/>
  <c r="N13" i="12" s="1"/>
  <c r="D13" i="12"/>
  <c r="C13" i="12"/>
  <c r="B13" i="12"/>
  <c r="A13" i="12"/>
  <c r="BK12" i="12"/>
  <c r="BI12" i="12"/>
  <c r="BH12" i="12"/>
  <c r="AB12" i="12"/>
  <c r="Z12" i="12"/>
  <c r="X12" i="12"/>
  <c r="W12" i="12"/>
  <c r="Y12" i="12" s="1"/>
  <c r="K12" i="12"/>
  <c r="J12" i="12"/>
  <c r="I12" i="12"/>
  <c r="H12" i="12"/>
  <c r="G12" i="12"/>
  <c r="F12" i="12"/>
  <c r="E12" i="12"/>
  <c r="N12" i="12" s="1"/>
  <c r="D12" i="12"/>
  <c r="C12" i="12"/>
  <c r="B12" i="12"/>
  <c r="A12" i="12"/>
  <c r="BK11" i="12"/>
  <c r="BI11" i="12"/>
  <c r="BH11" i="12"/>
  <c r="AB11" i="12"/>
  <c r="Z11" i="12"/>
  <c r="X11" i="12"/>
  <c r="W11" i="12"/>
  <c r="Y11" i="12" s="1"/>
  <c r="K11" i="12"/>
  <c r="J11" i="12"/>
  <c r="I11" i="12"/>
  <c r="H11" i="12"/>
  <c r="G11" i="12"/>
  <c r="F11" i="12"/>
  <c r="E11" i="12"/>
  <c r="N11" i="12" s="1"/>
  <c r="D11" i="12"/>
  <c r="C11" i="12"/>
  <c r="B11" i="12"/>
  <c r="A11" i="12"/>
  <c r="BK10" i="12"/>
  <c r="BI10" i="12"/>
  <c r="BH10" i="12"/>
  <c r="AB10" i="12"/>
  <c r="Z10" i="12"/>
  <c r="X10" i="12"/>
  <c r="W10" i="12"/>
  <c r="Y10" i="12" s="1"/>
  <c r="K10" i="12"/>
  <c r="J10" i="12"/>
  <c r="I10" i="12"/>
  <c r="H10" i="12"/>
  <c r="G10" i="12"/>
  <c r="F10" i="12"/>
  <c r="E10" i="12"/>
  <c r="N10" i="12" s="1"/>
  <c r="D10" i="12"/>
  <c r="C10" i="12"/>
  <c r="B10" i="12"/>
  <c r="A10" i="12"/>
  <c r="BK9" i="12"/>
  <c r="BI9" i="12"/>
  <c r="BH9" i="12"/>
  <c r="AB9" i="12"/>
  <c r="Z9" i="12"/>
  <c r="X9" i="12"/>
  <c r="W9" i="12"/>
  <c r="Y9" i="12" s="1"/>
  <c r="U9" i="12"/>
  <c r="K9" i="12"/>
  <c r="J9" i="12"/>
  <c r="I9" i="12"/>
  <c r="H9" i="12"/>
  <c r="G9" i="12"/>
  <c r="F9" i="12"/>
  <c r="E9" i="12"/>
  <c r="N9" i="12" s="1"/>
  <c r="D9" i="12"/>
  <c r="C9" i="12"/>
  <c r="B9" i="12"/>
  <c r="A9" i="12"/>
  <c r="BK8" i="12"/>
  <c r="BI8" i="12"/>
  <c r="BH8" i="12"/>
  <c r="AB8" i="12"/>
  <c r="Z8" i="12"/>
  <c r="X8" i="12"/>
  <c r="W8" i="12"/>
  <c r="Y8" i="12" s="1"/>
  <c r="S8" i="12"/>
  <c r="K8" i="12"/>
  <c r="J8" i="12"/>
  <c r="I8" i="12"/>
  <c r="H8" i="12"/>
  <c r="G8" i="12"/>
  <c r="F8" i="12"/>
  <c r="E8" i="12"/>
  <c r="N8" i="12" s="1"/>
  <c r="D8" i="12"/>
  <c r="C8" i="12"/>
  <c r="B8" i="12"/>
  <c r="A8" i="12"/>
  <c r="BK7" i="12"/>
  <c r="BI7" i="12"/>
  <c r="BH7" i="12"/>
  <c r="AB7" i="12"/>
  <c r="Z7" i="12"/>
  <c r="X7" i="12"/>
  <c r="W7" i="12"/>
  <c r="Y7" i="12" s="1"/>
  <c r="K7" i="12"/>
  <c r="J7" i="12"/>
  <c r="I7" i="12"/>
  <c r="H7" i="12"/>
  <c r="G7" i="12"/>
  <c r="F7" i="12"/>
  <c r="E7" i="12"/>
  <c r="N7" i="12" s="1"/>
  <c r="D7" i="12"/>
  <c r="C7" i="12"/>
  <c r="B7" i="12"/>
  <c r="A7" i="12"/>
  <c r="BK6" i="12"/>
  <c r="BI6" i="12"/>
  <c r="BH6" i="12"/>
  <c r="AB6" i="12"/>
  <c r="Z6" i="12"/>
  <c r="X6" i="12"/>
  <c r="W6" i="12"/>
  <c r="Y6" i="12" s="1"/>
  <c r="K6" i="12"/>
  <c r="J6" i="12"/>
  <c r="I6" i="12"/>
  <c r="H6" i="12"/>
  <c r="G6" i="12"/>
  <c r="F6" i="12"/>
  <c r="E6" i="12"/>
  <c r="N6" i="12" s="1"/>
  <c r="D6" i="12"/>
  <c r="C6" i="12"/>
  <c r="B6" i="12"/>
  <c r="A6" i="12"/>
  <c r="BK5" i="12"/>
  <c r="BI5" i="12"/>
  <c r="BH5" i="12"/>
  <c r="AB5" i="12"/>
  <c r="Z5" i="12"/>
  <c r="X5" i="12"/>
  <c r="W5" i="12"/>
  <c r="Y5" i="12" s="1"/>
  <c r="U5" i="12"/>
  <c r="K5" i="12"/>
  <c r="J5" i="12"/>
  <c r="I5" i="12"/>
  <c r="H5" i="12"/>
  <c r="G5" i="12"/>
  <c r="F5" i="12"/>
  <c r="E5" i="12"/>
  <c r="N5" i="12" s="1"/>
  <c r="D5" i="12"/>
  <c r="C5" i="12"/>
  <c r="B5" i="12"/>
  <c r="A5" i="12"/>
  <c r="BK4" i="12"/>
  <c r="BI4" i="12"/>
  <c r="BH4" i="12"/>
  <c r="AB4" i="12"/>
  <c r="Z4" i="12"/>
  <c r="X4" i="12"/>
  <c r="W4" i="12"/>
  <c r="Y4" i="12" s="1"/>
  <c r="K4" i="12"/>
  <c r="J4" i="12"/>
  <c r="I4" i="12"/>
  <c r="H4" i="12"/>
  <c r="G4" i="12"/>
  <c r="F4" i="12"/>
  <c r="E4" i="12"/>
  <c r="N4" i="12" s="1"/>
  <c r="D4" i="12"/>
  <c r="C4" i="12"/>
  <c r="B4" i="12"/>
  <c r="A4" i="12"/>
  <c r="BK3" i="12"/>
  <c r="BI3" i="12"/>
  <c r="BH3" i="12"/>
  <c r="AB3" i="12"/>
  <c r="Z3" i="12"/>
  <c r="X3" i="12"/>
  <c r="W3" i="12"/>
  <c r="Y3" i="12" s="1"/>
  <c r="K3" i="12"/>
  <c r="J3" i="12"/>
  <c r="I3" i="12"/>
  <c r="H3" i="12"/>
  <c r="G3" i="12"/>
  <c r="F3" i="12"/>
  <c r="E3" i="12"/>
  <c r="N3" i="12" s="1"/>
  <c r="D3" i="12"/>
  <c r="C3" i="12"/>
  <c r="B3" i="12"/>
  <c r="A3" i="12"/>
  <c r="BK2" i="12"/>
  <c r="U29" i="12" s="1"/>
  <c r="E7" i="11" s="1"/>
  <c r="BI2" i="12"/>
  <c r="BH2" i="12"/>
  <c r="AB2" i="12"/>
  <c r="Z2" i="12"/>
  <c r="X2" i="12"/>
  <c r="W2" i="12"/>
  <c r="Y2" i="12" s="1"/>
  <c r="K2" i="12"/>
  <c r="J2" i="12"/>
  <c r="U15" i="12" s="1"/>
  <c r="E10" i="8" s="1"/>
  <c r="I2" i="12"/>
  <c r="H2" i="12"/>
  <c r="U17" i="12" s="1"/>
  <c r="E6" i="9" s="1"/>
  <c r="G2" i="12"/>
  <c r="F2" i="12"/>
  <c r="E2" i="12"/>
  <c r="D2" i="12"/>
  <c r="C2" i="12"/>
  <c r="B2" i="12"/>
  <c r="A2" i="12"/>
  <c r="E9" i="11"/>
  <c r="E9" i="8"/>
  <c r="E8" i="8"/>
  <c r="E7" i="8"/>
  <c r="E6" i="8"/>
  <c r="E5" i="8"/>
  <c r="E12" i="7"/>
  <c r="E8" i="7"/>
  <c r="S2001" i="12" l="1"/>
  <c r="M2001" i="12"/>
  <c r="Q2001" i="12" s="1"/>
  <c r="L2001" i="12"/>
  <c r="R2001" i="12"/>
  <c r="P2001" i="12"/>
  <c r="O2001" i="12"/>
  <c r="S2000" i="12"/>
  <c r="M2000" i="12"/>
  <c r="Q2000" i="12" s="1"/>
  <c r="L2000" i="12"/>
  <c r="R2000" i="12"/>
  <c r="P2000" i="12"/>
  <c r="O2000" i="12"/>
  <c r="S1999" i="12"/>
  <c r="M1999" i="12"/>
  <c r="Q1999" i="12" s="1"/>
  <c r="L1999" i="12"/>
  <c r="R1999" i="12"/>
  <c r="P1999" i="12"/>
  <c r="O1999" i="12"/>
  <c r="S1998" i="12"/>
  <c r="M1998" i="12"/>
  <c r="Q1998" i="12" s="1"/>
  <c r="L1998" i="12"/>
  <c r="R1998" i="12"/>
  <c r="P1998" i="12"/>
  <c r="O1998" i="12"/>
  <c r="S1997" i="12"/>
  <c r="M1997" i="12"/>
  <c r="Q1997" i="12" s="1"/>
  <c r="L1997" i="12"/>
  <c r="R1997" i="12"/>
  <c r="P1997" i="12"/>
  <c r="O1997" i="12"/>
  <c r="S1996" i="12"/>
  <c r="M1996" i="12"/>
  <c r="Q1996" i="12" s="1"/>
  <c r="L1996" i="12"/>
  <c r="R1996" i="12"/>
  <c r="P1996" i="12"/>
  <c r="O1996" i="12"/>
  <c r="S1995" i="12"/>
  <c r="M1995" i="12"/>
  <c r="Q1995" i="12" s="1"/>
  <c r="L1995" i="12"/>
  <c r="R1995" i="12"/>
  <c r="P1995" i="12"/>
  <c r="O1995" i="12"/>
  <c r="S1994" i="12"/>
  <c r="L1994" i="12"/>
  <c r="M1994" i="12"/>
  <c r="Q1994" i="12" s="1"/>
  <c r="R1994" i="12"/>
  <c r="P1994" i="12"/>
  <c r="O1994" i="12"/>
  <c r="S1993" i="12"/>
  <c r="M1993" i="12"/>
  <c r="Q1993" i="12" s="1"/>
  <c r="L1993" i="12"/>
  <c r="R1993" i="12"/>
  <c r="P1993" i="12"/>
  <c r="O1993" i="12"/>
  <c r="S1992" i="12"/>
  <c r="M1992" i="12"/>
  <c r="Q1992" i="12" s="1"/>
  <c r="L1992" i="12"/>
  <c r="R1992" i="12"/>
  <c r="P1992" i="12"/>
  <c r="O1992" i="12"/>
  <c r="S1991" i="12"/>
  <c r="M1991" i="12"/>
  <c r="Q1991" i="12" s="1"/>
  <c r="L1991" i="12"/>
  <c r="R1991" i="12"/>
  <c r="P1991" i="12"/>
  <c r="O1991" i="12"/>
  <c r="S1990" i="12"/>
  <c r="M1990" i="12"/>
  <c r="Q1990" i="12" s="1"/>
  <c r="L1990" i="12"/>
  <c r="R1990" i="12"/>
  <c r="P1990" i="12"/>
  <c r="O1990" i="12"/>
  <c r="S1989" i="12"/>
  <c r="M1989" i="12"/>
  <c r="Q1989" i="12" s="1"/>
  <c r="L1989" i="12"/>
  <c r="R1989" i="12"/>
  <c r="P1989" i="12"/>
  <c r="O1989" i="12"/>
  <c r="S1988" i="12"/>
  <c r="M1988" i="12"/>
  <c r="Q1988" i="12" s="1"/>
  <c r="L1988" i="12"/>
  <c r="R1988" i="12"/>
  <c r="P1988" i="12"/>
  <c r="O1988" i="12"/>
  <c r="S1987" i="12"/>
  <c r="M1987" i="12"/>
  <c r="Q1987" i="12" s="1"/>
  <c r="L1987" i="12"/>
  <c r="R1987" i="12"/>
  <c r="P1987" i="12"/>
  <c r="O1987" i="12"/>
  <c r="S1986" i="12"/>
  <c r="M1986" i="12"/>
  <c r="Q1986" i="12" s="1"/>
  <c r="L1986" i="12"/>
  <c r="R1986" i="12"/>
  <c r="P1986" i="12"/>
  <c r="O1986" i="12"/>
  <c r="S1985" i="12"/>
  <c r="M1985" i="12"/>
  <c r="Q1985" i="12" s="1"/>
  <c r="L1985" i="12"/>
  <c r="R1985" i="12"/>
  <c r="P1985" i="12"/>
  <c r="O1985" i="12"/>
  <c r="S1984" i="12"/>
  <c r="M1984" i="12"/>
  <c r="Q1984" i="12" s="1"/>
  <c r="L1984" i="12"/>
  <c r="R1984" i="12"/>
  <c r="P1984" i="12"/>
  <c r="O1984" i="12"/>
  <c r="S1983" i="12"/>
  <c r="M1983" i="12"/>
  <c r="Q1983" i="12" s="1"/>
  <c r="L1983" i="12"/>
  <c r="R1983" i="12"/>
  <c r="P1983" i="12"/>
  <c r="O1983" i="12"/>
  <c r="S1982" i="12"/>
  <c r="L1982" i="12"/>
  <c r="M1982" i="12"/>
  <c r="Q1982" i="12" s="1"/>
  <c r="R1982" i="12"/>
  <c r="P1982" i="12"/>
  <c r="O1982" i="12"/>
  <c r="S1981" i="12"/>
  <c r="M1981" i="12"/>
  <c r="Q1981" i="12" s="1"/>
  <c r="L1981" i="12"/>
  <c r="R1981" i="12"/>
  <c r="P1981" i="12"/>
  <c r="O1981" i="12"/>
  <c r="S1980" i="12"/>
  <c r="M1980" i="12"/>
  <c r="Q1980" i="12" s="1"/>
  <c r="L1980" i="12"/>
  <c r="R1980" i="12"/>
  <c r="P1980" i="12"/>
  <c r="O1980" i="12"/>
  <c r="S1979" i="12"/>
  <c r="M1979" i="12"/>
  <c r="Q1979" i="12" s="1"/>
  <c r="L1979" i="12"/>
  <c r="R1979" i="12"/>
  <c r="P1979" i="12"/>
  <c r="O1979" i="12"/>
  <c r="S1978" i="12"/>
  <c r="M1978" i="12"/>
  <c r="Q1978" i="12" s="1"/>
  <c r="L1978" i="12"/>
  <c r="R1978" i="12"/>
  <c r="P1978" i="12"/>
  <c r="O1978" i="12"/>
  <c r="S1977" i="12"/>
  <c r="M1977" i="12"/>
  <c r="Q1977" i="12" s="1"/>
  <c r="L1977" i="12"/>
  <c r="R1977" i="12"/>
  <c r="P1977" i="12"/>
  <c r="O1977" i="12"/>
  <c r="S1976" i="12"/>
  <c r="M1976" i="12"/>
  <c r="Q1976" i="12" s="1"/>
  <c r="L1976" i="12"/>
  <c r="R1976" i="12"/>
  <c r="P1976" i="12"/>
  <c r="O1976" i="12"/>
  <c r="S1975" i="12"/>
  <c r="M1975" i="12"/>
  <c r="Q1975" i="12" s="1"/>
  <c r="L1975" i="12"/>
  <c r="R1975" i="12"/>
  <c r="P1975" i="12"/>
  <c r="O1975" i="12"/>
  <c r="S1974" i="12"/>
  <c r="L1974" i="12"/>
  <c r="M1974" i="12"/>
  <c r="Q1974" i="12" s="1"/>
  <c r="P1974" i="12"/>
  <c r="O1974" i="12"/>
  <c r="R1974" i="12"/>
  <c r="S1973" i="12"/>
  <c r="M1973" i="12"/>
  <c r="Q1973" i="12" s="1"/>
  <c r="L1973" i="12"/>
  <c r="R1973" i="12"/>
  <c r="P1973" i="12"/>
  <c r="O1973" i="12"/>
  <c r="S1972" i="12"/>
  <c r="M1972" i="12"/>
  <c r="Q1972" i="12" s="1"/>
  <c r="L1972" i="12"/>
  <c r="R1972" i="12"/>
  <c r="P1972" i="12"/>
  <c r="O1972" i="12"/>
  <c r="S1971" i="12"/>
  <c r="L1971" i="12"/>
  <c r="M1971" i="12"/>
  <c r="Q1971" i="12" s="1"/>
  <c r="R1971" i="12"/>
  <c r="P1971" i="12"/>
  <c r="O1971" i="12"/>
  <c r="S1970" i="12"/>
  <c r="M1970" i="12"/>
  <c r="Q1970" i="12" s="1"/>
  <c r="L1970" i="12"/>
  <c r="R1970" i="12"/>
  <c r="P1970" i="12"/>
  <c r="O1970" i="12"/>
  <c r="S1969" i="12"/>
  <c r="M1969" i="12"/>
  <c r="Q1969" i="12" s="1"/>
  <c r="L1969" i="12"/>
  <c r="R1969" i="12"/>
  <c r="P1969" i="12"/>
  <c r="O1969" i="12"/>
  <c r="S1968" i="12"/>
  <c r="M1968" i="12"/>
  <c r="Q1968" i="12" s="1"/>
  <c r="L1968" i="12"/>
  <c r="R1968" i="12"/>
  <c r="P1968" i="12"/>
  <c r="O1968" i="12"/>
  <c r="S1967" i="12"/>
  <c r="M1967" i="12"/>
  <c r="Q1967" i="12" s="1"/>
  <c r="L1967" i="12"/>
  <c r="R1967" i="12"/>
  <c r="P1967" i="12"/>
  <c r="O1967" i="12"/>
  <c r="S1966" i="12"/>
  <c r="M1966" i="12"/>
  <c r="Q1966" i="12" s="1"/>
  <c r="L1966" i="12"/>
  <c r="R1966" i="12"/>
  <c r="P1966" i="12"/>
  <c r="O1966" i="12"/>
  <c r="S1965" i="12"/>
  <c r="M1965" i="12"/>
  <c r="Q1965" i="12" s="1"/>
  <c r="L1965" i="12"/>
  <c r="R1965" i="12"/>
  <c r="P1965" i="12"/>
  <c r="O1965" i="12"/>
  <c r="S1964" i="12"/>
  <c r="M1964" i="12"/>
  <c r="Q1964" i="12" s="1"/>
  <c r="L1964" i="12"/>
  <c r="R1964" i="12"/>
  <c r="P1964" i="12"/>
  <c r="O1964" i="12"/>
  <c r="S1963" i="12"/>
  <c r="M1963" i="12"/>
  <c r="Q1963" i="12" s="1"/>
  <c r="L1963" i="12"/>
  <c r="R1963" i="12"/>
  <c r="P1963" i="12"/>
  <c r="O1963" i="12"/>
  <c r="S1962" i="12"/>
  <c r="M1962" i="12"/>
  <c r="Q1962" i="12" s="1"/>
  <c r="L1962" i="12"/>
  <c r="R1962" i="12"/>
  <c r="P1962" i="12"/>
  <c r="O1962" i="12"/>
  <c r="S1961" i="12"/>
  <c r="M1961" i="12"/>
  <c r="Q1961" i="12" s="1"/>
  <c r="L1961" i="12"/>
  <c r="R1961" i="12"/>
  <c r="P1961" i="12"/>
  <c r="O1961" i="12"/>
  <c r="S1960" i="12"/>
  <c r="M1960" i="12"/>
  <c r="Q1960" i="12" s="1"/>
  <c r="L1960" i="12"/>
  <c r="R1960" i="12"/>
  <c r="P1960" i="12"/>
  <c r="O1960" i="12"/>
  <c r="S1959" i="12"/>
  <c r="M1959" i="12"/>
  <c r="Q1959" i="12" s="1"/>
  <c r="L1959" i="12"/>
  <c r="R1959" i="12"/>
  <c r="P1959" i="12"/>
  <c r="O1959" i="12"/>
  <c r="M1958" i="12"/>
  <c r="Q1958" i="12" s="1"/>
  <c r="L1958" i="12"/>
  <c r="S1958" i="12"/>
  <c r="P1958" i="12"/>
  <c r="O1958" i="12"/>
  <c r="R1958" i="12"/>
  <c r="M1957" i="12"/>
  <c r="Q1957" i="12" s="1"/>
  <c r="L1957" i="12"/>
  <c r="S1957" i="12"/>
  <c r="R1957" i="12"/>
  <c r="O1957" i="12"/>
  <c r="P1957" i="12"/>
  <c r="M1956" i="12"/>
  <c r="Q1956" i="12" s="1"/>
  <c r="L1956" i="12"/>
  <c r="S1956" i="12"/>
  <c r="P1956" i="12"/>
  <c r="O1956" i="12"/>
  <c r="R1956" i="12"/>
  <c r="M1955" i="12"/>
  <c r="Q1955" i="12" s="1"/>
  <c r="L1955" i="12"/>
  <c r="S1955" i="12"/>
  <c r="P1955" i="12"/>
  <c r="O1955" i="12"/>
  <c r="R1955" i="12"/>
  <c r="M1954" i="12"/>
  <c r="Q1954" i="12" s="1"/>
  <c r="S1954" i="12"/>
  <c r="L1954" i="12"/>
  <c r="P1954" i="12"/>
  <c r="O1954" i="12"/>
  <c r="R1954" i="12"/>
  <c r="L1953" i="12"/>
  <c r="M1953" i="12"/>
  <c r="Q1953" i="12" s="1"/>
  <c r="S1953" i="12"/>
  <c r="P1953" i="12"/>
  <c r="O1953" i="12"/>
  <c r="R1953" i="12"/>
  <c r="M1952" i="12"/>
  <c r="Q1952" i="12" s="1"/>
  <c r="S1952" i="12"/>
  <c r="L1952" i="12"/>
  <c r="R1952" i="12"/>
  <c r="O1952" i="12"/>
  <c r="P1952" i="12"/>
  <c r="S1951" i="12"/>
  <c r="L1951" i="12"/>
  <c r="M1951" i="12"/>
  <c r="Q1951" i="12" s="1"/>
  <c r="P1951" i="12"/>
  <c r="O1951" i="12"/>
  <c r="R1951" i="12"/>
  <c r="M1950" i="12"/>
  <c r="Q1950" i="12" s="1"/>
  <c r="L1950" i="12"/>
  <c r="S1950" i="12"/>
  <c r="O1950" i="12"/>
  <c r="R1950" i="12"/>
  <c r="P1950" i="12"/>
  <c r="L1949" i="12"/>
  <c r="S1949" i="12"/>
  <c r="M1949" i="12"/>
  <c r="Q1949" i="12" s="1"/>
  <c r="P1949" i="12"/>
  <c r="R1949" i="12"/>
  <c r="O1949" i="12"/>
  <c r="M1948" i="12"/>
  <c r="Q1948" i="12" s="1"/>
  <c r="L1948" i="12"/>
  <c r="S1948" i="12"/>
  <c r="P1948" i="12"/>
  <c r="O1948" i="12"/>
  <c r="R1948" i="12"/>
  <c r="L1947" i="12"/>
  <c r="S1947" i="12"/>
  <c r="M1947" i="12"/>
  <c r="Q1947" i="12" s="1"/>
  <c r="P1947" i="12"/>
  <c r="R1947" i="12"/>
  <c r="O1947" i="12"/>
  <c r="S1946" i="12"/>
  <c r="L1946" i="12"/>
  <c r="M1946" i="12"/>
  <c r="Q1946" i="12" s="1"/>
  <c r="P1946" i="12"/>
  <c r="O1946" i="12"/>
  <c r="R1946" i="12"/>
  <c r="L1945" i="12"/>
  <c r="M1945" i="12"/>
  <c r="Q1945" i="12" s="1"/>
  <c r="S1945" i="12"/>
  <c r="R1945" i="12"/>
  <c r="P1945" i="12"/>
  <c r="O1945" i="12"/>
  <c r="S1944" i="12"/>
  <c r="L1944" i="12"/>
  <c r="M1944" i="12"/>
  <c r="Q1944" i="12" s="1"/>
  <c r="O1944" i="12"/>
  <c r="R1944" i="12"/>
  <c r="P1944" i="12"/>
  <c r="M1943" i="12"/>
  <c r="Q1943" i="12" s="1"/>
  <c r="S1943" i="12"/>
  <c r="L1943" i="12"/>
  <c r="R1943" i="12"/>
  <c r="P1943" i="12"/>
  <c r="O1943" i="12"/>
  <c r="M1942" i="12"/>
  <c r="Q1942" i="12" s="1"/>
  <c r="S1942" i="12"/>
  <c r="L1942" i="12"/>
  <c r="R1942" i="12"/>
  <c r="P1942" i="12"/>
  <c r="O1942" i="12"/>
  <c r="L1941" i="12"/>
  <c r="M1941" i="12"/>
  <c r="Q1941" i="12" s="1"/>
  <c r="S1941" i="12"/>
  <c r="R1941" i="12"/>
  <c r="O1941" i="12"/>
  <c r="P1941" i="12"/>
  <c r="M1940" i="12"/>
  <c r="Q1940" i="12" s="1"/>
  <c r="S1940" i="12"/>
  <c r="L1940" i="12"/>
  <c r="O1940" i="12"/>
  <c r="P1940" i="12"/>
  <c r="R1940" i="12"/>
  <c r="S1939" i="12"/>
  <c r="M1939" i="12"/>
  <c r="Q1939" i="12" s="1"/>
  <c r="L1939" i="12"/>
  <c r="P1939" i="12"/>
  <c r="O1939" i="12"/>
  <c r="R1939" i="12"/>
  <c r="L1937" i="12"/>
  <c r="M1937" i="12"/>
  <c r="Q1937" i="12" s="1"/>
  <c r="S1937" i="12"/>
  <c r="O1937" i="12"/>
  <c r="P1937" i="12"/>
  <c r="R1937" i="12"/>
  <c r="M1936" i="12"/>
  <c r="Q1936" i="12" s="1"/>
  <c r="S1936" i="12"/>
  <c r="L1936" i="12"/>
  <c r="R1936" i="12"/>
  <c r="P1936" i="12"/>
  <c r="O1936" i="12"/>
  <c r="M1935" i="12"/>
  <c r="Q1935" i="12" s="1"/>
  <c r="S1935" i="12"/>
  <c r="L1935" i="12"/>
  <c r="R1935" i="12"/>
  <c r="P1935" i="12"/>
  <c r="O1935" i="12"/>
  <c r="L1934" i="12"/>
  <c r="M1934" i="12"/>
  <c r="Q1934" i="12" s="1"/>
  <c r="S1934" i="12"/>
  <c r="O1934" i="12"/>
  <c r="P1934" i="12"/>
  <c r="R1934" i="12"/>
  <c r="S1933" i="12"/>
  <c r="L1933" i="12"/>
  <c r="M1933" i="12"/>
  <c r="Q1933" i="12" s="1"/>
  <c r="P1933" i="12"/>
  <c r="O1933" i="12"/>
  <c r="R1933" i="12"/>
  <c r="S1932" i="12"/>
  <c r="M1932" i="12"/>
  <c r="Q1932" i="12" s="1"/>
  <c r="L1932" i="12"/>
  <c r="O1932" i="12"/>
  <c r="P1932" i="12"/>
  <c r="R1932" i="12"/>
  <c r="M1931" i="12"/>
  <c r="Q1931" i="12" s="1"/>
  <c r="L1931" i="12"/>
  <c r="S1931" i="12"/>
  <c r="R1931" i="12"/>
  <c r="P1931" i="12"/>
  <c r="O1931" i="12"/>
  <c r="S1930" i="12"/>
  <c r="M1930" i="12"/>
  <c r="Q1930" i="12" s="1"/>
  <c r="L1930" i="12"/>
  <c r="R1930" i="12"/>
  <c r="P1930" i="12"/>
  <c r="O1930" i="12"/>
  <c r="S1929" i="12"/>
  <c r="M1929" i="12"/>
  <c r="Q1929" i="12" s="1"/>
  <c r="L1929" i="12"/>
  <c r="R1929" i="12"/>
  <c r="P1929" i="12"/>
  <c r="O1929" i="12"/>
  <c r="S1928" i="12"/>
  <c r="L1928" i="12"/>
  <c r="M1928" i="12"/>
  <c r="Q1928" i="12" s="1"/>
  <c r="R1928" i="12"/>
  <c r="O1928" i="12"/>
  <c r="P1928" i="12"/>
  <c r="S1927" i="12"/>
  <c r="M1927" i="12"/>
  <c r="Q1927" i="12" s="1"/>
  <c r="L1927" i="12"/>
  <c r="R1927" i="12"/>
  <c r="P1927" i="12"/>
  <c r="O1927" i="12"/>
  <c r="S1926" i="12"/>
  <c r="M1926" i="12"/>
  <c r="Q1926" i="12" s="1"/>
  <c r="L1926" i="12"/>
  <c r="R1926" i="12"/>
  <c r="P1926" i="12"/>
  <c r="O1926" i="12"/>
  <c r="M1925" i="12"/>
  <c r="Q1925" i="12" s="1"/>
  <c r="S1925" i="12"/>
  <c r="L1925" i="12"/>
  <c r="P1925" i="12"/>
  <c r="O1925" i="12"/>
  <c r="R1925" i="12"/>
  <c r="S1924" i="12"/>
  <c r="M1924" i="12"/>
  <c r="Q1924" i="12" s="1"/>
  <c r="L1924" i="12"/>
  <c r="R1924" i="12"/>
  <c r="P1924" i="12"/>
  <c r="O1924" i="12"/>
  <c r="S1923" i="12"/>
  <c r="L1923" i="12"/>
  <c r="M1923" i="12"/>
  <c r="Q1923" i="12" s="1"/>
  <c r="R1923" i="12"/>
  <c r="P1923" i="12"/>
  <c r="O1923" i="12"/>
  <c r="S1922" i="12"/>
  <c r="L1922" i="12"/>
  <c r="M1922" i="12"/>
  <c r="Q1922" i="12" s="1"/>
  <c r="R1922" i="12"/>
  <c r="P1922" i="12"/>
  <c r="O1922" i="12"/>
  <c r="S1921" i="12"/>
  <c r="M1921" i="12"/>
  <c r="Q1921" i="12" s="1"/>
  <c r="L1921" i="12"/>
  <c r="R1921" i="12"/>
  <c r="P1921" i="12"/>
  <c r="O1921" i="12"/>
  <c r="S1920" i="12"/>
  <c r="M1920" i="12"/>
  <c r="Q1920" i="12" s="1"/>
  <c r="L1920" i="12"/>
  <c r="R1920" i="12"/>
  <c r="P1920" i="12"/>
  <c r="O1920" i="12"/>
  <c r="S1919" i="12"/>
  <c r="M1919" i="12"/>
  <c r="Q1919" i="12" s="1"/>
  <c r="L1919" i="12"/>
  <c r="P1919" i="12"/>
  <c r="R1919" i="12"/>
  <c r="O1919" i="12"/>
  <c r="L1918" i="12"/>
  <c r="S1918" i="12"/>
  <c r="M1918" i="12"/>
  <c r="Q1918" i="12" s="1"/>
  <c r="P1918" i="12"/>
  <c r="O1918" i="12"/>
  <c r="R1918" i="12"/>
  <c r="S1917" i="12"/>
  <c r="M1917" i="12"/>
  <c r="Q1917" i="12" s="1"/>
  <c r="L1917" i="12"/>
  <c r="R1917" i="12"/>
  <c r="P1917" i="12"/>
  <c r="O1917" i="12"/>
  <c r="L1916" i="12"/>
  <c r="S1916" i="12"/>
  <c r="M1916" i="12"/>
  <c r="Q1916" i="12" s="1"/>
  <c r="R1916" i="12"/>
  <c r="O1916" i="12"/>
  <c r="P1916" i="12"/>
  <c r="S1915" i="12"/>
  <c r="M1915" i="12"/>
  <c r="Q1915" i="12" s="1"/>
  <c r="L1915" i="12"/>
  <c r="R1915" i="12"/>
  <c r="P1915" i="12"/>
  <c r="O1915" i="12"/>
  <c r="S1914" i="12"/>
  <c r="M1914" i="12"/>
  <c r="Q1914" i="12" s="1"/>
  <c r="L1914" i="12"/>
  <c r="R1914" i="12"/>
  <c r="P1914" i="12"/>
  <c r="O1914" i="12"/>
  <c r="L1913" i="12"/>
  <c r="S1913" i="12"/>
  <c r="M1913" i="12"/>
  <c r="Q1913" i="12" s="1"/>
  <c r="P1913" i="12"/>
  <c r="R1913" i="12"/>
  <c r="O1913" i="12"/>
  <c r="M1912" i="12"/>
  <c r="Q1912" i="12" s="1"/>
  <c r="L1912" i="12"/>
  <c r="S1912" i="12"/>
  <c r="P1912" i="12"/>
  <c r="O1912" i="12"/>
  <c r="R1912" i="12"/>
  <c r="S1911" i="12"/>
  <c r="M1911" i="12"/>
  <c r="Q1911" i="12" s="1"/>
  <c r="L1911" i="12"/>
  <c r="R1911" i="12"/>
  <c r="P1911" i="12"/>
  <c r="O1911" i="12"/>
  <c r="L1910" i="12"/>
  <c r="S1910" i="12"/>
  <c r="M1910" i="12"/>
  <c r="Q1910" i="12" s="1"/>
  <c r="R1910" i="12"/>
  <c r="P1910" i="12"/>
  <c r="O1910" i="12"/>
  <c r="S1909" i="12"/>
  <c r="M1909" i="12"/>
  <c r="Q1909" i="12" s="1"/>
  <c r="L1909" i="12"/>
  <c r="R1909" i="12"/>
  <c r="P1909" i="12"/>
  <c r="O1909" i="12"/>
  <c r="S1908" i="12"/>
  <c r="M1908" i="12"/>
  <c r="Q1908" i="12" s="1"/>
  <c r="L1908" i="12"/>
  <c r="R1908" i="12"/>
  <c r="P1908" i="12"/>
  <c r="O1908" i="12"/>
  <c r="L1907" i="12"/>
  <c r="M1907" i="12"/>
  <c r="Q1907" i="12" s="1"/>
  <c r="S1907" i="12"/>
  <c r="O1907" i="12"/>
  <c r="P1907" i="12"/>
  <c r="R1907" i="12"/>
  <c r="S1906" i="12"/>
  <c r="L1906" i="12"/>
  <c r="M1906" i="12"/>
  <c r="Q1906" i="12" s="1"/>
  <c r="R1906" i="12"/>
  <c r="O1906" i="12"/>
  <c r="P1906" i="12"/>
  <c r="M1905" i="12"/>
  <c r="Q1905" i="12" s="1"/>
  <c r="L1905" i="12"/>
  <c r="S1905" i="12"/>
  <c r="O1905" i="12"/>
  <c r="P1905" i="12"/>
  <c r="R1905" i="12"/>
  <c r="S1904" i="12"/>
  <c r="M1904" i="12"/>
  <c r="Q1904" i="12" s="1"/>
  <c r="L1904" i="12"/>
  <c r="P1904" i="12"/>
  <c r="O1904" i="12"/>
  <c r="R1904" i="12"/>
  <c r="S1903" i="12"/>
  <c r="M1903" i="12"/>
  <c r="Q1903" i="12" s="1"/>
  <c r="L1903" i="12"/>
  <c r="R1903" i="12"/>
  <c r="P1903" i="12"/>
  <c r="O1903" i="12"/>
  <c r="S1902" i="12"/>
  <c r="M1902" i="12"/>
  <c r="Q1902" i="12" s="1"/>
  <c r="L1902" i="12"/>
  <c r="P1902" i="12"/>
  <c r="O1902" i="12"/>
  <c r="R1902" i="12"/>
  <c r="L1901" i="12"/>
  <c r="S1901" i="12"/>
  <c r="M1901" i="12"/>
  <c r="Q1901" i="12" s="1"/>
  <c r="R1901" i="12"/>
  <c r="P1901" i="12"/>
  <c r="O1901" i="12"/>
  <c r="S1900" i="12"/>
  <c r="M1900" i="12"/>
  <c r="Q1900" i="12" s="1"/>
  <c r="L1900" i="12"/>
  <c r="P1900" i="12"/>
  <c r="R1900" i="12"/>
  <c r="O1900" i="12"/>
  <c r="S1899" i="12"/>
  <c r="L1899" i="12"/>
  <c r="M1899" i="12"/>
  <c r="Q1899" i="12" s="1"/>
  <c r="R1899" i="12"/>
  <c r="P1899" i="12"/>
  <c r="O1899" i="12"/>
  <c r="M1898" i="12"/>
  <c r="Q1898" i="12" s="1"/>
  <c r="S1898" i="12"/>
  <c r="L1898" i="12"/>
  <c r="O1898" i="12"/>
  <c r="R1898" i="12"/>
  <c r="P1898" i="12"/>
  <c r="M1897" i="12"/>
  <c r="Q1897" i="12" s="1"/>
  <c r="L1897" i="12"/>
  <c r="S1897" i="12"/>
  <c r="O1897" i="12"/>
  <c r="P1897" i="12"/>
  <c r="R1897" i="12"/>
  <c r="S1896" i="12"/>
  <c r="M1896" i="12"/>
  <c r="Q1896" i="12" s="1"/>
  <c r="L1896" i="12"/>
  <c r="R1896" i="12"/>
  <c r="P1896" i="12"/>
  <c r="O1896" i="12"/>
  <c r="L1895" i="12"/>
  <c r="M1895" i="12"/>
  <c r="Q1895" i="12" s="1"/>
  <c r="S1895" i="12"/>
  <c r="P1895" i="12"/>
  <c r="R1895" i="12"/>
  <c r="O1895" i="12"/>
  <c r="M1894" i="12"/>
  <c r="Q1894" i="12" s="1"/>
  <c r="S1894" i="12"/>
  <c r="L1894" i="12"/>
  <c r="O1894" i="12"/>
  <c r="P1894" i="12"/>
  <c r="R1894" i="12"/>
  <c r="L1893" i="12"/>
  <c r="M1893" i="12"/>
  <c r="Q1893" i="12" s="1"/>
  <c r="S1893" i="12"/>
  <c r="R1893" i="12"/>
  <c r="P1893" i="12"/>
  <c r="O1893" i="12"/>
  <c r="S1892" i="12"/>
  <c r="M1892" i="12"/>
  <c r="Q1892" i="12" s="1"/>
  <c r="L1892" i="12"/>
  <c r="O1892" i="12"/>
  <c r="P1892" i="12"/>
  <c r="R1892" i="12"/>
  <c r="L1891" i="12"/>
  <c r="M1891" i="12"/>
  <c r="Q1891" i="12" s="1"/>
  <c r="S1891" i="12"/>
  <c r="O1891" i="12"/>
  <c r="P1891" i="12"/>
  <c r="R1891" i="12"/>
  <c r="L1890" i="12"/>
  <c r="S1890" i="12"/>
  <c r="M1890" i="12"/>
  <c r="Q1890" i="12" s="1"/>
  <c r="P1890" i="12"/>
  <c r="R1890" i="12"/>
  <c r="O1890" i="12"/>
  <c r="S1889" i="12"/>
  <c r="M1889" i="12"/>
  <c r="Q1889" i="12" s="1"/>
  <c r="L1889" i="12"/>
  <c r="R1889" i="12"/>
  <c r="P1889" i="12"/>
  <c r="O1889" i="12"/>
  <c r="S1888" i="12"/>
  <c r="L1888" i="12"/>
  <c r="M1888" i="12"/>
  <c r="Q1888" i="12" s="1"/>
  <c r="R1888" i="12"/>
  <c r="O1888" i="12"/>
  <c r="P1888" i="12"/>
  <c r="S1887" i="12"/>
  <c r="L1887" i="12"/>
  <c r="M1887" i="12"/>
  <c r="Q1887" i="12" s="1"/>
  <c r="P1887" i="12"/>
  <c r="O1887" i="12"/>
  <c r="R1887" i="12"/>
  <c r="M1886" i="12"/>
  <c r="Q1886" i="12" s="1"/>
  <c r="L1886" i="12"/>
  <c r="S1886" i="12"/>
  <c r="P1886" i="12"/>
  <c r="R1886" i="12"/>
  <c r="O1886" i="12"/>
  <c r="S1885" i="12"/>
  <c r="M1885" i="12"/>
  <c r="Q1885" i="12" s="1"/>
  <c r="L1885" i="12"/>
  <c r="P1885" i="12"/>
  <c r="O1885" i="12"/>
  <c r="R1885" i="12"/>
  <c r="S1884" i="12"/>
  <c r="M1884" i="12"/>
  <c r="Q1884" i="12" s="1"/>
  <c r="L1884" i="12"/>
  <c r="O1884" i="12"/>
  <c r="R1884" i="12"/>
  <c r="P1884" i="12"/>
  <c r="M1883" i="12"/>
  <c r="Q1883" i="12" s="1"/>
  <c r="L1883" i="12"/>
  <c r="S1883" i="12"/>
  <c r="R1883" i="12"/>
  <c r="P1883" i="12"/>
  <c r="O1883" i="12"/>
  <c r="S1882" i="12"/>
  <c r="M1882" i="12"/>
  <c r="Q1882" i="12" s="1"/>
  <c r="L1882" i="12"/>
  <c r="R1882" i="12"/>
  <c r="P1882" i="12"/>
  <c r="O1882" i="12"/>
  <c r="L1881" i="12"/>
  <c r="S1881" i="12"/>
  <c r="M1881" i="12"/>
  <c r="Q1881" i="12" s="1"/>
  <c r="R1881" i="12"/>
  <c r="P1881" i="12"/>
  <c r="O1881" i="12"/>
  <c r="S1880" i="12"/>
  <c r="M1880" i="12"/>
  <c r="Q1880" i="12" s="1"/>
  <c r="L1880" i="12"/>
  <c r="O1880" i="12"/>
  <c r="R1880" i="12"/>
  <c r="P1880" i="12"/>
  <c r="L1879" i="12"/>
  <c r="S1879" i="12"/>
  <c r="M1879" i="12"/>
  <c r="Q1879" i="12" s="1"/>
  <c r="R1879" i="12"/>
  <c r="O1879" i="12"/>
  <c r="P1879" i="12"/>
  <c r="M1878" i="12"/>
  <c r="Q1878" i="12" s="1"/>
  <c r="L1878" i="12"/>
  <c r="S1878" i="12"/>
  <c r="O1878" i="12"/>
  <c r="R1878" i="12"/>
  <c r="P1878" i="12"/>
  <c r="M1877" i="12"/>
  <c r="Q1877" i="12" s="1"/>
  <c r="S1877" i="12"/>
  <c r="L1877" i="12"/>
  <c r="R1877" i="12"/>
  <c r="P1877" i="12"/>
  <c r="O1877" i="12"/>
  <c r="M1876" i="12"/>
  <c r="Q1876" i="12" s="1"/>
  <c r="S1876" i="12"/>
  <c r="L1876" i="12"/>
  <c r="P1876" i="12"/>
  <c r="R1876" i="12"/>
  <c r="O1876" i="12"/>
  <c r="M1875" i="12"/>
  <c r="Q1875" i="12" s="1"/>
  <c r="S1875" i="12"/>
  <c r="L1875" i="12"/>
  <c r="R1875" i="12"/>
  <c r="O1875" i="12"/>
  <c r="P1875" i="12"/>
  <c r="S1873" i="12"/>
  <c r="M1873" i="12"/>
  <c r="Q1873" i="12" s="1"/>
  <c r="L1873" i="12"/>
  <c r="P1873" i="12"/>
  <c r="O1873" i="12"/>
  <c r="R1873" i="12"/>
  <c r="S1872" i="12"/>
  <c r="L1872" i="12"/>
  <c r="M1872" i="12"/>
  <c r="Q1872" i="12" s="1"/>
  <c r="R1872" i="12"/>
  <c r="P1872" i="12"/>
  <c r="O1872" i="12"/>
  <c r="M1871" i="12"/>
  <c r="Q1871" i="12" s="1"/>
  <c r="L1871" i="12"/>
  <c r="S1871" i="12"/>
  <c r="P1871" i="12"/>
  <c r="O1871" i="12"/>
  <c r="R1871" i="12"/>
  <c r="S1870" i="12"/>
  <c r="M1870" i="12"/>
  <c r="Q1870" i="12" s="1"/>
  <c r="L1870" i="12"/>
  <c r="R1870" i="12"/>
  <c r="P1870" i="12"/>
  <c r="O1870" i="12"/>
  <c r="S1869" i="12"/>
  <c r="M1869" i="12"/>
  <c r="Q1869" i="12" s="1"/>
  <c r="L1869" i="12"/>
  <c r="R1869" i="12"/>
  <c r="P1869" i="12"/>
  <c r="O1869" i="12"/>
  <c r="S1868" i="12"/>
  <c r="L1868" i="12"/>
  <c r="M1868" i="12"/>
  <c r="Q1868" i="12" s="1"/>
  <c r="O1868" i="12"/>
  <c r="P1868" i="12"/>
  <c r="R1868" i="12"/>
  <c r="M1867" i="12"/>
  <c r="Q1867" i="12" s="1"/>
  <c r="L1867" i="12"/>
  <c r="S1867" i="12"/>
  <c r="P1867" i="12"/>
  <c r="O1867" i="12"/>
  <c r="R1867" i="12"/>
  <c r="S1866" i="12"/>
  <c r="L1866" i="12"/>
  <c r="M1866" i="12"/>
  <c r="Q1866" i="12" s="1"/>
  <c r="R1866" i="12"/>
  <c r="P1866" i="12"/>
  <c r="O1866" i="12"/>
  <c r="S1865" i="12"/>
  <c r="M1865" i="12"/>
  <c r="Q1865" i="12" s="1"/>
  <c r="L1865" i="12"/>
  <c r="P1865" i="12"/>
  <c r="O1865" i="12"/>
  <c r="R1865" i="12"/>
  <c r="S1864" i="12"/>
  <c r="M1864" i="12"/>
  <c r="Q1864" i="12" s="1"/>
  <c r="L1864" i="12"/>
  <c r="P1864" i="12"/>
  <c r="O1864" i="12"/>
  <c r="R1864" i="12"/>
  <c r="S1863" i="12"/>
  <c r="M1863" i="12"/>
  <c r="Q1863" i="12" s="1"/>
  <c r="L1863" i="12"/>
  <c r="R1863" i="12"/>
  <c r="P1863" i="12"/>
  <c r="O1863" i="12"/>
  <c r="S1862" i="12"/>
  <c r="M1862" i="12"/>
  <c r="Q1862" i="12" s="1"/>
  <c r="L1862" i="12"/>
  <c r="R1862" i="12"/>
  <c r="P1862" i="12"/>
  <c r="O1862" i="12"/>
  <c r="S1861" i="12"/>
  <c r="M1861" i="12"/>
  <c r="Q1861" i="12" s="1"/>
  <c r="L1861" i="12"/>
  <c r="R1861" i="12"/>
  <c r="P1861" i="12"/>
  <c r="O1861" i="12"/>
  <c r="S1860" i="12"/>
  <c r="M1860" i="12"/>
  <c r="Q1860" i="12" s="1"/>
  <c r="L1860" i="12"/>
  <c r="R1860" i="12"/>
  <c r="P1860" i="12"/>
  <c r="O1860" i="12"/>
  <c r="S1859" i="12"/>
  <c r="M1859" i="12"/>
  <c r="Q1859" i="12" s="1"/>
  <c r="L1859" i="12"/>
  <c r="R1859" i="12"/>
  <c r="P1859" i="12"/>
  <c r="O1859" i="12"/>
  <c r="M1858" i="12"/>
  <c r="Q1858" i="12" s="1"/>
  <c r="S1858" i="12"/>
  <c r="L1858" i="12"/>
  <c r="R1858" i="12"/>
  <c r="P1858" i="12"/>
  <c r="O1858" i="12"/>
  <c r="S1857" i="12"/>
  <c r="M1857" i="12"/>
  <c r="Q1857" i="12" s="1"/>
  <c r="L1857" i="12"/>
  <c r="R1857" i="12"/>
  <c r="P1857" i="12"/>
  <c r="O1857" i="12"/>
  <c r="S1856" i="12"/>
  <c r="M1856" i="12"/>
  <c r="Q1856" i="12" s="1"/>
  <c r="L1856" i="12"/>
  <c r="R1856" i="12"/>
  <c r="P1856" i="12"/>
  <c r="O1856" i="12"/>
  <c r="M1855" i="12"/>
  <c r="Q1855" i="12" s="1"/>
  <c r="L1855" i="12"/>
  <c r="S1855" i="12"/>
  <c r="P1855" i="12"/>
  <c r="R1855" i="12"/>
  <c r="O1855" i="12"/>
  <c r="L1854" i="12"/>
  <c r="M1854" i="12"/>
  <c r="Q1854" i="12" s="1"/>
  <c r="S1854" i="12"/>
  <c r="P1854" i="12"/>
  <c r="O1854" i="12"/>
  <c r="R1854" i="12"/>
  <c r="S1853" i="12"/>
  <c r="L1853" i="12"/>
  <c r="M1853" i="12"/>
  <c r="Q1853" i="12" s="1"/>
  <c r="R1853" i="12"/>
  <c r="P1853" i="12"/>
  <c r="O1853" i="12"/>
  <c r="M1852" i="12"/>
  <c r="Q1852" i="12" s="1"/>
  <c r="L1852" i="12"/>
  <c r="S1852" i="12"/>
  <c r="O1852" i="12"/>
  <c r="P1852" i="12"/>
  <c r="R1852" i="12"/>
  <c r="S1851" i="12"/>
  <c r="M1851" i="12"/>
  <c r="Q1851" i="12" s="1"/>
  <c r="L1851" i="12"/>
  <c r="P1851" i="12"/>
  <c r="O1851" i="12"/>
  <c r="R1851" i="12"/>
  <c r="S1850" i="12"/>
  <c r="L1850" i="12"/>
  <c r="M1850" i="12"/>
  <c r="Q1850" i="12" s="1"/>
  <c r="R1850" i="12"/>
  <c r="P1850" i="12"/>
  <c r="O1850" i="12"/>
  <c r="S1849" i="12"/>
  <c r="L1849" i="12"/>
  <c r="M1849" i="12"/>
  <c r="Q1849" i="12" s="1"/>
  <c r="O1849" i="12"/>
  <c r="P1849" i="12"/>
  <c r="R1849" i="12"/>
  <c r="M1848" i="12"/>
  <c r="Q1848" i="12" s="1"/>
  <c r="L1848" i="12"/>
  <c r="S1848" i="12"/>
  <c r="O1848" i="12"/>
  <c r="P1848" i="12"/>
  <c r="R1848" i="12"/>
  <c r="M1847" i="12"/>
  <c r="Q1847" i="12" s="1"/>
  <c r="L1847" i="12"/>
  <c r="S1847" i="12"/>
  <c r="O1847" i="12"/>
  <c r="P1847" i="12"/>
  <c r="R1847" i="12"/>
  <c r="S1846" i="12"/>
  <c r="M1846" i="12"/>
  <c r="Q1846" i="12" s="1"/>
  <c r="L1846" i="12"/>
  <c r="R1846" i="12"/>
  <c r="P1846" i="12"/>
  <c r="O1846" i="12"/>
  <c r="S1845" i="12"/>
  <c r="M1845" i="12"/>
  <c r="Q1845" i="12" s="1"/>
  <c r="L1845" i="12"/>
  <c r="R1845" i="12"/>
  <c r="P1845" i="12"/>
  <c r="O1845" i="12"/>
  <c r="S1844" i="12"/>
  <c r="L1844" i="12"/>
  <c r="M1844" i="12"/>
  <c r="Q1844" i="12" s="1"/>
  <c r="O1844" i="12"/>
  <c r="P1844" i="12"/>
  <c r="R1844" i="12"/>
  <c r="L1843" i="12"/>
  <c r="M1843" i="12"/>
  <c r="Q1843" i="12" s="1"/>
  <c r="S1843" i="12"/>
  <c r="R1843" i="12"/>
  <c r="P1843" i="12"/>
  <c r="O1843" i="12"/>
  <c r="M1842" i="12"/>
  <c r="Q1842" i="12" s="1"/>
  <c r="L1842" i="12"/>
  <c r="S1842" i="12"/>
  <c r="P1842" i="12"/>
  <c r="R1842" i="12"/>
  <c r="O1842" i="12"/>
  <c r="M1841" i="12"/>
  <c r="Q1841" i="12" s="1"/>
  <c r="S1841" i="12"/>
  <c r="L1841" i="12"/>
  <c r="R1841" i="12"/>
  <c r="P1841" i="12"/>
  <c r="O1841" i="12"/>
  <c r="L1840" i="12"/>
  <c r="M1840" i="12"/>
  <c r="Q1840" i="12" s="1"/>
  <c r="S1840" i="12"/>
  <c r="R1840" i="12"/>
  <c r="O1840" i="12"/>
  <c r="P1840" i="12"/>
  <c r="L1839" i="12"/>
  <c r="S1839" i="12"/>
  <c r="M1839" i="12"/>
  <c r="Q1839" i="12" s="1"/>
  <c r="R1839" i="12"/>
  <c r="P1839" i="12"/>
  <c r="O1839" i="12"/>
  <c r="S1838" i="12"/>
  <c r="M1838" i="12"/>
  <c r="Q1838" i="12" s="1"/>
  <c r="L1838" i="12"/>
  <c r="R1838" i="12"/>
  <c r="O1838" i="12"/>
  <c r="P1838" i="12"/>
  <c r="L1837" i="12"/>
  <c r="S1837" i="12"/>
  <c r="M1837" i="12"/>
  <c r="Q1837" i="12" s="1"/>
  <c r="O1837" i="12"/>
  <c r="R1837" i="12"/>
  <c r="P1837" i="12"/>
  <c r="M1836" i="12"/>
  <c r="Q1836" i="12" s="1"/>
  <c r="L1836" i="12"/>
  <c r="S1836" i="12"/>
  <c r="P1836" i="12"/>
  <c r="O1836" i="12"/>
  <c r="R1836" i="12"/>
  <c r="S1835" i="12"/>
  <c r="M1835" i="12"/>
  <c r="Q1835" i="12" s="1"/>
  <c r="L1835" i="12"/>
  <c r="R1835" i="12"/>
  <c r="P1835" i="12"/>
  <c r="O1835" i="12"/>
  <c r="S1834" i="12"/>
  <c r="M1834" i="12"/>
  <c r="Q1834" i="12" s="1"/>
  <c r="L1834" i="12"/>
  <c r="R1834" i="12"/>
  <c r="P1834" i="12"/>
  <c r="O1834" i="12"/>
  <c r="M1833" i="12"/>
  <c r="Q1833" i="12" s="1"/>
  <c r="S1833" i="12"/>
  <c r="L1833" i="12"/>
  <c r="P1833" i="12"/>
  <c r="O1833" i="12"/>
  <c r="R1833" i="12"/>
  <c r="S1832" i="12"/>
  <c r="M1832" i="12"/>
  <c r="Q1832" i="12" s="1"/>
  <c r="L1832" i="12"/>
  <c r="P1832" i="12"/>
  <c r="O1832" i="12"/>
  <c r="R1832" i="12"/>
  <c r="S1831" i="12"/>
  <c r="M1831" i="12"/>
  <c r="Q1831" i="12" s="1"/>
  <c r="L1831" i="12"/>
  <c r="R1831" i="12"/>
  <c r="P1831" i="12"/>
  <c r="O1831" i="12"/>
  <c r="S1830" i="12"/>
  <c r="M1830" i="12"/>
  <c r="Q1830" i="12" s="1"/>
  <c r="L1830" i="12"/>
  <c r="R1830" i="12"/>
  <c r="P1830" i="12"/>
  <c r="O1830" i="12"/>
  <c r="L1829" i="12"/>
  <c r="M1829" i="12"/>
  <c r="Q1829" i="12" s="1"/>
  <c r="S1829" i="12"/>
  <c r="O1829" i="12"/>
  <c r="P1829" i="12"/>
  <c r="R1829" i="12"/>
  <c r="S1828" i="12"/>
  <c r="L1828" i="12"/>
  <c r="M1828" i="12"/>
  <c r="Q1828" i="12" s="1"/>
  <c r="R1828" i="12"/>
  <c r="P1828" i="12"/>
  <c r="O1828" i="12"/>
  <c r="S1827" i="12"/>
  <c r="L1827" i="12"/>
  <c r="M1827" i="12"/>
  <c r="Q1827" i="12" s="1"/>
  <c r="R1827" i="12"/>
  <c r="P1827" i="12"/>
  <c r="O1827" i="12"/>
  <c r="L1826" i="12"/>
  <c r="M1826" i="12"/>
  <c r="Q1826" i="12" s="1"/>
  <c r="S1826" i="12"/>
  <c r="R1826" i="12"/>
  <c r="P1826" i="12"/>
  <c r="O1826" i="12"/>
  <c r="S1825" i="12"/>
  <c r="M1825" i="12"/>
  <c r="Q1825" i="12" s="1"/>
  <c r="L1825" i="12"/>
  <c r="P1825" i="12"/>
  <c r="R1825" i="12"/>
  <c r="O1825" i="12"/>
  <c r="L1824" i="12"/>
  <c r="M1824" i="12"/>
  <c r="Q1824" i="12" s="1"/>
  <c r="S1824" i="12"/>
  <c r="R1824" i="12"/>
  <c r="O1824" i="12"/>
  <c r="P1824" i="12"/>
  <c r="S1823" i="12"/>
  <c r="L1823" i="12"/>
  <c r="M1823" i="12"/>
  <c r="Q1823" i="12" s="1"/>
  <c r="R1823" i="12"/>
  <c r="P1823" i="12"/>
  <c r="O1823" i="12"/>
  <c r="M1822" i="12"/>
  <c r="Q1822" i="12" s="1"/>
  <c r="S1822" i="12"/>
  <c r="L1822" i="12"/>
  <c r="O1822" i="12"/>
  <c r="P1822" i="12"/>
  <c r="R1822" i="12"/>
  <c r="S1821" i="12"/>
  <c r="L1821" i="12"/>
  <c r="M1821" i="12"/>
  <c r="Q1821" i="12" s="1"/>
  <c r="R1821" i="12"/>
  <c r="P1821" i="12"/>
  <c r="O1821" i="12"/>
  <c r="L1820" i="12"/>
  <c r="S1820" i="12"/>
  <c r="M1820" i="12"/>
  <c r="Q1820" i="12" s="1"/>
  <c r="O1820" i="12"/>
  <c r="P1820" i="12"/>
  <c r="R1820" i="12"/>
  <c r="M1819" i="12"/>
  <c r="Q1819" i="12" s="1"/>
  <c r="L1819" i="12"/>
  <c r="S1819" i="12"/>
  <c r="R1819" i="12"/>
  <c r="O1819" i="12"/>
  <c r="P1819" i="12"/>
  <c r="L1818" i="12"/>
  <c r="S1818" i="12"/>
  <c r="M1818" i="12"/>
  <c r="Q1818" i="12" s="1"/>
  <c r="O1818" i="12"/>
  <c r="R1818" i="12"/>
  <c r="P1818" i="12"/>
  <c r="S1817" i="12"/>
  <c r="L1817" i="12"/>
  <c r="M1817" i="12"/>
  <c r="Q1817" i="12" s="1"/>
  <c r="P1817" i="12"/>
  <c r="O1817" i="12"/>
  <c r="R1817" i="12"/>
  <c r="M1816" i="12"/>
  <c r="Q1816" i="12" s="1"/>
  <c r="L1816" i="12"/>
  <c r="S1816" i="12"/>
  <c r="R1816" i="12"/>
  <c r="P1816" i="12"/>
  <c r="O1816" i="12"/>
  <c r="M1815" i="12"/>
  <c r="Q1815" i="12" s="1"/>
  <c r="S1815" i="12"/>
  <c r="L1815" i="12"/>
  <c r="R1815" i="12"/>
  <c r="O1815" i="12"/>
  <c r="P1815" i="12"/>
  <c r="L1814" i="12"/>
  <c r="S1814" i="12"/>
  <c r="M1814" i="12"/>
  <c r="Q1814" i="12" s="1"/>
  <c r="R1814" i="12"/>
  <c r="O1814" i="12"/>
  <c r="P1814" i="12"/>
  <c r="L1813" i="12"/>
  <c r="S1813" i="12"/>
  <c r="M1813" i="12"/>
  <c r="Q1813" i="12" s="1"/>
  <c r="R1813" i="12"/>
  <c r="P1813" i="12"/>
  <c r="O1813" i="12"/>
  <c r="L1812" i="12"/>
  <c r="M1812" i="12"/>
  <c r="Q1812" i="12" s="1"/>
  <c r="S1812" i="12"/>
  <c r="P1812" i="12"/>
  <c r="O1812" i="12"/>
  <c r="R1812" i="12"/>
  <c r="M1811" i="12"/>
  <c r="Q1811" i="12" s="1"/>
  <c r="S1811" i="12"/>
  <c r="L1811" i="12"/>
  <c r="R1811" i="12"/>
  <c r="O1811" i="12"/>
  <c r="P1811" i="12"/>
  <c r="L1809" i="12"/>
  <c r="S1809" i="12"/>
  <c r="M1809" i="12"/>
  <c r="Q1809" i="12" s="1"/>
  <c r="R1809" i="12"/>
  <c r="P1809" i="12"/>
  <c r="O1809" i="12"/>
  <c r="M1808" i="12"/>
  <c r="Q1808" i="12" s="1"/>
  <c r="L1808" i="12"/>
  <c r="S1808" i="12"/>
  <c r="P1808" i="12"/>
  <c r="O1808" i="12"/>
  <c r="R1808" i="12"/>
  <c r="S1807" i="12"/>
  <c r="L1807" i="12"/>
  <c r="M1807" i="12"/>
  <c r="Q1807" i="12" s="1"/>
  <c r="R1807" i="12"/>
  <c r="P1807" i="12"/>
  <c r="O1807" i="12"/>
  <c r="M1806" i="12"/>
  <c r="Q1806" i="12" s="1"/>
  <c r="L1806" i="12"/>
  <c r="S1806" i="12"/>
  <c r="O1806" i="12"/>
  <c r="R1806" i="12"/>
  <c r="P1806" i="12"/>
  <c r="S1805" i="12"/>
  <c r="L1805" i="12"/>
  <c r="M1805" i="12"/>
  <c r="Q1805" i="12" s="1"/>
  <c r="O1805" i="12"/>
  <c r="R1805" i="12"/>
  <c r="P1805" i="12"/>
  <c r="S1804" i="12"/>
  <c r="M1804" i="12"/>
  <c r="Q1804" i="12" s="1"/>
  <c r="L1804" i="12"/>
  <c r="P1804" i="12"/>
  <c r="O1804" i="12"/>
  <c r="R1804" i="12"/>
  <c r="L1803" i="12"/>
  <c r="M1803" i="12"/>
  <c r="Q1803" i="12" s="1"/>
  <c r="S1803" i="12"/>
  <c r="R1803" i="12"/>
  <c r="P1803" i="12"/>
  <c r="O1803" i="12"/>
  <c r="L1802" i="12"/>
  <c r="M1802" i="12"/>
  <c r="Q1802" i="12" s="1"/>
  <c r="S1802" i="12"/>
  <c r="O1802" i="12"/>
  <c r="P1802" i="12"/>
  <c r="R1802" i="12"/>
  <c r="S1801" i="12"/>
  <c r="L1801" i="12"/>
  <c r="M1801" i="12"/>
  <c r="Q1801" i="12" s="1"/>
  <c r="O1801" i="12"/>
  <c r="P1801" i="12"/>
  <c r="R1801" i="12"/>
  <c r="M1800" i="12"/>
  <c r="Q1800" i="12" s="1"/>
  <c r="L1800" i="12"/>
  <c r="S1800" i="12"/>
  <c r="R1800" i="12"/>
  <c r="O1800" i="12"/>
  <c r="P1800" i="12"/>
  <c r="S1799" i="12"/>
  <c r="M1799" i="12"/>
  <c r="Q1799" i="12" s="1"/>
  <c r="L1799" i="12"/>
  <c r="R1799" i="12"/>
  <c r="P1799" i="12"/>
  <c r="O1799" i="12"/>
  <c r="S1798" i="12"/>
  <c r="M1798" i="12"/>
  <c r="Q1798" i="12" s="1"/>
  <c r="L1798" i="12"/>
  <c r="O1798" i="12"/>
  <c r="P1798" i="12"/>
  <c r="R1798" i="12"/>
  <c r="S1797" i="12"/>
  <c r="M1797" i="12"/>
  <c r="Q1797" i="12" s="1"/>
  <c r="L1797" i="12"/>
  <c r="R1797" i="12"/>
  <c r="O1797" i="12"/>
  <c r="P1797" i="12"/>
  <c r="S1796" i="12"/>
  <c r="L1796" i="12"/>
  <c r="M1796" i="12"/>
  <c r="Q1796" i="12" s="1"/>
  <c r="O1796" i="12"/>
  <c r="P1796" i="12"/>
  <c r="R1796" i="12"/>
  <c r="M1795" i="12"/>
  <c r="Q1795" i="12" s="1"/>
  <c r="S1795" i="12"/>
  <c r="L1795" i="12"/>
  <c r="P1795" i="12"/>
  <c r="O1795" i="12"/>
  <c r="R1795" i="12"/>
  <c r="S1794" i="12"/>
  <c r="L1794" i="12"/>
  <c r="M1794" i="12"/>
  <c r="Q1794" i="12" s="1"/>
  <c r="O1794" i="12"/>
  <c r="R1794" i="12"/>
  <c r="P1794" i="12"/>
  <c r="L1793" i="12"/>
  <c r="M1793" i="12"/>
  <c r="Q1793" i="12" s="1"/>
  <c r="S1793" i="12"/>
  <c r="O1793" i="12"/>
  <c r="P1793" i="12"/>
  <c r="R1793" i="12"/>
  <c r="M1792" i="12"/>
  <c r="Q1792" i="12" s="1"/>
  <c r="L1792" i="12"/>
  <c r="S1792" i="12"/>
  <c r="O1792" i="12"/>
  <c r="P1792" i="12"/>
  <c r="R1792" i="12"/>
  <c r="S1791" i="12"/>
  <c r="M1791" i="12"/>
  <c r="Q1791" i="12" s="1"/>
  <c r="L1791" i="12"/>
  <c r="R1791" i="12"/>
  <c r="P1791" i="12"/>
  <c r="O1791" i="12"/>
  <c r="M1790" i="12"/>
  <c r="Q1790" i="12" s="1"/>
  <c r="S1790" i="12"/>
  <c r="L1790" i="12"/>
  <c r="P1790" i="12"/>
  <c r="O1790" i="12"/>
  <c r="R1790" i="12"/>
  <c r="S1789" i="12"/>
  <c r="M1789" i="12"/>
  <c r="Q1789" i="12" s="1"/>
  <c r="L1789" i="12"/>
  <c r="R1789" i="12"/>
  <c r="P1789" i="12"/>
  <c r="O1789" i="12"/>
  <c r="M1788" i="12"/>
  <c r="Q1788" i="12" s="1"/>
  <c r="L1788" i="12"/>
  <c r="S1788" i="12"/>
  <c r="P1788" i="12"/>
  <c r="O1788" i="12"/>
  <c r="R1788" i="12"/>
  <c r="M1787" i="12"/>
  <c r="Q1787" i="12" s="1"/>
  <c r="L1787" i="12"/>
  <c r="S1787" i="12"/>
  <c r="O1787" i="12"/>
  <c r="P1787" i="12"/>
  <c r="R1787" i="12"/>
  <c r="S1786" i="12"/>
  <c r="L1786" i="12"/>
  <c r="M1786" i="12"/>
  <c r="Q1786" i="12" s="1"/>
  <c r="R1786" i="12"/>
  <c r="P1786" i="12"/>
  <c r="O1786" i="12"/>
  <c r="S1785" i="12"/>
  <c r="M1785" i="12"/>
  <c r="Q1785" i="12" s="1"/>
  <c r="L1785" i="12"/>
  <c r="P1785" i="12"/>
  <c r="O1785" i="12"/>
  <c r="R1785" i="12"/>
  <c r="M1784" i="12"/>
  <c r="Q1784" i="12" s="1"/>
  <c r="S1784" i="12"/>
  <c r="L1784" i="12"/>
  <c r="O1784" i="12"/>
  <c r="R1784" i="12"/>
  <c r="P1784" i="12"/>
  <c r="S1783" i="12"/>
  <c r="M1783" i="12"/>
  <c r="Q1783" i="12" s="1"/>
  <c r="L1783" i="12"/>
  <c r="R1783" i="12"/>
  <c r="P1783" i="12"/>
  <c r="O1783" i="12"/>
  <c r="S1782" i="12"/>
  <c r="M1782" i="12"/>
  <c r="Q1782" i="12" s="1"/>
  <c r="L1782" i="12"/>
  <c r="R1782" i="12"/>
  <c r="P1782" i="12"/>
  <c r="O1782" i="12"/>
  <c r="S1781" i="12"/>
  <c r="M1781" i="12"/>
  <c r="Q1781" i="12" s="1"/>
  <c r="L1781" i="12"/>
  <c r="R1781" i="12"/>
  <c r="P1781" i="12"/>
  <c r="O1781" i="12"/>
  <c r="L1780" i="12"/>
  <c r="M1780" i="12"/>
  <c r="Q1780" i="12" s="1"/>
  <c r="S1780" i="12"/>
  <c r="R1780" i="12"/>
  <c r="O1780" i="12"/>
  <c r="P1780" i="12"/>
  <c r="S1779" i="12"/>
  <c r="M1779" i="12"/>
  <c r="Q1779" i="12" s="1"/>
  <c r="L1779" i="12"/>
  <c r="R1779" i="12"/>
  <c r="P1779" i="12"/>
  <c r="O1779" i="12"/>
  <c r="S1778" i="12"/>
  <c r="M1778" i="12"/>
  <c r="Q1778" i="12" s="1"/>
  <c r="L1778" i="12"/>
  <c r="R1778" i="12"/>
  <c r="P1778" i="12"/>
  <c r="O1778" i="12"/>
  <c r="L1777" i="12"/>
  <c r="M1777" i="12"/>
  <c r="Q1777" i="12" s="1"/>
  <c r="S1777" i="12"/>
  <c r="R1777" i="12"/>
  <c r="P1777" i="12"/>
  <c r="O1777" i="12"/>
  <c r="S1776" i="12"/>
  <c r="M1776" i="12"/>
  <c r="Q1776" i="12" s="1"/>
  <c r="L1776" i="12"/>
  <c r="R1776" i="12"/>
  <c r="P1776" i="12"/>
  <c r="O1776" i="12"/>
  <c r="L1775" i="12"/>
  <c r="S1775" i="12"/>
  <c r="M1775" i="12"/>
  <c r="Q1775" i="12" s="1"/>
  <c r="R1775" i="12"/>
  <c r="P1775" i="12"/>
  <c r="O1775" i="12"/>
  <c r="S1774" i="12"/>
  <c r="L1774" i="12"/>
  <c r="M1774" i="12"/>
  <c r="Q1774" i="12" s="1"/>
  <c r="R1774" i="12"/>
  <c r="P1774" i="12"/>
  <c r="O1774" i="12"/>
  <c r="M1773" i="12"/>
  <c r="Q1773" i="12" s="1"/>
  <c r="S1773" i="12"/>
  <c r="L1773" i="12"/>
  <c r="R1773" i="12"/>
  <c r="P1773" i="12"/>
  <c r="O1773" i="12"/>
  <c r="M1772" i="12"/>
  <c r="Q1772" i="12" s="1"/>
  <c r="L1772" i="12"/>
  <c r="S1772" i="12"/>
  <c r="R1772" i="12"/>
  <c r="P1772" i="12"/>
  <c r="O1772" i="12"/>
  <c r="S1771" i="12"/>
  <c r="M1771" i="12"/>
  <c r="Q1771" i="12" s="1"/>
  <c r="L1771" i="12"/>
  <c r="R1771" i="12"/>
  <c r="P1771" i="12"/>
  <c r="O1771" i="12"/>
  <c r="S1770" i="12"/>
  <c r="M1770" i="12"/>
  <c r="Q1770" i="12" s="1"/>
  <c r="L1770" i="12"/>
  <c r="R1770" i="12"/>
  <c r="P1770" i="12"/>
  <c r="O1770" i="12"/>
  <c r="S1769" i="12"/>
  <c r="M1769" i="12"/>
  <c r="Q1769" i="12" s="1"/>
  <c r="L1769" i="12"/>
  <c r="R1769" i="12"/>
  <c r="P1769" i="12"/>
  <c r="O1769" i="12"/>
  <c r="M1768" i="12"/>
  <c r="Q1768" i="12" s="1"/>
  <c r="L1768" i="12"/>
  <c r="S1768" i="12"/>
  <c r="R1768" i="12"/>
  <c r="P1768" i="12"/>
  <c r="O1768" i="12"/>
  <c r="S1767" i="12"/>
  <c r="L1767" i="12"/>
  <c r="M1767" i="12"/>
  <c r="Q1767" i="12" s="1"/>
  <c r="R1767" i="12"/>
  <c r="P1767" i="12"/>
  <c r="O1767" i="12"/>
  <c r="M1766" i="12"/>
  <c r="Q1766" i="12" s="1"/>
  <c r="L1766" i="12"/>
  <c r="S1766" i="12"/>
  <c r="R1766" i="12"/>
  <c r="P1766" i="12"/>
  <c r="O1766" i="12"/>
  <c r="S1765" i="12"/>
  <c r="L1765" i="12"/>
  <c r="M1765" i="12"/>
  <c r="Q1765" i="12" s="1"/>
  <c r="O1765" i="12"/>
  <c r="R1765" i="12"/>
  <c r="P1765" i="12"/>
  <c r="S1764" i="12"/>
  <c r="M1764" i="12"/>
  <c r="Q1764" i="12" s="1"/>
  <c r="L1764" i="12"/>
  <c r="R1764" i="12"/>
  <c r="P1764" i="12"/>
  <c r="O1764" i="12"/>
  <c r="S1763" i="12"/>
  <c r="M1763" i="12"/>
  <c r="Q1763" i="12" s="1"/>
  <c r="L1763" i="12"/>
  <c r="R1763" i="12"/>
  <c r="P1763" i="12"/>
  <c r="O1763" i="12"/>
  <c r="L1762" i="12"/>
  <c r="M1762" i="12"/>
  <c r="Q1762" i="12" s="1"/>
  <c r="S1762" i="12"/>
  <c r="R1762" i="12"/>
  <c r="P1762" i="12"/>
  <c r="O1762" i="12"/>
  <c r="S1761" i="12"/>
  <c r="M1761" i="12"/>
  <c r="Q1761" i="12" s="1"/>
  <c r="L1761" i="12"/>
  <c r="P1761" i="12"/>
  <c r="O1761" i="12"/>
  <c r="R1761" i="12"/>
  <c r="M1760" i="12"/>
  <c r="Q1760" i="12" s="1"/>
  <c r="L1760" i="12"/>
  <c r="S1760" i="12"/>
  <c r="R1760" i="12"/>
  <c r="P1760" i="12"/>
  <c r="O1760" i="12"/>
  <c r="M1759" i="12"/>
  <c r="Q1759" i="12" s="1"/>
  <c r="L1759" i="12"/>
  <c r="S1759" i="12"/>
  <c r="P1759" i="12"/>
  <c r="O1759" i="12"/>
  <c r="R1759" i="12"/>
  <c r="S1758" i="12"/>
  <c r="M1758" i="12"/>
  <c r="Q1758" i="12" s="1"/>
  <c r="L1758" i="12"/>
  <c r="R1758" i="12"/>
  <c r="P1758" i="12"/>
  <c r="O1758" i="12"/>
  <c r="M1757" i="12"/>
  <c r="Q1757" i="12" s="1"/>
  <c r="L1757" i="12"/>
  <c r="S1757" i="12"/>
  <c r="R1757" i="12"/>
  <c r="P1757" i="12"/>
  <c r="O1757" i="12"/>
  <c r="L1756" i="12"/>
  <c r="M1756" i="12"/>
  <c r="Q1756" i="12" s="1"/>
  <c r="S1756" i="12"/>
  <c r="O1756" i="12"/>
  <c r="P1756" i="12"/>
  <c r="R1756" i="12"/>
  <c r="M1755" i="12"/>
  <c r="Q1755" i="12" s="1"/>
  <c r="L1755" i="12"/>
  <c r="S1755" i="12"/>
  <c r="R1755" i="12"/>
  <c r="P1755" i="12"/>
  <c r="O1755" i="12"/>
  <c r="S1754" i="12"/>
  <c r="L1754" i="12"/>
  <c r="M1754" i="12"/>
  <c r="Q1754" i="12" s="1"/>
  <c r="O1754" i="12"/>
  <c r="R1754" i="12"/>
  <c r="P1754" i="12"/>
  <c r="S1753" i="12"/>
  <c r="M1753" i="12"/>
  <c r="Q1753" i="12" s="1"/>
  <c r="L1753" i="12"/>
  <c r="R1753" i="12"/>
  <c r="P1753" i="12"/>
  <c r="O1753" i="12"/>
  <c r="S1752" i="12"/>
  <c r="M1752" i="12"/>
  <c r="Q1752" i="12" s="1"/>
  <c r="L1752" i="12"/>
  <c r="R1752" i="12"/>
  <c r="P1752" i="12"/>
  <c r="O1752" i="12"/>
  <c r="L1751" i="12"/>
  <c r="M1751" i="12"/>
  <c r="Q1751" i="12" s="1"/>
  <c r="S1751" i="12"/>
  <c r="P1751" i="12"/>
  <c r="O1751" i="12"/>
  <c r="R1751" i="12"/>
  <c r="S1750" i="12"/>
  <c r="M1750" i="12"/>
  <c r="Q1750" i="12" s="1"/>
  <c r="L1750" i="12"/>
  <c r="O1750" i="12"/>
  <c r="R1750" i="12"/>
  <c r="P1750" i="12"/>
  <c r="S1749" i="12"/>
  <c r="L1749" i="12"/>
  <c r="M1749" i="12"/>
  <c r="Q1749" i="12" s="1"/>
  <c r="O1749" i="12"/>
  <c r="P1749" i="12"/>
  <c r="R1749" i="12"/>
  <c r="S1748" i="12"/>
  <c r="L1748" i="12"/>
  <c r="M1748" i="12"/>
  <c r="Q1748" i="12" s="1"/>
  <c r="R1748" i="12"/>
  <c r="O1748" i="12"/>
  <c r="P1748" i="12"/>
  <c r="L1747" i="12"/>
  <c r="S1747" i="12"/>
  <c r="M1747" i="12"/>
  <c r="Q1747" i="12" s="1"/>
  <c r="R1747" i="12"/>
  <c r="P1747" i="12"/>
  <c r="O1747" i="12"/>
  <c r="M1746" i="12"/>
  <c r="Q1746" i="12" s="1"/>
  <c r="L1746" i="12"/>
  <c r="P1746" i="12"/>
  <c r="O1746" i="12"/>
  <c r="S1745" i="12"/>
  <c r="M1745" i="12"/>
  <c r="Q1745" i="12" s="1"/>
  <c r="L1745" i="12"/>
  <c r="R1745" i="12"/>
  <c r="P1745" i="12"/>
  <c r="O1745" i="12"/>
  <c r="S1744" i="12"/>
  <c r="L1744" i="12"/>
  <c r="M1744" i="12"/>
  <c r="Q1744" i="12" s="1"/>
  <c r="P1744" i="12"/>
  <c r="R1744" i="12"/>
  <c r="O1744" i="12"/>
  <c r="M1743" i="12"/>
  <c r="Q1743" i="12" s="1"/>
  <c r="S1743" i="12"/>
  <c r="L1743" i="12"/>
  <c r="P1743" i="12"/>
  <c r="O1743" i="12"/>
  <c r="R1743" i="12"/>
  <c r="S1742" i="12"/>
  <c r="L1742" i="12"/>
  <c r="M1742" i="12"/>
  <c r="Q1742" i="12" s="1"/>
  <c r="R1742" i="12"/>
  <c r="P1742" i="12"/>
  <c r="O1742" i="12"/>
  <c r="M1741" i="12"/>
  <c r="Q1741" i="12" s="1"/>
  <c r="L1741" i="12"/>
  <c r="S1741" i="12"/>
  <c r="O1741" i="12"/>
  <c r="P1741" i="12"/>
  <c r="R1741" i="12"/>
  <c r="L1740" i="12"/>
  <c r="M1740" i="12"/>
  <c r="Q1740" i="12" s="1"/>
  <c r="S1740" i="12"/>
  <c r="O1740" i="12"/>
  <c r="P1740" i="12"/>
  <c r="R1740" i="12"/>
  <c r="L1739" i="12"/>
  <c r="S1739" i="12"/>
  <c r="M1739" i="12"/>
  <c r="Q1739" i="12" s="1"/>
  <c r="O1739" i="12"/>
  <c r="P1739" i="12"/>
  <c r="R1739" i="12"/>
  <c r="S1738" i="12"/>
  <c r="M1738" i="12"/>
  <c r="Q1738" i="12" s="1"/>
  <c r="L1738" i="12"/>
  <c r="R1738" i="12"/>
  <c r="P1738" i="12"/>
  <c r="O1738" i="12"/>
  <c r="S1737" i="12"/>
  <c r="M1737" i="12"/>
  <c r="Q1737" i="12" s="1"/>
  <c r="L1737" i="12"/>
  <c r="P1737" i="12"/>
  <c r="R1737" i="12"/>
  <c r="O1737" i="12"/>
  <c r="L1736" i="12"/>
  <c r="M1736" i="12"/>
  <c r="Q1736" i="12" s="1"/>
  <c r="S1736" i="12"/>
  <c r="O1736" i="12"/>
  <c r="R1736" i="12"/>
  <c r="P1736" i="12"/>
  <c r="L1735" i="12"/>
  <c r="M1735" i="12"/>
  <c r="Q1735" i="12" s="1"/>
  <c r="S1735" i="12"/>
  <c r="R1735" i="12"/>
  <c r="P1735" i="12"/>
  <c r="O1735" i="12"/>
  <c r="M1734" i="12"/>
  <c r="Q1734" i="12" s="1"/>
  <c r="L1734" i="12"/>
  <c r="S1734" i="12"/>
  <c r="R1734" i="12"/>
  <c r="P1734" i="12"/>
  <c r="O1734" i="12"/>
  <c r="S1733" i="12"/>
  <c r="L1733" i="12"/>
  <c r="M1733" i="12"/>
  <c r="Q1733" i="12" s="1"/>
  <c r="R1733" i="12"/>
  <c r="P1733" i="12"/>
  <c r="O1733" i="12"/>
  <c r="M1732" i="12"/>
  <c r="Q1732" i="12" s="1"/>
  <c r="L1732" i="12"/>
  <c r="S1732" i="12"/>
  <c r="O1732" i="12"/>
  <c r="P1732" i="12"/>
  <c r="R1732" i="12"/>
  <c r="M1731" i="12"/>
  <c r="Q1731" i="12" s="1"/>
  <c r="L1731" i="12"/>
  <c r="S1731" i="12"/>
  <c r="O1731" i="12"/>
  <c r="P1731" i="12"/>
  <c r="R1731" i="12"/>
  <c r="M1730" i="12"/>
  <c r="Q1730" i="12" s="1"/>
  <c r="S1730" i="12"/>
  <c r="L1730" i="12"/>
  <c r="R1730" i="12"/>
  <c r="O1730" i="12"/>
  <c r="P1730" i="12"/>
  <c r="L1729" i="12"/>
  <c r="M1729" i="12"/>
  <c r="Q1729" i="12" s="1"/>
  <c r="S1729" i="12"/>
  <c r="R1729" i="12"/>
  <c r="O1729" i="12"/>
  <c r="P1729" i="12"/>
  <c r="M1728" i="12"/>
  <c r="Q1728" i="12" s="1"/>
  <c r="L1728" i="12"/>
  <c r="S1728" i="12"/>
  <c r="O1728" i="12"/>
  <c r="P1728" i="12"/>
  <c r="R1728" i="12"/>
  <c r="S1727" i="12"/>
  <c r="M1727" i="12"/>
  <c r="Q1727" i="12" s="1"/>
  <c r="L1727" i="12"/>
  <c r="P1727" i="12"/>
  <c r="R1727" i="12"/>
  <c r="O1727" i="12"/>
  <c r="L1726" i="12"/>
  <c r="M1726" i="12"/>
  <c r="Q1726" i="12" s="1"/>
  <c r="S1726" i="12"/>
  <c r="P1726" i="12"/>
  <c r="O1726" i="12"/>
  <c r="R1726" i="12"/>
  <c r="S1725" i="12"/>
  <c r="L1725" i="12"/>
  <c r="M1725" i="12"/>
  <c r="Q1725" i="12" s="1"/>
  <c r="P1725" i="12"/>
  <c r="R1725" i="12"/>
  <c r="O1725" i="12"/>
  <c r="M1724" i="12"/>
  <c r="Q1724" i="12" s="1"/>
  <c r="L1724" i="12"/>
  <c r="S1724" i="12"/>
  <c r="P1724" i="12"/>
  <c r="R1724" i="12"/>
  <c r="O1724" i="12"/>
  <c r="M1723" i="12"/>
  <c r="Q1723" i="12" s="1"/>
  <c r="L1723" i="12"/>
  <c r="S1723" i="12"/>
  <c r="O1723" i="12"/>
  <c r="P1723" i="12"/>
  <c r="R1723" i="12"/>
  <c r="S1722" i="12"/>
  <c r="L1722" i="12"/>
  <c r="M1722" i="12"/>
  <c r="Q1722" i="12" s="1"/>
  <c r="R1722" i="12"/>
  <c r="O1722" i="12"/>
  <c r="P1722" i="12"/>
  <c r="M1721" i="12"/>
  <c r="Q1721" i="12" s="1"/>
  <c r="L1721" i="12"/>
  <c r="S1721" i="12"/>
  <c r="O1721" i="12"/>
  <c r="R1721" i="12"/>
  <c r="P1721" i="12"/>
  <c r="S1720" i="12"/>
  <c r="M1720" i="12"/>
  <c r="Q1720" i="12" s="1"/>
  <c r="L1720" i="12"/>
  <c r="R1720" i="12"/>
  <c r="O1720" i="12"/>
  <c r="P1720" i="12"/>
  <c r="S1719" i="12"/>
  <c r="M1719" i="12"/>
  <c r="Q1719" i="12" s="1"/>
  <c r="L1719" i="12"/>
  <c r="P1719" i="12"/>
  <c r="R1719" i="12"/>
  <c r="O1719" i="12"/>
  <c r="L1718" i="12"/>
  <c r="M1718" i="12"/>
  <c r="Q1718" i="12" s="1"/>
  <c r="S1718" i="12"/>
  <c r="R1718" i="12"/>
  <c r="P1718" i="12"/>
  <c r="O1718" i="12"/>
  <c r="S1717" i="12"/>
  <c r="M1717" i="12"/>
  <c r="Q1717" i="12" s="1"/>
  <c r="L1717" i="12"/>
  <c r="R1717" i="12"/>
  <c r="P1717" i="12"/>
  <c r="O1717" i="12"/>
  <c r="S1716" i="12"/>
  <c r="M1716" i="12"/>
  <c r="Q1716" i="12" s="1"/>
  <c r="L1716" i="12"/>
  <c r="R1716" i="12"/>
  <c r="P1716" i="12"/>
  <c r="O1716" i="12"/>
  <c r="S1715" i="12"/>
  <c r="M1715" i="12"/>
  <c r="Q1715" i="12" s="1"/>
  <c r="L1715" i="12"/>
  <c r="O1715" i="12"/>
  <c r="R1715" i="12"/>
  <c r="P1715" i="12"/>
  <c r="S1714" i="12"/>
  <c r="M1714" i="12"/>
  <c r="Q1714" i="12" s="1"/>
  <c r="L1714" i="12"/>
  <c r="R1714" i="12"/>
  <c r="P1714" i="12"/>
  <c r="O1714" i="12"/>
  <c r="M1713" i="12"/>
  <c r="Q1713" i="12" s="1"/>
  <c r="L1713" i="12"/>
  <c r="S1713" i="12"/>
  <c r="R1713" i="12"/>
  <c r="P1713" i="12"/>
  <c r="O1713" i="12"/>
  <c r="S1712" i="12"/>
  <c r="M1712" i="12"/>
  <c r="Q1712" i="12" s="1"/>
  <c r="L1712" i="12"/>
  <c r="R1712" i="12"/>
  <c r="P1712" i="12"/>
  <c r="O1712" i="12"/>
  <c r="S1711" i="12"/>
  <c r="L1711" i="12"/>
  <c r="M1711" i="12"/>
  <c r="Q1711" i="12" s="1"/>
  <c r="O1711" i="12"/>
  <c r="R1711" i="12"/>
  <c r="P1711" i="12"/>
  <c r="M1710" i="12"/>
  <c r="Q1710" i="12" s="1"/>
  <c r="L1710" i="12"/>
  <c r="S1710" i="12"/>
  <c r="R1710" i="12"/>
  <c r="P1710" i="12"/>
  <c r="O1710" i="12"/>
  <c r="S1709" i="12"/>
  <c r="M1709" i="12"/>
  <c r="Q1709" i="12" s="1"/>
  <c r="L1709" i="12"/>
  <c r="R1709" i="12"/>
  <c r="P1709" i="12"/>
  <c r="O1709" i="12"/>
  <c r="S1708" i="12"/>
  <c r="M1708" i="12"/>
  <c r="Q1708" i="12" s="1"/>
  <c r="L1708" i="12"/>
  <c r="R1708" i="12"/>
  <c r="P1708" i="12"/>
  <c r="O1708" i="12"/>
  <c r="L1707" i="12"/>
  <c r="M1707" i="12"/>
  <c r="Q1707" i="12" s="1"/>
  <c r="S1707" i="12"/>
  <c r="O1707" i="12"/>
  <c r="P1707" i="12"/>
  <c r="R1707" i="12"/>
  <c r="L1706" i="12"/>
  <c r="M1706" i="12"/>
  <c r="Q1706" i="12" s="1"/>
  <c r="S1706" i="12"/>
  <c r="O1706" i="12"/>
  <c r="P1706" i="12"/>
  <c r="R1706" i="12"/>
  <c r="L1705" i="12"/>
  <c r="M1705" i="12"/>
  <c r="Q1705" i="12" s="1"/>
  <c r="S1705" i="12"/>
  <c r="O1705" i="12"/>
  <c r="P1705" i="12"/>
  <c r="R1705" i="12"/>
  <c r="L1704" i="12"/>
  <c r="M1704" i="12"/>
  <c r="Q1704" i="12" s="1"/>
  <c r="S1704" i="12"/>
  <c r="P1704" i="12"/>
  <c r="O1704" i="12"/>
  <c r="R1704" i="12"/>
  <c r="S1703" i="12"/>
  <c r="L1703" i="12"/>
  <c r="M1703" i="12"/>
  <c r="Q1703" i="12" s="1"/>
  <c r="R1703" i="12"/>
  <c r="P1703" i="12"/>
  <c r="O1703" i="12"/>
  <c r="L1702" i="12"/>
  <c r="M1702" i="12"/>
  <c r="Q1702" i="12" s="1"/>
  <c r="S1702" i="12"/>
  <c r="R1702" i="12"/>
  <c r="O1702" i="12"/>
  <c r="P1702" i="12"/>
  <c r="L1701" i="12"/>
  <c r="S1701" i="12"/>
  <c r="M1701" i="12"/>
  <c r="Q1701" i="12" s="1"/>
  <c r="R1701" i="12"/>
  <c r="P1701" i="12"/>
  <c r="O1701" i="12"/>
  <c r="L1700" i="12"/>
  <c r="S1700" i="12"/>
  <c r="M1700" i="12"/>
  <c r="Q1700" i="12" s="1"/>
  <c r="R1700" i="12"/>
  <c r="P1700" i="12"/>
  <c r="O1700" i="12"/>
  <c r="M1699" i="12"/>
  <c r="Q1699" i="12" s="1"/>
  <c r="L1699" i="12"/>
  <c r="S1699" i="12"/>
  <c r="R1699" i="12"/>
  <c r="O1699" i="12"/>
  <c r="P1699" i="12"/>
  <c r="S1698" i="12"/>
  <c r="M1698" i="12"/>
  <c r="Q1698" i="12" s="1"/>
  <c r="L1698" i="12"/>
  <c r="R1698" i="12"/>
  <c r="P1698" i="12"/>
  <c r="O1698" i="12"/>
  <c r="S1697" i="12"/>
  <c r="M1697" i="12"/>
  <c r="Q1697" i="12" s="1"/>
  <c r="L1697" i="12"/>
  <c r="O1697" i="12"/>
  <c r="R1697" i="12"/>
  <c r="P1697" i="12"/>
  <c r="L1696" i="12"/>
  <c r="M1696" i="12"/>
  <c r="Q1696" i="12" s="1"/>
  <c r="S1696" i="12"/>
  <c r="O1696" i="12"/>
  <c r="P1696" i="12"/>
  <c r="R1696" i="12"/>
  <c r="L1695" i="12"/>
  <c r="S1695" i="12"/>
  <c r="M1695" i="12"/>
  <c r="Q1695" i="12" s="1"/>
  <c r="R1695" i="12"/>
  <c r="P1695" i="12"/>
  <c r="O1695" i="12"/>
  <c r="S1694" i="12"/>
  <c r="M1694" i="12"/>
  <c r="Q1694" i="12" s="1"/>
  <c r="L1694" i="12"/>
  <c r="R1694" i="12"/>
  <c r="P1694" i="12"/>
  <c r="O1694" i="12"/>
  <c r="M1693" i="12"/>
  <c r="Q1693" i="12" s="1"/>
  <c r="L1693" i="12"/>
  <c r="S1693" i="12"/>
  <c r="O1693" i="12"/>
  <c r="R1693" i="12"/>
  <c r="P1693" i="12"/>
  <c r="M1692" i="12"/>
  <c r="Q1692" i="12" s="1"/>
  <c r="L1692" i="12"/>
  <c r="S1692" i="12"/>
  <c r="O1692" i="12"/>
  <c r="P1692" i="12"/>
  <c r="R1692" i="12"/>
  <c r="S1691" i="12"/>
  <c r="L1691" i="12"/>
  <c r="M1691" i="12"/>
  <c r="Q1691" i="12" s="1"/>
  <c r="R1691" i="12"/>
  <c r="O1691" i="12"/>
  <c r="P1691" i="12"/>
  <c r="M1690" i="12"/>
  <c r="Q1690" i="12" s="1"/>
  <c r="L1690" i="12"/>
  <c r="S1690" i="12"/>
  <c r="P1690" i="12"/>
  <c r="R1690" i="12"/>
  <c r="O1690" i="12"/>
  <c r="S1689" i="12"/>
  <c r="M1689" i="12"/>
  <c r="Q1689" i="12" s="1"/>
  <c r="L1689" i="12"/>
  <c r="P1689" i="12"/>
  <c r="R1689" i="12"/>
  <c r="O1689" i="12"/>
  <c r="L1688" i="12"/>
  <c r="S1688" i="12"/>
  <c r="M1688" i="12"/>
  <c r="Q1688" i="12" s="1"/>
  <c r="P1688" i="12"/>
  <c r="R1688" i="12"/>
  <c r="O1688" i="12"/>
  <c r="S1687" i="12"/>
  <c r="L1687" i="12"/>
  <c r="M1687" i="12"/>
  <c r="Q1687" i="12" s="1"/>
  <c r="R1687" i="12"/>
  <c r="P1687" i="12"/>
  <c r="O1687" i="12"/>
  <c r="S1686" i="12"/>
  <c r="M1686" i="12"/>
  <c r="Q1686" i="12" s="1"/>
  <c r="L1686" i="12"/>
  <c r="R1686" i="12"/>
  <c r="P1686" i="12"/>
  <c r="O1686" i="12"/>
  <c r="M1685" i="12"/>
  <c r="Q1685" i="12" s="1"/>
  <c r="L1685" i="12"/>
  <c r="S1685" i="12"/>
  <c r="R1685" i="12"/>
  <c r="P1685" i="12"/>
  <c r="O1685" i="12"/>
  <c r="M1684" i="12"/>
  <c r="Q1684" i="12" s="1"/>
  <c r="S1684" i="12"/>
  <c r="L1684" i="12"/>
  <c r="R1684" i="12"/>
  <c r="O1684" i="12"/>
  <c r="P1684" i="12"/>
  <c r="L1683" i="12"/>
  <c r="S1683" i="12"/>
  <c r="M1683" i="12"/>
  <c r="Q1683" i="12" s="1"/>
  <c r="O1683" i="12"/>
  <c r="R1683" i="12"/>
  <c r="P1683" i="12"/>
  <c r="M1682" i="12"/>
  <c r="Q1682" i="12" s="1"/>
  <c r="S1682" i="12"/>
  <c r="L1682" i="12"/>
  <c r="R1682" i="12"/>
  <c r="P1682" i="12"/>
  <c r="O1682" i="12"/>
  <c r="M1681" i="12"/>
  <c r="Q1681" i="12" s="1"/>
  <c r="S1681" i="12"/>
  <c r="L1681" i="12"/>
  <c r="R1681" i="12"/>
  <c r="O1681" i="12"/>
  <c r="P1681" i="12"/>
  <c r="S1680" i="12"/>
  <c r="L1680" i="12"/>
  <c r="M1680" i="12"/>
  <c r="Q1680" i="12" s="1"/>
  <c r="R1680" i="12"/>
  <c r="P1680" i="12"/>
  <c r="O1680" i="12"/>
  <c r="S1679" i="12"/>
  <c r="L1679" i="12"/>
  <c r="M1679" i="12"/>
  <c r="Q1679" i="12" s="1"/>
  <c r="O1679" i="12"/>
  <c r="P1679" i="12"/>
  <c r="R1679" i="12"/>
  <c r="S1678" i="12"/>
  <c r="M1678" i="12"/>
  <c r="Q1678" i="12" s="1"/>
  <c r="L1678" i="12"/>
  <c r="R1678" i="12"/>
  <c r="O1678" i="12"/>
  <c r="P1678" i="12"/>
  <c r="M1677" i="12"/>
  <c r="Q1677" i="12" s="1"/>
  <c r="S1677" i="12"/>
  <c r="L1677" i="12"/>
  <c r="P1677" i="12"/>
  <c r="O1677" i="12"/>
  <c r="R1677" i="12"/>
  <c r="M1676" i="12"/>
  <c r="Q1676" i="12" s="1"/>
  <c r="L1676" i="12"/>
  <c r="S1676" i="12"/>
  <c r="R1676" i="12"/>
  <c r="O1676" i="12"/>
  <c r="P1676" i="12"/>
  <c r="S1675" i="12"/>
  <c r="M1675" i="12"/>
  <c r="Q1675" i="12" s="1"/>
  <c r="L1675" i="12"/>
  <c r="R1675" i="12"/>
  <c r="P1675" i="12"/>
  <c r="O1675" i="12"/>
  <c r="M1674" i="12"/>
  <c r="Q1674" i="12" s="1"/>
  <c r="L1674" i="12"/>
  <c r="S1674" i="12"/>
  <c r="R1674" i="12"/>
  <c r="P1674" i="12"/>
  <c r="O1674" i="12"/>
  <c r="S1673" i="12"/>
  <c r="M1673" i="12"/>
  <c r="Q1673" i="12" s="1"/>
  <c r="L1673" i="12"/>
  <c r="R1673" i="12"/>
  <c r="P1673" i="12"/>
  <c r="O1673" i="12"/>
  <c r="S1672" i="12"/>
  <c r="M1672" i="12"/>
  <c r="Q1672" i="12" s="1"/>
  <c r="L1672" i="12"/>
  <c r="R1672" i="12"/>
  <c r="P1672" i="12"/>
  <c r="O1672" i="12"/>
  <c r="L1671" i="12"/>
  <c r="M1671" i="12"/>
  <c r="Q1671" i="12" s="1"/>
  <c r="S1671" i="12"/>
  <c r="P1671" i="12"/>
  <c r="R1671" i="12"/>
  <c r="O1671" i="12"/>
  <c r="S1670" i="12"/>
  <c r="M1670" i="12"/>
  <c r="Q1670" i="12" s="1"/>
  <c r="L1670" i="12"/>
  <c r="P1670" i="12"/>
  <c r="R1670" i="12"/>
  <c r="O1670" i="12"/>
  <c r="L1669" i="12"/>
  <c r="S1669" i="12"/>
  <c r="M1669" i="12"/>
  <c r="Q1669" i="12" s="1"/>
  <c r="R1669" i="12"/>
  <c r="P1669" i="12"/>
  <c r="O1669" i="12"/>
  <c r="S1668" i="12"/>
  <c r="L1668" i="12"/>
  <c r="M1668" i="12"/>
  <c r="Q1668" i="12" s="1"/>
  <c r="P1668" i="12"/>
  <c r="R1668" i="12"/>
  <c r="O1668" i="12"/>
  <c r="M1667" i="12"/>
  <c r="Q1667" i="12" s="1"/>
  <c r="L1667" i="12"/>
  <c r="S1667" i="12"/>
  <c r="R1667" i="12"/>
  <c r="P1667" i="12"/>
  <c r="O1667" i="12"/>
  <c r="L1666" i="12"/>
  <c r="S1666" i="12"/>
  <c r="M1666" i="12"/>
  <c r="Q1666" i="12" s="1"/>
  <c r="R1666" i="12"/>
  <c r="P1666" i="12"/>
  <c r="O1666" i="12"/>
  <c r="L1665" i="12"/>
  <c r="S1665" i="12"/>
  <c r="M1665" i="12"/>
  <c r="Q1665" i="12" s="1"/>
  <c r="O1665" i="12"/>
  <c r="P1665" i="12"/>
  <c r="R1665" i="12"/>
  <c r="M1664" i="12"/>
  <c r="Q1664" i="12" s="1"/>
  <c r="L1664" i="12"/>
  <c r="S1664" i="12"/>
  <c r="R1664" i="12"/>
  <c r="P1664" i="12"/>
  <c r="O1664" i="12"/>
  <c r="M1663" i="12"/>
  <c r="Q1663" i="12" s="1"/>
  <c r="L1663" i="12"/>
  <c r="S1663" i="12"/>
  <c r="O1663" i="12"/>
  <c r="P1663" i="12"/>
  <c r="R1663" i="12"/>
  <c r="S1662" i="12"/>
  <c r="L1662" i="12"/>
  <c r="M1662" i="12"/>
  <c r="Q1662" i="12" s="1"/>
  <c r="R1662" i="12"/>
  <c r="P1662" i="12"/>
  <c r="O1662" i="12"/>
  <c r="S1661" i="12"/>
  <c r="L1661" i="12"/>
  <c r="M1661" i="12"/>
  <c r="Q1661" i="12" s="1"/>
  <c r="O1661" i="12"/>
  <c r="P1661" i="12"/>
  <c r="R1661" i="12"/>
  <c r="L1660" i="12"/>
  <c r="M1660" i="12"/>
  <c r="Q1660" i="12" s="1"/>
  <c r="S1660" i="12"/>
  <c r="R1660" i="12"/>
  <c r="P1660" i="12"/>
  <c r="O1660" i="12"/>
  <c r="L1659" i="12"/>
  <c r="S1659" i="12"/>
  <c r="M1659" i="12"/>
  <c r="Q1659" i="12" s="1"/>
  <c r="R1659" i="12"/>
  <c r="P1659" i="12"/>
  <c r="O1659" i="12"/>
  <c r="S1658" i="12"/>
  <c r="L1658" i="12"/>
  <c r="M1658" i="12"/>
  <c r="Q1658" i="12" s="1"/>
  <c r="O1658" i="12"/>
  <c r="P1658" i="12"/>
  <c r="R1658" i="12"/>
  <c r="M1657" i="12"/>
  <c r="Q1657" i="12" s="1"/>
  <c r="L1657" i="12"/>
  <c r="S1657" i="12"/>
  <c r="R1657" i="12"/>
  <c r="P1657" i="12"/>
  <c r="O1657" i="12"/>
  <c r="S1656" i="12"/>
  <c r="M1656" i="12"/>
  <c r="Q1656" i="12" s="1"/>
  <c r="L1656" i="12"/>
  <c r="R1656" i="12"/>
  <c r="O1656" i="12"/>
  <c r="P1656" i="12"/>
  <c r="L1655" i="12"/>
  <c r="M1655" i="12"/>
  <c r="Q1655" i="12" s="1"/>
  <c r="S1655" i="12"/>
  <c r="P1655" i="12"/>
  <c r="O1655" i="12"/>
  <c r="R1655" i="12"/>
  <c r="L1654" i="12"/>
  <c r="M1654" i="12"/>
  <c r="Q1654" i="12" s="1"/>
  <c r="S1654" i="12"/>
  <c r="O1654" i="12"/>
  <c r="P1654" i="12"/>
  <c r="R1654" i="12"/>
  <c r="M1653" i="12"/>
  <c r="Q1653" i="12" s="1"/>
  <c r="L1653" i="12"/>
  <c r="S1653" i="12"/>
  <c r="O1653" i="12"/>
  <c r="P1653" i="12"/>
  <c r="R1653" i="12"/>
  <c r="M1652" i="12"/>
  <c r="Q1652" i="12" s="1"/>
  <c r="L1652" i="12"/>
  <c r="S1652" i="12"/>
  <c r="R1652" i="12"/>
  <c r="P1652" i="12"/>
  <c r="O1652" i="12"/>
  <c r="S1651" i="12"/>
  <c r="M1651" i="12"/>
  <c r="Q1651" i="12" s="1"/>
  <c r="L1651" i="12"/>
  <c r="R1651" i="12"/>
  <c r="P1651" i="12"/>
  <c r="O1651" i="12"/>
  <c r="S1650" i="12"/>
  <c r="L1650" i="12"/>
  <c r="M1650" i="12"/>
  <c r="Q1650" i="12" s="1"/>
  <c r="P1650" i="12"/>
  <c r="R1650" i="12"/>
  <c r="O1650" i="12"/>
  <c r="M1649" i="12"/>
  <c r="Q1649" i="12" s="1"/>
  <c r="L1649" i="12"/>
  <c r="S1649" i="12"/>
  <c r="O1649" i="12"/>
  <c r="P1649" i="12"/>
  <c r="R1649" i="12"/>
  <c r="M1648" i="12"/>
  <c r="Q1648" i="12" s="1"/>
  <c r="S1648" i="12"/>
  <c r="L1648" i="12"/>
  <c r="O1648" i="12"/>
  <c r="P1648" i="12"/>
  <c r="R1648" i="12"/>
  <c r="S1647" i="12"/>
  <c r="M1647" i="12"/>
  <c r="Q1647" i="12" s="1"/>
  <c r="L1647" i="12"/>
  <c r="P1647" i="12"/>
  <c r="R1647" i="12"/>
  <c r="O1647" i="12"/>
  <c r="L1646" i="12"/>
  <c r="S1646" i="12"/>
  <c r="M1646" i="12"/>
  <c r="Q1646" i="12" s="1"/>
  <c r="R1646" i="12"/>
  <c r="P1646" i="12"/>
  <c r="O1646" i="12"/>
  <c r="L1645" i="12"/>
  <c r="M1645" i="12"/>
  <c r="Q1645" i="12" s="1"/>
  <c r="S1645" i="12"/>
  <c r="O1645" i="12"/>
  <c r="P1645" i="12"/>
  <c r="R1645" i="12"/>
  <c r="L1644" i="12"/>
  <c r="S1644" i="12"/>
  <c r="M1644" i="12"/>
  <c r="Q1644" i="12" s="1"/>
  <c r="P1644" i="12"/>
  <c r="O1644" i="12"/>
  <c r="R1644" i="12"/>
  <c r="S1643" i="12"/>
  <c r="M1643" i="12"/>
  <c r="Q1643" i="12" s="1"/>
  <c r="L1643" i="12"/>
  <c r="R1643" i="12"/>
  <c r="P1643" i="12"/>
  <c r="O1643" i="12"/>
  <c r="M1642" i="12"/>
  <c r="Q1642" i="12" s="1"/>
  <c r="L1642" i="12"/>
  <c r="S1642" i="12"/>
  <c r="P1642" i="12"/>
  <c r="O1642" i="12"/>
  <c r="R1642" i="12"/>
  <c r="S1641" i="12"/>
  <c r="M1641" i="12"/>
  <c r="Q1641" i="12" s="1"/>
  <c r="L1641" i="12"/>
  <c r="R1641" i="12"/>
  <c r="P1641" i="12"/>
  <c r="O1641" i="12"/>
  <c r="S1640" i="12"/>
  <c r="M1640" i="12"/>
  <c r="Q1640" i="12" s="1"/>
  <c r="L1640" i="12"/>
  <c r="R1640" i="12"/>
  <c r="P1640" i="12"/>
  <c r="O1640" i="12"/>
  <c r="S1639" i="12"/>
  <c r="M1639" i="12"/>
  <c r="Q1639" i="12" s="1"/>
  <c r="L1639" i="12"/>
  <c r="R1639" i="12"/>
  <c r="P1639" i="12"/>
  <c r="O1639" i="12"/>
  <c r="S1638" i="12"/>
  <c r="M1638" i="12"/>
  <c r="Q1638" i="12" s="1"/>
  <c r="L1638" i="12"/>
  <c r="R1638" i="12"/>
  <c r="P1638" i="12"/>
  <c r="O1638" i="12"/>
  <c r="S1637" i="12"/>
  <c r="M1637" i="12"/>
  <c r="Q1637" i="12" s="1"/>
  <c r="L1637" i="12"/>
  <c r="R1637" i="12"/>
  <c r="P1637" i="12"/>
  <c r="O1637" i="12"/>
  <c r="S1636" i="12"/>
  <c r="M1636" i="12"/>
  <c r="Q1636" i="12" s="1"/>
  <c r="L1636" i="12"/>
  <c r="R1636" i="12"/>
  <c r="P1636" i="12"/>
  <c r="O1636" i="12"/>
  <c r="S1635" i="12"/>
  <c r="M1635" i="12"/>
  <c r="Q1635" i="12" s="1"/>
  <c r="L1635" i="12"/>
  <c r="R1635" i="12"/>
  <c r="P1635" i="12"/>
  <c r="O1635" i="12"/>
  <c r="S1634" i="12"/>
  <c r="L1634" i="12"/>
  <c r="M1634" i="12"/>
  <c r="Q1634" i="12" s="1"/>
  <c r="R1634" i="12"/>
  <c r="P1634" i="12"/>
  <c r="O1634" i="12"/>
  <c r="S1633" i="12"/>
  <c r="M1633" i="12"/>
  <c r="Q1633" i="12" s="1"/>
  <c r="L1633" i="12"/>
  <c r="R1633" i="12"/>
  <c r="P1633" i="12"/>
  <c r="O1633" i="12"/>
  <c r="S1632" i="12"/>
  <c r="M1632" i="12"/>
  <c r="Q1632" i="12" s="1"/>
  <c r="L1632" i="12"/>
  <c r="R1632" i="12"/>
  <c r="P1632" i="12"/>
  <c r="O1632" i="12"/>
  <c r="S1631" i="12"/>
  <c r="M1631" i="12"/>
  <c r="Q1631" i="12" s="1"/>
  <c r="L1631" i="12"/>
  <c r="R1631" i="12"/>
  <c r="P1631" i="12"/>
  <c r="O1631" i="12"/>
  <c r="S1630" i="12"/>
  <c r="M1630" i="12"/>
  <c r="Q1630" i="12" s="1"/>
  <c r="L1630" i="12"/>
  <c r="R1630" i="12"/>
  <c r="P1630" i="12"/>
  <c r="O1630" i="12"/>
  <c r="S1629" i="12"/>
  <c r="M1629" i="12"/>
  <c r="Q1629" i="12" s="1"/>
  <c r="L1629" i="12"/>
  <c r="R1629" i="12"/>
  <c r="P1629" i="12"/>
  <c r="O1629" i="12"/>
  <c r="S1628" i="12"/>
  <c r="M1628" i="12"/>
  <c r="Q1628" i="12" s="1"/>
  <c r="L1628" i="12"/>
  <c r="R1628" i="12"/>
  <c r="P1628" i="12"/>
  <c r="O1628" i="12"/>
  <c r="S1627" i="12"/>
  <c r="M1627" i="12"/>
  <c r="Q1627" i="12" s="1"/>
  <c r="L1627" i="12"/>
  <c r="R1627" i="12"/>
  <c r="P1627" i="12"/>
  <c r="O1627" i="12"/>
  <c r="S1626" i="12"/>
  <c r="M1626" i="12"/>
  <c r="Q1626" i="12" s="1"/>
  <c r="L1626" i="12"/>
  <c r="R1626" i="12"/>
  <c r="P1626" i="12"/>
  <c r="O1626" i="12"/>
  <c r="S1625" i="12"/>
  <c r="M1625" i="12"/>
  <c r="Q1625" i="12" s="1"/>
  <c r="L1625" i="12"/>
  <c r="R1625" i="12"/>
  <c r="P1625" i="12"/>
  <c r="O1625" i="12"/>
  <c r="S1624" i="12"/>
  <c r="M1624" i="12"/>
  <c r="Q1624" i="12" s="1"/>
  <c r="L1624" i="12"/>
  <c r="R1624" i="12"/>
  <c r="P1624" i="12"/>
  <c r="O1624" i="12"/>
  <c r="S1623" i="12"/>
  <c r="M1623" i="12"/>
  <c r="Q1623" i="12" s="1"/>
  <c r="L1623" i="12"/>
  <c r="O1623" i="12"/>
  <c r="R1623" i="12"/>
  <c r="P1623" i="12"/>
  <c r="S1622" i="12"/>
  <c r="M1622" i="12"/>
  <c r="Q1622" i="12" s="1"/>
  <c r="L1622" i="12"/>
  <c r="R1622" i="12"/>
  <c r="P1622" i="12"/>
  <c r="O1622" i="12"/>
  <c r="S1621" i="12"/>
  <c r="M1621" i="12"/>
  <c r="Q1621" i="12" s="1"/>
  <c r="L1621" i="12"/>
  <c r="R1621" i="12"/>
  <c r="P1621" i="12"/>
  <c r="O1621" i="12"/>
  <c r="S1620" i="12"/>
  <c r="M1620" i="12"/>
  <c r="Q1620" i="12" s="1"/>
  <c r="L1620" i="12"/>
  <c r="R1620" i="12"/>
  <c r="P1620" i="12"/>
  <c r="O1620" i="12"/>
  <c r="S1618" i="12"/>
  <c r="L1618" i="12"/>
  <c r="M1618" i="12"/>
  <c r="Q1618" i="12" s="1"/>
  <c r="R1618" i="12"/>
  <c r="P1618" i="12"/>
  <c r="O1618" i="12"/>
  <c r="S1617" i="12"/>
  <c r="M1617" i="12"/>
  <c r="Q1617" i="12" s="1"/>
  <c r="L1617" i="12"/>
  <c r="O1617" i="12"/>
  <c r="R1617" i="12"/>
  <c r="P1617" i="12"/>
  <c r="S1616" i="12"/>
  <c r="M1616" i="12"/>
  <c r="Q1616" i="12" s="1"/>
  <c r="L1616" i="12"/>
  <c r="R1616" i="12"/>
  <c r="P1616" i="12"/>
  <c r="O1616" i="12"/>
  <c r="M1615" i="12"/>
  <c r="Q1615" i="12" s="1"/>
  <c r="L1615" i="12"/>
  <c r="S1615" i="12"/>
  <c r="P1615" i="12"/>
  <c r="O1615" i="12"/>
  <c r="R1615" i="12"/>
  <c r="M1614" i="12"/>
  <c r="Q1614" i="12" s="1"/>
  <c r="L1614" i="12"/>
  <c r="S1614" i="12"/>
  <c r="R1614" i="12"/>
  <c r="P1614" i="12"/>
  <c r="O1614" i="12"/>
  <c r="M1613" i="12"/>
  <c r="Q1613" i="12" s="1"/>
  <c r="L1613" i="12"/>
  <c r="S1613" i="12"/>
  <c r="P1613" i="12"/>
  <c r="O1613" i="12"/>
  <c r="R1613" i="12"/>
  <c r="S1612" i="12"/>
  <c r="M1612" i="12"/>
  <c r="Q1612" i="12" s="1"/>
  <c r="L1612" i="12"/>
  <c r="R1612" i="12"/>
  <c r="P1612" i="12"/>
  <c r="O1612" i="12"/>
  <c r="L1611" i="12"/>
  <c r="S1611" i="12"/>
  <c r="M1611" i="12"/>
  <c r="Q1611" i="12" s="1"/>
  <c r="R1611" i="12"/>
  <c r="P1611" i="12"/>
  <c r="O1611" i="12"/>
  <c r="S1610" i="12"/>
  <c r="L1610" i="12"/>
  <c r="M1610" i="12"/>
  <c r="Q1610" i="12" s="1"/>
  <c r="R1610" i="12"/>
  <c r="P1610" i="12"/>
  <c r="O1610" i="12"/>
  <c r="S1609" i="12"/>
  <c r="M1609" i="12"/>
  <c r="Q1609" i="12" s="1"/>
  <c r="L1609" i="12"/>
  <c r="R1609" i="12"/>
  <c r="P1609" i="12"/>
  <c r="O1609" i="12"/>
  <c r="S1608" i="12"/>
  <c r="L1608" i="12"/>
  <c r="M1608" i="12"/>
  <c r="Q1608" i="12" s="1"/>
  <c r="O1608" i="12"/>
  <c r="R1608" i="12"/>
  <c r="P1608" i="12"/>
  <c r="S1607" i="12"/>
  <c r="M1607" i="12"/>
  <c r="Q1607" i="12" s="1"/>
  <c r="L1607" i="12"/>
  <c r="P1607" i="12"/>
  <c r="R1607" i="12"/>
  <c r="O1607" i="12"/>
  <c r="L1606" i="12"/>
  <c r="M1606" i="12"/>
  <c r="Q1606" i="12" s="1"/>
  <c r="S1606" i="12"/>
  <c r="P1606" i="12"/>
  <c r="R1606" i="12"/>
  <c r="O1606" i="12"/>
  <c r="L1605" i="12"/>
  <c r="M1605" i="12"/>
  <c r="Q1605" i="12" s="1"/>
  <c r="S1605" i="12"/>
  <c r="O1605" i="12"/>
  <c r="P1605" i="12"/>
  <c r="R1605" i="12"/>
  <c r="M1604" i="12"/>
  <c r="Q1604" i="12" s="1"/>
  <c r="S1604" i="12"/>
  <c r="L1604" i="12"/>
  <c r="O1604" i="12"/>
  <c r="P1604" i="12"/>
  <c r="R1604" i="12"/>
  <c r="S1603" i="12"/>
  <c r="L1603" i="12"/>
  <c r="M1603" i="12"/>
  <c r="Q1603" i="12" s="1"/>
  <c r="P1603" i="12"/>
  <c r="R1603" i="12"/>
  <c r="O1603" i="12"/>
  <c r="M1602" i="12"/>
  <c r="Q1602" i="12" s="1"/>
  <c r="L1602" i="12"/>
  <c r="S1602" i="12"/>
  <c r="O1602" i="12"/>
  <c r="P1602" i="12"/>
  <c r="R1602" i="12"/>
  <c r="L1601" i="12"/>
  <c r="M1601" i="12"/>
  <c r="Q1601" i="12" s="1"/>
  <c r="S1601" i="12"/>
  <c r="O1601" i="12"/>
  <c r="R1601" i="12"/>
  <c r="P1601" i="12"/>
  <c r="M1600" i="12"/>
  <c r="Q1600" i="12" s="1"/>
  <c r="L1600" i="12"/>
  <c r="S1600" i="12"/>
  <c r="P1600" i="12"/>
  <c r="O1600" i="12"/>
  <c r="R1600" i="12"/>
  <c r="M1599" i="12"/>
  <c r="Q1599" i="12" s="1"/>
  <c r="L1599" i="12"/>
  <c r="S1599" i="12"/>
  <c r="R1599" i="12"/>
  <c r="P1599" i="12"/>
  <c r="O1599" i="12"/>
  <c r="S1598" i="12"/>
  <c r="L1598" i="12"/>
  <c r="M1598" i="12"/>
  <c r="Q1598" i="12" s="1"/>
  <c r="R1598" i="12"/>
  <c r="P1598" i="12"/>
  <c r="O1598" i="12"/>
  <c r="S1597" i="12"/>
  <c r="M1597" i="12"/>
  <c r="Q1597" i="12" s="1"/>
  <c r="L1597" i="12"/>
  <c r="R1597" i="12"/>
  <c r="P1597" i="12"/>
  <c r="O1597" i="12"/>
  <c r="L1596" i="12"/>
  <c r="S1596" i="12"/>
  <c r="M1596" i="12"/>
  <c r="Q1596" i="12" s="1"/>
  <c r="R1596" i="12"/>
  <c r="P1596" i="12"/>
  <c r="O1596" i="12"/>
  <c r="S1595" i="12"/>
  <c r="L1595" i="12"/>
  <c r="M1595" i="12"/>
  <c r="Q1595" i="12" s="1"/>
  <c r="O1595" i="12"/>
  <c r="R1595" i="12"/>
  <c r="P1595" i="12"/>
  <c r="L1594" i="12"/>
  <c r="M1594" i="12"/>
  <c r="Q1594" i="12" s="1"/>
  <c r="S1594" i="12"/>
  <c r="O1594" i="12"/>
  <c r="P1594" i="12"/>
  <c r="R1594" i="12"/>
  <c r="S1593" i="12"/>
  <c r="L1593" i="12"/>
  <c r="M1593" i="12"/>
  <c r="Q1593" i="12" s="1"/>
  <c r="O1593" i="12"/>
  <c r="P1593" i="12"/>
  <c r="R1593" i="12"/>
  <c r="L1592" i="12"/>
  <c r="S1592" i="12"/>
  <c r="M1592" i="12"/>
  <c r="Q1592" i="12" s="1"/>
  <c r="O1592" i="12"/>
  <c r="P1592" i="12"/>
  <c r="R1592" i="12"/>
  <c r="L1591" i="12"/>
  <c r="M1591" i="12"/>
  <c r="Q1591" i="12" s="1"/>
  <c r="S1591" i="12"/>
  <c r="R1591" i="12"/>
  <c r="O1591" i="12"/>
  <c r="P1591" i="12"/>
  <c r="M1590" i="12"/>
  <c r="Q1590" i="12" s="1"/>
  <c r="L1590" i="12"/>
  <c r="S1590" i="12"/>
  <c r="O1590" i="12"/>
  <c r="P1590" i="12"/>
  <c r="R1590" i="12"/>
  <c r="S1589" i="12"/>
  <c r="L1589" i="12"/>
  <c r="M1589" i="12"/>
  <c r="Q1589" i="12" s="1"/>
  <c r="R1589" i="12"/>
  <c r="P1589" i="12"/>
  <c r="O1589" i="12"/>
  <c r="S1588" i="12"/>
  <c r="L1588" i="12"/>
  <c r="M1588" i="12"/>
  <c r="Q1588" i="12" s="1"/>
  <c r="R1588" i="12"/>
  <c r="O1588" i="12"/>
  <c r="P1588" i="12"/>
  <c r="M1587" i="12"/>
  <c r="Q1587" i="12" s="1"/>
  <c r="S1587" i="12"/>
  <c r="L1587" i="12"/>
  <c r="R1587" i="12"/>
  <c r="P1587" i="12"/>
  <c r="O1587" i="12"/>
  <c r="S1586" i="12"/>
  <c r="L1586" i="12"/>
  <c r="M1586" i="12"/>
  <c r="Q1586" i="12" s="1"/>
  <c r="R1586" i="12"/>
  <c r="O1586" i="12"/>
  <c r="P1586" i="12"/>
  <c r="S1585" i="12"/>
  <c r="L1585" i="12"/>
  <c r="M1585" i="12"/>
  <c r="Q1585" i="12" s="1"/>
  <c r="R1585" i="12"/>
  <c r="P1585" i="12"/>
  <c r="O1585" i="12"/>
  <c r="S1584" i="12"/>
  <c r="M1584" i="12"/>
  <c r="Q1584" i="12" s="1"/>
  <c r="L1584" i="12"/>
  <c r="R1584" i="12"/>
  <c r="P1584" i="12"/>
  <c r="O1584" i="12"/>
  <c r="L1583" i="12"/>
  <c r="M1583" i="12"/>
  <c r="Q1583" i="12" s="1"/>
  <c r="S1583" i="12"/>
  <c r="R1583" i="12"/>
  <c r="P1583" i="12"/>
  <c r="O1583" i="12"/>
  <c r="L1582" i="12"/>
  <c r="M1582" i="12"/>
  <c r="Q1582" i="12" s="1"/>
  <c r="S1582" i="12"/>
  <c r="O1582" i="12"/>
  <c r="R1582" i="12"/>
  <c r="P1582" i="12"/>
  <c r="L1581" i="12"/>
  <c r="M1581" i="12"/>
  <c r="Q1581" i="12" s="1"/>
  <c r="S1581" i="12"/>
  <c r="O1581" i="12"/>
  <c r="P1581" i="12"/>
  <c r="R1581" i="12"/>
  <c r="M1580" i="12"/>
  <c r="Q1580" i="12" s="1"/>
  <c r="L1580" i="12"/>
  <c r="S1580" i="12"/>
  <c r="R1580" i="12"/>
  <c r="P1580" i="12"/>
  <c r="O1580" i="12"/>
  <c r="S1579" i="12"/>
  <c r="M1579" i="12"/>
  <c r="Q1579" i="12" s="1"/>
  <c r="L1579" i="12"/>
  <c r="P1579" i="12"/>
  <c r="O1579" i="12"/>
  <c r="R1579" i="12"/>
  <c r="M1578" i="12"/>
  <c r="Q1578" i="12" s="1"/>
  <c r="S1578" i="12"/>
  <c r="L1578" i="12"/>
  <c r="R1578" i="12"/>
  <c r="P1578" i="12"/>
  <c r="O1578" i="12"/>
  <c r="M1577" i="12"/>
  <c r="Q1577" i="12" s="1"/>
  <c r="L1577" i="12"/>
  <c r="S1577" i="12"/>
  <c r="R1577" i="12"/>
  <c r="P1577" i="12"/>
  <c r="O1577" i="12"/>
  <c r="M1576" i="12"/>
  <c r="Q1576" i="12" s="1"/>
  <c r="L1576" i="12"/>
  <c r="S1576" i="12"/>
  <c r="R1576" i="12"/>
  <c r="P1576" i="12"/>
  <c r="O1576" i="12"/>
  <c r="M1575" i="12"/>
  <c r="Q1575" i="12" s="1"/>
  <c r="L1575" i="12"/>
  <c r="S1575" i="12"/>
  <c r="O1575" i="12"/>
  <c r="P1575" i="12"/>
  <c r="R1575" i="12"/>
  <c r="S1574" i="12"/>
  <c r="L1574" i="12"/>
  <c r="M1574" i="12"/>
  <c r="Q1574" i="12" s="1"/>
  <c r="R1574" i="12"/>
  <c r="P1574" i="12"/>
  <c r="O1574" i="12"/>
  <c r="L1573" i="12"/>
  <c r="S1573" i="12"/>
  <c r="M1573" i="12"/>
  <c r="Q1573" i="12" s="1"/>
  <c r="O1573" i="12"/>
  <c r="P1573" i="12"/>
  <c r="R1573" i="12"/>
  <c r="L1572" i="12"/>
  <c r="S1572" i="12"/>
  <c r="M1572" i="12"/>
  <c r="Q1572" i="12" s="1"/>
  <c r="O1572" i="12"/>
  <c r="P1572" i="12"/>
  <c r="R1572" i="12"/>
  <c r="M1571" i="12"/>
  <c r="Q1571" i="12" s="1"/>
  <c r="S1571" i="12"/>
  <c r="L1571" i="12"/>
  <c r="P1571" i="12"/>
  <c r="R1571" i="12"/>
  <c r="O1571" i="12"/>
  <c r="S1570" i="12"/>
  <c r="L1570" i="12"/>
  <c r="M1570" i="12"/>
  <c r="Q1570" i="12" s="1"/>
  <c r="R1570" i="12"/>
  <c r="O1570" i="12"/>
  <c r="P1570" i="12"/>
  <c r="M1569" i="12"/>
  <c r="Q1569" i="12" s="1"/>
  <c r="L1569" i="12"/>
  <c r="S1569" i="12"/>
  <c r="P1569" i="12"/>
  <c r="R1569" i="12"/>
  <c r="O1569" i="12"/>
  <c r="S1568" i="12"/>
  <c r="L1568" i="12"/>
  <c r="M1568" i="12"/>
  <c r="Q1568" i="12" s="1"/>
  <c r="R1568" i="12"/>
  <c r="P1568" i="12"/>
  <c r="O1568" i="12"/>
  <c r="L1567" i="12"/>
  <c r="S1567" i="12"/>
  <c r="M1567" i="12"/>
  <c r="Q1567" i="12" s="1"/>
  <c r="P1567" i="12"/>
  <c r="O1567" i="12"/>
  <c r="R1567" i="12"/>
  <c r="L1566" i="12"/>
  <c r="S1566" i="12"/>
  <c r="M1566" i="12"/>
  <c r="Q1566" i="12" s="1"/>
  <c r="R1566" i="12"/>
  <c r="P1566" i="12"/>
  <c r="O1566" i="12"/>
  <c r="L1565" i="12"/>
  <c r="M1565" i="12"/>
  <c r="Q1565" i="12" s="1"/>
  <c r="S1565" i="12"/>
  <c r="P1565" i="12"/>
  <c r="O1565" i="12"/>
  <c r="R1565" i="12"/>
  <c r="M1564" i="12"/>
  <c r="Q1564" i="12" s="1"/>
  <c r="L1564" i="12"/>
  <c r="S1564" i="12"/>
  <c r="O1564" i="12"/>
  <c r="R1564" i="12"/>
  <c r="P1564" i="12"/>
  <c r="M1563" i="12"/>
  <c r="Q1563" i="12" s="1"/>
  <c r="L1563" i="12"/>
  <c r="S1563" i="12"/>
  <c r="R1563" i="12"/>
  <c r="P1563" i="12"/>
  <c r="O1563" i="12"/>
  <c r="S1562" i="12"/>
  <c r="M1562" i="12"/>
  <c r="Q1562" i="12" s="1"/>
  <c r="L1562" i="12"/>
  <c r="O1562" i="12"/>
  <c r="R1562" i="12"/>
  <c r="P1562" i="12"/>
  <c r="S1561" i="12"/>
  <c r="M1561" i="12"/>
  <c r="Q1561" i="12" s="1"/>
  <c r="L1561" i="12"/>
  <c r="R1561" i="12"/>
  <c r="P1561" i="12"/>
  <c r="O1561" i="12"/>
  <c r="L1560" i="12"/>
  <c r="S1560" i="12"/>
  <c r="M1560" i="12"/>
  <c r="Q1560" i="12" s="1"/>
  <c r="P1560" i="12"/>
  <c r="O1560" i="12"/>
  <c r="R1560" i="12"/>
  <c r="L1559" i="12"/>
  <c r="M1559" i="12"/>
  <c r="Q1559" i="12" s="1"/>
  <c r="S1559" i="12"/>
  <c r="P1559" i="12"/>
  <c r="R1559" i="12"/>
  <c r="O1559" i="12"/>
  <c r="M1558" i="12"/>
  <c r="Q1558" i="12" s="1"/>
  <c r="L1558" i="12"/>
  <c r="S1558" i="12"/>
  <c r="R1558" i="12"/>
  <c r="O1558" i="12"/>
  <c r="P1558" i="12"/>
  <c r="L1557" i="12"/>
  <c r="S1557" i="12"/>
  <c r="M1557" i="12"/>
  <c r="Q1557" i="12" s="1"/>
  <c r="P1557" i="12"/>
  <c r="R1557" i="12"/>
  <c r="O1557" i="12"/>
  <c r="S1556" i="12"/>
  <c r="L1556" i="12"/>
  <c r="M1556" i="12"/>
  <c r="Q1556" i="12" s="1"/>
  <c r="O1556" i="12"/>
  <c r="R1556" i="12"/>
  <c r="P1556" i="12"/>
  <c r="L1554" i="12"/>
  <c r="M1554" i="12"/>
  <c r="Q1554" i="12" s="1"/>
  <c r="S1554" i="12"/>
  <c r="O1554" i="12"/>
  <c r="P1554" i="12"/>
  <c r="R1554" i="12"/>
  <c r="L1553" i="12"/>
  <c r="M1553" i="12"/>
  <c r="Q1553" i="12" s="1"/>
  <c r="S1553" i="12"/>
  <c r="O1553" i="12"/>
  <c r="R1553" i="12"/>
  <c r="P1553" i="12"/>
  <c r="S1552" i="12"/>
  <c r="L1552" i="12"/>
  <c r="M1552" i="12"/>
  <c r="Q1552" i="12" s="1"/>
  <c r="O1552" i="12"/>
  <c r="P1552" i="12"/>
  <c r="R1552" i="12"/>
  <c r="L1551" i="12"/>
  <c r="S1551" i="12"/>
  <c r="M1551" i="12"/>
  <c r="Q1551" i="12" s="1"/>
  <c r="O1551" i="12"/>
  <c r="R1551" i="12"/>
  <c r="P1551" i="12"/>
  <c r="L1550" i="12"/>
  <c r="M1550" i="12"/>
  <c r="Q1550" i="12" s="1"/>
  <c r="S1550" i="12"/>
  <c r="O1550" i="12"/>
  <c r="P1550" i="12"/>
  <c r="R1550" i="12"/>
  <c r="S1549" i="12"/>
  <c r="L1549" i="12"/>
  <c r="M1549" i="12"/>
  <c r="Q1549" i="12" s="1"/>
  <c r="P1549" i="12"/>
  <c r="R1549" i="12"/>
  <c r="O1549" i="12"/>
  <c r="S1548" i="12"/>
  <c r="M1548" i="12"/>
  <c r="Q1548" i="12" s="1"/>
  <c r="L1548" i="12"/>
  <c r="R1548" i="12"/>
  <c r="P1548" i="12"/>
  <c r="O1548" i="12"/>
  <c r="S1547" i="12"/>
  <c r="M1547" i="12"/>
  <c r="Q1547" i="12" s="1"/>
  <c r="L1547" i="12"/>
  <c r="R1547" i="12"/>
  <c r="P1547" i="12"/>
  <c r="O1547" i="12"/>
  <c r="S1546" i="12"/>
  <c r="M1546" i="12"/>
  <c r="Q1546" i="12" s="1"/>
  <c r="L1546" i="12"/>
  <c r="P1546" i="12"/>
  <c r="O1546" i="12"/>
  <c r="R1546" i="12"/>
  <c r="S1545" i="12"/>
  <c r="L1545" i="12"/>
  <c r="M1545" i="12"/>
  <c r="Q1545" i="12" s="1"/>
  <c r="O1545" i="12"/>
  <c r="P1545" i="12"/>
  <c r="R1545" i="12"/>
  <c r="L1544" i="12"/>
  <c r="M1544" i="12"/>
  <c r="Q1544" i="12" s="1"/>
  <c r="S1544" i="12"/>
  <c r="O1544" i="12"/>
  <c r="R1544" i="12"/>
  <c r="P1544" i="12"/>
  <c r="M1543" i="12"/>
  <c r="Q1543" i="12" s="1"/>
  <c r="S1543" i="12"/>
  <c r="L1543" i="12"/>
  <c r="P1543" i="12"/>
  <c r="O1543" i="12"/>
  <c r="R1543" i="12"/>
  <c r="L1542" i="12"/>
  <c r="S1542" i="12"/>
  <c r="M1542" i="12"/>
  <c r="Q1542" i="12" s="1"/>
  <c r="O1542" i="12"/>
  <c r="R1542" i="12"/>
  <c r="P1542" i="12"/>
  <c r="L1541" i="12"/>
  <c r="S1541" i="12"/>
  <c r="M1541" i="12"/>
  <c r="Q1541" i="12" s="1"/>
  <c r="O1541" i="12"/>
  <c r="R1541" i="12"/>
  <c r="P1541" i="12"/>
  <c r="L1540" i="12"/>
  <c r="M1540" i="12"/>
  <c r="Q1540" i="12" s="1"/>
  <c r="S1540" i="12"/>
  <c r="O1540" i="12"/>
  <c r="P1540" i="12"/>
  <c r="R1540" i="12"/>
  <c r="S1539" i="12"/>
  <c r="M1539" i="12"/>
  <c r="Q1539" i="12" s="1"/>
  <c r="L1539" i="12"/>
  <c r="P1539" i="12"/>
  <c r="O1539" i="12"/>
  <c r="R1539" i="12"/>
  <c r="S1538" i="12"/>
  <c r="L1538" i="12"/>
  <c r="M1538" i="12"/>
  <c r="Q1538" i="12" s="1"/>
  <c r="R1538" i="12"/>
  <c r="O1538" i="12"/>
  <c r="P1538" i="12"/>
  <c r="M1537" i="12"/>
  <c r="Q1537" i="12" s="1"/>
  <c r="L1537" i="12"/>
  <c r="S1537" i="12"/>
  <c r="P1537" i="12"/>
  <c r="O1537" i="12"/>
  <c r="R1537" i="12"/>
  <c r="L1536" i="12"/>
  <c r="M1536" i="12"/>
  <c r="Q1536" i="12" s="1"/>
  <c r="S1536" i="12"/>
  <c r="R1536" i="12"/>
  <c r="P1536" i="12"/>
  <c r="O1536" i="12"/>
  <c r="M1535" i="12"/>
  <c r="Q1535" i="12" s="1"/>
  <c r="L1535" i="12"/>
  <c r="S1535" i="12"/>
  <c r="P1535" i="12"/>
  <c r="O1535" i="12"/>
  <c r="R1535" i="12"/>
  <c r="S1534" i="12"/>
  <c r="M1534" i="12"/>
  <c r="Q1534" i="12" s="1"/>
  <c r="L1534" i="12"/>
  <c r="R1534" i="12"/>
  <c r="P1534" i="12"/>
  <c r="O1534" i="12"/>
  <c r="S1533" i="12"/>
  <c r="M1533" i="12"/>
  <c r="Q1533" i="12" s="1"/>
  <c r="L1533" i="12"/>
  <c r="R1533" i="12"/>
  <c r="P1533" i="12"/>
  <c r="O1533" i="12"/>
  <c r="S1532" i="12"/>
  <c r="L1532" i="12"/>
  <c r="M1532" i="12"/>
  <c r="Q1532" i="12" s="1"/>
  <c r="O1532" i="12"/>
  <c r="P1532" i="12"/>
  <c r="R1532" i="12"/>
  <c r="L1531" i="12"/>
  <c r="S1531" i="12"/>
  <c r="M1531" i="12"/>
  <c r="Q1531" i="12" s="1"/>
  <c r="O1531" i="12"/>
  <c r="P1531" i="12"/>
  <c r="R1531" i="12"/>
  <c r="S1530" i="12"/>
  <c r="M1530" i="12"/>
  <c r="Q1530" i="12" s="1"/>
  <c r="L1530" i="12"/>
  <c r="R1530" i="12"/>
  <c r="O1530" i="12"/>
  <c r="P1530" i="12"/>
  <c r="L1529" i="12"/>
  <c r="S1529" i="12"/>
  <c r="M1529" i="12"/>
  <c r="Q1529" i="12" s="1"/>
  <c r="O1529" i="12"/>
  <c r="R1529" i="12"/>
  <c r="P1529" i="12"/>
  <c r="S1528" i="12"/>
  <c r="L1528" i="12"/>
  <c r="M1528" i="12"/>
  <c r="Q1528" i="12" s="1"/>
  <c r="R1528" i="12"/>
  <c r="P1528" i="12"/>
  <c r="O1528" i="12"/>
  <c r="M1527" i="12"/>
  <c r="Q1527" i="12" s="1"/>
  <c r="L1527" i="12"/>
  <c r="S1527" i="12"/>
  <c r="O1527" i="12"/>
  <c r="P1527" i="12"/>
  <c r="R1527" i="12"/>
  <c r="M1526" i="12"/>
  <c r="Q1526" i="12" s="1"/>
  <c r="L1526" i="12"/>
  <c r="S1526" i="12"/>
  <c r="O1526" i="12"/>
  <c r="P1526" i="12"/>
  <c r="R1526" i="12"/>
  <c r="S1525" i="12"/>
  <c r="M1525" i="12"/>
  <c r="Q1525" i="12" s="1"/>
  <c r="L1525" i="12"/>
  <c r="R1525" i="12"/>
  <c r="P1525" i="12"/>
  <c r="O1525" i="12"/>
  <c r="L1524" i="12"/>
  <c r="M1524" i="12"/>
  <c r="Q1524" i="12" s="1"/>
  <c r="S1524" i="12"/>
  <c r="O1524" i="12"/>
  <c r="P1524" i="12"/>
  <c r="R1524" i="12"/>
  <c r="S1523" i="12"/>
  <c r="L1523" i="12"/>
  <c r="M1523" i="12"/>
  <c r="Q1523" i="12" s="1"/>
  <c r="P1523" i="12"/>
  <c r="R1523" i="12"/>
  <c r="O1523" i="12"/>
  <c r="M1522" i="12"/>
  <c r="Q1522" i="12" s="1"/>
  <c r="S1522" i="12"/>
  <c r="L1522" i="12"/>
  <c r="P1522" i="12"/>
  <c r="O1522" i="12"/>
  <c r="R1522" i="12"/>
  <c r="S1521" i="12"/>
  <c r="M1521" i="12"/>
  <c r="Q1521" i="12" s="1"/>
  <c r="L1521" i="12"/>
  <c r="R1521" i="12"/>
  <c r="P1521" i="12"/>
  <c r="O1521" i="12"/>
  <c r="M1520" i="12"/>
  <c r="Q1520" i="12" s="1"/>
  <c r="L1520" i="12"/>
  <c r="S1520" i="12"/>
  <c r="O1520" i="12"/>
  <c r="R1520" i="12"/>
  <c r="P1520" i="12"/>
  <c r="S1519" i="12"/>
  <c r="M1519" i="12"/>
  <c r="Q1519" i="12" s="1"/>
  <c r="L1519" i="12"/>
  <c r="R1519" i="12"/>
  <c r="O1519" i="12"/>
  <c r="P1519" i="12"/>
  <c r="M1518" i="12"/>
  <c r="Q1518" i="12" s="1"/>
  <c r="S1518" i="12"/>
  <c r="L1518" i="12"/>
  <c r="O1518" i="12"/>
  <c r="P1518" i="12"/>
  <c r="R1518" i="12"/>
  <c r="S1517" i="12"/>
  <c r="L1517" i="12"/>
  <c r="M1517" i="12"/>
  <c r="Q1517" i="12" s="1"/>
  <c r="P1517" i="12"/>
  <c r="R1517" i="12"/>
  <c r="O1517" i="12"/>
  <c r="S1516" i="12"/>
  <c r="M1516" i="12"/>
  <c r="Q1516" i="12" s="1"/>
  <c r="L1516" i="12"/>
  <c r="P1516" i="12"/>
  <c r="R1516" i="12"/>
  <c r="O1516" i="12"/>
  <c r="M1515" i="12"/>
  <c r="Q1515" i="12" s="1"/>
  <c r="L1515" i="12"/>
  <c r="S1515" i="12"/>
  <c r="P1515" i="12"/>
  <c r="O1515" i="12"/>
  <c r="R1515" i="12"/>
  <c r="S1514" i="12"/>
  <c r="L1514" i="12"/>
  <c r="M1514" i="12"/>
  <c r="Q1514" i="12" s="1"/>
  <c r="R1514" i="12"/>
  <c r="P1514" i="12"/>
  <c r="O1514" i="12"/>
  <c r="S1513" i="12"/>
  <c r="L1513" i="12"/>
  <c r="M1513" i="12"/>
  <c r="Q1513" i="12" s="1"/>
  <c r="P1513" i="12"/>
  <c r="O1513" i="12"/>
  <c r="R1513" i="12"/>
  <c r="L1512" i="12"/>
  <c r="M1512" i="12"/>
  <c r="Q1512" i="12" s="1"/>
  <c r="S1512" i="12"/>
  <c r="R1512" i="12"/>
  <c r="P1512" i="12"/>
  <c r="O1512" i="12"/>
  <c r="M1511" i="12"/>
  <c r="Q1511" i="12" s="1"/>
  <c r="S1511" i="12"/>
  <c r="L1511" i="12"/>
  <c r="R1511" i="12"/>
  <c r="O1511" i="12"/>
  <c r="P1511" i="12"/>
  <c r="M1510" i="12"/>
  <c r="Q1510" i="12" s="1"/>
  <c r="L1510" i="12"/>
  <c r="S1510" i="12"/>
  <c r="P1510" i="12"/>
  <c r="R1510" i="12"/>
  <c r="O1510" i="12"/>
  <c r="S1509" i="12"/>
  <c r="M1509" i="12"/>
  <c r="Q1509" i="12" s="1"/>
  <c r="L1509" i="12"/>
  <c r="R1509" i="12"/>
  <c r="O1509" i="12"/>
  <c r="P1509" i="12"/>
  <c r="S1508" i="12"/>
  <c r="L1508" i="12"/>
  <c r="M1508" i="12"/>
  <c r="Q1508" i="12" s="1"/>
  <c r="R1508" i="12"/>
  <c r="P1508" i="12"/>
  <c r="O1508" i="12"/>
  <c r="M1507" i="12"/>
  <c r="Q1507" i="12" s="1"/>
  <c r="S1507" i="12"/>
  <c r="L1507" i="12"/>
  <c r="R1507" i="12"/>
  <c r="O1507" i="12"/>
  <c r="P1507" i="12"/>
  <c r="M1506" i="12"/>
  <c r="Q1506" i="12" s="1"/>
  <c r="S1506" i="12"/>
  <c r="L1506" i="12"/>
  <c r="P1506" i="12"/>
  <c r="R1506" i="12"/>
  <c r="O1506" i="12"/>
  <c r="L1505" i="12"/>
  <c r="S1505" i="12"/>
  <c r="M1505" i="12"/>
  <c r="Q1505" i="12" s="1"/>
  <c r="R1505" i="12"/>
  <c r="P1505" i="12"/>
  <c r="O1505" i="12"/>
  <c r="S1504" i="12"/>
  <c r="M1504" i="12"/>
  <c r="Q1504" i="12" s="1"/>
  <c r="L1504" i="12"/>
  <c r="P1504" i="12"/>
  <c r="R1504" i="12"/>
  <c r="O1504" i="12"/>
  <c r="L1503" i="12"/>
  <c r="M1503" i="12"/>
  <c r="Q1503" i="12" s="1"/>
  <c r="S1503" i="12"/>
  <c r="P1503" i="12"/>
  <c r="R1503" i="12"/>
  <c r="O1503" i="12"/>
  <c r="S1502" i="12"/>
  <c r="M1502" i="12"/>
  <c r="Q1502" i="12" s="1"/>
  <c r="L1502" i="12"/>
  <c r="P1502" i="12"/>
  <c r="O1502" i="12"/>
  <c r="R1502" i="12"/>
  <c r="L1501" i="12"/>
  <c r="S1501" i="12"/>
  <c r="M1501" i="12"/>
  <c r="Q1501" i="12" s="1"/>
  <c r="P1501" i="12"/>
  <c r="O1501" i="12"/>
  <c r="R1501" i="12"/>
  <c r="S1500" i="12"/>
  <c r="L1500" i="12"/>
  <c r="M1500" i="12"/>
  <c r="Q1500" i="12" s="1"/>
  <c r="O1500" i="12"/>
  <c r="R1500" i="12"/>
  <c r="P1500" i="12"/>
  <c r="S1499" i="12"/>
  <c r="L1499" i="12"/>
  <c r="M1499" i="12"/>
  <c r="Q1499" i="12" s="1"/>
  <c r="R1499" i="12"/>
  <c r="O1499" i="12"/>
  <c r="P1499" i="12"/>
  <c r="S1498" i="12"/>
  <c r="M1498" i="12"/>
  <c r="Q1498" i="12" s="1"/>
  <c r="L1498" i="12"/>
  <c r="R1498" i="12"/>
  <c r="P1498" i="12"/>
  <c r="O1498" i="12"/>
  <c r="S1497" i="12"/>
  <c r="M1497" i="12"/>
  <c r="Q1497" i="12" s="1"/>
  <c r="L1497" i="12"/>
  <c r="R1497" i="12"/>
  <c r="O1497" i="12"/>
  <c r="P1497" i="12"/>
  <c r="M1496" i="12"/>
  <c r="Q1496" i="12" s="1"/>
  <c r="L1496" i="12"/>
  <c r="S1496" i="12"/>
  <c r="O1496" i="12"/>
  <c r="P1496" i="12"/>
  <c r="R1496" i="12"/>
  <c r="M1495" i="12"/>
  <c r="Q1495" i="12" s="1"/>
  <c r="L1495" i="12"/>
  <c r="S1495" i="12"/>
  <c r="P1495" i="12"/>
  <c r="R1495" i="12"/>
  <c r="O1495" i="12"/>
  <c r="M1494" i="12"/>
  <c r="Q1494" i="12" s="1"/>
  <c r="S1494" i="12"/>
  <c r="L1494" i="12"/>
  <c r="O1494" i="12"/>
  <c r="R1494" i="12"/>
  <c r="P1494" i="12"/>
  <c r="L1493" i="12"/>
  <c r="M1493" i="12"/>
  <c r="Q1493" i="12" s="1"/>
  <c r="S1493" i="12"/>
  <c r="P1493" i="12"/>
  <c r="O1493" i="12"/>
  <c r="R1493" i="12"/>
  <c r="S1492" i="12"/>
  <c r="M1492" i="12"/>
  <c r="Q1492" i="12" s="1"/>
  <c r="L1492" i="12"/>
  <c r="O1492" i="12"/>
  <c r="R1492" i="12"/>
  <c r="P1492" i="12"/>
  <c r="L1491" i="12"/>
  <c r="M1491" i="12"/>
  <c r="Q1491" i="12" s="1"/>
  <c r="S1490" i="12"/>
  <c r="M1490" i="12"/>
  <c r="Q1490" i="12" s="1"/>
  <c r="L1490" i="12"/>
  <c r="R1490" i="12"/>
  <c r="P1490" i="12"/>
  <c r="O1490" i="12"/>
  <c r="S1489" i="12"/>
  <c r="L1489" i="12"/>
  <c r="M1489" i="12"/>
  <c r="Q1489" i="12" s="1"/>
  <c r="R1489" i="12"/>
  <c r="P1489" i="12"/>
  <c r="O1489" i="12"/>
  <c r="M1488" i="12"/>
  <c r="Q1488" i="12" s="1"/>
  <c r="L1488" i="12"/>
  <c r="S1488" i="12"/>
  <c r="P1488" i="12"/>
  <c r="O1488" i="12"/>
  <c r="R1488" i="12"/>
  <c r="S1487" i="12"/>
  <c r="M1487" i="12"/>
  <c r="Q1487" i="12" s="1"/>
  <c r="L1487" i="12"/>
  <c r="R1487" i="12"/>
  <c r="P1487" i="12"/>
  <c r="O1487" i="12"/>
  <c r="S1486" i="12"/>
  <c r="L1486" i="12"/>
  <c r="M1486" i="12"/>
  <c r="Q1486" i="12" s="1"/>
  <c r="R1486" i="12"/>
  <c r="P1486" i="12"/>
  <c r="O1486" i="12"/>
  <c r="S1485" i="12"/>
  <c r="M1485" i="12"/>
  <c r="Q1485" i="12" s="1"/>
  <c r="L1485" i="12"/>
  <c r="O1485" i="12"/>
  <c r="P1485" i="12"/>
  <c r="R1485" i="12"/>
  <c r="L1484" i="12"/>
  <c r="S1484" i="12"/>
  <c r="M1484" i="12"/>
  <c r="Q1484" i="12" s="1"/>
  <c r="P1484" i="12"/>
  <c r="O1484" i="12"/>
  <c r="R1484" i="12"/>
  <c r="M1483" i="12"/>
  <c r="Q1483" i="12" s="1"/>
  <c r="L1483" i="12"/>
  <c r="S1483" i="12"/>
  <c r="O1483" i="12"/>
  <c r="R1483" i="12"/>
  <c r="P1483" i="12"/>
  <c r="S1482" i="12"/>
  <c r="M1482" i="12"/>
  <c r="Q1482" i="12" s="1"/>
  <c r="L1482" i="12"/>
  <c r="R1482" i="12"/>
  <c r="P1482" i="12"/>
  <c r="O1482" i="12"/>
  <c r="M1481" i="12"/>
  <c r="Q1481" i="12" s="1"/>
  <c r="L1481" i="12"/>
  <c r="S1481" i="12"/>
  <c r="P1481" i="12"/>
  <c r="O1481" i="12"/>
  <c r="R1481" i="12"/>
  <c r="S1480" i="12"/>
  <c r="M1480" i="12"/>
  <c r="Q1480" i="12" s="1"/>
  <c r="L1480" i="12"/>
  <c r="R1480" i="12"/>
  <c r="P1480" i="12"/>
  <c r="O1480" i="12"/>
  <c r="S1479" i="12"/>
  <c r="M1479" i="12"/>
  <c r="Q1479" i="12" s="1"/>
  <c r="L1479" i="12"/>
  <c r="R1479" i="12"/>
  <c r="P1479" i="12"/>
  <c r="O1479" i="12"/>
  <c r="S1478" i="12"/>
  <c r="L1478" i="12"/>
  <c r="M1478" i="12"/>
  <c r="Q1478" i="12" s="1"/>
  <c r="O1478" i="12"/>
  <c r="R1478" i="12"/>
  <c r="P1478" i="12"/>
  <c r="M1477" i="12"/>
  <c r="Q1477" i="12" s="1"/>
  <c r="S1477" i="12"/>
  <c r="L1477" i="12"/>
  <c r="P1477" i="12"/>
  <c r="O1477" i="12"/>
  <c r="R1477" i="12"/>
  <c r="S1476" i="12"/>
  <c r="M1476" i="12"/>
  <c r="Q1476" i="12" s="1"/>
  <c r="L1476" i="12"/>
  <c r="R1476" i="12"/>
  <c r="P1476" i="12"/>
  <c r="O1476" i="12"/>
  <c r="L1475" i="12"/>
  <c r="M1475" i="12"/>
  <c r="Q1475" i="12" s="1"/>
  <c r="S1475" i="12"/>
  <c r="O1475" i="12"/>
  <c r="P1475" i="12"/>
  <c r="R1475" i="12"/>
  <c r="S1474" i="12"/>
  <c r="M1474" i="12"/>
  <c r="Q1474" i="12" s="1"/>
  <c r="L1474" i="12"/>
  <c r="R1474" i="12"/>
  <c r="P1474" i="12"/>
  <c r="O1474" i="12"/>
  <c r="S1473" i="12"/>
  <c r="L1473" i="12"/>
  <c r="M1473" i="12"/>
  <c r="Q1473" i="12" s="1"/>
  <c r="R1473" i="12"/>
  <c r="P1473" i="12"/>
  <c r="O1473" i="12"/>
  <c r="S1472" i="12"/>
  <c r="M1472" i="12"/>
  <c r="Q1472" i="12" s="1"/>
  <c r="L1472" i="12"/>
  <c r="R1472" i="12"/>
  <c r="P1472" i="12"/>
  <c r="O1472" i="12"/>
  <c r="M1471" i="12"/>
  <c r="Q1471" i="12" s="1"/>
  <c r="L1471" i="12"/>
  <c r="S1471" i="12"/>
  <c r="P1471" i="12"/>
  <c r="O1471" i="12"/>
  <c r="R1471" i="12"/>
  <c r="S1470" i="12"/>
  <c r="L1470" i="12"/>
  <c r="M1470" i="12"/>
  <c r="Q1470" i="12" s="1"/>
  <c r="O1470" i="12"/>
  <c r="P1470" i="12"/>
  <c r="R1470" i="12"/>
  <c r="S1469" i="12"/>
  <c r="L1469" i="12"/>
  <c r="M1469" i="12"/>
  <c r="Q1469" i="12" s="1"/>
  <c r="R1469" i="12"/>
  <c r="O1469" i="12"/>
  <c r="P1469" i="12"/>
  <c r="L1468" i="12"/>
  <c r="M1468" i="12"/>
  <c r="Q1468" i="12" s="1"/>
  <c r="S1468" i="12"/>
  <c r="P1468" i="12"/>
  <c r="O1468" i="12"/>
  <c r="R1468" i="12"/>
  <c r="S1467" i="12"/>
  <c r="M1467" i="12"/>
  <c r="Q1467" i="12" s="1"/>
  <c r="L1467" i="12"/>
  <c r="R1467" i="12"/>
  <c r="P1467" i="12"/>
  <c r="O1467" i="12"/>
  <c r="S1466" i="12"/>
  <c r="L1466" i="12"/>
  <c r="M1466" i="12"/>
  <c r="Q1466" i="12" s="1"/>
  <c r="R1466" i="12"/>
  <c r="O1466" i="12"/>
  <c r="P1466" i="12"/>
  <c r="M1465" i="12"/>
  <c r="Q1465" i="12" s="1"/>
  <c r="L1465" i="12"/>
  <c r="S1465" i="12"/>
  <c r="O1465" i="12"/>
  <c r="R1465" i="12"/>
  <c r="P1465" i="12"/>
  <c r="L1464" i="12"/>
  <c r="S1464" i="12"/>
  <c r="M1464" i="12"/>
  <c r="Q1464" i="12" s="1"/>
  <c r="P1464" i="12"/>
  <c r="O1464" i="12"/>
  <c r="R1464" i="12"/>
  <c r="S1463" i="12"/>
  <c r="M1463" i="12"/>
  <c r="Q1463" i="12" s="1"/>
  <c r="L1463" i="12"/>
  <c r="O1463" i="12"/>
  <c r="P1463" i="12"/>
  <c r="R1463" i="12"/>
  <c r="L1462" i="12"/>
  <c r="M1462" i="12"/>
  <c r="Q1462" i="12" s="1"/>
  <c r="S1462" i="12"/>
  <c r="R1462" i="12"/>
  <c r="P1462" i="12"/>
  <c r="O1462" i="12"/>
  <c r="M1461" i="12"/>
  <c r="Q1461" i="12" s="1"/>
  <c r="L1461" i="12"/>
  <c r="S1461" i="12"/>
  <c r="P1461" i="12"/>
  <c r="O1461" i="12"/>
  <c r="R1461" i="12"/>
  <c r="M1460" i="12"/>
  <c r="Q1460" i="12" s="1"/>
  <c r="L1460" i="12"/>
  <c r="S1460" i="12"/>
  <c r="R1460" i="12"/>
  <c r="P1460" i="12"/>
  <c r="O1460" i="12"/>
  <c r="M1459" i="12"/>
  <c r="Q1459" i="12" s="1"/>
  <c r="L1459" i="12"/>
  <c r="S1459" i="12"/>
  <c r="O1459" i="12"/>
  <c r="P1459" i="12"/>
  <c r="R1459" i="12"/>
  <c r="S1458" i="12"/>
  <c r="L1458" i="12"/>
  <c r="M1458" i="12"/>
  <c r="Q1458" i="12" s="1"/>
  <c r="P1458" i="12"/>
  <c r="O1458" i="12"/>
  <c r="R1458" i="12"/>
  <c r="M1457" i="12"/>
  <c r="Q1457" i="12" s="1"/>
  <c r="S1457" i="12"/>
  <c r="L1457" i="12"/>
  <c r="O1457" i="12"/>
  <c r="P1457" i="12"/>
  <c r="R1457" i="12"/>
  <c r="M1456" i="12"/>
  <c r="Q1456" i="12" s="1"/>
  <c r="L1456" i="12"/>
  <c r="S1456" i="12"/>
  <c r="P1456" i="12"/>
  <c r="O1456" i="12"/>
  <c r="R1456" i="12"/>
  <c r="L1455" i="12"/>
  <c r="M1455" i="12"/>
  <c r="Q1455" i="12" s="1"/>
  <c r="S1455" i="12"/>
  <c r="O1455" i="12"/>
  <c r="P1455" i="12"/>
  <c r="R1455" i="12"/>
  <c r="M1454" i="12"/>
  <c r="Q1454" i="12" s="1"/>
  <c r="L1454" i="12"/>
  <c r="S1454" i="12"/>
  <c r="P1454" i="12"/>
  <c r="O1454" i="12"/>
  <c r="R1454" i="12"/>
  <c r="S1453" i="12"/>
  <c r="L1453" i="12"/>
  <c r="M1453" i="12"/>
  <c r="Q1453" i="12" s="1"/>
  <c r="O1453" i="12"/>
  <c r="P1453" i="12"/>
  <c r="R1453" i="12"/>
  <c r="M1452" i="12"/>
  <c r="Q1452" i="12" s="1"/>
  <c r="L1452" i="12"/>
  <c r="S1452" i="12"/>
  <c r="P1452" i="12"/>
  <c r="O1452" i="12"/>
  <c r="R1452" i="12"/>
  <c r="S1451" i="12"/>
  <c r="L1451" i="12"/>
  <c r="M1451" i="12"/>
  <c r="Q1451" i="12" s="1"/>
  <c r="O1451" i="12"/>
  <c r="P1451" i="12"/>
  <c r="R1451" i="12"/>
  <c r="S1450" i="12"/>
  <c r="L1450" i="12"/>
  <c r="M1450" i="12"/>
  <c r="Q1450" i="12" s="1"/>
  <c r="P1450" i="12"/>
  <c r="O1450" i="12"/>
  <c r="R1450" i="12"/>
  <c r="L1449" i="12"/>
  <c r="S1449" i="12"/>
  <c r="M1449" i="12"/>
  <c r="Q1449" i="12" s="1"/>
  <c r="R1449" i="12"/>
  <c r="P1449" i="12"/>
  <c r="O1449" i="12"/>
  <c r="M1448" i="12"/>
  <c r="Q1448" i="12" s="1"/>
  <c r="L1448" i="12"/>
  <c r="S1448" i="12"/>
  <c r="O1448" i="12"/>
  <c r="P1448" i="12"/>
  <c r="R1448" i="12"/>
  <c r="S1447" i="12"/>
  <c r="L1447" i="12"/>
  <c r="M1447" i="12"/>
  <c r="Q1447" i="12" s="1"/>
  <c r="P1447" i="12"/>
  <c r="R1447" i="12"/>
  <c r="O1447" i="12"/>
  <c r="M1446" i="12"/>
  <c r="Q1446" i="12" s="1"/>
  <c r="L1446" i="12"/>
  <c r="S1446" i="12"/>
  <c r="P1446" i="12"/>
  <c r="R1446" i="12"/>
  <c r="O1446" i="12"/>
  <c r="S1445" i="12"/>
  <c r="L1445" i="12"/>
  <c r="M1445" i="12"/>
  <c r="Q1445" i="12" s="1"/>
  <c r="R1445" i="12"/>
  <c r="O1445" i="12"/>
  <c r="P1445" i="12"/>
  <c r="M1444" i="12"/>
  <c r="Q1444" i="12" s="1"/>
  <c r="S1444" i="12"/>
  <c r="L1444" i="12"/>
  <c r="R1444" i="12"/>
  <c r="P1444" i="12"/>
  <c r="O1444" i="12"/>
  <c r="L1443" i="12"/>
  <c r="M1443" i="12"/>
  <c r="Q1443" i="12" s="1"/>
  <c r="S1443" i="12"/>
  <c r="O1443" i="12"/>
  <c r="P1443" i="12"/>
  <c r="R1443" i="12"/>
  <c r="M1442" i="12"/>
  <c r="Q1442" i="12" s="1"/>
  <c r="S1442" i="12"/>
  <c r="L1442" i="12"/>
  <c r="O1442" i="12"/>
  <c r="P1442" i="12"/>
  <c r="R1442" i="12"/>
  <c r="M1441" i="12"/>
  <c r="Q1441" i="12" s="1"/>
  <c r="L1441" i="12"/>
  <c r="S1441" i="12"/>
  <c r="R1441" i="12"/>
  <c r="O1441" i="12"/>
  <c r="P1441" i="12"/>
  <c r="S1440" i="12"/>
  <c r="M1440" i="12"/>
  <c r="Q1440" i="12" s="1"/>
  <c r="L1440" i="12"/>
  <c r="R1440" i="12"/>
  <c r="P1440" i="12"/>
  <c r="O1440" i="12"/>
  <c r="L1439" i="12"/>
  <c r="M1439" i="12"/>
  <c r="Q1439" i="12" s="1"/>
  <c r="S1439" i="12"/>
  <c r="O1439" i="12"/>
  <c r="P1439" i="12"/>
  <c r="R1439" i="12"/>
  <c r="S1438" i="12"/>
  <c r="L1438" i="12"/>
  <c r="M1438" i="12"/>
  <c r="Q1438" i="12" s="1"/>
  <c r="R1438" i="12"/>
  <c r="P1438" i="12"/>
  <c r="O1438" i="12"/>
  <c r="L1437" i="12"/>
  <c r="M1437" i="12"/>
  <c r="Q1437" i="12" s="1"/>
  <c r="S1437" i="12"/>
  <c r="O1437" i="12"/>
  <c r="P1437" i="12"/>
  <c r="R1437" i="12"/>
  <c r="S1436" i="12"/>
  <c r="M1436" i="12"/>
  <c r="Q1436" i="12" s="1"/>
  <c r="L1436" i="12"/>
  <c r="R1436" i="12"/>
  <c r="O1436" i="12"/>
  <c r="P1436" i="12"/>
  <c r="L1435" i="12"/>
  <c r="M1435" i="12"/>
  <c r="Q1435" i="12" s="1"/>
  <c r="S1435" i="12"/>
  <c r="O1435" i="12"/>
  <c r="P1435" i="12"/>
  <c r="R1435" i="12"/>
  <c r="M1434" i="12"/>
  <c r="Q1434" i="12" s="1"/>
  <c r="L1434" i="12"/>
  <c r="S1434" i="12"/>
  <c r="R1434" i="12"/>
  <c r="P1434" i="12"/>
  <c r="O1434" i="12"/>
  <c r="S1433" i="12"/>
  <c r="M1433" i="12"/>
  <c r="Q1433" i="12" s="1"/>
  <c r="L1433" i="12"/>
  <c r="P1433" i="12"/>
  <c r="R1433" i="12"/>
  <c r="O1433" i="12"/>
  <c r="L1432" i="12"/>
  <c r="M1432" i="12"/>
  <c r="Q1432" i="12" s="1"/>
  <c r="S1432" i="12"/>
  <c r="R1432" i="12"/>
  <c r="O1432" i="12"/>
  <c r="P1432" i="12"/>
  <c r="M1431" i="12"/>
  <c r="Q1431" i="12" s="1"/>
  <c r="L1431" i="12"/>
  <c r="S1431" i="12"/>
  <c r="P1431" i="12"/>
  <c r="O1431" i="12"/>
  <c r="R1431" i="12"/>
  <c r="S1430" i="12"/>
  <c r="L1430" i="12"/>
  <c r="M1430" i="12"/>
  <c r="Q1430" i="12" s="1"/>
  <c r="O1430" i="12"/>
  <c r="P1430" i="12"/>
  <c r="R1430" i="12"/>
  <c r="L1429" i="12"/>
  <c r="M1429" i="12"/>
  <c r="Q1429" i="12" s="1"/>
  <c r="S1429" i="12"/>
  <c r="R1429" i="12"/>
  <c r="P1429" i="12"/>
  <c r="O1429" i="12"/>
  <c r="M1428" i="12"/>
  <c r="Q1428" i="12" s="1"/>
  <c r="L1428" i="12"/>
  <c r="S1428" i="12"/>
  <c r="O1428" i="12"/>
  <c r="P1428" i="12"/>
  <c r="R1428" i="12"/>
  <c r="M1427" i="12"/>
  <c r="Q1427" i="12" s="1"/>
  <c r="L1427" i="12"/>
  <c r="O1427" i="12"/>
  <c r="P1427" i="12"/>
  <c r="M1426" i="12"/>
  <c r="Q1426" i="12" s="1"/>
  <c r="L1426" i="12"/>
  <c r="S1426" i="12"/>
  <c r="O1426" i="12"/>
  <c r="R1426" i="12"/>
  <c r="P1426" i="12"/>
  <c r="S1425" i="12"/>
  <c r="M1425" i="12"/>
  <c r="Q1425" i="12" s="1"/>
  <c r="L1425" i="12"/>
  <c r="P1425" i="12"/>
  <c r="O1425" i="12"/>
  <c r="R1425" i="12"/>
  <c r="S1424" i="12"/>
  <c r="M1424" i="12"/>
  <c r="Q1424" i="12" s="1"/>
  <c r="L1424" i="12"/>
  <c r="R1424" i="12"/>
  <c r="P1424" i="12"/>
  <c r="O1424" i="12"/>
  <c r="L1423" i="12"/>
  <c r="M1423" i="12"/>
  <c r="Q1423" i="12" s="1"/>
  <c r="S1423" i="12"/>
  <c r="O1423" i="12"/>
  <c r="R1423" i="12"/>
  <c r="P1423" i="12"/>
  <c r="S1422" i="12"/>
  <c r="M1422" i="12"/>
  <c r="Q1422" i="12" s="1"/>
  <c r="L1422" i="12"/>
  <c r="O1422" i="12"/>
  <c r="P1422" i="12"/>
  <c r="R1422" i="12"/>
  <c r="L1421" i="12"/>
  <c r="S1421" i="12"/>
  <c r="M1421" i="12"/>
  <c r="Q1421" i="12" s="1"/>
  <c r="R1421" i="12"/>
  <c r="O1421" i="12"/>
  <c r="P1421" i="12"/>
  <c r="L1420" i="12"/>
  <c r="M1420" i="12"/>
  <c r="Q1420" i="12" s="1"/>
  <c r="S1420" i="12"/>
  <c r="R1420" i="12"/>
  <c r="O1420" i="12"/>
  <c r="P1420" i="12"/>
  <c r="M1419" i="12"/>
  <c r="Q1419" i="12" s="1"/>
  <c r="S1419" i="12"/>
  <c r="L1419" i="12"/>
  <c r="O1419" i="12"/>
  <c r="P1419" i="12"/>
  <c r="R1419" i="12"/>
  <c r="S1418" i="12"/>
  <c r="M1418" i="12"/>
  <c r="Q1418" i="12" s="1"/>
  <c r="L1418" i="12"/>
  <c r="R1418" i="12"/>
  <c r="P1418" i="12"/>
  <c r="O1418" i="12"/>
  <c r="S1417" i="12"/>
  <c r="L1417" i="12"/>
  <c r="M1417" i="12"/>
  <c r="Q1417" i="12" s="1"/>
  <c r="R1417" i="12"/>
  <c r="O1417" i="12"/>
  <c r="P1417" i="12"/>
  <c r="S1416" i="12"/>
  <c r="M1416" i="12"/>
  <c r="Q1416" i="12" s="1"/>
  <c r="L1416" i="12"/>
  <c r="R1416" i="12"/>
  <c r="P1416" i="12"/>
  <c r="O1416" i="12"/>
  <c r="S1415" i="12"/>
  <c r="L1415" i="12"/>
  <c r="M1415" i="12"/>
  <c r="Q1415" i="12" s="1"/>
  <c r="R1415" i="12"/>
  <c r="O1415" i="12"/>
  <c r="P1415" i="12"/>
  <c r="M1414" i="12"/>
  <c r="Q1414" i="12" s="1"/>
  <c r="L1414" i="12"/>
  <c r="S1414" i="12"/>
  <c r="O1414" i="12"/>
  <c r="P1414" i="12"/>
  <c r="R1414" i="12"/>
  <c r="M1413" i="12"/>
  <c r="Q1413" i="12" s="1"/>
  <c r="S1413" i="12"/>
  <c r="L1413" i="12"/>
  <c r="O1413" i="12"/>
  <c r="P1413" i="12"/>
  <c r="R1413" i="12"/>
  <c r="M1412" i="12"/>
  <c r="Q1412" i="12" s="1"/>
  <c r="S1412" i="12"/>
  <c r="L1412" i="12"/>
  <c r="R1412" i="12"/>
  <c r="P1412" i="12"/>
  <c r="O1412" i="12"/>
  <c r="M1411" i="12"/>
  <c r="Q1411" i="12" s="1"/>
  <c r="S1411" i="12"/>
  <c r="L1411" i="12"/>
  <c r="R1411" i="12"/>
  <c r="P1411" i="12"/>
  <c r="O1411" i="12"/>
  <c r="S1410" i="12"/>
  <c r="M1410" i="12"/>
  <c r="Q1410" i="12" s="1"/>
  <c r="L1410" i="12"/>
  <c r="R1410" i="12"/>
  <c r="P1410" i="12"/>
  <c r="O1410" i="12"/>
  <c r="S1409" i="12"/>
  <c r="M1409" i="12"/>
  <c r="Q1409" i="12" s="1"/>
  <c r="L1409" i="12"/>
  <c r="R1409" i="12"/>
  <c r="P1409" i="12"/>
  <c r="O1409" i="12"/>
  <c r="S1408" i="12"/>
  <c r="M1408" i="12"/>
  <c r="Q1408" i="12" s="1"/>
  <c r="L1408" i="12"/>
  <c r="O1408" i="12"/>
  <c r="P1408" i="12"/>
  <c r="R1408" i="12"/>
  <c r="S1407" i="12"/>
  <c r="M1407" i="12"/>
  <c r="Q1407" i="12" s="1"/>
  <c r="L1407" i="12"/>
  <c r="R1407" i="12"/>
  <c r="P1407" i="12"/>
  <c r="O1407" i="12"/>
  <c r="S1406" i="12"/>
  <c r="M1406" i="12"/>
  <c r="Q1406" i="12" s="1"/>
  <c r="L1406" i="12"/>
  <c r="R1406" i="12"/>
  <c r="P1406" i="12"/>
  <c r="O1406" i="12"/>
  <c r="M1405" i="12"/>
  <c r="Q1405" i="12" s="1"/>
  <c r="S1405" i="12"/>
  <c r="L1405" i="12"/>
  <c r="R1405" i="12"/>
  <c r="P1405" i="12"/>
  <c r="O1405" i="12"/>
  <c r="S1404" i="12"/>
  <c r="M1404" i="12"/>
  <c r="Q1404" i="12" s="1"/>
  <c r="L1404" i="12"/>
  <c r="O1404" i="12"/>
  <c r="R1404" i="12"/>
  <c r="P1404" i="12"/>
  <c r="M1403" i="12"/>
  <c r="Q1403" i="12" s="1"/>
  <c r="L1403" i="12"/>
  <c r="S1403" i="12"/>
  <c r="R1403" i="12"/>
  <c r="P1403" i="12"/>
  <c r="O1403" i="12"/>
  <c r="S1402" i="12"/>
  <c r="M1402" i="12"/>
  <c r="Q1402" i="12" s="1"/>
  <c r="L1402" i="12"/>
  <c r="R1402" i="12"/>
  <c r="P1402" i="12"/>
  <c r="O1402" i="12"/>
  <c r="S1401" i="12"/>
  <c r="M1401" i="12"/>
  <c r="Q1401" i="12" s="1"/>
  <c r="L1401" i="12"/>
  <c r="R1401" i="12"/>
  <c r="P1401" i="12"/>
  <c r="O1401" i="12"/>
  <c r="S1400" i="12"/>
  <c r="M1400" i="12"/>
  <c r="Q1400" i="12" s="1"/>
  <c r="L1400" i="12"/>
  <c r="O1400" i="12"/>
  <c r="R1400" i="12"/>
  <c r="P1400" i="12"/>
  <c r="M1399" i="12"/>
  <c r="Q1399" i="12" s="1"/>
  <c r="L1399" i="12"/>
  <c r="S1399" i="12"/>
  <c r="R1399" i="12"/>
  <c r="P1399" i="12"/>
  <c r="O1399" i="12"/>
  <c r="M1398" i="12"/>
  <c r="Q1398" i="12" s="1"/>
  <c r="L1398" i="12"/>
  <c r="S1398" i="12"/>
  <c r="R1398" i="12"/>
  <c r="P1398" i="12"/>
  <c r="O1398" i="12"/>
  <c r="M1397" i="12"/>
  <c r="Q1397" i="12" s="1"/>
  <c r="S1397" i="12"/>
  <c r="L1397" i="12"/>
  <c r="R1397" i="12"/>
  <c r="P1397" i="12"/>
  <c r="O1397" i="12"/>
  <c r="M1396" i="12"/>
  <c r="Q1396" i="12" s="1"/>
  <c r="L1396" i="12"/>
  <c r="S1396" i="12"/>
  <c r="P1396" i="12"/>
  <c r="O1396" i="12"/>
  <c r="R1396" i="12"/>
  <c r="S1395" i="12"/>
  <c r="M1395" i="12"/>
  <c r="Q1395" i="12" s="1"/>
  <c r="L1395" i="12"/>
  <c r="R1395" i="12"/>
  <c r="P1395" i="12"/>
  <c r="O1395" i="12"/>
  <c r="M1394" i="12"/>
  <c r="Q1394" i="12" s="1"/>
  <c r="L1394" i="12"/>
  <c r="S1394" i="12"/>
  <c r="O1394" i="12"/>
  <c r="P1394" i="12"/>
  <c r="R1394" i="12"/>
  <c r="S1393" i="12"/>
  <c r="M1393" i="12"/>
  <c r="Q1393" i="12" s="1"/>
  <c r="L1393" i="12"/>
  <c r="R1393" i="12"/>
  <c r="P1393" i="12"/>
  <c r="O1393" i="12"/>
  <c r="M1392" i="12"/>
  <c r="Q1392" i="12" s="1"/>
  <c r="L1392" i="12"/>
  <c r="S1392" i="12"/>
  <c r="O1392" i="12"/>
  <c r="P1392" i="12"/>
  <c r="R1392" i="12"/>
  <c r="M1391" i="12"/>
  <c r="Q1391" i="12" s="1"/>
  <c r="L1391" i="12"/>
  <c r="S1391" i="12"/>
  <c r="P1391" i="12"/>
  <c r="O1391" i="12"/>
  <c r="R1391" i="12"/>
  <c r="S1390" i="12"/>
  <c r="M1390" i="12"/>
  <c r="Q1390" i="12" s="1"/>
  <c r="L1390" i="12"/>
  <c r="P1390" i="12"/>
  <c r="O1390" i="12"/>
  <c r="R1390" i="12"/>
  <c r="L1389" i="12"/>
  <c r="S1389" i="12"/>
  <c r="M1389" i="12"/>
  <c r="Q1389" i="12" s="1"/>
  <c r="O1389" i="12"/>
  <c r="P1389" i="12"/>
  <c r="R1389" i="12"/>
  <c r="M1388" i="12"/>
  <c r="Q1388" i="12" s="1"/>
  <c r="L1388" i="12"/>
  <c r="S1388" i="12"/>
  <c r="P1388" i="12"/>
  <c r="O1388" i="12"/>
  <c r="R1388" i="12"/>
  <c r="S1387" i="12"/>
  <c r="M1387" i="12"/>
  <c r="Q1387" i="12" s="1"/>
  <c r="L1387" i="12"/>
  <c r="R1387" i="12"/>
  <c r="P1387" i="12"/>
  <c r="O1387" i="12"/>
  <c r="M1386" i="12"/>
  <c r="Q1386" i="12" s="1"/>
  <c r="L1386" i="12"/>
  <c r="S1386" i="12"/>
  <c r="R1386" i="12"/>
  <c r="O1386" i="12"/>
  <c r="P1386" i="12"/>
  <c r="M1385" i="12"/>
  <c r="Q1385" i="12" s="1"/>
  <c r="L1385" i="12"/>
  <c r="S1385" i="12"/>
  <c r="R1385" i="12"/>
  <c r="P1385" i="12"/>
  <c r="O1385" i="12"/>
  <c r="S1384" i="12"/>
  <c r="M1384" i="12"/>
  <c r="Q1384" i="12" s="1"/>
  <c r="L1384" i="12"/>
  <c r="R1384" i="12"/>
  <c r="O1384" i="12"/>
  <c r="P1384" i="12"/>
  <c r="L1383" i="12"/>
  <c r="M1383" i="12"/>
  <c r="Q1383" i="12" s="1"/>
  <c r="S1383" i="12"/>
  <c r="P1383" i="12"/>
  <c r="R1383" i="12"/>
  <c r="O1383" i="12"/>
  <c r="L1382" i="12"/>
  <c r="S1382" i="12"/>
  <c r="M1382" i="12"/>
  <c r="Q1382" i="12" s="1"/>
  <c r="P1382" i="12"/>
  <c r="O1382" i="12"/>
  <c r="R1382" i="12"/>
  <c r="S1381" i="12"/>
  <c r="M1381" i="12"/>
  <c r="Q1381" i="12" s="1"/>
  <c r="L1381" i="12"/>
  <c r="P1381" i="12"/>
  <c r="R1381" i="12"/>
  <c r="O1381" i="12"/>
  <c r="M1380" i="12"/>
  <c r="Q1380" i="12" s="1"/>
  <c r="L1380" i="12"/>
  <c r="S1380" i="12"/>
  <c r="O1380" i="12"/>
  <c r="P1380" i="12"/>
  <c r="R1380" i="12"/>
  <c r="S1379" i="12"/>
  <c r="L1379" i="12"/>
  <c r="M1379" i="12"/>
  <c r="Q1379" i="12" s="1"/>
  <c r="O1379" i="12"/>
  <c r="P1379" i="12"/>
  <c r="R1379" i="12"/>
  <c r="M1378" i="12"/>
  <c r="Q1378" i="12" s="1"/>
  <c r="S1378" i="12"/>
  <c r="L1378" i="12"/>
  <c r="R1378" i="12"/>
  <c r="O1378" i="12"/>
  <c r="P1378" i="12"/>
  <c r="L1377" i="12"/>
  <c r="M1377" i="12"/>
  <c r="Q1377" i="12" s="1"/>
  <c r="S1377" i="12"/>
  <c r="P1377" i="12"/>
  <c r="O1377" i="12"/>
  <c r="R1377" i="12"/>
  <c r="L1376" i="12"/>
  <c r="M1376" i="12"/>
  <c r="Q1376" i="12" s="1"/>
  <c r="S1376" i="12"/>
  <c r="P1376" i="12"/>
  <c r="R1376" i="12"/>
  <c r="O1376" i="12"/>
  <c r="S1375" i="12"/>
  <c r="M1375" i="12"/>
  <c r="Q1375" i="12" s="1"/>
  <c r="L1375" i="12"/>
  <c r="R1375" i="12"/>
  <c r="P1375" i="12"/>
  <c r="O1375" i="12"/>
  <c r="S1374" i="12"/>
  <c r="M1374" i="12"/>
  <c r="Q1374" i="12" s="1"/>
  <c r="L1374" i="12"/>
  <c r="R1374" i="12"/>
  <c r="P1374" i="12"/>
  <c r="O1374" i="12"/>
  <c r="L1373" i="12"/>
  <c r="M1373" i="12"/>
  <c r="Q1373" i="12" s="1"/>
  <c r="S1373" i="12"/>
  <c r="R1373" i="12"/>
  <c r="O1373" i="12"/>
  <c r="P1373" i="12"/>
  <c r="M1372" i="12"/>
  <c r="Q1372" i="12" s="1"/>
  <c r="L1372" i="12"/>
  <c r="S1372" i="12"/>
  <c r="O1372" i="12"/>
  <c r="P1372" i="12"/>
  <c r="R1372" i="12"/>
  <c r="L1371" i="12"/>
  <c r="M1371" i="12"/>
  <c r="Q1371" i="12" s="1"/>
  <c r="S1371" i="12"/>
  <c r="O1371" i="12"/>
  <c r="P1371" i="12"/>
  <c r="R1371" i="12"/>
  <c r="M1370" i="12"/>
  <c r="Q1370" i="12" s="1"/>
  <c r="S1370" i="12"/>
  <c r="L1370" i="12"/>
  <c r="P1370" i="12"/>
  <c r="R1370" i="12"/>
  <c r="O1370" i="12"/>
  <c r="S1369" i="12"/>
  <c r="M1369" i="12"/>
  <c r="Q1369" i="12" s="1"/>
  <c r="L1369" i="12"/>
  <c r="R1369" i="12"/>
  <c r="P1369" i="12"/>
  <c r="O1369" i="12"/>
  <c r="S1368" i="12"/>
  <c r="M1368" i="12"/>
  <c r="Q1368" i="12" s="1"/>
  <c r="L1368" i="12"/>
  <c r="R1368" i="12"/>
  <c r="P1368" i="12"/>
  <c r="O1368" i="12"/>
  <c r="L1367" i="12"/>
  <c r="M1367" i="12"/>
  <c r="Q1367" i="12" s="1"/>
  <c r="S1367" i="12"/>
  <c r="P1367" i="12"/>
  <c r="R1367" i="12"/>
  <c r="O1367" i="12"/>
  <c r="L1366" i="12"/>
  <c r="S1366" i="12"/>
  <c r="M1366" i="12"/>
  <c r="Q1366" i="12" s="1"/>
  <c r="R1366" i="12"/>
  <c r="P1366" i="12"/>
  <c r="O1366" i="12"/>
  <c r="L1365" i="12"/>
  <c r="M1365" i="12"/>
  <c r="Q1365" i="12" s="1"/>
  <c r="S1365" i="12"/>
  <c r="O1365" i="12"/>
  <c r="P1365" i="12"/>
  <c r="R1365" i="12"/>
  <c r="S1364" i="12"/>
  <c r="L1364" i="12"/>
  <c r="M1364" i="12"/>
  <c r="Q1364" i="12" s="1"/>
  <c r="R1364" i="12"/>
  <c r="O1364" i="12"/>
  <c r="P1364" i="12"/>
  <c r="L1363" i="12"/>
  <c r="S1363" i="12"/>
  <c r="M1363" i="12"/>
  <c r="Q1363" i="12" s="1"/>
  <c r="O1363" i="12"/>
  <c r="P1363" i="12"/>
  <c r="R1363" i="12"/>
  <c r="L1362" i="12"/>
  <c r="S1362" i="12"/>
  <c r="M1362" i="12"/>
  <c r="Q1362" i="12" s="1"/>
  <c r="R1362" i="12"/>
  <c r="O1362" i="12"/>
  <c r="P1362" i="12"/>
  <c r="L1361" i="12"/>
  <c r="M1361" i="12"/>
  <c r="Q1361" i="12" s="1"/>
  <c r="S1361" i="12"/>
  <c r="O1361" i="12"/>
  <c r="R1361" i="12"/>
  <c r="P1361" i="12"/>
  <c r="M1360" i="12"/>
  <c r="Q1360" i="12" s="1"/>
  <c r="L1360" i="12"/>
  <c r="S1360" i="12"/>
  <c r="R1360" i="12"/>
  <c r="P1360" i="12"/>
  <c r="O1360" i="12"/>
  <c r="S1359" i="12"/>
  <c r="L1359" i="12"/>
  <c r="M1359" i="12"/>
  <c r="Q1359" i="12" s="1"/>
  <c r="R1359" i="12"/>
  <c r="P1359" i="12"/>
  <c r="O1359" i="12"/>
  <c r="L1358" i="12"/>
  <c r="M1358" i="12"/>
  <c r="Q1358" i="12" s="1"/>
  <c r="S1358" i="12"/>
  <c r="O1358" i="12"/>
  <c r="P1358" i="12"/>
  <c r="R1358" i="12"/>
  <c r="S1357" i="12"/>
  <c r="L1357" i="12"/>
  <c r="M1357" i="12"/>
  <c r="Q1357" i="12" s="1"/>
  <c r="R1357" i="12"/>
  <c r="P1357" i="12"/>
  <c r="O1357" i="12"/>
  <c r="M1356" i="12"/>
  <c r="Q1356" i="12" s="1"/>
  <c r="S1356" i="12"/>
  <c r="L1356" i="12"/>
  <c r="O1356" i="12"/>
  <c r="R1356" i="12"/>
  <c r="P1356" i="12"/>
  <c r="S1355" i="12"/>
  <c r="M1355" i="12"/>
  <c r="Q1355" i="12" s="1"/>
  <c r="L1355" i="12"/>
  <c r="P1355" i="12"/>
  <c r="R1355" i="12"/>
  <c r="O1355" i="12"/>
  <c r="L1354" i="12"/>
  <c r="S1354" i="12"/>
  <c r="M1354" i="12"/>
  <c r="Q1354" i="12" s="1"/>
  <c r="R1354" i="12"/>
  <c r="P1354" i="12"/>
  <c r="O1354" i="12"/>
  <c r="S1353" i="12"/>
  <c r="L1353" i="12"/>
  <c r="M1353" i="12"/>
  <c r="Q1353" i="12" s="1"/>
  <c r="R1353" i="12"/>
  <c r="P1353" i="12"/>
  <c r="O1353" i="12"/>
  <c r="M1352" i="12"/>
  <c r="Q1352" i="12" s="1"/>
  <c r="S1352" i="12"/>
  <c r="L1352" i="12"/>
  <c r="O1352" i="12"/>
  <c r="P1352" i="12"/>
  <c r="R1352" i="12"/>
  <c r="S1351" i="12"/>
  <c r="M1351" i="12"/>
  <c r="Q1351" i="12" s="1"/>
  <c r="L1351" i="12"/>
  <c r="P1351" i="12"/>
  <c r="R1351" i="12"/>
  <c r="O1351" i="12"/>
  <c r="L1350" i="12"/>
  <c r="M1350" i="12"/>
  <c r="Q1350" i="12" s="1"/>
  <c r="S1350" i="12"/>
  <c r="P1350" i="12"/>
  <c r="R1350" i="12"/>
  <c r="O1350" i="12"/>
  <c r="S1349" i="12"/>
  <c r="M1349" i="12"/>
  <c r="Q1349" i="12" s="1"/>
  <c r="L1349" i="12"/>
  <c r="R1349" i="12"/>
  <c r="P1349" i="12"/>
  <c r="O1349" i="12"/>
  <c r="L1348" i="12"/>
  <c r="S1348" i="12"/>
  <c r="M1348" i="12"/>
  <c r="Q1348" i="12" s="1"/>
  <c r="O1348" i="12"/>
  <c r="P1348" i="12"/>
  <c r="R1348" i="12"/>
  <c r="L1347" i="12"/>
  <c r="S1347" i="12"/>
  <c r="M1347" i="12"/>
  <c r="Q1347" i="12" s="1"/>
  <c r="R1347" i="12"/>
  <c r="O1347" i="12"/>
  <c r="P1347" i="12"/>
  <c r="L1346" i="12"/>
  <c r="M1346" i="12"/>
  <c r="Q1346" i="12" s="1"/>
  <c r="S1346" i="12"/>
  <c r="P1346" i="12"/>
  <c r="O1346" i="12"/>
  <c r="R1346" i="12"/>
  <c r="S1345" i="12"/>
  <c r="L1345" i="12"/>
  <c r="M1345" i="12"/>
  <c r="Q1345" i="12" s="1"/>
  <c r="R1345" i="12"/>
  <c r="O1345" i="12"/>
  <c r="P1345" i="12"/>
  <c r="S1344" i="12"/>
  <c r="M1344" i="12"/>
  <c r="Q1344" i="12" s="1"/>
  <c r="L1344" i="12"/>
  <c r="R1344" i="12"/>
  <c r="P1344" i="12"/>
  <c r="O1344" i="12"/>
  <c r="M1343" i="12"/>
  <c r="Q1343" i="12" s="1"/>
  <c r="L1343" i="12"/>
  <c r="S1343" i="12"/>
  <c r="P1343" i="12"/>
  <c r="O1343" i="12"/>
  <c r="R1343" i="12"/>
  <c r="S1342" i="12"/>
  <c r="M1342" i="12"/>
  <c r="Q1342" i="12" s="1"/>
  <c r="L1342" i="12"/>
  <c r="R1342" i="12"/>
  <c r="P1342" i="12"/>
  <c r="O1342" i="12"/>
  <c r="S1341" i="12"/>
  <c r="M1341" i="12"/>
  <c r="Q1341" i="12" s="1"/>
  <c r="L1341" i="12"/>
  <c r="R1341" i="12"/>
  <c r="P1341" i="12"/>
  <c r="O1341" i="12"/>
  <c r="L1340" i="12"/>
  <c r="S1340" i="12"/>
  <c r="M1340" i="12"/>
  <c r="Q1340" i="12" s="1"/>
  <c r="P1340" i="12"/>
  <c r="R1340" i="12"/>
  <c r="O1340" i="12"/>
  <c r="L1339" i="12"/>
  <c r="M1339" i="12"/>
  <c r="Q1339" i="12" s="1"/>
  <c r="S1339" i="12"/>
  <c r="O1339" i="12"/>
  <c r="P1339" i="12"/>
  <c r="R1339" i="12"/>
  <c r="L1338" i="12"/>
  <c r="S1338" i="12"/>
  <c r="M1338" i="12"/>
  <c r="Q1338" i="12" s="1"/>
  <c r="O1338" i="12"/>
  <c r="R1338" i="12"/>
  <c r="P1338" i="12"/>
  <c r="S1337" i="12"/>
  <c r="L1337" i="12"/>
  <c r="M1337" i="12"/>
  <c r="Q1337" i="12" s="1"/>
  <c r="R1337" i="12"/>
  <c r="P1337" i="12"/>
  <c r="O1337" i="12"/>
  <c r="S1336" i="12"/>
  <c r="M1336" i="12"/>
  <c r="Q1336" i="12" s="1"/>
  <c r="L1336" i="12"/>
  <c r="R1336" i="12"/>
  <c r="P1336" i="12"/>
  <c r="O1336" i="12"/>
  <c r="L1335" i="12"/>
  <c r="M1335" i="12"/>
  <c r="Q1335" i="12" s="1"/>
  <c r="S1335" i="12"/>
  <c r="O1335" i="12"/>
  <c r="P1335" i="12"/>
  <c r="R1335" i="12"/>
  <c r="M1334" i="12"/>
  <c r="Q1334" i="12" s="1"/>
  <c r="L1334" i="12"/>
  <c r="S1334" i="12"/>
  <c r="O1334" i="12"/>
  <c r="P1334" i="12"/>
  <c r="R1334" i="12"/>
  <c r="S1333" i="12"/>
  <c r="M1333" i="12"/>
  <c r="Q1333" i="12" s="1"/>
  <c r="L1333" i="12"/>
  <c r="O1333" i="12"/>
  <c r="R1333" i="12"/>
  <c r="P1333" i="12"/>
  <c r="S1332" i="12"/>
  <c r="M1332" i="12"/>
  <c r="Q1332" i="12" s="1"/>
  <c r="L1332" i="12"/>
  <c r="O1332" i="12"/>
  <c r="R1332" i="12"/>
  <c r="P1332" i="12"/>
  <c r="S1331" i="12"/>
  <c r="M1331" i="12"/>
  <c r="Q1331" i="12" s="1"/>
  <c r="L1331" i="12"/>
  <c r="R1331" i="12"/>
  <c r="P1331" i="12"/>
  <c r="O1331" i="12"/>
  <c r="S1330" i="12"/>
  <c r="M1330" i="12"/>
  <c r="Q1330" i="12" s="1"/>
  <c r="L1330" i="12"/>
  <c r="R1330" i="12"/>
  <c r="P1330" i="12"/>
  <c r="O1330" i="12"/>
  <c r="M1329" i="12"/>
  <c r="Q1329" i="12" s="1"/>
  <c r="L1329" i="12"/>
  <c r="S1329" i="12"/>
  <c r="R1329" i="12"/>
  <c r="P1329" i="12"/>
  <c r="O1329" i="12"/>
  <c r="S1328" i="12"/>
  <c r="M1328" i="12"/>
  <c r="Q1328" i="12" s="1"/>
  <c r="L1328" i="12"/>
  <c r="R1328" i="12"/>
  <c r="P1328" i="12"/>
  <c r="O1328" i="12"/>
  <c r="M1327" i="12"/>
  <c r="Q1327" i="12" s="1"/>
  <c r="L1327" i="12"/>
  <c r="S1327" i="12"/>
  <c r="O1327" i="12"/>
  <c r="R1327" i="12"/>
  <c r="P1327" i="12"/>
  <c r="L1326" i="12"/>
  <c r="M1326" i="12"/>
  <c r="Q1326" i="12" s="1"/>
  <c r="S1326" i="12"/>
  <c r="O1326" i="12"/>
  <c r="P1326" i="12"/>
  <c r="R1326" i="12"/>
  <c r="S1325" i="12"/>
  <c r="L1325" i="12"/>
  <c r="M1325" i="12"/>
  <c r="Q1325" i="12" s="1"/>
  <c r="R1325" i="12"/>
  <c r="O1325" i="12"/>
  <c r="P1325" i="12"/>
  <c r="L1324" i="12"/>
  <c r="S1324" i="12"/>
  <c r="M1324" i="12"/>
  <c r="Q1324" i="12" s="1"/>
  <c r="R1324" i="12"/>
  <c r="O1324" i="12"/>
  <c r="P1324" i="12"/>
  <c r="S1323" i="12"/>
  <c r="M1323" i="12"/>
  <c r="Q1323" i="12" s="1"/>
  <c r="L1323" i="12"/>
  <c r="R1323" i="12"/>
  <c r="O1323" i="12"/>
  <c r="P1323" i="12"/>
  <c r="S1322" i="12"/>
  <c r="M1322" i="12"/>
  <c r="Q1322" i="12" s="1"/>
  <c r="L1322" i="12"/>
  <c r="R1322" i="12"/>
  <c r="P1322" i="12"/>
  <c r="O1322" i="12"/>
  <c r="L1321" i="12"/>
  <c r="M1321" i="12"/>
  <c r="Q1321" i="12" s="1"/>
  <c r="S1321" i="12"/>
  <c r="O1321" i="12"/>
  <c r="P1321" i="12"/>
  <c r="R1321" i="12"/>
  <c r="S1320" i="12"/>
  <c r="M1320" i="12"/>
  <c r="Q1320" i="12" s="1"/>
  <c r="L1320" i="12"/>
  <c r="R1320" i="12"/>
  <c r="O1320" i="12"/>
  <c r="P1320" i="12"/>
  <c r="L1319" i="12"/>
  <c r="M1319" i="12"/>
  <c r="Q1319" i="12" s="1"/>
  <c r="S1319" i="12"/>
  <c r="P1319" i="12"/>
  <c r="O1319" i="12"/>
  <c r="R1319" i="12"/>
  <c r="L1318" i="12"/>
  <c r="M1318" i="12"/>
  <c r="Q1318" i="12" s="1"/>
  <c r="S1318" i="12"/>
  <c r="R1318" i="12"/>
  <c r="P1318" i="12"/>
  <c r="O1318" i="12"/>
  <c r="S1317" i="12"/>
  <c r="M1317" i="12"/>
  <c r="Q1317" i="12" s="1"/>
  <c r="L1317" i="12"/>
  <c r="R1317" i="12"/>
  <c r="P1317" i="12"/>
  <c r="O1317" i="12"/>
  <c r="S1316" i="12"/>
  <c r="M1316" i="12"/>
  <c r="Q1316" i="12" s="1"/>
  <c r="L1316" i="12"/>
  <c r="R1316" i="12"/>
  <c r="P1316" i="12"/>
  <c r="O1316" i="12"/>
  <c r="M1315" i="12"/>
  <c r="Q1315" i="12" s="1"/>
  <c r="L1315" i="12"/>
  <c r="S1315" i="12"/>
  <c r="O1315" i="12"/>
  <c r="R1315" i="12"/>
  <c r="P1315" i="12"/>
  <c r="S1314" i="12"/>
  <c r="M1314" i="12"/>
  <c r="Q1314" i="12" s="1"/>
  <c r="L1314" i="12"/>
  <c r="O1314" i="12"/>
  <c r="R1314" i="12"/>
  <c r="P1314" i="12"/>
  <c r="S1313" i="12"/>
  <c r="M1313" i="12"/>
  <c r="Q1313" i="12" s="1"/>
  <c r="L1313" i="12"/>
  <c r="O1313" i="12"/>
  <c r="R1313" i="12"/>
  <c r="P1313" i="12"/>
  <c r="L1312" i="12"/>
  <c r="S1312" i="12"/>
  <c r="M1312" i="12"/>
  <c r="Q1312" i="12" s="1"/>
  <c r="R1312" i="12"/>
  <c r="P1312" i="12"/>
  <c r="O1312" i="12"/>
  <c r="M1311" i="12"/>
  <c r="Q1311" i="12" s="1"/>
  <c r="L1311" i="12"/>
  <c r="S1311" i="12"/>
  <c r="P1311" i="12"/>
  <c r="O1311" i="12"/>
  <c r="R1311" i="12"/>
  <c r="L1310" i="12"/>
  <c r="M1310" i="12"/>
  <c r="Q1310" i="12" s="1"/>
  <c r="S1310" i="12"/>
  <c r="P1310" i="12"/>
  <c r="R1310" i="12"/>
  <c r="O1310" i="12"/>
  <c r="M1309" i="12"/>
  <c r="Q1309" i="12" s="1"/>
  <c r="S1309" i="12"/>
  <c r="L1309" i="12"/>
  <c r="P1309" i="12"/>
  <c r="R1309" i="12"/>
  <c r="O1309" i="12"/>
  <c r="S1308" i="12"/>
  <c r="M1308" i="12"/>
  <c r="Q1308" i="12" s="1"/>
  <c r="L1308" i="12"/>
  <c r="R1308" i="12"/>
  <c r="O1308" i="12"/>
  <c r="P1308" i="12"/>
  <c r="L1307" i="12"/>
  <c r="M1307" i="12"/>
  <c r="Q1307" i="12" s="1"/>
  <c r="S1307" i="12"/>
  <c r="P1307" i="12"/>
  <c r="R1307" i="12"/>
  <c r="O1307" i="12"/>
  <c r="S1306" i="12"/>
  <c r="L1306" i="12"/>
  <c r="M1306" i="12"/>
  <c r="Q1306" i="12" s="1"/>
  <c r="O1306" i="12"/>
  <c r="P1306" i="12"/>
  <c r="R1306" i="12"/>
  <c r="M1305" i="12"/>
  <c r="Q1305" i="12" s="1"/>
  <c r="S1305" i="12"/>
  <c r="L1305" i="12"/>
  <c r="O1305" i="12"/>
  <c r="P1305" i="12"/>
  <c r="R1305" i="12"/>
  <c r="L1304" i="12"/>
  <c r="S1304" i="12"/>
  <c r="M1304" i="12"/>
  <c r="Q1304" i="12" s="1"/>
  <c r="O1304" i="12"/>
  <c r="P1304" i="12"/>
  <c r="R1304" i="12"/>
  <c r="S1303" i="12"/>
  <c r="M1303" i="12"/>
  <c r="Q1303" i="12" s="1"/>
  <c r="L1303" i="12"/>
  <c r="R1303" i="12"/>
  <c r="P1303" i="12"/>
  <c r="O1303" i="12"/>
  <c r="L1302" i="12"/>
  <c r="M1302" i="12"/>
  <c r="Q1302" i="12" s="1"/>
  <c r="S1302" i="12"/>
  <c r="O1302" i="12"/>
  <c r="P1302" i="12"/>
  <c r="R1302" i="12"/>
  <c r="M1301" i="12"/>
  <c r="Q1301" i="12" s="1"/>
  <c r="L1301" i="12"/>
  <c r="S1301" i="12"/>
  <c r="P1301" i="12"/>
  <c r="O1301" i="12"/>
  <c r="R1301" i="12"/>
  <c r="M1299" i="12"/>
  <c r="Q1299" i="12" s="1"/>
  <c r="S1299" i="12"/>
  <c r="L1299" i="12"/>
  <c r="O1299" i="12"/>
  <c r="P1299" i="12"/>
  <c r="R1299" i="12"/>
  <c r="M1298" i="12"/>
  <c r="Q1298" i="12" s="1"/>
  <c r="L1298" i="12"/>
  <c r="S1298" i="12"/>
  <c r="R1298" i="12"/>
  <c r="P1298" i="12"/>
  <c r="O1298" i="12"/>
  <c r="S1297" i="12"/>
  <c r="L1297" i="12"/>
  <c r="M1297" i="12"/>
  <c r="Q1297" i="12" s="1"/>
  <c r="O1297" i="12"/>
  <c r="P1297" i="12"/>
  <c r="R1297" i="12"/>
  <c r="L1296" i="12"/>
  <c r="M1296" i="12"/>
  <c r="Q1296" i="12" s="1"/>
  <c r="S1296" i="12"/>
  <c r="O1296" i="12"/>
  <c r="P1296" i="12"/>
  <c r="R1296" i="12"/>
  <c r="M1295" i="12"/>
  <c r="Q1295" i="12" s="1"/>
  <c r="L1295" i="12"/>
  <c r="S1295" i="12"/>
  <c r="O1295" i="12"/>
  <c r="R1295" i="12"/>
  <c r="P1295" i="12"/>
  <c r="S1294" i="12"/>
  <c r="L1294" i="12"/>
  <c r="M1294" i="12"/>
  <c r="Q1294" i="12" s="1"/>
  <c r="R1294" i="12"/>
  <c r="P1294" i="12"/>
  <c r="O1294" i="12"/>
  <c r="L1293" i="12"/>
  <c r="M1293" i="12"/>
  <c r="Q1293" i="12" s="1"/>
  <c r="S1293" i="12"/>
  <c r="P1293" i="12"/>
  <c r="O1293" i="12"/>
  <c r="R1293" i="12"/>
  <c r="M1292" i="12"/>
  <c r="Q1292" i="12" s="1"/>
  <c r="L1292" i="12"/>
  <c r="S1292" i="12"/>
  <c r="O1292" i="12"/>
  <c r="P1292" i="12"/>
  <c r="R1292" i="12"/>
  <c r="L1291" i="12"/>
  <c r="M1291" i="12"/>
  <c r="Q1291" i="12" s="1"/>
  <c r="S1291" i="12"/>
  <c r="O1291" i="12"/>
  <c r="R1291" i="12"/>
  <c r="P1291" i="12"/>
  <c r="S1290" i="12"/>
  <c r="M1290" i="12"/>
  <c r="Q1290" i="12" s="1"/>
  <c r="L1290" i="12"/>
  <c r="P1290" i="12"/>
  <c r="O1290" i="12"/>
  <c r="R1290" i="12"/>
  <c r="L1289" i="12"/>
  <c r="M1289" i="12"/>
  <c r="Q1289" i="12" s="1"/>
  <c r="S1289" i="12"/>
  <c r="R1289" i="12"/>
  <c r="O1289" i="12"/>
  <c r="P1289" i="12"/>
  <c r="L1288" i="12"/>
  <c r="M1288" i="12"/>
  <c r="Q1288" i="12" s="1"/>
  <c r="S1288" i="12"/>
  <c r="O1288" i="12"/>
  <c r="P1288" i="12"/>
  <c r="R1288" i="12"/>
  <c r="M1287" i="12"/>
  <c r="Q1287" i="12" s="1"/>
  <c r="S1287" i="12"/>
  <c r="L1287" i="12"/>
  <c r="R1287" i="12"/>
  <c r="O1287" i="12"/>
  <c r="P1287" i="12"/>
  <c r="M1286" i="12"/>
  <c r="Q1286" i="12" s="1"/>
  <c r="S1286" i="12"/>
  <c r="L1286" i="12"/>
  <c r="P1286" i="12"/>
  <c r="O1286" i="12"/>
  <c r="R1286" i="12"/>
  <c r="S1285" i="12"/>
  <c r="M1285" i="12"/>
  <c r="Q1285" i="12" s="1"/>
  <c r="L1285" i="12"/>
  <c r="R1285" i="12"/>
  <c r="P1285" i="12"/>
  <c r="O1285" i="12"/>
  <c r="L1284" i="12"/>
  <c r="M1284" i="12"/>
  <c r="Q1284" i="12" s="1"/>
  <c r="S1284" i="12"/>
  <c r="O1284" i="12"/>
  <c r="P1284" i="12"/>
  <c r="R1284" i="12"/>
  <c r="S1283" i="12"/>
  <c r="L1283" i="12"/>
  <c r="M1283" i="12"/>
  <c r="Q1283" i="12" s="1"/>
  <c r="R1283" i="12"/>
  <c r="O1283" i="12"/>
  <c r="P1283" i="12"/>
  <c r="L1282" i="12"/>
  <c r="M1282" i="12"/>
  <c r="Q1282" i="12" s="1"/>
  <c r="S1282" i="12"/>
  <c r="P1282" i="12"/>
  <c r="R1282" i="12"/>
  <c r="O1282" i="12"/>
  <c r="M1281" i="12"/>
  <c r="Q1281" i="12" s="1"/>
  <c r="S1281" i="12"/>
  <c r="L1281" i="12"/>
  <c r="O1281" i="12"/>
  <c r="P1281" i="12"/>
  <c r="R1281" i="12"/>
  <c r="M1280" i="12"/>
  <c r="Q1280" i="12" s="1"/>
  <c r="S1280" i="12"/>
  <c r="L1280" i="12"/>
  <c r="R1280" i="12"/>
  <c r="O1280" i="12"/>
  <c r="P1280" i="12"/>
  <c r="S1279" i="12"/>
  <c r="L1279" i="12"/>
  <c r="M1279" i="12"/>
  <c r="Q1279" i="12" s="1"/>
  <c r="R1279" i="12"/>
  <c r="P1279" i="12"/>
  <c r="O1279" i="12"/>
  <c r="S1278" i="12"/>
  <c r="L1278" i="12"/>
  <c r="M1278" i="12"/>
  <c r="Q1278" i="12" s="1"/>
  <c r="R1278" i="12"/>
  <c r="P1278" i="12"/>
  <c r="O1278" i="12"/>
  <c r="S1277" i="12"/>
  <c r="M1277" i="12"/>
  <c r="Q1277" i="12" s="1"/>
  <c r="L1277" i="12"/>
  <c r="R1277" i="12"/>
  <c r="P1277" i="12"/>
  <c r="O1277" i="12"/>
  <c r="L1276" i="12"/>
  <c r="M1276" i="12"/>
  <c r="Q1276" i="12" s="1"/>
  <c r="S1276" i="12"/>
  <c r="O1276" i="12"/>
  <c r="P1276" i="12"/>
  <c r="R1276" i="12"/>
  <c r="M1275" i="12"/>
  <c r="Q1275" i="12" s="1"/>
  <c r="L1275" i="12"/>
  <c r="S1275" i="12"/>
  <c r="R1275" i="12"/>
  <c r="P1275" i="12"/>
  <c r="O1275" i="12"/>
  <c r="S1274" i="12"/>
  <c r="M1274" i="12"/>
  <c r="Q1274" i="12" s="1"/>
  <c r="L1274" i="12"/>
  <c r="R1274" i="12"/>
  <c r="P1274" i="12"/>
  <c r="O1274" i="12"/>
  <c r="M1273" i="12"/>
  <c r="Q1273" i="12" s="1"/>
  <c r="L1273" i="12"/>
  <c r="S1273" i="12"/>
  <c r="R1273" i="12"/>
  <c r="O1273" i="12"/>
  <c r="P1273" i="12"/>
  <c r="S1272" i="12"/>
  <c r="M1272" i="12"/>
  <c r="Q1272" i="12" s="1"/>
  <c r="L1272" i="12"/>
  <c r="R1272" i="12"/>
  <c r="P1272" i="12"/>
  <c r="O1272" i="12"/>
  <c r="L1271" i="12"/>
  <c r="S1271" i="12"/>
  <c r="M1271" i="12"/>
  <c r="Q1271" i="12" s="1"/>
  <c r="O1271" i="12"/>
  <c r="R1271" i="12"/>
  <c r="P1271" i="12"/>
  <c r="M1270" i="12"/>
  <c r="Q1270" i="12" s="1"/>
  <c r="L1270" i="12"/>
  <c r="S1270" i="12"/>
  <c r="O1270" i="12"/>
  <c r="R1270" i="12"/>
  <c r="P1270" i="12"/>
  <c r="S1269" i="12"/>
  <c r="L1269" i="12"/>
  <c r="M1269" i="12"/>
  <c r="Q1269" i="12" s="1"/>
  <c r="O1269" i="12"/>
  <c r="P1269" i="12"/>
  <c r="R1269" i="12"/>
  <c r="S1268" i="12"/>
  <c r="M1268" i="12"/>
  <c r="Q1268" i="12" s="1"/>
  <c r="L1268" i="12"/>
  <c r="R1268" i="12"/>
  <c r="P1268" i="12"/>
  <c r="O1268" i="12"/>
  <c r="S1267" i="12"/>
  <c r="M1267" i="12"/>
  <c r="Q1267" i="12" s="1"/>
  <c r="L1267" i="12"/>
  <c r="R1267" i="12"/>
  <c r="P1267" i="12"/>
  <c r="O1267" i="12"/>
  <c r="M1266" i="12"/>
  <c r="Q1266" i="12" s="1"/>
  <c r="L1266" i="12"/>
  <c r="S1266" i="12"/>
  <c r="R1266" i="12"/>
  <c r="P1266" i="12"/>
  <c r="O1266" i="12"/>
  <c r="S1265" i="12"/>
  <c r="M1265" i="12"/>
  <c r="Q1265" i="12" s="1"/>
  <c r="L1265" i="12"/>
  <c r="R1265" i="12"/>
  <c r="O1265" i="12"/>
  <c r="P1265" i="12"/>
  <c r="L1264" i="12"/>
  <c r="M1264" i="12"/>
  <c r="Q1264" i="12" s="1"/>
  <c r="S1264" i="12"/>
  <c r="O1264" i="12"/>
  <c r="P1264" i="12"/>
  <c r="R1264" i="12"/>
  <c r="M1263" i="12"/>
  <c r="Q1263" i="12" s="1"/>
  <c r="L1263" i="12"/>
  <c r="S1263" i="12"/>
  <c r="O1263" i="12"/>
  <c r="P1263" i="12"/>
  <c r="R1263" i="12"/>
  <c r="S1262" i="12"/>
  <c r="M1262" i="12"/>
  <c r="Q1262" i="12" s="1"/>
  <c r="L1262" i="12"/>
  <c r="R1262" i="12"/>
  <c r="P1262" i="12"/>
  <c r="O1262" i="12"/>
  <c r="S1261" i="12"/>
  <c r="M1261" i="12"/>
  <c r="Q1261" i="12" s="1"/>
  <c r="L1261" i="12"/>
  <c r="R1261" i="12"/>
  <c r="O1261" i="12"/>
  <c r="P1261" i="12"/>
  <c r="S1260" i="12"/>
  <c r="M1260" i="12"/>
  <c r="Q1260" i="12" s="1"/>
  <c r="L1260" i="12"/>
  <c r="R1260" i="12"/>
  <c r="P1260" i="12"/>
  <c r="O1260" i="12"/>
  <c r="M1259" i="12"/>
  <c r="Q1259" i="12" s="1"/>
  <c r="L1259" i="12"/>
  <c r="S1259" i="12"/>
  <c r="O1259" i="12"/>
  <c r="P1259" i="12"/>
  <c r="R1259" i="12"/>
  <c r="M1258" i="12"/>
  <c r="Q1258" i="12" s="1"/>
  <c r="S1258" i="12"/>
  <c r="L1258" i="12"/>
  <c r="R1258" i="12"/>
  <c r="O1258" i="12"/>
  <c r="P1258" i="12"/>
  <c r="L1257" i="12"/>
  <c r="M1257" i="12"/>
  <c r="Q1257" i="12" s="1"/>
  <c r="S1257" i="12"/>
  <c r="O1257" i="12"/>
  <c r="P1257" i="12"/>
  <c r="R1257" i="12"/>
  <c r="S1256" i="12"/>
  <c r="M1256" i="12"/>
  <c r="Q1256" i="12" s="1"/>
  <c r="L1256" i="12"/>
  <c r="O1256" i="12"/>
  <c r="R1256" i="12"/>
  <c r="P1256" i="12"/>
  <c r="M1255" i="12"/>
  <c r="Q1255" i="12" s="1"/>
  <c r="S1255" i="12"/>
  <c r="L1255" i="12"/>
  <c r="R1255" i="12"/>
  <c r="O1255" i="12"/>
  <c r="P1255" i="12"/>
  <c r="S1254" i="12"/>
  <c r="M1254" i="12"/>
  <c r="Q1254" i="12" s="1"/>
  <c r="L1254" i="12"/>
  <c r="R1254" i="12"/>
  <c r="P1254" i="12"/>
  <c r="O1254" i="12"/>
  <c r="L1253" i="12"/>
  <c r="S1253" i="12"/>
  <c r="M1253" i="12"/>
  <c r="Q1253" i="12" s="1"/>
  <c r="R1253" i="12"/>
  <c r="P1253" i="12"/>
  <c r="O1253" i="12"/>
  <c r="L1252" i="12"/>
  <c r="S1252" i="12"/>
  <c r="M1252" i="12"/>
  <c r="Q1252" i="12" s="1"/>
  <c r="P1252" i="12"/>
  <c r="O1252" i="12"/>
  <c r="R1252" i="12"/>
  <c r="L1251" i="12"/>
  <c r="M1251" i="12"/>
  <c r="Q1251" i="12" s="1"/>
  <c r="S1251" i="12"/>
  <c r="R1251" i="12"/>
  <c r="P1251" i="12"/>
  <c r="O1251" i="12"/>
  <c r="M1250" i="12"/>
  <c r="Q1250" i="12" s="1"/>
  <c r="S1250" i="12"/>
  <c r="L1250" i="12"/>
  <c r="P1250" i="12"/>
  <c r="O1250" i="12"/>
  <c r="R1250" i="12"/>
  <c r="S1249" i="12"/>
  <c r="L1249" i="12"/>
  <c r="M1249" i="12"/>
  <c r="Q1249" i="12" s="1"/>
  <c r="P1249" i="12"/>
  <c r="R1249" i="12"/>
  <c r="O1249" i="12"/>
  <c r="L1248" i="12"/>
  <c r="M1248" i="12"/>
  <c r="Q1248" i="12" s="1"/>
  <c r="S1248" i="12"/>
  <c r="O1248" i="12"/>
  <c r="P1248" i="12"/>
  <c r="R1248" i="12"/>
  <c r="S1247" i="12"/>
  <c r="M1247" i="12"/>
  <c r="Q1247" i="12" s="1"/>
  <c r="L1247" i="12"/>
  <c r="R1247" i="12"/>
  <c r="P1247" i="12"/>
  <c r="O1247" i="12"/>
  <c r="S1246" i="12"/>
  <c r="M1246" i="12"/>
  <c r="Q1246" i="12" s="1"/>
  <c r="L1246" i="12"/>
  <c r="P1246" i="12"/>
  <c r="R1246" i="12"/>
  <c r="O1246" i="12"/>
  <c r="L1245" i="12"/>
  <c r="S1245" i="12"/>
  <c r="M1245" i="12"/>
  <c r="Q1245" i="12" s="1"/>
  <c r="R1245" i="12"/>
  <c r="P1245" i="12"/>
  <c r="O1245" i="12"/>
  <c r="S1244" i="12"/>
  <c r="L1244" i="12"/>
  <c r="M1244" i="12"/>
  <c r="Q1244" i="12" s="1"/>
  <c r="O1244" i="12"/>
  <c r="P1244" i="12"/>
  <c r="R1244" i="12"/>
  <c r="S1243" i="12"/>
  <c r="M1243" i="12"/>
  <c r="Q1243" i="12" s="1"/>
  <c r="L1243" i="12"/>
  <c r="R1243" i="12"/>
  <c r="P1243" i="12"/>
  <c r="O1243" i="12"/>
  <c r="S1242" i="12"/>
  <c r="M1242" i="12"/>
  <c r="Q1242" i="12" s="1"/>
  <c r="L1242" i="12"/>
  <c r="R1242" i="12"/>
  <c r="O1242" i="12"/>
  <c r="P1242" i="12"/>
  <c r="S1241" i="12"/>
  <c r="L1241" i="12"/>
  <c r="M1241" i="12"/>
  <c r="Q1241" i="12" s="1"/>
  <c r="R1241" i="12"/>
  <c r="P1241" i="12"/>
  <c r="O1241" i="12"/>
  <c r="S1240" i="12"/>
  <c r="M1240" i="12"/>
  <c r="Q1240" i="12" s="1"/>
  <c r="L1240" i="12"/>
  <c r="P1240" i="12"/>
  <c r="R1240" i="12"/>
  <c r="O1240" i="12"/>
  <c r="S1239" i="12"/>
  <c r="L1239" i="12"/>
  <c r="M1239" i="12"/>
  <c r="Q1239" i="12" s="1"/>
  <c r="R1239" i="12"/>
  <c r="O1239" i="12"/>
  <c r="P1239" i="12"/>
  <c r="S1238" i="12"/>
  <c r="M1238" i="12"/>
  <c r="Q1238" i="12" s="1"/>
  <c r="L1238" i="12"/>
  <c r="R1238" i="12"/>
  <c r="O1238" i="12"/>
  <c r="P1238" i="12"/>
  <c r="L1237" i="12"/>
  <c r="M1237" i="12"/>
  <c r="Q1237" i="12" s="1"/>
  <c r="S1237" i="12"/>
  <c r="R1237" i="12"/>
  <c r="P1237" i="12"/>
  <c r="O1237" i="12"/>
  <c r="M1235" i="12"/>
  <c r="Q1235" i="12" s="1"/>
  <c r="L1235" i="12"/>
  <c r="S1235" i="12"/>
  <c r="R1235" i="12"/>
  <c r="P1235" i="12"/>
  <c r="O1235" i="12"/>
  <c r="M1234" i="12"/>
  <c r="Q1234" i="12" s="1"/>
  <c r="L1234" i="12"/>
  <c r="S1234" i="12"/>
  <c r="P1234" i="12"/>
  <c r="O1234" i="12"/>
  <c r="R1234" i="12"/>
  <c r="S1233" i="12"/>
  <c r="M1233" i="12"/>
  <c r="Q1233" i="12" s="1"/>
  <c r="L1233" i="12"/>
  <c r="R1233" i="12"/>
  <c r="P1233" i="12"/>
  <c r="O1233" i="12"/>
  <c r="L1232" i="12"/>
  <c r="M1232" i="12"/>
  <c r="Q1232" i="12" s="1"/>
  <c r="S1232" i="12"/>
  <c r="O1232" i="12"/>
  <c r="R1232" i="12"/>
  <c r="P1232" i="12"/>
  <c r="S1231" i="12"/>
  <c r="M1231" i="12"/>
  <c r="Q1231" i="12" s="1"/>
  <c r="L1231" i="12"/>
  <c r="P1231" i="12"/>
  <c r="R1231" i="12"/>
  <c r="O1231" i="12"/>
  <c r="L1230" i="12"/>
  <c r="S1230" i="12"/>
  <c r="M1230" i="12"/>
  <c r="Q1230" i="12" s="1"/>
  <c r="O1230" i="12"/>
  <c r="R1230" i="12"/>
  <c r="P1230" i="12"/>
  <c r="L1229" i="12"/>
  <c r="M1229" i="12"/>
  <c r="Q1229" i="12" s="1"/>
  <c r="S1229" i="12"/>
  <c r="P1229" i="12"/>
  <c r="R1229" i="12"/>
  <c r="O1229" i="12"/>
  <c r="M1228" i="12"/>
  <c r="Q1228" i="12" s="1"/>
  <c r="S1228" i="12"/>
  <c r="L1228" i="12"/>
  <c r="P1228" i="12"/>
  <c r="O1228" i="12"/>
  <c r="R1228" i="12"/>
  <c r="M1227" i="12"/>
  <c r="Q1227" i="12" s="1"/>
  <c r="L1227" i="12"/>
  <c r="S1227" i="12"/>
  <c r="O1227" i="12"/>
  <c r="P1227" i="12"/>
  <c r="R1227" i="12"/>
  <c r="S1226" i="12"/>
  <c r="M1226" i="12"/>
  <c r="Q1226" i="12" s="1"/>
  <c r="L1226" i="12"/>
  <c r="R1226" i="12"/>
  <c r="P1226" i="12"/>
  <c r="O1226" i="12"/>
  <c r="S1225" i="12"/>
  <c r="L1225" i="12"/>
  <c r="M1225" i="12"/>
  <c r="Q1225" i="12" s="1"/>
  <c r="R1225" i="12"/>
  <c r="P1225" i="12"/>
  <c r="O1225" i="12"/>
  <c r="S1224" i="12"/>
  <c r="M1224" i="12"/>
  <c r="Q1224" i="12" s="1"/>
  <c r="L1224" i="12"/>
  <c r="R1224" i="12"/>
  <c r="P1224" i="12"/>
  <c r="O1224" i="12"/>
  <c r="S1223" i="12"/>
  <c r="L1223" i="12"/>
  <c r="M1223" i="12"/>
  <c r="Q1223" i="12" s="1"/>
  <c r="R1223" i="12"/>
  <c r="P1223" i="12"/>
  <c r="O1223" i="12"/>
  <c r="S1222" i="12"/>
  <c r="M1222" i="12"/>
  <c r="Q1222" i="12" s="1"/>
  <c r="L1222" i="12"/>
  <c r="R1222" i="12"/>
  <c r="P1222" i="12"/>
  <c r="O1222" i="12"/>
  <c r="S1221" i="12"/>
  <c r="L1221" i="12"/>
  <c r="M1221" i="12"/>
  <c r="Q1221" i="12" s="1"/>
  <c r="R1221" i="12"/>
  <c r="P1221" i="12"/>
  <c r="O1221" i="12"/>
  <c r="L1220" i="12"/>
  <c r="M1220" i="12"/>
  <c r="Q1220" i="12" s="1"/>
  <c r="S1220" i="12"/>
  <c r="P1220" i="12"/>
  <c r="O1220" i="12"/>
  <c r="R1220" i="12"/>
  <c r="L1219" i="12"/>
  <c r="M1219" i="12"/>
  <c r="Q1219" i="12" s="1"/>
  <c r="S1219" i="12"/>
  <c r="O1219" i="12"/>
  <c r="P1219" i="12"/>
  <c r="R1219" i="12"/>
  <c r="L1218" i="12"/>
  <c r="S1218" i="12"/>
  <c r="M1218" i="12"/>
  <c r="Q1218" i="12" s="1"/>
  <c r="P1218" i="12"/>
  <c r="R1218" i="12"/>
  <c r="O1218" i="12"/>
  <c r="S1217" i="12"/>
  <c r="M1217" i="12"/>
  <c r="Q1217" i="12" s="1"/>
  <c r="L1217" i="12"/>
  <c r="R1217" i="12"/>
  <c r="P1217" i="12"/>
  <c r="O1217" i="12"/>
  <c r="S1216" i="12"/>
  <c r="M1216" i="12"/>
  <c r="Q1216" i="12" s="1"/>
  <c r="L1216" i="12"/>
  <c r="P1216" i="12"/>
  <c r="O1216" i="12"/>
  <c r="R1216" i="12"/>
  <c r="S1215" i="12"/>
  <c r="M1215" i="12"/>
  <c r="Q1215" i="12" s="1"/>
  <c r="L1215" i="12"/>
  <c r="R1215" i="12"/>
  <c r="P1215" i="12"/>
  <c r="O1215" i="12"/>
  <c r="M1214" i="12"/>
  <c r="Q1214" i="12" s="1"/>
  <c r="L1214" i="12"/>
  <c r="S1214" i="12"/>
  <c r="R1214" i="12"/>
  <c r="P1214" i="12"/>
  <c r="O1214" i="12"/>
  <c r="M1213" i="12"/>
  <c r="Q1213" i="12" s="1"/>
  <c r="L1213" i="12"/>
  <c r="S1213" i="12"/>
  <c r="O1213" i="12"/>
  <c r="R1213" i="12"/>
  <c r="P1213" i="12"/>
  <c r="L1212" i="12"/>
  <c r="M1212" i="12"/>
  <c r="Q1212" i="12" s="1"/>
  <c r="S1212" i="12"/>
  <c r="O1212" i="12"/>
  <c r="P1212" i="12"/>
  <c r="R1212" i="12"/>
  <c r="L1211" i="12"/>
  <c r="M1211" i="12"/>
  <c r="Q1211" i="12" s="1"/>
  <c r="S1211" i="12"/>
  <c r="O1211" i="12"/>
  <c r="P1211" i="12"/>
  <c r="R1211" i="12"/>
  <c r="M1210" i="12"/>
  <c r="Q1210" i="12" s="1"/>
  <c r="L1210" i="12"/>
  <c r="S1210" i="12"/>
  <c r="O1210" i="12"/>
  <c r="P1210" i="12"/>
  <c r="R1210" i="12"/>
  <c r="S1209" i="12"/>
  <c r="M1209" i="12"/>
  <c r="Q1209" i="12" s="1"/>
  <c r="L1209" i="12"/>
  <c r="R1209" i="12"/>
  <c r="P1209" i="12"/>
  <c r="O1209" i="12"/>
  <c r="S1208" i="12"/>
  <c r="M1208" i="12"/>
  <c r="Q1208" i="12" s="1"/>
  <c r="L1208" i="12"/>
  <c r="R1208" i="12"/>
  <c r="P1208" i="12"/>
  <c r="O1208" i="12"/>
  <c r="S1207" i="12"/>
  <c r="M1207" i="12"/>
  <c r="Q1207" i="12" s="1"/>
  <c r="L1207" i="12"/>
  <c r="R1207" i="12"/>
  <c r="P1207" i="12"/>
  <c r="O1207" i="12"/>
  <c r="S1206" i="12"/>
  <c r="M1206" i="12"/>
  <c r="Q1206" i="12" s="1"/>
  <c r="L1206" i="12"/>
  <c r="P1206" i="12"/>
  <c r="R1206" i="12"/>
  <c r="O1206" i="12"/>
  <c r="L1205" i="12"/>
  <c r="S1205" i="12"/>
  <c r="M1205" i="12"/>
  <c r="Q1205" i="12" s="1"/>
  <c r="O1205" i="12"/>
  <c r="R1205" i="12"/>
  <c r="P1205" i="12"/>
  <c r="S1204" i="12"/>
  <c r="M1204" i="12"/>
  <c r="Q1204" i="12" s="1"/>
  <c r="L1204" i="12"/>
  <c r="R1204" i="12"/>
  <c r="O1204" i="12"/>
  <c r="P1204" i="12"/>
  <c r="M1203" i="12"/>
  <c r="Q1203" i="12" s="1"/>
  <c r="L1203" i="12"/>
  <c r="S1203" i="12"/>
  <c r="O1203" i="12"/>
  <c r="P1203" i="12"/>
  <c r="R1203" i="12"/>
  <c r="S1202" i="12"/>
  <c r="L1202" i="12"/>
  <c r="M1202" i="12"/>
  <c r="Q1202" i="12" s="1"/>
  <c r="P1202" i="12"/>
  <c r="O1202" i="12"/>
  <c r="R1202" i="12"/>
  <c r="L1201" i="12"/>
  <c r="M1201" i="12"/>
  <c r="Q1201" i="12" s="1"/>
  <c r="S1201" i="12"/>
  <c r="P1201" i="12"/>
  <c r="O1201" i="12"/>
  <c r="R1201" i="12"/>
  <c r="S1200" i="12"/>
  <c r="M1200" i="12"/>
  <c r="Q1200" i="12" s="1"/>
  <c r="L1200" i="12"/>
  <c r="R1200" i="12"/>
  <c r="P1200" i="12"/>
  <c r="O1200" i="12"/>
  <c r="L1199" i="12"/>
  <c r="M1199" i="12"/>
  <c r="Q1199" i="12" s="1"/>
  <c r="S1199" i="12"/>
  <c r="R1199" i="12"/>
  <c r="P1199" i="12"/>
  <c r="O1199" i="12"/>
  <c r="M1198" i="12"/>
  <c r="Q1198" i="12" s="1"/>
  <c r="S1198" i="12"/>
  <c r="L1198" i="12"/>
  <c r="P1198" i="12"/>
  <c r="R1198" i="12"/>
  <c r="O1198" i="12"/>
  <c r="M1197" i="12"/>
  <c r="Q1197" i="12" s="1"/>
  <c r="L1197" i="12"/>
  <c r="S1197" i="12"/>
  <c r="R1197" i="12"/>
  <c r="O1197" i="12"/>
  <c r="P1197" i="12"/>
  <c r="L1196" i="12"/>
  <c r="S1196" i="12"/>
  <c r="M1196" i="12"/>
  <c r="Q1196" i="12" s="1"/>
  <c r="R1196" i="12"/>
  <c r="P1196" i="12"/>
  <c r="O1196" i="12"/>
  <c r="M1195" i="12"/>
  <c r="Q1195" i="12" s="1"/>
  <c r="L1195" i="12"/>
  <c r="S1195" i="12"/>
  <c r="O1195" i="12"/>
  <c r="P1195" i="12"/>
  <c r="R1195" i="12"/>
  <c r="L1194" i="12"/>
  <c r="S1194" i="12"/>
  <c r="M1194" i="12"/>
  <c r="Q1194" i="12" s="1"/>
  <c r="R1194" i="12"/>
  <c r="O1194" i="12"/>
  <c r="P1194" i="12"/>
  <c r="M1193" i="12"/>
  <c r="Q1193" i="12" s="1"/>
  <c r="L1193" i="12"/>
  <c r="S1193" i="12"/>
  <c r="P1193" i="12"/>
  <c r="O1193" i="12"/>
  <c r="R1193" i="12"/>
  <c r="S1192" i="12"/>
  <c r="M1192" i="12"/>
  <c r="Q1192" i="12" s="1"/>
  <c r="L1192" i="12"/>
  <c r="O1192" i="12"/>
  <c r="P1192" i="12"/>
  <c r="R1192" i="12"/>
  <c r="M1191" i="12"/>
  <c r="Q1191" i="12" s="1"/>
  <c r="L1191" i="12"/>
  <c r="S1191" i="12"/>
  <c r="R1191" i="12"/>
  <c r="P1191" i="12"/>
  <c r="O1191" i="12"/>
  <c r="S1190" i="12"/>
  <c r="M1190" i="12"/>
  <c r="Q1190" i="12" s="1"/>
  <c r="L1190" i="12"/>
  <c r="P1190" i="12"/>
  <c r="O1190" i="12"/>
  <c r="R1190" i="12"/>
  <c r="L1189" i="12"/>
  <c r="S1189" i="12"/>
  <c r="M1189" i="12"/>
  <c r="Q1189" i="12" s="1"/>
  <c r="R1189" i="12"/>
  <c r="P1189" i="12"/>
  <c r="O1189" i="12"/>
  <c r="L1188" i="12"/>
  <c r="S1188" i="12"/>
  <c r="M1188" i="12"/>
  <c r="Q1188" i="12" s="1"/>
  <c r="P1188" i="12"/>
  <c r="O1188" i="12"/>
  <c r="R1188" i="12"/>
  <c r="S1187" i="12"/>
  <c r="M1187" i="12"/>
  <c r="Q1187" i="12" s="1"/>
  <c r="L1187" i="12"/>
  <c r="O1187" i="12"/>
  <c r="P1187" i="12"/>
  <c r="R1187" i="12"/>
  <c r="S1186" i="12"/>
  <c r="L1186" i="12"/>
  <c r="M1186" i="12"/>
  <c r="Q1186" i="12" s="1"/>
  <c r="R1186" i="12"/>
  <c r="P1186" i="12"/>
  <c r="O1186" i="12"/>
  <c r="M1185" i="12"/>
  <c r="Q1185" i="12" s="1"/>
  <c r="L1185" i="12"/>
  <c r="S1185" i="12"/>
  <c r="P1185" i="12"/>
  <c r="O1185" i="12"/>
  <c r="R1185" i="12"/>
  <c r="L1184" i="12"/>
  <c r="S1184" i="12"/>
  <c r="M1184" i="12"/>
  <c r="Q1184" i="12" s="1"/>
  <c r="R1184" i="12"/>
  <c r="P1184" i="12"/>
  <c r="O1184" i="12"/>
  <c r="M1183" i="12"/>
  <c r="Q1183" i="12" s="1"/>
  <c r="L1183" i="12"/>
  <c r="S1183" i="12"/>
  <c r="P1183" i="12"/>
  <c r="O1183" i="12"/>
  <c r="R1183" i="12"/>
  <c r="M1182" i="12"/>
  <c r="Q1182" i="12" s="1"/>
  <c r="S1182" i="12"/>
  <c r="L1182" i="12"/>
  <c r="R1182" i="12"/>
  <c r="P1182" i="12"/>
  <c r="O1182" i="12"/>
  <c r="M1181" i="12"/>
  <c r="Q1181" i="12" s="1"/>
  <c r="L1181" i="12"/>
  <c r="S1181" i="12"/>
  <c r="P1181" i="12"/>
  <c r="O1181" i="12"/>
  <c r="R1181" i="12"/>
  <c r="S1180" i="12"/>
  <c r="M1180" i="12"/>
  <c r="Q1180" i="12" s="1"/>
  <c r="L1180" i="12"/>
  <c r="R1180" i="12"/>
  <c r="O1180" i="12"/>
  <c r="P1180" i="12"/>
  <c r="M1179" i="12"/>
  <c r="Q1179" i="12" s="1"/>
  <c r="L1179" i="12"/>
  <c r="S1179" i="12"/>
  <c r="O1179" i="12"/>
  <c r="R1179" i="12"/>
  <c r="P1179" i="12"/>
  <c r="L1178" i="12"/>
  <c r="M1178" i="12"/>
  <c r="Q1178" i="12" s="1"/>
  <c r="S1178" i="12"/>
  <c r="O1178" i="12"/>
  <c r="P1178" i="12"/>
  <c r="R1178" i="12"/>
  <c r="L1177" i="12"/>
  <c r="S1177" i="12"/>
  <c r="M1177" i="12"/>
  <c r="Q1177" i="12" s="1"/>
  <c r="O1177" i="12"/>
  <c r="P1177" i="12"/>
  <c r="R1177" i="12"/>
  <c r="S1176" i="12"/>
  <c r="L1176" i="12"/>
  <c r="M1176" i="12"/>
  <c r="Q1176" i="12" s="1"/>
  <c r="P1176" i="12"/>
  <c r="O1176" i="12"/>
  <c r="R1176" i="12"/>
  <c r="L1175" i="12"/>
  <c r="M1175" i="12"/>
  <c r="Q1175" i="12" s="1"/>
  <c r="S1175" i="12"/>
  <c r="O1175" i="12"/>
  <c r="P1175" i="12"/>
  <c r="R1175" i="12"/>
  <c r="L1174" i="12"/>
  <c r="M1174" i="12"/>
  <c r="Q1174" i="12" s="1"/>
  <c r="S1174" i="12"/>
  <c r="O1174" i="12"/>
  <c r="P1174" i="12"/>
  <c r="R1174" i="12"/>
  <c r="L1173" i="12"/>
  <c r="M1173" i="12"/>
  <c r="Q1173" i="12" s="1"/>
  <c r="S1173" i="12"/>
  <c r="O1173" i="12"/>
  <c r="P1173" i="12"/>
  <c r="R1173" i="12"/>
  <c r="L1172" i="12"/>
  <c r="M1172" i="12"/>
  <c r="Q1172" i="12" s="1"/>
  <c r="S1171" i="12"/>
  <c r="M1171" i="12"/>
  <c r="Q1171" i="12" s="1"/>
  <c r="L1171" i="12"/>
  <c r="R1171" i="12"/>
  <c r="P1171" i="12"/>
  <c r="O1171" i="12"/>
  <c r="S1170" i="12"/>
  <c r="M1170" i="12"/>
  <c r="Q1170" i="12" s="1"/>
  <c r="L1170" i="12"/>
  <c r="R1170" i="12"/>
  <c r="P1170" i="12"/>
  <c r="O1170" i="12"/>
  <c r="S1169" i="12"/>
  <c r="M1169" i="12"/>
  <c r="Q1169" i="12" s="1"/>
  <c r="L1169" i="12"/>
  <c r="P1169" i="12"/>
  <c r="O1169" i="12"/>
  <c r="R1169" i="12"/>
  <c r="S1168" i="12"/>
  <c r="M1168" i="12"/>
  <c r="Q1168" i="12" s="1"/>
  <c r="L1168" i="12"/>
  <c r="R1168" i="12"/>
  <c r="P1168" i="12"/>
  <c r="O1168" i="12"/>
  <c r="S1167" i="12"/>
  <c r="M1167" i="12"/>
  <c r="Q1167" i="12" s="1"/>
  <c r="L1167" i="12"/>
  <c r="O1167" i="12"/>
  <c r="R1167" i="12"/>
  <c r="P1167" i="12"/>
  <c r="S1166" i="12"/>
  <c r="M1166" i="12"/>
  <c r="Q1166" i="12" s="1"/>
  <c r="L1166" i="12"/>
  <c r="O1166" i="12"/>
  <c r="R1166" i="12"/>
  <c r="P1166" i="12"/>
  <c r="S1165" i="12"/>
  <c r="M1165" i="12"/>
  <c r="Q1165" i="12" s="1"/>
  <c r="L1165" i="12"/>
  <c r="R1165" i="12"/>
  <c r="P1165" i="12"/>
  <c r="O1165" i="12"/>
  <c r="S1164" i="12"/>
  <c r="M1164" i="12"/>
  <c r="Q1164" i="12" s="1"/>
  <c r="L1164" i="12"/>
  <c r="R1164" i="12"/>
  <c r="P1164" i="12"/>
  <c r="O1164" i="12"/>
  <c r="S1163" i="12"/>
  <c r="M1163" i="12"/>
  <c r="Q1163" i="12" s="1"/>
  <c r="L1163" i="12"/>
  <c r="R1163" i="12"/>
  <c r="P1163" i="12"/>
  <c r="O1163" i="12"/>
  <c r="M1162" i="12"/>
  <c r="Q1162" i="12" s="1"/>
  <c r="L1162" i="12"/>
  <c r="S1162" i="12"/>
  <c r="P1162" i="12"/>
  <c r="R1162" i="12"/>
  <c r="O1162" i="12"/>
  <c r="L1161" i="12"/>
  <c r="M1161" i="12"/>
  <c r="Q1161" i="12" s="1"/>
  <c r="S1161" i="12"/>
  <c r="P1161" i="12"/>
  <c r="O1161" i="12"/>
  <c r="R1161" i="12"/>
  <c r="M1160" i="12"/>
  <c r="Q1160" i="12" s="1"/>
  <c r="S1160" i="12"/>
  <c r="L1160" i="12"/>
  <c r="O1160" i="12"/>
  <c r="P1160" i="12"/>
  <c r="R1160" i="12"/>
  <c r="L1159" i="12"/>
  <c r="M1159" i="12"/>
  <c r="Q1159" i="12" s="1"/>
  <c r="S1159" i="12"/>
  <c r="O1159" i="12"/>
  <c r="P1159" i="12"/>
  <c r="R1159" i="12"/>
  <c r="M1158" i="12"/>
  <c r="Q1158" i="12" s="1"/>
  <c r="L1158" i="12"/>
  <c r="S1158" i="12"/>
  <c r="O1158" i="12"/>
  <c r="P1158" i="12"/>
  <c r="R1158" i="12"/>
  <c r="S1157" i="12"/>
  <c r="L1157" i="12"/>
  <c r="M1157" i="12"/>
  <c r="Q1157" i="12" s="1"/>
  <c r="P1157" i="12"/>
  <c r="R1157" i="12"/>
  <c r="O1157" i="12"/>
  <c r="S1156" i="12"/>
  <c r="L1156" i="12"/>
  <c r="M1156" i="12"/>
  <c r="Q1156" i="12" s="1"/>
  <c r="R1156" i="12"/>
  <c r="O1156" i="12"/>
  <c r="P1156" i="12"/>
  <c r="L1155" i="12"/>
  <c r="M1155" i="12"/>
  <c r="Q1155" i="12" s="1"/>
  <c r="S1155" i="12"/>
  <c r="O1155" i="12"/>
  <c r="P1155" i="12"/>
  <c r="R1155" i="12"/>
  <c r="S1154" i="12"/>
  <c r="M1154" i="12"/>
  <c r="Q1154" i="12" s="1"/>
  <c r="L1154" i="12"/>
  <c r="R1154" i="12"/>
  <c r="P1154" i="12"/>
  <c r="O1154" i="12"/>
  <c r="L1153" i="12"/>
  <c r="M1153" i="12"/>
  <c r="Q1153" i="12" s="1"/>
  <c r="S1153" i="12"/>
  <c r="O1153" i="12"/>
  <c r="P1153" i="12"/>
  <c r="R1153" i="12"/>
  <c r="L1152" i="12"/>
  <c r="M1152" i="12"/>
  <c r="Q1152" i="12" s="1"/>
  <c r="S1152" i="12"/>
  <c r="O1152" i="12"/>
  <c r="P1152" i="12"/>
  <c r="R1152" i="12"/>
  <c r="L1151" i="12"/>
  <c r="S1151" i="12"/>
  <c r="M1151" i="12"/>
  <c r="Q1151" i="12" s="1"/>
  <c r="R1151" i="12"/>
  <c r="P1151" i="12"/>
  <c r="O1151" i="12"/>
  <c r="S1150" i="12"/>
  <c r="L1150" i="12"/>
  <c r="M1150" i="12"/>
  <c r="Q1150" i="12" s="1"/>
  <c r="P1150" i="12"/>
  <c r="R1150" i="12"/>
  <c r="O1150" i="12"/>
  <c r="M1149" i="12"/>
  <c r="Q1149" i="12" s="1"/>
  <c r="L1149" i="12"/>
  <c r="S1149" i="12"/>
  <c r="P1149" i="12"/>
  <c r="O1149" i="12"/>
  <c r="R1149" i="12"/>
  <c r="S1148" i="12"/>
  <c r="M1148" i="12"/>
  <c r="Q1148" i="12" s="1"/>
  <c r="L1148" i="12"/>
  <c r="R1148" i="12"/>
  <c r="P1148" i="12"/>
  <c r="O1148" i="12"/>
  <c r="L1147" i="12"/>
  <c r="S1147" i="12"/>
  <c r="M1147" i="12"/>
  <c r="Q1147" i="12" s="1"/>
  <c r="R1147" i="12"/>
  <c r="P1147" i="12"/>
  <c r="O1147" i="12"/>
  <c r="S1146" i="12"/>
  <c r="M1146" i="12"/>
  <c r="Q1146" i="12" s="1"/>
  <c r="L1146" i="12"/>
  <c r="P1146" i="12"/>
  <c r="O1146" i="12"/>
  <c r="R1146" i="12"/>
  <c r="S1145" i="12"/>
  <c r="M1145" i="12"/>
  <c r="Q1145" i="12" s="1"/>
  <c r="L1145" i="12"/>
  <c r="R1145" i="12"/>
  <c r="P1145" i="12"/>
  <c r="O1145" i="12"/>
  <c r="S1144" i="12"/>
  <c r="M1144" i="12"/>
  <c r="Q1144" i="12" s="1"/>
  <c r="L1144" i="12"/>
  <c r="R1144" i="12"/>
  <c r="O1144" i="12"/>
  <c r="P1144" i="12"/>
  <c r="S1143" i="12"/>
  <c r="M1143" i="12"/>
  <c r="Q1143" i="12" s="1"/>
  <c r="L1143" i="12"/>
  <c r="R1143" i="12"/>
  <c r="P1143" i="12"/>
  <c r="O1143" i="12"/>
  <c r="S1142" i="12"/>
  <c r="M1142" i="12"/>
  <c r="Q1142" i="12" s="1"/>
  <c r="L1142" i="12"/>
  <c r="O1142" i="12"/>
  <c r="P1142" i="12"/>
  <c r="R1142" i="12"/>
  <c r="M1141" i="12"/>
  <c r="Q1141" i="12" s="1"/>
  <c r="L1141" i="12"/>
  <c r="S1141" i="12"/>
  <c r="O1141" i="12"/>
  <c r="P1141" i="12"/>
  <c r="R1141" i="12"/>
  <c r="L1140" i="12"/>
  <c r="M1140" i="12"/>
  <c r="Q1140" i="12" s="1"/>
  <c r="S1140" i="12"/>
  <c r="P1140" i="12"/>
  <c r="O1140" i="12"/>
  <c r="R1140" i="12"/>
  <c r="S1139" i="12"/>
  <c r="M1139" i="12"/>
  <c r="Q1139" i="12" s="1"/>
  <c r="L1139" i="12"/>
  <c r="R1139" i="12"/>
  <c r="O1139" i="12"/>
  <c r="P1139" i="12"/>
  <c r="S1138" i="12"/>
  <c r="L1138" i="12"/>
  <c r="M1138" i="12"/>
  <c r="Q1138" i="12" s="1"/>
  <c r="R1138" i="12"/>
  <c r="P1138" i="12"/>
  <c r="O1138" i="12"/>
  <c r="M1137" i="12"/>
  <c r="Q1137" i="12" s="1"/>
  <c r="S1137" i="12"/>
  <c r="L1137" i="12"/>
  <c r="O1137" i="12"/>
  <c r="R1137" i="12"/>
  <c r="P1137" i="12"/>
  <c r="M1136" i="12"/>
  <c r="Q1136" i="12" s="1"/>
  <c r="L1136" i="12"/>
  <c r="S1136" i="12"/>
  <c r="O1136" i="12"/>
  <c r="R1136" i="12"/>
  <c r="P1136" i="12"/>
  <c r="S1135" i="12"/>
  <c r="M1135" i="12"/>
  <c r="Q1135" i="12" s="1"/>
  <c r="L1135" i="12"/>
  <c r="R1135" i="12"/>
  <c r="P1135" i="12"/>
  <c r="O1135" i="12"/>
  <c r="M1134" i="12"/>
  <c r="Q1134" i="12" s="1"/>
  <c r="L1134" i="12"/>
  <c r="S1134" i="12"/>
  <c r="O1134" i="12"/>
  <c r="P1134" i="12"/>
  <c r="R1134" i="12"/>
  <c r="S1133" i="12"/>
  <c r="M1133" i="12"/>
  <c r="Q1133" i="12" s="1"/>
  <c r="L1133" i="12"/>
  <c r="R1133" i="12"/>
  <c r="P1133" i="12"/>
  <c r="O1133" i="12"/>
  <c r="S1132" i="12"/>
  <c r="M1132" i="12"/>
  <c r="Q1132" i="12" s="1"/>
  <c r="L1132" i="12"/>
  <c r="P1132" i="12"/>
  <c r="R1132" i="12"/>
  <c r="O1132" i="12"/>
  <c r="S1131" i="12"/>
  <c r="M1131" i="12"/>
  <c r="Q1131" i="12" s="1"/>
  <c r="L1131" i="12"/>
  <c r="P1131" i="12"/>
  <c r="O1131" i="12"/>
  <c r="R1131" i="12"/>
  <c r="S1130" i="12"/>
  <c r="M1130" i="12"/>
  <c r="Q1130" i="12" s="1"/>
  <c r="L1130" i="12"/>
  <c r="P1130" i="12"/>
  <c r="R1130" i="12"/>
  <c r="O1130" i="12"/>
  <c r="S1129" i="12"/>
  <c r="L1129" i="12"/>
  <c r="M1129" i="12"/>
  <c r="Q1129" i="12" s="1"/>
  <c r="R1129" i="12"/>
  <c r="P1129" i="12"/>
  <c r="O1129" i="12"/>
  <c r="S1128" i="12"/>
  <c r="L1128" i="12"/>
  <c r="M1128" i="12"/>
  <c r="Q1128" i="12" s="1"/>
  <c r="R1128" i="12"/>
  <c r="O1128" i="12"/>
  <c r="P1128" i="12"/>
  <c r="L1127" i="12"/>
  <c r="M1127" i="12"/>
  <c r="Q1127" i="12" s="1"/>
  <c r="S1127" i="12"/>
  <c r="R1127" i="12"/>
  <c r="O1127" i="12"/>
  <c r="P1127" i="12"/>
  <c r="M1126" i="12"/>
  <c r="Q1126" i="12" s="1"/>
  <c r="L1126" i="12"/>
  <c r="S1126" i="12"/>
  <c r="O1126" i="12"/>
  <c r="R1126" i="12"/>
  <c r="P1126" i="12"/>
  <c r="S1125" i="12"/>
  <c r="L1125" i="12"/>
  <c r="M1125" i="12"/>
  <c r="Q1125" i="12" s="1"/>
  <c r="O1125" i="12"/>
  <c r="R1125" i="12"/>
  <c r="P1125" i="12"/>
  <c r="S1124" i="12"/>
  <c r="M1124" i="12"/>
  <c r="Q1124" i="12" s="1"/>
  <c r="L1124" i="12"/>
  <c r="O1124" i="12"/>
  <c r="R1124" i="12"/>
  <c r="P1124" i="12"/>
  <c r="L1123" i="12"/>
  <c r="M1123" i="12"/>
  <c r="Q1123" i="12" s="1"/>
  <c r="S1123" i="12"/>
  <c r="R1123" i="12"/>
  <c r="O1123" i="12"/>
  <c r="P1123" i="12"/>
  <c r="S1122" i="12"/>
  <c r="M1122" i="12"/>
  <c r="Q1122" i="12" s="1"/>
  <c r="L1122" i="12"/>
  <c r="R1122" i="12"/>
  <c r="O1122" i="12"/>
  <c r="P1122" i="12"/>
  <c r="L1121" i="12"/>
  <c r="S1121" i="12"/>
  <c r="M1121" i="12"/>
  <c r="Q1121" i="12" s="1"/>
  <c r="P1121" i="12"/>
  <c r="R1121" i="12"/>
  <c r="O1121" i="12"/>
  <c r="L1120" i="12"/>
  <c r="M1120" i="12"/>
  <c r="Q1120" i="12" s="1"/>
  <c r="S1120" i="12"/>
  <c r="P1120" i="12"/>
  <c r="R1120" i="12"/>
  <c r="O1120" i="12"/>
  <c r="L1119" i="12"/>
  <c r="S1119" i="12"/>
  <c r="M1119" i="12"/>
  <c r="Q1119" i="12" s="1"/>
  <c r="R1119" i="12"/>
  <c r="P1119" i="12"/>
  <c r="O1119" i="12"/>
  <c r="L1118" i="12"/>
  <c r="S1118" i="12"/>
  <c r="M1118" i="12"/>
  <c r="Q1118" i="12" s="1"/>
  <c r="O1118" i="12"/>
  <c r="R1118" i="12"/>
  <c r="P1118" i="12"/>
  <c r="M1117" i="12"/>
  <c r="Q1117" i="12" s="1"/>
  <c r="S1117" i="12"/>
  <c r="L1117" i="12"/>
  <c r="O1117" i="12"/>
  <c r="R1117" i="12"/>
  <c r="P1117" i="12"/>
  <c r="L1116" i="12"/>
  <c r="S1116" i="12"/>
  <c r="M1116" i="12"/>
  <c r="Q1116" i="12" s="1"/>
  <c r="P1116" i="12"/>
  <c r="R1116" i="12"/>
  <c r="O1116" i="12"/>
  <c r="L1115" i="12"/>
  <c r="M1115" i="12"/>
  <c r="Q1115" i="12" s="1"/>
  <c r="S1115" i="12"/>
  <c r="O1115" i="12"/>
  <c r="R1115" i="12"/>
  <c r="P1115" i="12"/>
  <c r="S1114" i="12"/>
  <c r="L1114" i="12"/>
  <c r="M1114" i="12"/>
  <c r="Q1114" i="12" s="1"/>
  <c r="P1114" i="12"/>
  <c r="O1114" i="12"/>
  <c r="R1114" i="12"/>
  <c r="L1113" i="12"/>
  <c r="S1113" i="12"/>
  <c r="M1113" i="12"/>
  <c r="Q1113" i="12" s="1"/>
  <c r="O1113" i="12"/>
  <c r="P1113" i="12"/>
  <c r="R1113" i="12"/>
  <c r="M1112" i="12"/>
  <c r="Q1112" i="12" s="1"/>
  <c r="L1112" i="12"/>
  <c r="S1112" i="12"/>
  <c r="R1112" i="12"/>
  <c r="P1112" i="12"/>
  <c r="O1112" i="12"/>
  <c r="M1111" i="12"/>
  <c r="Q1111" i="12" s="1"/>
  <c r="S1111" i="12"/>
  <c r="L1111" i="12"/>
  <c r="P1111" i="12"/>
  <c r="O1111" i="12"/>
  <c r="R1111" i="12"/>
  <c r="M1110" i="12"/>
  <c r="Q1110" i="12" s="1"/>
  <c r="L1110" i="12"/>
  <c r="S1110" i="12"/>
  <c r="R1110" i="12"/>
  <c r="O1110" i="12"/>
  <c r="P1110" i="12"/>
  <c r="L1109" i="12"/>
  <c r="S1109" i="12"/>
  <c r="M1109" i="12"/>
  <c r="Q1109" i="12" s="1"/>
  <c r="P1109" i="12"/>
  <c r="O1109" i="12"/>
  <c r="R1109" i="12"/>
  <c r="M1108" i="12"/>
  <c r="Q1108" i="12" s="1"/>
  <c r="L1108" i="12"/>
  <c r="O1108" i="12"/>
  <c r="P1108" i="12"/>
  <c r="L1107" i="12"/>
  <c r="M1107" i="12"/>
  <c r="Q1107" i="12" s="1"/>
  <c r="S1107" i="12"/>
  <c r="P1107" i="12"/>
  <c r="O1107" i="12"/>
  <c r="R1107" i="12"/>
  <c r="L1106" i="12"/>
  <c r="M1106" i="12"/>
  <c r="Q1106" i="12" s="1"/>
  <c r="S1106" i="12"/>
  <c r="R1106" i="12"/>
  <c r="O1106" i="12"/>
  <c r="P1106" i="12"/>
  <c r="M1105" i="12"/>
  <c r="Q1105" i="12" s="1"/>
  <c r="S1105" i="12"/>
  <c r="L1105" i="12"/>
  <c r="R1105" i="12"/>
  <c r="P1105" i="12"/>
  <c r="O1105" i="12"/>
  <c r="L1104" i="12"/>
  <c r="S1104" i="12"/>
  <c r="M1104" i="12"/>
  <c r="Q1104" i="12" s="1"/>
  <c r="O1104" i="12"/>
  <c r="R1104" i="12"/>
  <c r="P1104" i="12"/>
  <c r="L1103" i="12"/>
  <c r="M1103" i="12"/>
  <c r="Q1103" i="12" s="1"/>
  <c r="S1103" i="12"/>
  <c r="O1103" i="12"/>
  <c r="P1103" i="12"/>
  <c r="R1103" i="12"/>
  <c r="M1102" i="12"/>
  <c r="Q1102" i="12" s="1"/>
  <c r="S1102" i="12"/>
  <c r="L1102" i="12"/>
  <c r="P1102" i="12"/>
  <c r="R1102" i="12"/>
  <c r="O1102" i="12"/>
  <c r="L1101" i="12"/>
  <c r="S1101" i="12"/>
  <c r="M1101" i="12"/>
  <c r="Q1101" i="12" s="1"/>
  <c r="R1101" i="12"/>
  <c r="O1101" i="12"/>
  <c r="P1101" i="12"/>
  <c r="M1100" i="12"/>
  <c r="Q1100" i="12" s="1"/>
  <c r="L1100" i="12"/>
  <c r="S1100" i="12"/>
  <c r="R1100" i="12"/>
  <c r="O1100" i="12"/>
  <c r="P1100" i="12"/>
  <c r="S1099" i="12"/>
  <c r="L1099" i="12"/>
  <c r="M1099" i="12"/>
  <c r="Q1099" i="12" s="1"/>
  <c r="P1099" i="12"/>
  <c r="R1099" i="12"/>
  <c r="O1099" i="12"/>
  <c r="L1098" i="12"/>
  <c r="S1098" i="12"/>
  <c r="M1098" i="12"/>
  <c r="Q1098" i="12" s="1"/>
  <c r="O1098" i="12"/>
  <c r="P1098" i="12"/>
  <c r="R1098" i="12"/>
  <c r="L1097" i="12"/>
  <c r="M1097" i="12"/>
  <c r="Q1097" i="12" s="1"/>
  <c r="S1097" i="12"/>
  <c r="P1097" i="12"/>
  <c r="R1097" i="12"/>
  <c r="O1097" i="12"/>
  <c r="L1096" i="12"/>
  <c r="M1096" i="12"/>
  <c r="Q1096" i="12" s="1"/>
  <c r="S1096" i="12"/>
  <c r="R1096" i="12"/>
  <c r="O1096" i="12"/>
  <c r="P1096" i="12"/>
  <c r="S1095" i="12"/>
  <c r="L1095" i="12"/>
  <c r="M1095" i="12"/>
  <c r="Q1095" i="12" s="1"/>
  <c r="O1095" i="12"/>
  <c r="P1095" i="12"/>
  <c r="R1095" i="12"/>
  <c r="L1094" i="12"/>
  <c r="M1094" i="12"/>
  <c r="Q1094" i="12" s="1"/>
  <c r="S1094" i="12"/>
  <c r="P1094" i="12"/>
  <c r="R1094" i="12"/>
  <c r="O1094" i="12"/>
  <c r="M1093" i="12"/>
  <c r="Q1093" i="12" s="1"/>
  <c r="S1093" i="12"/>
  <c r="L1093" i="12"/>
  <c r="P1093" i="12"/>
  <c r="O1093" i="12"/>
  <c r="R1093" i="12"/>
  <c r="L1092" i="12"/>
  <c r="S1092" i="12"/>
  <c r="M1092" i="12"/>
  <c r="Q1092" i="12" s="1"/>
  <c r="O1092" i="12"/>
  <c r="R1092" i="12"/>
  <c r="P1092" i="12"/>
  <c r="L1091" i="12"/>
  <c r="M1091" i="12"/>
  <c r="Q1091" i="12" s="1"/>
  <c r="S1091" i="12"/>
  <c r="O1091" i="12"/>
  <c r="P1091" i="12"/>
  <c r="R1091" i="12"/>
  <c r="S1090" i="12"/>
  <c r="M1090" i="12"/>
  <c r="Q1090" i="12" s="1"/>
  <c r="L1090" i="12"/>
  <c r="O1090" i="12"/>
  <c r="P1090" i="12"/>
  <c r="R1090" i="12"/>
  <c r="M1089" i="12"/>
  <c r="Q1089" i="12" s="1"/>
  <c r="S1089" i="12"/>
  <c r="L1089" i="12"/>
  <c r="O1089" i="12"/>
  <c r="R1089" i="12"/>
  <c r="P1089" i="12"/>
  <c r="S1088" i="12"/>
  <c r="L1088" i="12"/>
  <c r="M1088" i="12"/>
  <c r="Q1088" i="12" s="1"/>
  <c r="R1088" i="12"/>
  <c r="O1088" i="12"/>
  <c r="P1088" i="12"/>
  <c r="M1087" i="12"/>
  <c r="Q1087" i="12" s="1"/>
  <c r="L1087" i="12"/>
  <c r="S1087" i="12"/>
  <c r="P1087" i="12"/>
  <c r="O1087" i="12"/>
  <c r="R1087" i="12"/>
  <c r="M1086" i="12"/>
  <c r="Q1086" i="12" s="1"/>
  <c r="L1086" i="12"/>
  <c r="S1086" i="12"/>
  <c r="P1086" i="12"/>
  <c r="O1086" i="12"/>
  <c r="R1086" i="12"/>
  <c r="L1085" i="12"/>
  <c r="S1085" i="12"/>
  <c r="M1085" i="12"/>
  <c r="Q1085" i="12" s="1"/>
  <c r="R1085" i="12"/>
  <c r="O1085" i="12"/>
  <c r="P1085" i="12"/>
  <c r="L1084" i="12"/>
  <c r="S1084" i="12"/>
  <c r="M1084" i="12"/>
  <c r="Q1084" i="12" s="1"/>
  <c r="R1084" i="12"/>
  <c r="O1084" i="12"/>
  <c r="P1084" i="12"/>
  <c r="L1083" i="12"/>
  <c r="M1083" i="12"/>
  <c r="Q1083" i="12" s="1"/>
  <c r="S1083" i="12"/>
  <c r="R1083" i="12"/>
  <c r="P1083" i="12"/>
  <c r="O1083" i="12"/>
  <c r="S1082" i="12"/>
  <c r="L1082" i="12"/>
  <c r="M1082" i="12"/>
  <c r="Q1082" i="12" s="1"/>
  <c r="R1082" i="12"/>
  <c r="P1082" i="12"/>
  <c r="O1082" i="12"/>
  <c r="M1081" i="12"/>
  <c r="Q1081" i="12" s="1"/>
  <c r="L1081" i="12"/>
  <c r="S1081" i="12"/>
  <c r="R1081" i="12"/>
  <c r="P1081" i="12"/>
  <c r="O1081" i="12"/>
  <c r="S1080" i="12"/>
  <c r="L1080" i="12"/>
  <c r="M1080" i="12"/>
  <c r="Q1080" i="12" s="1"/>
  <c r="O1080" i="12"/>
  <c r="P1080" i="12"/>
  <c r="R1080" i="12"/>
  <c r="L1079" i="12"/>
  <c r="M1079" i="12"/>
  <c r="Q1079" i="12" s="1"/>
  <c r="S1079" i="12"/>
  <c r="O1079" i="12"/>
  <c r="R1079" i="12"/>
  <c r="P1079" i="12"/>
  <c r="S1078" i="12"/>
  <c r="M1078" i="12"/>
  <c r="Q1078" i="12" s="1"/>
  <c r="L1078" i="12"/>
  <c r="P1078" i="12"/>
  <c r="O1078" i="12"/>
  <c r="R1078" i="12"/>
  <c r="L1077" i="12"/>
  <c r="M1077" i="12"/>
  <c r="Q1077" i="12" s="1"/>
  <c r="S1077" i="12"/>
  <c r="P1077" i="12"/>
  <c r="O1077" i="12"/>
  <c r="R1077" i="12"/>
  <c r="S1076" i="12"/>
  <c r="M1076" i="12"/>
  <c r="Q1076" i="12" s="1"/>
  <c r="L1076" i="12"/>
  <c r="R1076" i="12"/>
  <c r="O1076" i="12"/>
  <c r="P1076" i="12"/>
  <c r="S1075" i="12"/>
  <c r="M1075" i="12"/>
  <c r="Q1075" i="12" s="1"/>
  <c r="L1075" i="12"/>
  <c r="R1075" i="12"/>
  <c r="O1075" i="12"/>
  <c r="P1075" i="12"/>
  <c r="L1074" i="12"/>
  <c r="M1074" i="12"/>
  <c r="Q1074" i="12" s="1"/>
  <c r="S1074" i="12"/>
  <c r="P1074" i="12"/>
  <c r="R1074" i="12"/>
  <c r="O1074" i="12"/>
  <c r="S1073" i="12"/>
  <c r="L1073" i="12"/>
  <c r="M1073" i="12"/>
  <c r="Q1073" i="12" s="1"/>
  <c r="O1073" i="12"/>
  <c r="R1073" i="12"/>
  <c r="P1073" i="12"/>
  <c r="M1072" i="12"/>
  <c r="Q1072" i="12" s="1"/>
  <c r="L1072" i="12"/>
  <c r="S1072" i="12"/>
  <c r="P1072" i="12"/>
  <c r="O1072" i="12"/>
  <c r="R1072" i="12"/>
  <c r="L1071" i="12"/>
  <c r="M1071" i="12"/>
  <c r="Q1071" i="12" s="1"/>
  <c r="S1071" i="12"/>
  <c r="R1071" i="12"/>
  <c r="O1071" i="12"/>
  <c r="P1071" i="12"/>
  <c r="S1070" i="12"/>
  <c r="L1070" i="12"/>
  <c r="M1070" i="12"/>
  <c r="Q1070" i="12" s="1"/>
  <c r="P1070" i="12"/>
  <c r="R1070" i="12"/>
  <c r="O1070" i="12"/>
  <c r="L1069" i="12"/>
  <c r="M1069" i="12"/>
  <c r="Q1069" i="12" s="1"/>
  <c r="S1069" i="12"/>
  <c r="R1069" i="12"/>
  <c r="P1069" i="12"/>
  <c r="O1069" i="12"/>
  <c r="M1068" i="12"/>
  <c r="Q1068" i="12" s="1"/>
  <c r="S1068" i="12"/>
  <c r="L1068" i="12"/>
  <c r="R1068" i="12"/>
  <c r="O1068" i="12"/>
  <c r="P1068" i="12"/>
  <c r="M1067" i="12"/>
  <c r="Q1067" i="12" s="1"/>
  <c r="L1067" i="12"/>
  <c r="S1067" i="12"/>
  <c r="R1067" i="12"/>
  <c r="O1067" i="12"/>
  <c r="P1067" i="12"/>
  <c r="L1066" i="12"/>
  <c r="S1066" i="12"/>
  <c r="M1066" i="12"/>
  <c r="Q1066" i="12" s="1"/>
  <c r="O1066" i="12"/>
  <c r="P1066" i="12"/>
  <c r="R1066" i="12"/>
  <c r="S1065" i="12"/>
  <c r="L1065" i="12"/>
  <c r="M1065" i="12"/>
  <c r="Q1065" i="12" s="1"/>
  <c r="P1065" i="12"/>
  <c r="O1065" i="12"/>
  <c r="R1065" i="12"/>
  <c r="S1064" i="12"/>
  <c r="M1064" i="12"/>
  <c r="Q1064" i="12" s="1"/>
  <c r="L1064" i="12"/>
  <c r="O1064" i="12"/>
  <c r="R1064" i="12"/>
  <c r="P1064" i="12"/>
  <c r="S1063" i="12"/>
  <c r="M1063" i="12"/>
  <c r="Q1063" i="12" s="1"/>
  <c r="L1063" i="12"/>
  <c r="R1063" i="12"/>
  <c r="P1063" i="12"/>
  <c r="O1063" i="12"/>
  <c r="M1062" i="12"/>
  <c r="Q1062" i="12" s="1"/>
  <c r="S1062" i="12"/>
  <c r="L1062" i="12"/>
  <c r="O1062" i="12"/>
  <c r="P1062" i="12"/>
  <c r="R1062" i="12"/>
  <c r="M1061" i="12"/>
  <c r="Q1061" i="12" s="1"/>
  <c r="L1061" i="12"/>
  <c r="S1061" i="12"/>
  <c r="P1061" i="12"/>
  <c r="O1061" i="12"/>
  <c r="R1061" i="12"/>
  <c r="S1060" i="12"/>
  <c r="L1060" i="12"/>
  <c r="M1060" i="12"/>
  <c r="Q1060" i="12" s="1"/>
  <c r="O1060" i="12"/>
  <c r="R1060" i="12"/>
  <c r="P1060" i="12"/>
  <c r="S1059" i="12"/>
  <c r="L1059" i="12"/>
  <c r="M1059" i="12"/>
  <c r="Q1059" i="12" s="1"/>
  <c r="R1059" i="12"/>
  <c r="O1059" i="12"/>
  <c r="P1059" i="12"/>
  <c r="L1058" i="12"/>
  <c r="S1058" i="12"/>
  <c r="M1058" i="12"/>
  <c r="Q1058" i="12" s="1"/>
  <c r="P1058" i="12"/>
  <c r="R1058" i="12"/>
  <c r="O1058" i="12"/>
  <c r="S1057" i="12"/>
  <c r="M1057" i="12"/>
  <c r="Q1057" i="12" s="1"/>
  <c r="L1057" i="12"/>
  <c r="R1057" i="12"/>
  <c r="P1057" i="12"/>
  <c r="O1057" i="12"/>
  <c r="M1056" i="12"/>
  <c r="Q1056" i="12" s="1"/>
  <c r="S1056" i="12"/>
  <c r="L1056" i="12"/>
  <c r="R1056" i="12"/>
  <c r="P1056" i="12"/>
  <c r="O1056" i="12"/>
  <c r="L1055" i="12"/>
  <c r="S1055" i="12"/>
  <c r="M1055" i="12"/>
  <c r="Q1055" i="12" s="1"/>
  <c r="R1055" i="12"/>
  <c r="O1055" i="12"/>
  <c r="P1055" i="12"/>
  <c r="S1054" i="12"/>
  <c r="L1054" i="12"/>
  <c r="M1054" i="12"/>
  <c r="Q1054" i="12" s="1"/>
  <c r="P1054" i="12"/>
  <c r="R1054" i="12"/>
  <c r="O1054" i="12"/>
  <c r="M1053" i="12"/>
  <c r="Q1053" i="12" s="1"/>
  <c r="L1053" i="12"/>
  <c r="S1053" i="12"/>
  <c r="P1053" i="12"/>
  <c r="O1053" i="12"/>
  <c r="R1053" i="12"/>
  <c r="M1052" i="12"/>
  <c r="Q1052" i="12" s="1"/>
  <c r="L1052" i="12"/>
  <c r="S1052" i="12"/>
  <c r="P1052" i="12"/>
  <c r="R1052" i="12"/>
  <c r="O1052" i="12"/>
  <c r="M1051" i="12"/>
  <c r="Q1051" i="12" s="1"/>
  <c r="S1051" i="12"/>
  <c r="L1051" i="12"/>
  <c r="P1051" i="12"/>
  <c r="R1051" i="12"/>
  <c r="O1051" i="12"/>
  <c r="S1050" i="12"/>
  <c r="L1050" i="12"/>
  <c r="M1050" i="12"/>
  <c r="Q1050" i="12" s="1"/>
  <c r="P1050" i="12"/>
  <c r="R1050" i="12"/>
  <c r="O1050" i="12"/>
  <c r="S1049" i="12"/>
  <c r="L1049" i="12"/>
  <c r="M1049" i="12"/>
  <c r="Q1049" i="12" s="1"/>
  <c r="O1049" i="12"/>
  <c r="R1049" i="12"/>
  <c r="P1049" i="12"/>
  <c r="S1048" i="12"/>
  <c r="L1048" i="12"/>
  <c r="M1048" i="12"/>
  <c r="Q1048" i="12" s="1"/>
  <c r="O1048" i="12"/>
  <c r="P1048" i="12"/>
  <c r="R1048" i="12"/>
  <c r="L1047" i="12"/>
  <c r="M1047" i="12"/>
  <c r="Q1047" i="12" s="1"/>
  <c r="S1047" i="12"/>
  <c r="O1047" i="12"/>
  <c r="R1047" i="12"/>
  <c r="P1047" i="12"/>
  <c r="L1046" i="12"/>
  <c r="S1046" i="12"/>
  <c r="M1046" i="12"/>
  <c r="Q1046" i="12" s="1"/>
  <c r="P1046" i="12"/>
  <c r="R1046" i="12"/>
  <c r="O1046" i="12"/>
  <c r="L1045" i="12"/>
  <c r="S1045" i="12"/>
  <c r="M1045" i="12"/>
  <c r="Q1045" i="12" s="1"/>
  <c r="O1045" i="12"/>
  <c r="R1045" i="12"/>
  <c r="P1045" i="12"/>
  <c r="S1044" i="12"/>
  <c r="M1044" i="12"/>
  <c r="Q1044" i="12" s="1"/>
  <c r="L1044" i="12"/>
  <c r="R1044" i="12"/>
  <c r="P1044" i="12"/>
  <c r="O1044" i="12"/>
  <c r="M1043" i="12"/>
  <c r="Q1043" i="12" s="1"/>
  <c r="S1043" i="12"/>
  <c r="L1043" i="12"/>
  <c r="R1043" i="12"/>
  <c r="O1043" i="12"/>
  <c r="P1043" i="12"/>
  <c r="M1042" i="12"/>
  <c r="Q1042" i="12" s="1"/>
  <c r="S1042" i="12"/>
  <c r="L1042" i="12"/>
  <c r="O1042" i="12"/>
  <c r="R1042" i="12"/>
  <c r="P1042" i="12"/>
  <c r="L1041" i="12"/>
  <c r="S1041" i="12"/>
  <c r="M1041" i="12"/>
  <c r="Q1041" i="12" s="1"/>
  <c r="O1041" i="12"/>
  <c r="R1041" i="12"/>
  <c r="P1041" i="12"/>
  <c r="S1040" i="12"/>
  <c r="M1040" i="12"/>
  <c r="Q1040" i="12" s="1"/>
  <c r="L1040" i="12"/>
  <c r="R1040" i="12"/>
  <c r="P1040" i="12"/>
  <c r="O1040" i="12"/>
  <c r="L1039" i="12"/>
  <c r="M1039" i="12"/>
  <c r="Q1039" i="12" s="1"/>
  <c r="S1039" i="12"/>
  <c r="R1039" i="12"/>
  <c r="O1039" i="12"/>
  <c r="P1039" i="12"/>
  <c r="S1038" i="12"/>
  <c r="L1038" i="12"/>
  <c r="M1038" i="12"/>
  <c r="Q1038" i="12" s="1"/>
  <c r="R1038" i="12"/>
  <c r="O1038" i="12"/>
  <c r="P1038" i="12"/>
  <c r="L1037" i="12"/>
  <c r="M1037" i="12"/>
  <c r="Q1037" i="12" s="1"/>
  <c r="S1037" i="12"/>
  <c r="O1037" i="12"/>
  <c r="R1037" i="12"/>
  <c r="P1037" i="12"/>
  <c r="S1036" i="12"/>
  <c r="M1036" i="12"/>
  <c r="Q1036" i="12" s="1"/>
  <c r="L1036" i="12"/>
  <c r="P1036" i="12"/>
  <c r="O1036" i="12"/>
  <c r="R1036" i="12"/>
  <c r="L1035" i="12"/>
  <c r="M1035" i="12"/>
  <c r="Q1035" i="12" s="1"/>
  <c r="S1035" i="12"/>
  <c r="R1035" i="12"/>
  <c r="O1035" i="12"/>
  <c r="P1035" i="12"/>
  <c r="L1034" i="12"/>
  <c r="S1034" i="12"/>
  <c r="M1034" i="12"/>
  <c r="Q1034" i="12" s="1"/>
  <c r="R1034" i="12"/>
  <c r="P1034" i="12"/>
  <c r="O1034" i="12"/>
  <c r="L1033" i="12"/>
  <c r="S1033" i="12"/>
  <c r="M1033" i="12"/>
  <c r="Q1033" i="12" s="1"/>
  <c r="O1033" i="12"/>
  <c r="P1033" i="12"/>
  <c r="R1033" i="12"/>
  <c r="S1032" i="12"/>
  <c r="L1032" i="12"/>
  <c r="M1032" i="12"/>
  <c r="Q1032" i="12" s="1"/>
  <c r="O1032" i="12"/>
  <c r="P1032" i="12"/>
  <c r="R1032" i="12"/>
  <c r="L1031" i="12"/>
  <c r="M1031" i="12"/>
  <c r="Q1031" i="12" s="1"/>
  <c r="S1031" i="12"/>
  <c r="O1031" i="12"/>
  <c r="P1031" i="12"/>
  <c r="R1031" i="12"/>
  <c r="S1030" i="12"/>
  <c r="M1030" i="12"/>
  <c r="Q1030" i="12" s="1"/>
  <c r="L1030" i="12"/>
  <c r="O1030" i="12"/>
  <c r="P1030" i="12"/>
  <c r="R1030" i="12"/>
  <c r="M1029" i="12"/>
  <c r="Q1029" i="12" s="1"/>
  <c r="L1029" i="12"/>
  <c r="S1029" i="12"/>
  <c r="R1029" i="12"/>
  <c r="P1029" i="12"/>
  <c r="O1029" i="12"/>
  <c r="S1028" i="12"/>
  <c r="M1028" i="12"/>
  <c r="Q1028" i="12" s="1"/>
  <c r="L1028" i="12"/>
  <c r="R1028" i="12"/>
  <c r="P1028" i="12"/>
  <c r="O1028" i="12"/>
  <c r="S1027" i="12"/>
  <c r="M1027" i="12"/>
  <c r="Q1027" i="12" s="1"/>
  <c r="L1027" i="12"/>
  <c r="R1027" i="12"/>
  <c r="P1027" i="12"/>
  <c r="O1027" i="12"/>
  <c r="S1026" i="12"/>
  <c r="M1026" i="12"/>
  <c r="Q1026" i="12" s="1"/>
  <c r="L1026" i="12"/>
  <c r="R1026" i="12"/>
  <c r="P1026" i="12"/>
  <c r="O1026" i="12"/>
  <c r="S1025" i="12"/>
  <c r="M1025" i="12"/>
  <c r="Q1025" i="12" s="1"/>
  <c r="L1025" i="12"/>
  <c r="R1025" i="12"/>
  <c r="P1025" i="12"/>
  <c r="O1025" i="12"/>
  <c r="S1024" i="12"/>
  <c r="M1024" i="12"/>
  <c r="Q1024" i="12" s="1"/>
  <c r="L1024" i="12"/>
  <c r="R1024" i="12"/>
  <c r="P1024" i="12"/>
  <c r="O1024" i="12"/>
  <c r="S1023" i="12"/>
  <c r="M1023" i="12"/>
  <c r="Q1023" i="12" s="1"/>
  <c r="L1023" i="12"/>
  <c r="R1023" i="12"/>
  <c r="P1023" i="12"/>
  <c r="O1023" i="12"/>
  <c r="S1022" i="12"/>
  <c r="L1022" i="12"/>
  <c r="M1022" i="12"/>
  <c r="Q1022" i="12" s="1"/>
  <c r="P1022" i="12"/>
  <c r="R1022" i="12"/>
  <c r="O1022" i="12"/>
  <c r="M1021" i="12"/>
  <c r="Q1021" i="12" s="1"/>
  <c r="S1021" i="12"/>
  <c r="L1021" i="12"/>
  <c r="O1021" i="12"/>
  <c r="P1021" i="12"/>
  <c r="R1021" i="12"/>
  <c r="L1020" i="12"/>
  <c r="S1020" i="12"/>
  <c r="M1020" i="12"/>
  <c r="Q1020" i="12" s="1"/>
  <c r="O1020" i="12"/>
  <c r="R1020" i="12"/>
  <c r="P1020" i="12"/>
  <c r="L1019" i="12"/>
  <c r="M1019" i="12"/>
  <c r="Q1019" i="12" s="1"/>
  <c r="S1019" i="12"/>
  <c r="O1019" i="12"/>
  <c r="R1019" i="12"/>
  <c r="P1019" i="12"/>
  <c r="S1018" i="12"/>
  <c r="L1018" i="12"/>
  <c r="M1018" i="12"/>
  <c r="Q1018" i="12" s="1"/>
  <c r="R1018" i="12"/>
  <c r="P1018" i="12"/>
  <c r="O1018" i="12"/>
  <c r="S1017" i="12"/>
  <c r="M1017" i="12"/>
  <c r="Q1017" i="12" s="1"/>
  <c r="L1017" i="12"/>
  <c r="R1017" i="12"/>
  <c r="P1017" i="12"/>
  <c r="O1017" i="12"/>
  <c r="L1016" i="12"/>
  <c r="S1016" i="12"/>
  <c r="M1016" i="12"/>
  <c r="Q1016" i="12" s="1"/>
  <c r="R1016" i="12"/>
  <c r="P1016" i="12"/>
  <c r="O1016" i="12"/>
  <c r="S1015" i="12"/>
  <c r="L1015" i="12"/>
  <c r="M1015" i="12"/>
  <c r="Q1015" i="12" s="1"/>
  <c r="R1015" i="12"/>
  <c r="P1015" i="12"/>
  <c r="O1015" i="12"/>
  <c r="L1014" i="12"/>
  <c r="M1014" i="12"/>
  <c r="Q1014" i="12" s="1"/>
  <c r="S1014" i="12"/>
  <c r="P1014" i="12"/>
  <c r="O1014" i="12"/>
  <c r="R1014" i="12"/>
  <c r="S1013" i="12"/>
  <c r="M1013" i="12"/>
  <c r="Q1013" i="12" s="1"/>
  <c r="L1013" i="12"/>
  <c r="R1013" i="12"/>
  <c r="P1013" i="12"/>
  <c r="O1013" i="12"/>
  <c r="S1012" i="12"/>
  <c r="L1012" i="12"/>
  <c r="M1012" i="12"/>
  <c r="Q1012" i="12" s="1"/>
  <c r="O1012" i="12"/>
  <c r="P1012" i="12"/>
  <c r="R1012" i="12"/>
  <c r="L1011" i="12"/>
  <c r="S1011" i="12"/>
  <c r="M1011" i="12"/>
  <c r="Q1011" i="12" s="1"/>
  <c r="O1011" i="12"/>
  <c r="P1011" i="12"/>
  <c r="R1011" i="12"/>
  <c r="L1010" i="12"/>
  <c r="S1010" i="12"/>
  <c r="M1010" i="12"/>
  <c r="Q1010" i="12" s="1"/>
  <c r="O1010" i="12"/>
  <c r="R1010" i="12"/>
  <c r="P1010" i="12"/>
  <c r="L1009" i="12"/>
  <c r="S1009" i="12"/>
  <c r="M1009" i="12"/>
  <c r="Q1009" i="12" s="1"/>
  <c r="O1009" i="12"/>
  <c r="P1009" i="12"/>
  <c r="R1009" i="12"/>
  <c r="S1008" i="12"/>
  <c r="L1008" i="12"/>
  <c r="M1008" i="12"/>
  <c r="Q1008" i="12" s="1"/>
  <c r="P1008" i="12"/>
  <c r="R1008" i="12"/>
  <c r="O1008" i="12"/>
  <c r="M1007" i="12"/>
  <c r="Q1007" i="12" s="1"/>
  <c r="L1007" i="12"/>
  <c r="S1007" i="12"/>
  <c r="P1007" i="12"/>
  <c r="O1007" i="12"/>
  <c r="R1007" i="12"/>
  <c r="M1006" i="12"/>
  <c r="Q1006" i="12" s="1"/>
  <c r="S1006" i="12"/>
  <c r="L1006" i="12"/>
  <c r="P1006" i="12"/>
  <c r="O1006" i="12"/>
  <c r="R1006" i="12"/>
  <c r="M1005" i="12"/>
  <c r="Q1005" i="12" s="1"/>
  <c r="L1005" i="12"/>
  <c r="S1005" i="12"/>
  <c r="O1005" i="12"/>
  <c r="P1005" i="12"/>
  <c r="R1005" i="12"/>
  <c r="L1004" i="12"/>
  <c r="M1004" i="12"/>
  <c r="Q1004" i="12" s="1"/>
  <c r="S1004" i="12"/>
  <c r="P1004" i="12"/>
  <c r="R1004" i="12"/>
  <c r="O1004" i="12"/>
  <c r="M1003" i="12"/>
  <c r="Q1003" i="12" s="1"/>
  <c r="L1003" i="12"/>
  <c r="S1003" i="12"/>
  <c r="O1003" i="12"/>
  <c r="R1003" i="12"/>
  <c r="P1003" i="12"/>
  <c r="S1002" i="12"/>
  <c r="M1002" i="12"/>
  <c r="Q1002" i="12" s="1"/>
  <c r="L1002" i="12"/>
  <c r="R1002" i="12"/>
  <c r="O1002" i="12"/>
  <c r="P1002" i="12"/>
  <c r="S1001" i="12"/>
  <c r="M1001" i="12"/>
  <c r="Q1001" i="12" s="1"/>
  <c r="L1001" i="12"/>
  <c r="R1001" i="12"/>
  <c r="P1001" i="12"/>
  <c r="O1001" i="12"/>
  <c r="S1000" i="12"/>
  <c r="M1000" i="12"/>
  <c r="Q1000" i="12" s="1"/>
  <c r="L1000" i="12"/>
  <c r="R1000" i="12"/>
  <c r="P1000" i="12"/>
  <c r="O1000" i="12"/>
  <c r="S999" i="12"/>
  <c r="M999" i="12"/>
  <c r="Q999" i="12" s="1"/>
  <c r="L999" i="12"/>
  <c r="R999" i="12"/>
  <c r="P999" i="12"/>
  <c r="O999" i="12"/>
  <c r="S998" i="12"/>
  <c r="M998" i="12"/>
  <c r="Q998" i="12" s="1"/>
  <c r="L998" i="12"/>
  <c r="O998" i="12"/>
  <c r="P998" i="12"/>
  <c r="R998" i="12"/>
  <c r="L997" i="12"/>
  <c r="M997" i="12"/>
  <c r="Q997" i="12" s="1"/>
  <c r="S997" i="12"/>
  <c r="P997" i="12"/>
  <c r="R997" i="12"/>
  <c r="O997" i="12"/>
  <c r="L996" i="12"/>
  <c r="M996" i="12"/>
  <c r="Q996" i="12" s="1"/>
  <c r="S996" i="12"/>
  <c r="O996" i="12"/>
  <c r="R996" i="12"/>
  <c r="P996" i="12"/>
  <c r="S995" i="12"/>
  <c r="L995" i="12"/>
  <c r="M995" i="12"/>
  <c r="Q995" i="12" s="1"/>
  <c r="R995" i="12"/>
  <c r="O995" i="12"/>
  <c r="P995" i="12"/>
  <c r="S994" i="12"/>
  <c r="M994" i="12"/>
  <c r="Q994" i="12" s="1"/>
  <c r="L994" i="12"/>
  <c r="R994" i="12"/>
  <c r="O994" i="12"/>
  <c r="P994" i="12"/>
  <c r="S993" i="12"/>
  <c r="L993" i="12"/>
  <c r="M993" i="12"/>
  <c r="Q993" i="12" s="1"/>
  <c r="O993" i="12"/>
  <c r="P993" i="12"/>
  <c r="R993" i="12"/>
  <c r="M992" i="12"/>
  <c r="Q992" i="12" s="1"/>
  <c r="S992" i="12"/>
  <c r="L992" i="12"/>
  <c r="R992" i="12"/>
  <c r="O992" i="12"/>
  <c r="P992" i="12"/>
  <c r="L991" i="12"/>
  <c r="S991" i="12"/>
  <c r="M991" i="12"/>
  <c r="Q991" i="12" s="1"/>
  <c r="R991" i="12"/>
  <c r="O991" i="12"/>
  <c r="P991" i="12"/>
  <c r="L990" i="12"/>
  <c r="M990" i="12"/>
  <c r="Q990" i="12" s="1"/>
  <c r="S990" i="12"/>
  <c r="O990" i="12"/>
  <c r="P990" i="12"/>
  <c r="R990" i="12"/>
  <c r="S989" i="12"/>
  <c r="L989" i="12"/>
  <c r="M989" i="12"/>
  <c r="Q989" i="12" s="1"/>
  <c r="P989" i="12"/>
  <c r="R989" i="12"/>
  <c r="O989" i="12"/>
  <c r="M988" i="12"/>
  <c r="Q988" i="12" s="1"/>
  <c r="L988" i="12"/>
  <c r="S988" i="12"/>
  <c r="P988" i="12"/>
  <c r="R988" i="12"/>
  <c r="O988" i="12"/>
  <c r="L987" i="12"/>
  <c r="M987" i="12"/>
  <c r="Q987" i="12" s="1"/>
  <c r="S987" i="12"/>
  <c r="R987" i="12"/>
  <c r="P987" i="12"/>
  <c r="O987" i="12"/>
  <c r="L986" i="12"/>
  <c r="S986" i="12"/>
  <c r="M986" i="12"/>
  <c r="Q986" i="12" s="1"/>
  <c r="R986" i="12"/>
  <c r="O986" i="12"/>
  <c r="P986" i="12"/>
  <c r="M985" i="12"/>
  <c r="Q985" i="12" s="1"/>
  <c r="S985" i="12"/>
  <c r="L985" i="12"/>
  <c r="O985" i="12"/>
  <c r="P985" i="12"/>
  <c r="R985" i="12"/>
  <c r="L984" i="12"/>
  <c r="S984" i="12"/>
  <c r="M984" i="12"/>
  <c r="Q984" i="12" s="1"/>
  <c r="R984" i="12"/>
  <c r="O984" i="12"/>
  <c r="P984" i="12"/>
  <c r="M983" i="12"/>
  <c r="Q983" i="12" s="1"/>
  <c r="S983" i="12"/>
  <c r="L983" i="12"/>
  <c r="R983" i="12"/>
  <c r="O983" i="12"/>
  <c r="P983" i="12"/>
  <c r="L982" i="12"/>
  <c r="M982" i="12"/>
  <c r="Q982" i="12" s="1"/>
  <c r="S982" i="12"/>
  <c r="R982" i="12"/>
  <c r="P982" i="12"/>
  <c r="O982" i="12"/>
  <c r="M980" i="12"/>
  <c r="Q980" i="12" s="1"/>
  <c r="S980" i="12"/>
  <c r="L980" i="12"/>
  <c r="O980" i="12"/>
  <c r="P980" i="12"/>
  <c r="R980" i="12"/>
  <c r="M979" i="12"/>
  <c r="Q979" i="12" s="1"/>
  <c r="L979" i="12"/>
  <c r="S979" i="12"/>
  <c r="R979" i="12"/>
  <c r="P979" i="12"/>
  <c r="O979" i="12"/>
  <c r="M978" i="12"/>
  <c r="Q978" i="12" s="1"/>
  <c r="L978" i="12"/>
  <c r="S978" i="12"/>
  <c r="R978" i="12"/>
  <c r="P978" i="12"/>
  <c r="O978" i="12"/>
  <c r="S977" i="12"/>
  <c r="M977" i="12"/>
  <c r="Q977" i="12" s="1"/>
  <c r="L977" i="12"/>
  <c r="R977" i="12"/>
  <c r="O977" i="12"/>
  <c r="P977" i="12"/>
  <c r="S976" i="12"/>
  <c r="L976" i="12"/>
  <c r="M976" i="12"/>
  <c r="Q976" i="12" s="1"/>
  <c r="O976" i="12"/>
  <c r="R976" i="12"/>
  <c r="P976" i="12"/>
  <c r="L975" i="12"/>
  <c r="S975" i="12"/>
  <c r="M975" i="12"/>
  <c r="Q975" i="12" s="1"/>
  <c r="R975" i="12"/>
  <c r="P975" i="12"/>
  <c r="O975" i="12"/>
  <c r="S974" i="12"/>
  <c r="L974" i="12"/>
  <c r="M974" i="12"/>
  <c r="Q974" i="12" s="1"/>
  <c r="P974" i="12"/>
  <c r="R974" i="12"/>
  <c r="O974" i="12"/>
  <c r="M973" i="12"/>
  <c r="Q973" i="12" s="1"/>
  <c r="L973" i="12"/>
  <c r="S973" i="12"/>
  <c r="R973" i="12"/>
  <c r="P973" i="12"/>
  <c r="O973" i="12"/>
  <c r="S972" i="12"/>
  <c r="M972" i="12"/>
  <c r="Q972" i="12" s="1"/>
  <c r="L972" i="12"/>
  <c r="R972" i="12"/>
  <c r="P972" i="12"/>
  <c r="O972" i="12"/>
  <c r="S971" i="12"/>
  <c r="M971" i="12"/>
  <c r="Q971" i="12" s="1"/>
  <c r="L971" i="12"/>
  <c r="R971" i="12"/>
  <c r="P971" i="12"/>
  <c r="O971" i="12"/>
  <c r="S970" i="12"/>
  <c r="M970" i="12"/>
  <c r="Q970" i="12" s="1"/>
  <c r="L970" i="12"/>
  <c r="R970" i="12"/>
  <c r="P970" i="12"/>
  <c r="O970" i="12"/>
  <c r="S969" i="12"/>
  <c r="L969" i="12"/>
  <c r="M969" i="12"/>
  <c r="Q969" i="12" s="1"/>
  <c r="O969" i="12"/>
  <c r="P969" i="12"/>
  <c r="R969" i="12"/>
  <c r="L968" i="12"/>
  <c r="M968" i="12"/>
  <c r="Q968" i="12" s="1"/>
  <c r="S968" i="12"/>
  <c r="R968" i="12"/>
  <c r="O968" i="12"/>
  <c r="P968" i="12"/>
  <c r="M967" i="12"/>
  <c r="Q967" i="12" s="1"/>
  <c r="L967" i="12"/>
  <c r="S967" i="12"/>
  <c r="R967" i="12"/>
  <c r="P967" i="12"/>
  <c r="O967" i="12"/>
  <c r="M966" i="12"/>
  <c r="Q966" i="12" s="1"/>
  <c r="S966" i="12"/>
  <c r="L966" i="12"/>
  <c r="R966" i="12"/>
  <c r="P966" i="12"/>
  <c r="O966" i="12"/>
  <c r="L965" i="12"/>
  <c r="S965" i="12"/>
  <c r="M965" i="12"/>
  <c r="Q965" i="12" s="1"/>
  <c r="O965" i="12"/>
  <c r="R965" i="12"/>
  <c r="P965" i="12"/>
  <c r="S964" i="12"/>
  <c r="L964" i="12"/>
  <c r="M964" i="12"/>
  <c r="Q964" i="12" s="1"/>
  <c r="P964" i="12"/>
  <c r="O964" i="12"/>
  <c r="R964" i="12"/>
  <c r="S963" i="12"/>
  <c r="M963" i="12"/>
  <c r="Q963" i="12" s="1"/>
  <c r="L963" i="12"/>
  <c r="R963" i="12"/>
  <c r="P963" i="12"/>
  <c r="O963" i="12"/>
  <c r="S962" i="12"/>
  <c r="M962" i="12"/>
  <c r="Q962" i="12" s="1"/>
  <c r="L962" i="12"/>
  <c r="R962" i="12"/>
  <c r="P962" i="12"/>
  <c r="O962" i="12"/>
  <c r="M961" i="12"/>
  <c r="Q961" i="12" s="1"/>
  <c r="S961" i="12"/>
  <c r="L961" i="12"/>
  <c r="P961" i="12"/>
  <c r="O961" i="12"/>
  <c r="R961" i="12"/>
  <c r="M960" i="12"/>
  <c r="Q960" i="12" s="1"/>
  <c r="S960" i="12"/>
  <c r="L960" i="12"/>
  <c r="R960" i="12"/>
  <c r="P960" i="12"/>
  <c r="O960" i="12"/>
  <c r="S959" i="12"/>
  <c r="M959" i="12"/>
  <c r="Q959" i="12" s="1"/>
  <c r="L959" i="12"/>
  <c r="R959" i="12"/>
  <c r="P959" i="12"/>
  <c r="O959" i="12"/>
  <c r="S958" i="12"/>
  <c r="M958" i="12"/>
  <c r="Q958" i="12" s="1"/>
  <c r="L958" i="12"/>
  <c r="R958" i="12"/>
  <c r="O958" i="12"/>
  <c r="P958" i="12"/>
  <c r="M957" i="12"/>
  <c r="Q957" i="12" s="1"/>
  <c r="L957" i="12"/>
  <c r="S957" i="12"/>
  <c r="R957" i="12"/>
  <c r="P957" i="12"/>
  <c r="O957" i="12"/>
  <c r="L956" i="12"/>
  <c r="M956" i="12"/>
  <c r="Q956" i="12" s="1"/>
  <c r="S956" i="12"/>
  <c r="O956" i="12"/>
  <c r="P956" i="12"/>
  <c r="R956" i="12"/>
  <c r="M955" i="12"/>
  <c r="Q955" i="12" s="1"/>
  <c r="L955" i="12"/>
  <c r="S955" i="12"/>
  <c r="O955" i="12"/>
  <c r="P955" i="12"/>
  <c r="R955" i="12"/>
  <c r="S954" i="12"/>
  <c r="L954" i="12"/>
  <c r="M954" i="12"/>
  <c r="Q954" i="12" s="1"/>
  <c r="R954" i="12"/>
  <c r="O954" i="12"/>
  <c r="P954" i="12"/>
  <c r="S953" i="12"/>
  <c r="L953" i="12"/>
  <c r="M953" i="12"/>
  <c r="Q953" i="12" s="1"/>
  <c r="P953" i="12"/>
  <c r="O953" i="12"/>
  <c r="R953" i="12"/>
  <c r="S952" i="12"/>
  <c r="M952" i="12"/>
  <c r="Q952" i="12" s="1"/>
  <c r="L952" i="12"/>
  <c r="O952" i="12"/>
  <c r="R952" i="12"/>
  <c r="P952" i="12"/>
  <c r="S951" i="12"/>
  <c r="M951" i="12"/>
  <c r="Q951" i="12" s="1"/>
  <c r="L951" i="12"/>
  <c r="R951" i="12"/>
  <c r="O951" i="12"/>
  <c r="P951" i="12"/>
  <c r="M950" i="12"/>
  <c r="Q950" i="12" s="1"/>
  <c r="L950" i="12"/>
  <c r="S950" i="12"/>
  <c r="R950" i="12"/>
  <c r="O950" i="12"/>
  <c r="P950" i="12"/>
  <c r="M949" i="12"/>
  <c r="Q949" i="12" s="1"/>
  <c r="L949" i="12"/>
  <c r="S949" i="12"/>
  <c r="R949" i="12"/>
  <c r="O949" i="12"/>
  <c r="P949" i="12"/>
  <c r="S948" i="12"/>
  <c r="M948" i="12"/>
  <c r="Q948" i="12" s="1"/>
  <c r="L948" i="12"/>
  <c r="R948" i="12"/>
  <c r="P948" i="12"/>
  <c r="O948" i="12"/>
  <c r="S947" i="12"/>
  <c r="M947" i="12"/>
  <c r="Q947" i="12" s="1"/>
  <c r="L947" i="12"/>
  <c r="P947" i="12"/>
  <c r="O947" i="12"/>
  <c r="R947" i="12"/>
  <c r="S946" i="12"/>
  <c r="M946" i="12"/>
  <c r="Q946" i="12" s="1"/>
  <c r="L946" i="12"/>
  <c r="P946" i="12"/>
  <c r="R946" i="12"/>
  <c r="O946" i="12"/>
  <c r="S945" i="12"/>
  <c r="L945" i="12"/>
  <c r="M945" i="12"/>
  <c r="Q945" i="12" s="1"/>
  <c r="P945" i="12"/>
  <c r="O945" i="12"/>
  <c r="R945" i="12"/>
  <c r="S944" i="12"/>
  <c r="L944" i="12"/>
  <c r="M944" i="12"/>
  <c r="Q944" i="12" s="1"/>
  <c r="O944" i="12"/>
  <c r="P944" i="12"/>
  <c r="R944" i="12"/>
  <c r="S943" i="12"/>
  <c r="M943" i="12"/>
  <c r="Q943" i="12" s="1"/>
  <c r="L943" i="12"/>
  <c r="P943" i="12"/>
  <c r="O943" i="12"/>
  <c r="R943" i="12"/>
  <c r="L942" i="12"/>
  <c r="M942" i="12"/>
  <c r="Q942" i="12" s="1"/>
  <c r="S942" i="12"/>
  <c r="P942" i="12"/>
  <c r="O942" i="12"/>
  <c r="R942" i="12"/>
  <c r="S941" i="12"/>
  <c r="L941" i="12"/>
  <c r="M941" i="12"/>
  <c r="Q941" i="12" s="1"/>
  <c r="O941" i="12"/>
  <c r="R941" i="12"/>
  <c r="P941" i="12"/>
  <c r="S940" i="12"/>
  <c r="M940" i="12"/>
  <c r="Q940" i="12" s="1"/>
  <c r="L940" i="12"/>
  <c r="R940" i="12"/>
  <c r="P940" i="12"/>
  <c r="O940" i="12"/>
  <c r="S939" i="12"/>
  <c r="M939" i="12"/>
  <c r="Q939" i="12" s="1"/>
  <c r="L939" i="12"/>
  <c r="R939" i="12"/>
  <c r="O939" i="12"/>
  <c r="P939" i="12"/>
  <c r="S938" i="12"/>
  <c r="M938" i="12"/>
  <c r="Q938" i="12" s="1"/>
  <c r="L938" i="12"/>
  <c r="R938" i="12"/>
  <c r="P938" i="12"/>
  <c r="O938" i="12"/>
  <c r="L937" i="12"/>
  <c r="S937" i="12"/>
  <c r="M937" i="12"/>
  <c r="Q937" i="12" s="1"/>
  <c r="O937" i="12"/>
  <c r="P937" i="12"/>
  <c r="R937" i="12"/>
  <c r="S936" i="12"/>
  <c r="M936" i="12"/>
  <c r="Q936" i="12" s="1"/>
  <c r="L936" i="12"/>
  <c r="R936" i="12"/>
  <c r="P936" i="12"/>
  <c r="O936" i="12"/>
  <c r="M935" i="12"/>
  <c r="Q935" i="12" s="1"/>
  <c r="S935" i="12"/>
  <c r="L935" i="12"/>
  <c r="O935" i="12"/>
  <c r="P935" i="12"/>
  <c r="R935" i="12"/>
  <c r="L934" i="12"/>
  <c r="M934" i="12"/>
  <c r="Q934" i="12" s="1"/>
  <c r="S934" i="12"/>
  <c r="O934" i="12"/>
  <c r="P934" i="12"/>
  <c r="R934" i="12"/>
  <c r="M933" i="12"/>
  <c r="Q933" i="12" s="1"/>
  <c r="L933" i="12"/>
  <c r="S933" i="12"/>
  <c r="O933" i="12"/>
  <c r="R933" i="12"/>
  <c r="P933" i="12"/>
  <c r="S932" i="12"/>
  <c r="L932" i="12"/>
  <c r="M932" i="12"/>
  <c r="Q932" i="12" s="1"/>
  <c r="P932" i="12"/>
  <c r="O932" i="12"/>
  <c r="R932" i="12"/>
  <c r="S931" i="12"/>
  <c r="L931" i="12"/>
  <c r="M931" i="12"/>
  <c r="Q931" i="12" s="1"/>
  <c r="R931" i="12"/>
  <c r="P931" i="12"/>
  <c r="O931" i="12"/>
  <c r="M930" i="12"/>
  <c r="Q930" i="12" s="1"/>
  <c r="S930" i="12"/>
  <c r="L930" i="12"/>
  <c r="O930" i="12"/>
  <c r="R930" i="12"/>
  <c r="P930" i="12"/>
  <c r="L929" i="12"/>
  <c r="S929" i="12"/>
  <c r="M929" i="12"/>
  <c r="Q929" i="12" s="1"/>
  <c r="O929" i="12"/>
  <c r="R929" i="12"/>
  <c r="P929" i="12"/>
  <c r="L928" i="12"/>
  <c r="M928" i="12"/>
  <c r="Q928" i="12" s="1"/>
  <c r="S928" i="12"/>
  <c r="R928" i="12"/>
  <c r="P928" i="12"/>
  <c r="O928" i="12"/>
  <c r="M927" i="12"/>
  <c r="Q927" i="12" s="1"/>
  <c r="L927" i="12"/>
  <c r="S927" i="12"/>
  <c r="R927" i="12"/>
  <c r="O927" i="12"/>
  <c r="P927" i="12"/>
  <c r="L926" i="12"/>
  <c r="M926" i="12"/>
  <c r="Q926" i="12" s="1"/>
  <c r="S926" i="12"/>
  <c r="P926" i="12"/>
  <c r="O926" i="12"/>
  <c r="R926" i="12"/>
  <c r="M925" i="12"/>
  <c r="Q925" i="12" s="1"/>
  <c r="L925" i="12"/>
  <c r="S925" i="12"/>
  <c r="O925" i="12"/>
  <c r="P925" i="12"/>
  <c r="R925" i="12"/>
  <c r="L924" i="12"/>
  <c r="S924" i="12"/>
  <c r="M924" i="12"/>
  <c r="Q924" i="12" s="1"/>
  <c r="O924" i="12"/>
  <c r="P924" i="12"/>
  <c r="R924" i="12"/>
  <c r="S923" i="12"/>
  <c r="L923" i="12"/>
  <c r="M923" i="12"/>
  <c r="Q923" i="12" s="1"/>
  <c r="O923" i="12"/>
  <c r="R923" i="12"/>
  <c r="P923" i="12"/>
  <c r="S922" i="12"/>
  <c r="L922" i="12"/>
  <c r="M922" i="12"/>
  <c r="Q922" i="12" s="1"/>
  <c r="P922" i="12"/>
  <c r="R922" i="12"/>
  <c r="O922" i="12"/>
  <c r="M921" i="12"/>
  <c r="Q921" i="12" s="1"/>
  <c r="S921" i="12"/>
  <c r="L921" i="12"/>
  <c r="P921" i="12"/>
  <c r="R921" i="12"/>
  <c r="O921" i="12"/>
  <c r="M920" i="12"/>
  <c r="Q920" i="12" s="1"/>
  <c r="S920" i="12"/>
  <c r="L920" i="12"/>
  <c r="R920" i="12"/>
  <c r="P920" i="12"/>
  <c r="O920" i="12"/>
  <c r="S919" i="12"/>
  <c r="M919" i="12"/>
  <c r="Q919" i="12" s="1"/>
  <c r="L919" i="12"/>
  <c r="P919" i="12"/>
  <c r="O919" i="12"/>
  <c r="R919" i="12"/>
  <c r="L918" i="12"/>
  <c r="S918" i="12"/>
  <c r="M918" i="12"/>
  <c r="Q918" i="12" s="1"/>
  <c r="R918" i="12"/>
  <c r="O918" i="12"/>
  <c r="P918" i="12"/>
  <c r="M916" i="12"/>
  <c r="Q916" i="12" s="1"/>
  <c r="L916" i="12"/>
  <c r="S916" i="12"/>
  <c r="O916" i="12"/>
  <c r="R916" i="12"/>
  <c r="P916" i="12"/>
  <c r="S915" i="12"/>
  <c r="L915" i="12"/>
  <c r="M915" i="12"/>
  <c r="Q915" i="12" s="1"/>
  <c r="O915" i="12"/>
  <c r="P915" i="12"/>
  <c r="R915" i="12"/>
  <c r="S914" i="12"/>
  <c r="M914" i="12"/>
  <c r="Q914" i="12" s="1"/>
  <c r="L914" i="12"/>
  <c r="R914" i="12"/>
  <c r="P914" i="12"/>
  <c r="O914" i="12"/>
  <c r="S913" i="12"/>
  <c r="M913" i="12"/>
  <c r="Q913" i="12" s="1"/>
  <c r="L913" i="12"/>
  <c r="R913" i="12"/>
  <c r="P913" i="12"/>
  <c r="O913" i="12"/>
  <c r="S912" i="12"/>
  <c r="M912" i="12"/>
  <c r="Q912" i="12" s="1"/>
  <c r="L912" i="12"/>
  <c r="R912" i="12"/>
  <c r="P912" i="12"/>
  <c r="O912" i="12"/>
  <c r="S911" i="12"/>
  <c r="M911" i="12"/>
  <c r="Q911" i="12" s="1"/>
  <c r="L911" i="12"/>
  <c r="R911" i="12"/>
  <c r="P911" i="12"/>
  <c r="O911" i="12"/>
  <c r="S910" i="12"/>
  <c r="M910" i="12"/>
  <c r="Q910" i="12" s="1"/>
  <c r="L910" i="12"/>
  <c r="R910" i="12"/>
  <c r="O910" i="12"/>
  <c r="P910" i="12"/>
  <c r="M909" i="12"/>
  <c r="Q909" i="12" s="1"/>
  <c r="L909" i="12"/>
  <c r="S909" i="12"/>
  <c r="R909" i="12"/>
  <c r="P909" i="12"/>
  <c r="O909" i="12"/>
  <c r="S908" i="12"/>
  <c r="L908" i="12"/>
  <c r="M908" i="12"/>
  <c r="Q908" i="12" s="1"/>
  <c r="P908" i="12"/>
  <c r="R908" i="12"/>
  <c r="O908" i="12"/>
  <c r="S907" i="12"/>
  <c r="M907" i="12"/>
  <c r="Q907" i="12" s="1"/>
  <c r="L907" i="12"/>
  <c r="P907" i="12"/>
  <c r="O907" i="12"/>
  <c r="R907" i="12"/>
  <c r="L906" i="12"/>
  <c r="S906" i="12"/>
  <c r="M906" i="12"/>
  <c r="Q906" i="12" s="1"/>
  <c r="O906" i="12"/>
  <c r="P906" i="12"/>
  <c r="R906" i="12"/>
  <c r="S905" i="12"/>
  <c r="L905" i="12"/>
  <c r="M905" i="12"/>
  <c r="Q905" i="12" s="1"/>
  <c r="R905" i="12"/>
  <c r="P905" i="12"/>
  <c r="O905" i="12"/>
  <c r="M904" i="12"/>
  <c r="Q904" i="12" s="1"/>
  <c r="S904" i="12"/>
  <c r="L904" i="12"/>
  <c r="O904" i="12"/>
  <c r="P904" i="12"/>
  <c r="R904" i="12"/>
  <c r="S903" i="12"/>
  <c r="M903" i="12"/>
  <c r="Q903" i="12" s="1"/>
  <c r="L903" i="12"/>
  <c r="R903" i="12"/>
  <c r="O903" i="12"/>
  <c r="P903" i="12"/>
  <c r="S902" i="12"/>
  <c r="L902" i="12"/>
  <c r="M902" i="12"/>
  <c r="Q902" i="12" s="1"/>
  <c r="O902" i="12"/>
  <c r="P902" i="12"/>
  <c r="R902" i="12"/>
  <c r="M901" i="12"/>
  <c r="Q901" i="12" s="1"/>
  <c r="L901" i="12"/>
  <c r="S901" i="12"/>
  <c r="R901" i="12"/>
  <c r="O901" i="12"/>
  <c r="P901" i="12"/>
  <c r="S900" i="12"/>
  <c r="L900" i="12"/>
  <c r="M900" i="12"/>
  <c r="Q900" i="12" s="1"/>
  <c r="O900" i="12"/>
  <c r="P900" i="12"/>
  <c r="R900" i="12"/>
  <c r="M899" i="12"/>
  <c r="Q899" i="12" s="1"/>
  <c r="L899" i="12"/>
  <c r="S899" i="12"/>
  <c r="R899" i="12"/>
  <c r="P899" i="12"/>
  <c r="O899" i="12"/>
  <c r="S898" i="12"/>
  <c r="M898" i="12"/>
  <c r="Q898" i="12" s="1"/>
  <c r="L898" i="12"/>
  <c r="O898" i="12"/>
  <c r="R898" i="12"/>
  <c r="P898" i="12"/>
  <c r="L897" i="12"/>
  <c r="M897" i="12"/>
  <c r="Q897" i="12" s="1"/>
  <c r="S897" i="12"/>
  <c r="R897" i="12"/>
  <c r="O897" i="12"/>
  <c r="P897" i="12"/>
  <c r="M896" i="12"/>
  <c r="Q896" i="12" s="1"/>
  <c r="S896" i="12"/>
  <c r="L896" i="12"/>
  <c r="O896" i="12"/>
  <c r="P896" i="12"/>
  <c r="R896" i="12"/>
  <c r="L895" i="12"/>
  <c r="M895" i="12"/>
  <c r="Q895" i="12" s="1"/>
  <c r="S895" i="12"/>
  <c r="P895" i="12"/>
  <c r="R895" i="12"/>
  <c r="O895" i="12"/>
  <c r="S894" i="12"/>
  <c r="M894" i="12"/>
  <c r="Q894" i="12" s="1"/>
  <c r="L894" i="12"/>
  <c r="R894" i="12"/>
  <c r="P894" i="12"/>
  <c r="O894" i="12"/>
  <c r="M893" i="12"/>
  <c r="Q893" i="12" s="1"/>
  <c r="L893" i="12"/>
  <c r="S893" i="12"/>
  <c r="O893" i="12"/>
  <c r="P893" i="12"/>
  <c r="R893" i="12"/>
  <c r="L892" i="12"/>
  <c r="M892" i="12"/>
  <c r="Q892" i="12" s="1"/>
  <c r="S892" i="12"/>
  <c r="R892" i="12"/>
  <c r="O892" i="12"/>
  <c r="P892" i="12"/>
  <c r="M891" i="12"/>
  <c r="Q891" i="12" s="1"/>
  <c r="L891" i="12"/>
  <c r="S891" i="12"/>
  <c r="R891" i="12"/>
  <c r="O891" i="12"/>
  <c r="P891" i="12"/>
  <c r="L890" i="12"/>
  <c r="S890" i="12"/>
  <c r="M890" i="12"/>
  <c r="Q890" i="12" s="1"/>
  <c r="P890" i="12"/>
  <c r="R890" i="12"/>
  <c r="O890" i="12"/>
  <c r="M889" i="12"/>
  <c r="Q889" i="12" s="1"/>
  <c r="S889" i="12"/>
  <c r="L889" i="12"/>
  <c r="R889" i="12"/>
  <c r="O889" i="12"/>
  <c r="P889" i="12"/>
  <c r="S888" i="12"/>
  <c r="M888" i="12"/>
  <c r="Q888" i="12" s="1"/>
  <c r="L888" i="12"/>
  <c r="R888" i="12"/>
  <c r="O888" i="12"/>
  <c r="P888" i="12"/>
  <c r="S887" i="12"/>
  <c r="M887" i="12"/>
  <c r="Q887" i="12" s="1"/>
  <c r="L887" i="12"/>
  <c r="P887" i="12"/>
  <c r="O887" i="12"/>
  <c r="R887" i="12"/>
  <c r="L886" i="12"/>
  <c r="M886" i="12"/>
  <c r="Q886" i="12" s="1"/>
  <c r="S886" i="12"/>
  <c r="R886" i="12"/>
  <c r="P886" i="12"/>
  <c r="O886" i="12"/>
  <c r="S885" i="12"/>
  <c r="L885" i="12"/>
  <c r="M885" i="12"/>
  <c r="Q885" i="12" s="1"/>
  <c r="R885" i="12"/>
  <c r="P885" i="12"/>
  <c r="O885" i="12"/>
  <c r="M884" i="12"/>
  <c r="Q884" i="12" s="1"/>
  <c r="L884" i="12"/>
  <c r="S884" i="12"/>
  <c r="R884" i="12"/>
  <c r="P884" i="12"/>
  <c r="O884" i="12"/>
  <c r="S883" i="12"/>
  <c r="L883" i="12"/>
  <c r="M883" i="12"/>
  <c r="Q883" i="12" s="1"/>
  <c r="O883" i="12"/>
  <c r="R883" i="12"/>
  <c r="P883" i="12"/>
  <c r="L882" i="12"/>
  <c r="S882" i="12"/>
  <c r="M882" i="12"/>
  <c r="Q882" i="12" s="1"/>
  <c r="P882" i="12"/>
  <c r="R882" i="12"/>
  <c r="O882" i="12"/>
  <c r="S881" i="12"/>
  <c r="L881" i="12"/>
  <c r="M881" i="12"/>
  <c r="Q881" i="12" s="1"/>
  <c r="R881" i="12"/>
  <c r="P881" i="12"/>
  <c r="O881" i="12"/>
  <c r="L880" i="12"/>
  <c r="S880" i="12"/>
  <c r="M880" i="12"/>
  <c r="Q880" i="12" s="1"/>
  <c r="R880" i="12"/>
  <c r="P880" i="12"/>
  <c r="O880" i="12"/>
  <c r="L879" i="12"/>
  <c r="M879" i="12"/>
  <c r="Q879" i="12" s="1"/>
  <c r="S879" i="12"/>
  <c r="O879" i="12"/>
  <c r="R879" i="12"/>
  <c r="P879" i="12"/>
  <c r="M878" i="12"/>
  <c r="Q878" i="12" s="1"/>
  <c r="L878" i="12"/>
  <c r="S878" i="12"/>
  <c r="R878" i="12"/>
  <c r="P878" i="12"/>
  <c r="O878" i="12"/>
  <c r="S877" i="12"/>
  <c r="M877" i="12"/>
  <c r="Q877" i="12" s="1"/>
  <c r="L877" i="12"/>
  <c r="R877" i="12"/>
  <c r="P877" i="12"/>
  <c r="O877" i="12"/>
  <c r="L876" i="12"/>
  <c r="S876" i="12"/>
  <c r="M876" i="12"/>
  <c r="Q876" i="12" s="1"/>
  <c r="R876" i="12"/>
  <c r="P876" i="12"/>
  <c r="O876" i="12"/>
  <c r="M875" i="12"/>
  <c r="Q875" i="12" s="1"/>
  <c r="L875" i="12"/>
  <c r="S875" i="12"/>
  <c r="R875" i="12"/>
  <c r="O875" i="12"/>
  <c r="P875" i="12"/>
  <c r="M874" i="12"/>
  <c r="Q874" i="12" s="1"/>
  <c r="S874" i="12"/>
  <c r="L874" i="12"/>
  <c r="P874" i="12"/>
  <c r="R874" i="12"/>
  <c r="O874" i="12"/>
  <c r="S873" i="12"/>
  <c r="M873" i="12"/>
  <c r="Q873" i="12" s="1"/>
  <c r="L873" i="12"/>
  <c r="P873" i="12"/>
  <c r="O873" i="12"/>
  <c r="R873" i="12"/>
  <c r="S872" i="12"/>
  <c r="M872" i="12"/>
  <c r="Q872" i="12" s="1"/>
  <c r="L872" i="12"/>
  <c r="R872" i="12"/>
  <c r="P872" i="12"/>
  <c r="O872" i="12"/>
  <c r="M871" i="12"/>
  <c r="Q871" i="12" s="1"/>
  <c r="L871" i="12"/>
  <c r="S871" i="12"/>
  <c r="O871" i="12"/>
  <c r="R871" i="12"/>
  <c r="P871" i="12"/>
  <c r="S870" i="12"/>
  <c r="M870" i="12"/>
  <c r="Q870" i="12" s="1"/>
  <c r="L870" i="12"/>
  <c r="R870" i="12"/>
  <c r="P870" i="12"/>
  <c r="O870" i="12"/>
  <c r="M869" i="12"/>
  <c r="Q869" i="12" s="1"/>
  <c r="L869" i="12"/>
  <c r="S869" i="12"/>
  <c r="O869" i="12"/>
  <c r="P869" i="12"/>
  <c r="R869" i="12"/>
  <c r="M868" i="12"/>
  <c r="Q868" i="12" s="1"/>
  <c r="L868" i="12"/>
  <c r="S868" i="12"/>
  <c r="R868" i="12"/>
  <c r="P868" i="12"/>
  <c r="O868" i="12"/>
  <c r="S867" i="12"/>
  <c r="M867" i="12"/>
  <c r="Q867" i="12" s="1"/>
  <c r="L867" i="12"/>
  <c r="R867" i="12"/>
  <c r="P867" i="12"/>
  <c r="O867" i="12"/>
  <c r="M866" i="12"/>
  <c r="Q866" i="12" s="1"/>
  <c r="L866" i="12"/>
  <c r="S866" i="12"/>
  <c r="P866" i="12"/>
  <c r="O866" i="12"/>
  <c r="R866" i="12"/>
  <c r="L865" i="12"/>
  <c r="S865" i="12"/>
  <c r="M865" i="12"/>
  <c r="Q865" i="12" s="1"/>
  <c r="P865" i="12"/>
  <c r="O865" i="12"/>
  <c r="R865" i="12"/>
  <c r="S864" i="12"/>
  <c r="M864" i="12"/>
  <c r="Q864" i="12" s="1"/>
  <c r="L864" i="12"/>
  <c r="R864" i="12"/>
  <c r="P864" i="12"/>
  <c r="O864" i="12"/>
  <c r="S863" i="12"/>
  <c r="M863" i="12"/>
  <c r="Q863" i="12" s="1"/>
  <c r="L863" i="12"/>
  <c r="R863" i="12"/>
  <c r="P863" i="12"/>
  <c r="O863" i="12"/>
  <c r="S862" i="12"/>
  <c r="L862" i="12"/>
  <c r="M862" i="12"/>
  <c r="Q862" i="12" s="1"/>
  <c r="R862" i="12"/>
  <c r="P862" i="12"/>
  <c r="O862" i="12"/>
  <c r="S861" i="12"/>
  <c r="M861" i="12"/>
  <c r="Q861" i="12" s="1"/>
  <c r="L861" i="12"/>
  <c r="R861" i="12"/>
  <c r="P861" i="12"/>
  <c r="O861" i="12"/>
  <c r="S860" i="12"/>
  <c r="M860" i="12"/>
  <c r="Q860" i="12" s="1"/>
  <c r="L860" i="12"/>
  <c r="R860" i="12"/>
  <c r="P860" i="12"/>
  <c r="O860" i="12"/>
  <c r="S859" i="12"/>
  <c r="M859" i="12"/>
  <c r="Q859" i="12" s="1"/>
  <c r="L859" i="12"/>
  <c r="R859" i="12"/>
  <c r="P859" i="12"/>
  <c r="O859" i="12"/>
  <c r="S858" i="12"/>
  <c r="M858" i="12"/>
  <c r="Q858" i="12" s="1"/>
  <c r="L858" i="12"/>
  <c r="R858" i="12"/>
  <c r="P858" i="12"/>
  <c r="O858" i="12"/>
  <c r="S857" i="12"/>
  <c r="M857" i="12"/>
  <c r="Q857" i="12" s="1"/>
  <c r="L857" i="12"/>
  <c r="R857" i="12"/>
  <c r="P857" i="12"/>
  <c r="O857" i="12"/>
  <c r="S856" i="12"/>
  <c r="M856" i="12"/>
  <c r="Q856" i="12" s="1"/>
  <c r="L856" i="12"/>
  <c r="R856" i="12"/>
  <c r="P856" i="12"/>
  <c r="O856" i="12"/>
  <c r="S855" i="12"/>
  <c r="M855" i="12"/>
  <c r="Q855" i="12" s="1"/>
  <c r="L855" i="12"/>
  <c r="R855" i="12"/>
  <c r="P855" i="12"/>
  <c r="O855" i="12"/>
  <c r="S854" i="12"/>
  <c r="M854" i="12"/>
  <c r="Q854" i="12" s="1"/>
  <c r="L854" i="12"/>
  <c r="R854" i="12"/>
  <c r="P854" i="12"/>
  <c r="O854" i="12"/>
  <c r="L853" i="12"/>
  <c r="M853" i="12"/>
  <c r="Q853" i="12" s="1"/>
  <c r="L852" i="12"/>
  <c r="M852" i="12"/>
  <c r="Q852" i="12" s="1"/>
  <c r="S852" i="12"/>
  <c r="O852" i="12"/>
  <c r="P852" i="12"/>
  <c r="R852" i="12"/>
  <c r="M851" i="12"/>
  <c r="Q851" i="12" s="1"/>
  <c r="L851" i="12"/>
  <c r="S851" i="12"/>
  <c r="P851" i="12"/>
  <c r="O851" i="12"/>
  <c r="R851" i="12"/>
  <c r="S850" i="12"/>
  <c r="M850" i="12"/>
  <c r="Q850" i="12" s="1"/>
  <c r="L850" i="12"/>
  <c r="R850" i="12"/>
  <c r="P850" i="12"/>
  <c r="O850" i="12"/>
  <c r="S849" i="12"/>
  <c r="M849" i="12"/>
  <c r="Q849" i="12" s="1"/>
  <c r="L849" i="12"/>
  <c r="P849" i="12"/>
  <c r="O849" i="12"/>
  <c r="R849" i="12"/>
  <c r="M848" i="12"/>
  <c r="Q848" i="12" s="1"/>
  <c r="L848" i="12"/>
  <c r="S848" i="12"/>
  <c r="P848" i="12"/>
  <c r="O848" i="12"/>
  <c r="R848" i="12"/>
  <c r="L847" i="12"/>
  <c r="S847" i="12"/>
  <c r="M847" i="12"/>
  <c r="Q847" i="12" s="1"/>
  <c r="O847" i="12"/>
  <c r="P847" i="12"/>
  <c r="R847" i="12"/>
  <c r="L846" i="12"/>
  <c r="S846" i="12"/>
  <c r="M846" i="12"/>
  <c r="Q846" i="12" s="1"/>
  <c r="O846" i="12"/>
  <c r="P846" i="12"/>
  <c r="R846" i="12"/>
  <c r="M845" i="12"/>
  <c r="Q845" i="12" s="1"/>
  <c r="S845" i="12"/>
  <c r="L845" i="12"/>
  <c r="O845" i="12"/>
  <c r="P845" i="12"/>
  <c r="R845" i="12"/>
  <c r="S844" i="12"/>
  <c r="M844" i="12"/>
  <c r="Q844" i="12" s="1"/>
  <c r="L844" i="12"/>
  <c r="R844" i="12"/>
  <c r="P844" i="12"/>
  <c r="O844" i="12"/>
  <c r="S843" i="12"/>
  <c r="M843" i="12"/>
  <c r="Q843" i="12" s="1"/>
  <c r="L843" i="12"/>
  <c r="R843" i="12"/>
  <c r="P843" i="12"/>
  <c r="O843" i="12"/>
  <c r="L842" i="12"/>
  <c r="M842" i="12"/>
  <c r="Q842" i="12" s="1"/>
  <c r="S842" i="12"/>
  <c r="O842" i="12"/>
  <c r="P842" i="12"/>
  <c r="R842" i="12"/>
  <c r="L841" i="12"/>
  <c r="S841" i="12"/>
  <c r="M841" i="12"/>
  <c r="Q841" i="12" s="1"/>
  <c r="R841" i="12"/>
  <c r="P841" i="12"/>
  <c r="O841" i="12"/>
  <c r="L840" i="12"/>
  <c r="M840" i="12"/>
  <c r="Q840" i="12" s="1"/>
  <c r="S840" i="12"/>
  <c r="O840" i="12"/>
  <c r="P840" i="12"/>
  <c r="R840" i="12"/>
  <c r="S839" i="12"/>
  <c r="L839" i="12"/>
  <c r="M839" i="12"/>
  <c r="Q839" i="12" s="1"/>
  <c r="O839" i="12"/>
  <c r="P839" i="12"/>
  <c r="R839" i="12"/>
  <c r="M838" i="12"/>
  <c r="Q838" i="12" s="1"/>
  <c r="S838" i="12"/>
  <c r="L838" i="12"/>
  <c r="O838" i="12"/>
  <c r="P838" i="12"/>
  <c r="R838" i="12"/>
  <c r="M837" i="12"/>
  <c r="Q837" i="12" s="1"/>
  <c r="S837" i="12"/>
  <c r="L837" i="12"/>
  <c r="O837" i="12"/>
  <c r="P837" i="12"/>
  <c r="R837" i="12"/>
  <c r="L836" i="12"/>
  <c r="S836" i="12"/>
  <c r="M836" i="12"/>
  <c r="Q836" i="12" s="1"/>
  <c r="R836" i="12"/>
  <c r="P836" i="12"/>
  <c r="O836" i="12"/>
  <c r="S835" i="12"/>
  <c r="M835" i="12"/>
  <c r="Q835" i="12" s="1"/>
  <c r="L835" i="12"/>
  <c r="R835" i="12"/>
  <c r="O835" i="12"/>
  <c r="P835" i="12"/>
  <c r="L834" i="12"/>
  <c r="M834" i="12"/>
  <c r="Q834" i="12" s="1"/>
  <c r="S834" i="12"/>
  <c r="O834" i="12"/>
  <c r="P834" i="12"/>
  <c r="R834" i="12"/>
  <c r="S833" i="12"/>
  <c r="M833" i="12"/>
  <c r="Q833" i="12" s="1"/>
  <c r="L833" i="12"/>
  <c r="P833" i="12"/>
  <c r="O833" i="12"/>
  <c r="R833" i="12"/>
  <c r="M832" i="12"/>
  <c r="Q832" i="12" s="1"/>
  <c r="S832" i="12"/>
  <c r="L832" i="12"/>
  <c r="R832" i="12"/>
  <c r="P832" i="12"/>
  <c r="O832" i="12"/>
  <c r="L831" i="12"/>
  <c r="S831" i="12"/>
  <c r="M831" i="12"/>
  <c r="Q831" i="12" s="1"/>
  <c r="O831" i="12"/>
  <c r="R831" i="12"/>
  <c r="P831" i="12"/>
  <c r="S830" i="12"/>
  <c r="M830" i="12"/>
  <c r="Q830" i="12" s="1"/>
  <c r="L830" i="12"/>
  <c r="R830" i="12"/>
  <c r="O830" i="12"/>
  <c r="P830" i="12"/>
  <c r="S829" i="12"/>
  <c r="M829" i="12"/>
  <c r="Q829" i="12" s="1"/>
  <c r="L829" i="12"/>
  <c r="R829" i="12"/>
  <c r="P829" i="12"/>
  <c r="O829" i="12"/>
  <c r="S828" i="12"/>
  <c r="M828" i="12"/>
  <c r="Q828" i="12" s="1"/>
  <c r="L828" i="12"/>
  <c r="O828" i="12"/>
  <c r="P828" i="12"/>
  <c r="R828" i="12"/>
  <c r="M827" i="12"/>
  <c r="Q827" i="12" s="1"/>
  <c r="L827" i="12"/>
  <c r="S827" i="12"/>
  <c r="O827" i="12"/>
  <c r="P827" i="12"/>
  <c r="R827" i="12"/>
  <c r="L826" i="12"/>
  <c r="M826" i="12"/>
  <c r="Q826" i="12" s="1"/>
  <c r="S826" i="12"/>
  <c r="O826" i="12"/>
  <c r="P826" i="12"/>
  <c r="R826" i="12"/>
  <c r="S825" i="12"/>
  <c r="M825" i="12"/>
  <c r="Q825" i="12" s="1"/>
  <c r="L825" i="12"/>
  <c r="R825" i="12"/>
  <c r="P825" i="12"/>
  <c r="O825" i="12"/>
  <c r="S824" i="12"/>
  <c r="L824" i="12"/>
  <c r="M824" i="12"/>
  <c r="Q824" i="12" s="1"/>
  <c r="R824" i="12"/>
  <c r="P824" i="12"/>
  <c r="O824" i="12"/>
  <c r="L823" i="12"/>
  <c r="M823" i="12"/>
  <c r="Q823" i="12" s="1"/>
  <c r="S823" i="12"/>
  <c r="R823" i="12"/>
  <c r="O823" i="12"/>
  <c r="P823" i="12"/>
  <c r="S822" i="12"/>
  <c r="L822" i="12"/>
  <c r="M822" i="12"/>
  <c r="Q822" i="12" s="1"/>
  <c r="R822" i="12"/>
  <c r="P822" i="12"/>
  <c r="O822" i="12"/>
  <c r="M821" i="12"/>
  <c r="Q821" i="12" s="1"/>
  <c r="L821" i="12"/>
  <c r="S821" i="12"/>
  <c r="R821" i="12"/>
  <c r="O821" i="12"/>
  <c r="P821" i="12"/>
  <c r="S820" i="12"/>
  <c r="M820" i="12"/>
  <c r="Q820" i="12" s="1"/>
  <c r="L820" i="12"/>
  <c r="R820" i="12"/>
  <c r="O820" i="12"/>
  <c r="P820" i="12"/>
  <c r="S819" i="12"/>
  <c r="L819" i="12"/>
  <c r="M819" i="12"/>
  <c r="Q819" i="12" s="1"/>
  <c r="P819" i="12"/>
  <c r="R819" i="12"/>
  <c r="O819" i="12"/>
  <c r="S818" i="12"/>
  <c r="L818" i="12"/>
  <c r="M818" i="12"/>
  <c r="Q818" i="12" s="1"/>
  <c r="R818" i="12"/>
  <c r="P818" i="12"/>
  <c r="O818" i="12"/>
  <c r="M817" i="12"/>
  <c r="Q817" i="12" s="1"/>
  <c r="L817" i="12"/>
  <c r="S817" i="12"/>
  <c r="O817" i="12"/>
  <c r="R817" i="12"/>
  <c r="P817" i="12"/>
  <c r="S816" i="12"/>
  <c r="M816" i="12"/>
  <c r="Q816" i="12" s="1"/>
  <c r="L816" i="12"/>
  <c r="P816" i="12"/>
  <c r="O816" i="12"/>
  <c r="R816" i="12"/>
  <c r="S815" i="12"/>
  <c r="M815" i="12"/>
  <c r="Q815" i="12" s="1"/>
  <c r="L815" i="12"/>
  <c r="R815" i="12"/>
  <c r="P815" i="12"/>
  <c r="O815" i="12"/>
  <c r="M814" i="12"/>
  <c r="Q814" i="12" s="1"/>
  <c r="L814" i="12"/>
  <c r="S814" i="12"/>
  <c r="R814" i="12"/>
  <c r="P814" i="12"/>
  <c r="O814" i="12"/>
  <c r="S813" i="12"/>
  <c r="M813" i="12"/>
  <c r="Q813" i="12" s="1"/>
  <c r="L813" i="12"/>
  <c r="R813" i="12"/>
  <c r="P813" i="12"/>
  <c r="O813" i="12"/>
  <c r="S812" i="12"/>
  <c r="M812" i="12"/>
  <c r="Q812" i="12" s="1"/>
  <c r="L812" i="12"/>
  <c r="R812" i="12"/>
  <c r="P812" i="12"/>
  <c r="O812" i="12"/>
  <c r="S811" i="12"/>
  <c r="M811" i="12"/>
  <c r="Q811" i="12" s="1"/>
  <c r="L811" i="12"/>
  <c r="R811" i="12"/>
  <c r="O811" i="12"/>
  <c r="P811" i="12"/>
  <c r="S810" i="12"/>
  <c r="M810" i="12"/>
  <c r="Q810" i="12" s="1"/>
  <c r="L810" i="12"/>
  <c r="R810" i="12"/>
  <c r="P810" i="12"/>
  <c r="O810" i="12"/>
  <c r="L809" i="12"/>
  <c r="S809" i="12"/>
  <c r="M809" i="12"/>
  <c r="Q809" i="12" s="1"/>
  <c r="P809" i="12"/>
  <c r="R809" i="12"/>
  <c r="O809" i="12"/>
  <c r="M808" i="12"/>
  <c r="Q808" i="12" s="1"/>
  <c r="L808" i="12"/>
  <c r="S808" i="12"/>
  <c r="P808" i="12"/>
  <c r="O808" i="12"/>
  <c r="R808" i="12"/>
  <c r="M807" i="12"/>
  <c r="Q807" i="12" s="1"/>
  <c r="L807" i="12"/>
  <c r="S807" i="12"/>
  <c r="O807" i="12"/>
  <c r="P807" i="12"/>
  <c r="R807" i="12"/>
  <c r="S806" i="12"/>
  <c r="L806" i="12"/>
  <c r="M806" i="12"/>
  <c r="Q806" i="12" s="1"/>
  <c r="R806" i="12"/>
  <c r="O806" i="12"/>
  <c r="P806" i="12"/>
  <c r="M805" i="12"/>
  <c r="Q805" i="12" s="1"/>
  <c r="S805" i="12"/>
  <c r="L805" i="12"/>
  <c r="P805" i="12"/>
  <c r="O805" i="12"/>
  <c r="R805" i="12"/>
  <c r="L804" i="12"/>
  <c r="S804" i="12"/>
  <c r="M804" i="12"/>
  <c r="Q804" i="12" s="1"/>
  <c r="R804" i="12"/>
  <c r="P804" i="12"/>
  <c r="O804" i="12"/>
  <c r="L803" i="12"/>
  <c r="S803" i="12"/>
  <c r="M803" i="12"/>
  <c r="Q803" i="12" s="1"/>
  <c r="P803" i="12"/>
  <c r="R803" i="12"/>
  <c r="O803" i="12"/>
  <c r="L802" i="12"/>
  <c r="M802" i="12"/>
  <c r="Q802" i="12" s="1"/>
  <c r="S802" i="12"/>
  <c r="O802" i="12"/>
  <c r="P802" i="12"/>
  <c r="R802" i="12"/>
  <c r="S801" i="12"/>
  <c r="M801" i="12"/>
  <c r="Q801" i="12" s="1"/>
  <c r="L801" i="12"/>
  <c r="R801" i="12"/>
  <c r="P801" i="12"/>
  <c r="O801" i="12"/>
  <c r="M800" i="12"/>
  <c r="Q800" i="12" s="1"/>
  <c r="L800" i="12"/>
  <c r="S800" i="12"/>
  <c r="R800" i="12"/>
  <c r="P800" i="12"/>
  <c r="O800" i="12"/>
  <c r="S799" i="12"/>
  <c r="M799" i="12"/>
  <c r="Q799" i="12" s="1"/>
  <c r="L799" i="12"/>
  <c r="O799" i="12"/>
  <c r="P799" i="12"/>
  <c r="R799" i="12"/>
  <c r="M798" i="12"/>
  <c r="Q798" i="12" s="1"/>
  <c r="S798" i="12"/>
  <c r="L798" i="12"/>
  <c r="R798" i="12"/>
  <c r="O798" i="12"/>
  <c r="P798" i="12"/>
  <c r="L797" i="12"/>
  <c r="S797" i="12"/>
  <c r="M797" i="12"/>
  <c r="Q797" i="12" s="1"/>
  <c r="P797" i="12"/>
  <c r="O797" i="12"/>
  <c r="R797" i="12"/>
  <c r="M796" i="12"/>
  <c r="Q796" i="12" s="1"/>
  <c r="L796" i="12"/>
  <c r="S796" i="12"/>
  <c r="P796" i="12"/>
  <c r="R796" i="12"/>
  <c r="O796" i="12"/>
  <c r="M795" i="12"/>
  <c r="Q795" i="12" s="1"/>
  <c r="L795" i="12"/>
  <c r="S795" i="12"/>
  <c r="R795" i="12"/>
  <c r="P795" i="12"/>
  <c r="O795" i="12"/>
  <c r="M794" i="12"/>
  <c r="Q794" i="12" s="1"/>
  <c r="L794" i="12"/>
  <c r="S794" i="12"/>
  <c r="R794" i="12"/>
  <c r="O794" i="12"/>
  <c r="P794" i="12"/>
  <c r="L793" i="12"/>
  <c r="S793" i="12"/>
  <c r="M793" i="12"/>
  <c r="Q793" i="12" s="1"/>
  <c r="O793" i="12"/>
  <c r="P793" i="12"/>
  <c r="R793" i="12"/>
  <c r="M792" i="12"/>
  <c r="Q792" i="12" s="1"/>
  <c r="S792" i="12"/>
  <c r="L792" i="12"/>
  <c r="P792" i="12"/>
  <c r="O792" i="12"/>
  <c r="R792" i="12"/>
  <c r="M791" i="12"/>
  <c r="Q791" i="12" s="1"/>
  <c r="L791" i="12"/>
  <c r="S791" i="12"/>
  <c r="P791" i="12"/>
  <c r="O791" i="12"/>
  <c r="R791" i="12"/>
  <c r="L790" i="12"/>
  <c r="S790" i="12"/>
  <c r="M790" i="12"/>
  <c r="Q790" i="12" s="1"/>
  <c r="P790" i="12"/>
  <c r="R790" i="12"/>
  <c r="O790" i="12"/>
  <c r="L789" i="12"/>
  <c r="M789" i="12"/>
  <c r="Q789" i="12" s="1"/>
  <c r="R789" i="12"/>
  <c r="O789" i="12"/>
  <c r="P789" i="12"/>
  <c r="L788" i="12"/>
  <c r="M788" i="12"/>
  <c r="Q788" i="12" s="1"/>
  <c r="S788" i="12"/>
  <c r="P788" i="12"/>
  <c r="O788" i="12"/>
  <c r="R788" i="12"/>
  <c r="L787" i="12"/>
  <c r="M787" i="12"/>
  <c r="Q787" i="12" s="1"/>
  <c r="S787" i="12"/>
  <c r="O787" i="12"/>
  <c r="P787" i="12"/>
  <c r="R787" i="12"/>
  <c r="L786" i="12"/>
  <c r="M786" i="12"/>
  <c r="Q786" i="12" s="1"/>
  <c r="S786" i="12"/>
  <c r="O786" i="12"/>
  <c r="P786" i="12"/>
  <c r="R786" i="12"/>
  <c r="L785" i="12"/>
  <c r="M785" i="12"/>
  <c r="Q785" i="12" s="1"/>
  <c r="S785" i="12"/>
  <c r="P785" i="12"/>
  <c r="O785" i="12"/>
  <c r="R785" i="12"/>
  <c r="L784" i="12"/>
  <c r="M784" i="12"/>
  <c r="Q784" i="12" s="1"/>
  <c r="S784" i="12"/>
  <c r="O784" i="12"/>
  <c r="P784" i="12"/>
  <c r="R784" i="12"/>
  <c r="M783" i="12"/>
  <c r="Q783" i="12" s="1"/>
  <c r="S783" i="12"/>
  <c r="L783" i="12"/>
  <c r="O783" i="12"/>
  <c r="P783" i="12"/>
  <c r="R783" i="12"/>
  <c r="S782" i="12"/>
  <c r="L782" i="12"/>
  <c r="M782" i="12"/>
  <c r="Q782" i="12" s="1"/>
  <c r="O782" i="12"/>
  <c r="P782" i="12"/>
  <c r="R782" i="12"/>
  <c r="M781" i="12"/>
  <c r="Q781" i="12" s="1"/>
  <c r="L781" i="12"/>
  <c r="S781" i="12"/>
  <c r="R781" i="12"/>
  <c r="P781" i="12"/>
  <c r="O781" i="12"/>
  <c r="S780" i="12"/>
  <c r="M780" i="12"/>
  <c r="Q780" i="12" s="1"/>
  <c r="L780" i="12"/>
  <c r="R780" i="12"/>
  <c r="P780" i="12"/>
  <c r="O780" i="12"/>
  <c r="L779" i="12"/>
  <c r="M779" i="12"/>
  <c r="Q779" i="12" s="1"/>
  <c r="S779" i="12"/>
  <c r="O779" i="12"/>
  <c r="R779" i="12"/>
  <c r="P779" i="12"/>
  <c r="L778" i="12"/>
  <c r="M778" i="12"/>
  <c r="Q778" i="12" s="1"/>
  <c r="S778" i="12"/>
  <c r="O778" i="12"/>
  <c r="P778" i="12"/>
  <c r="R778" i="12"/>
  <c r="S777" i="12"/>
  <c r="M777" i="12"/>
  <c r="Q777" i="12" s="1"/>
  <c r="L777" i="12"/>
  <c r="R777" i="12"/>
  <c r="P777" i="12"/>
  <c r="O777" i="12"/>
  <c r="S776" i="12"/>
  <c r="M776" i="12"/>
  <c r="Q776" i="12" s="1"/>
  <c r="L776" i="12"/>
  <c r="R776" i="12"/>
  <c r="P776" i="12"/>
  <c r="O776" i="12"/>
  <c r="S775" i="12"/>
  <c r="M775" i="12"/>
  <c r="Q775" i="12" s="1"/>
  <c r="L775" i="12"/>
  <c r="R775" i="12"/>
  <c r="P775" i="12"/>
  <c r="O775" i="12"/>
  <c r="S774" i="12"/>
  <c r="M774" i="12"/>
  <c r="Q774" i="12" s="1"/>
  <c r="L774" i="12"/>
  <c r="R774" i="12"/>
  <c r="P774" i="12"/>
  <c r="O774" i="12"/>
  <c r="M773" i="12"/>
  <c r="Q773" i="12" s="1"/>
  <c r="L773" i="12"/>
  <c r="S773" i="12"/>
  <c r="P773" i="12"/>
  <c r="O773" i="12"/>
  <c r="R773" i="12"/>
  <c r="S772" i="12"/>
  <c r="M772" i="12"/>
  <c r="Q772" i="12" s="1"/>
  <c r="L772" i="12"/>
  <c r="O772" i="12"/>
  <c r="P772" i="12"/>
  <c r="R772" i="12"/>
  <c r="M771" i="12"/>
  <c r="Q771" i="12" s="1"/>
  <c r="L771" i="12"/>
  <c r="S771" i="12"/>
  <c r="O771" i="12"/>
  <c r="R771" i="12"/>
  <c r="P771" i="12"/>
  <c r="M770" i="12"/>
  <c r="Q770" i="12" s="1"/>
  <c r="L770" i="12"/>
  <c r="S770" i="12"/>
  <c r="O770" i="12"/>
  <c r="P770" i="12"/>
  <c r="R770" i="12"/>
  <c r="M769" i="12"/>
  <c r="Q769" i="12" s="1"/>
  <c r="S769" i="12"/>
  <c r="L769" i="12"/>
  <c r="R769" i="12"/>
  <c r="P769" i="12"/>
  <c r="O769" i="12"/>
  <c r="S768" i="12"/>
  <c r="M768" i="12"/>
  <c r="Q768" i="12" s="1"/>
  <c r="L768" i="12"/>
  <c r="P768" i="12"/>
  <c r="R768" i="12"/>
  <c r="O768" i="12"/>
  <c r="S767" i="12"/>
  <c r="M767" i="12"/>
  <c r="Q767" i="12" s="1"/>
  <c r="L767" i="12"/>
  <c r="O767" i="12"/>
  <c r="P767" i="12"/>
  <c r="R767" i="12"/>
  <c r="L766" i="12"/>
  <c r="M766" i="12"/>
  <c r="Q766" i="12" s="1"/>
  <c r="S766" i="12"/>
  <c r="O766" i="12"/>
  <c r="P766" i="12"/>
  <c r="R766" i="12"/>
  <c r="M765" i="12"/>
  <c r="Q765" i="12" s="1"/>
  <c r="L765" i="12"/>
  <c r="S765" i="12"/>
  <c r="O765" i="12"/>
  <c r="R765" i="12"/>
  <c r="P765" i="12"/>
  <c r="L764" i="12"/>
  <c r="S764" i="12"/>
  <c r="M764" i="12"/>
  <c r="Q764" i="12" s="1"/>
  <c r="R764" i="12"/>
  <c r="P764" i="12"/>
  <c r="O764" i="12"/>
  <c r="L763" i="12"/>
  <c r="M763" i="12"/>
  <c r="Q763" i="12" s="1"/>
  <c r="S763" i="12"/>
  <c r="O763" i="12"/>
  <c r="P763" i="12"/>
  <c r="R763" i="12"/>
  <c r="L762" i="12"/>
  <c r="M762" i="12"/>
  <c r="Q762" i="12" s="1"/>
  <c r="S762" i="12"/>
  <c r="R762" i="12"/>
  <c r="O762" i="12"/>
  <c r="P762" i="12"/>
  <c r="L761" i="12"/>
  <c r="M761" i="12"/>
  <c r="Q761" i="12" s="1"/>
  <c r="S761" i="12"/>
  <c r="R761" i="12"/>
  <c r="O761" i="12"/>
  <c r="P761" i="12"/>
  <c r="S760" i="12"/>
  <c r="M760" i="12"/>
  <c r="Q760" i="12" s="1"/>
  <c r="L760" i="12"/>
  <c r="R760" i="12"/>
  <c r="P760" i="12"/>
  <c r="O760" i="12"/>
  <c r="M759" i="12"/>
  <c r="Q759" i="12" s="1"/>
  <c r="L759" i="12"/>
  <c r="S759" i="12"/>
  <c r="R759" i="12"/>
  <c r="P759" i="12"/>
  <c r="O759" i="12"/>
  <c r="S758" i="12"/>
  <c r="M758" i="12"/>
  <c r="Q758" i="12" s="1"/>
  <c r="L758" i="12"/>
  <c r="P758" i="12"/>
  <c r="O758" i="12"/>
  <c r="R758" i="12"/>
  <c r="S757" i="12"/>
  <c r="L757" i="12"/>
  <c r="M757" i="12"/>
  <c r="Q757" i="12" s="1"/>
  <c r="R757" i="12"/>
  <c r="O757" i="12"/>
  <c r="P757" i="12"/>
  <c r="L756" i="12"/>
  <c r="M756" i="12"/>
  <c r="Q756" i="12" s="1"/>
  <c r="S756" i="12"/>
  <c r="R756" i="12"/>
  <c r="P756" i="12"/>
  <c r="O756" i="12"/>
  <c r="S755" i="12"/>
  <c r="M755" i="12"/>
  <c r="Q755" i="12" s="1"/>
  <c r="L755" i="12"/>
  <c r="R755" i="12"/>
  <c r="P755" i="12"/>
  <c r="O755" i="12"/>
  <c r="M754" i="12"/>
  <c r="Q754" i="12" s="1"/>
  <c r="L754" i="12"/>
  <c r="S754" i="12"/>
  <c r="R754" i="12"/>
  <c r="P754" i="12"/>
  <c r="O754" i="12"/>
  <c r="S753" i="12"/>
  <c r="M753" i="12"/>
  <c r="Q753" i="12" s="1"/>
  <c r="L753" i="12"/>
  <c r="P753" i="12"/>
  <c r="O753" i="12"/>
  <c r="R753" i="12"/>
  <c r="L752" i="12"/>
  <c r="S752" i="12"/>
  <c r="M752" i="12"/>
  <c r="Q752" i="12" s="1"/>
  <c r="R752" i="12"/>
  <c r="P752" i="12"/>
  <c r="O752" i="12"/>
  <c r="L751" i="12"/>
  <c r="M751" i="12"/>
  <c r="Q751" i="12" s="1"/>
  <c r="S751" i="12"/>
  <c r="O751" i="12"/>
  <c r="P751" i="12"/>
  <c r="R751" i="12"/>
  <c r="S750" i="12"/>
  <c r="M750" i="12"/>
  <c r="Q750" i="12" s="1"/>
  <c r="L750" i="12"/>
  <c r="R750" i="12"/>
  <c r="O750" i="12"/>
  <c r="P750" i="12"/>
  <c r="L749" i="12"/>
  <c r="M749" i="12"/>
  <c r="Q749" i="12" s="1"/>
  <c r="S749" i="12"/>
  <c r="O749" i="12"/>
  <c r="P749" i="12"/>
  <c r="R749" i="12"/>
  <c r="S748" i="12"/>
  <c r="L748" i="12"/>
  <c r="M748" i="12"/>
  <c r="Q748" i="12" s="1"/>
  <c r="O748" i="12"/>
  <c r="P748" i="12"/>
  <c r="R748" i="12"/>
  <c r="S747" i="12"/>
  <c r="M747" i="12"/>
  <c r="Q747" i="12" s="1"/>
  <c r="L747" i="12"/>
  <c r="R747" i="12"/>
  <c r="P747" i="12"/>
  <c r="O747" i="12"/>
  <c r="S746" i="12"/>
  <c r="M746" i="12"/>
  <c r="Q746" i="12" s="1"/>
  <c r="L746" i="12"/>
  <c r="R746" i="12"/>
  <c r="P746" i="12"/>
  <c r="O746" i="12"/>
  <c r="S745" i="12"/>
  <c r="M745" i="12"/>
  <c r="Q745" i="12" s="1"/>
  <c r="L745" i="12"/>
  <c r="R745" i="12"/>
  <c r="P745" i="12"/>
  <c r="O745" i="12"/>
  <c r="S744" i="12"/>
  <c r="M744" i="12"/>
  <c r="Q744" i="12" s="1"/>
  <c r="L744" i="12"/>
  <c r="R744" i="12"/>
  <c r="P744" i="12"/>
  <c r="O744" i="12"/>
  <c r="S743" i="12"/>
  <c r="M743" i="12"/>
  <c r="Q743" i="12" s="1"/>
  <c r="L743" i="12"/>
  <c r="R743" i="12"/>
  <c r="P743" i="12"/>
  <c r="O743" i="12"/>
  <c r="S742" i="12"/>
  <c r="M742" i="12"/>
  <c r="Q742" i="12" s="1"/>
  <c r="L742" i="12"/>
  <c r="R742" i="12"/>
  <c r="P742" i="12"/>
  <c r="O742" i="12"/>
  <c r="S741" i="12"/>
  <c r="M741" i="12"/>
  <c r="Q741" i="12" s="1"/>
  <c r="L741" i="12"/>
  <c r="P741" i="12"/>
  <c r="O741" i="12"/>
  <c r="R741" i="12"/>
  <c r="L740" i="12"/>
  <c r="S740" i="12"/>
  <c r="M740" i="12"/>
  <c r="Q740" i="12" s="1"/>
  <c r="P740" i="12"/>
  <c r="R740" i="12"/>
  <c r="O740" i="12"/>
  <c r="S739" i="12"/>
  <c r="M739" i="12"/>
  <c r="Q739" i="12" s="1"/>
  <c r="L739" i="12"/>
  <c r="R739" i="12"/>
  <c r="P739" i="12"/>
  <c r="O739" i="12"/>
  <c r="M738" i="12"/>
  <c r="Q738" i="12" s="1"/>
  <c r="L738" i="12"/>
  <c r="S738" i="12"/>
  <c r="R738" i="12"/>
  <c r="O738" i="12"/>
  <c r="P738" i="12"/>
  <c r="S737" i="12"/>
  <c r="M737" i="12"/>
  <c r="Q737" i="12" s="1"/>
  <c r="L737" i="12"/>
  <c r="R737" i="12"/>
  <c r="P737" i="12"/>
  <c r="O737" i="12"/>
  <c r="L736" i="12"/>
  <c r="S736" i="12"/>
  <c r="M736" i="12"/>
  <c r="Q736" i="12" s="1"/>
  <c r="O736" i="12"/>
  <c r="R736" i="12"/>
  <c r="P736" i="12"/>
  <c r="L735" i="12"/>
  <c r="S735" i="12"/>
  <c r="M735" i="12"/>
  <c r="Q735" i="12" s="1"/>
  <c r="P735" i="12"/>
  <c r="R735" i="12"/>
  <c r="O735" i="12"/>
  <c r="L734" i="12"/>
  <c r="M734" i="12"/>
  <c r="Q734" i="12" s="1"/>
  <c r="S734" i="12"/>
  <c r="O734" i="12"/>
  <c r="P734" i="12"/>
  <c r="R734" i="12"/>
  <c r="S733" i="12"/>
  <c r="M733" i="12"/>
  <c r="Q733" i="12" s="1"/>
  <c r="L733" i="12"/>
  <c r="R733" i="12"/>
  <c r="O733" i="12"/>
  <c r="P733" i="12"/>
  <c r="L732" i="12"/>
  <c r="M732" i="12"/>
  <c r="Q732" i="12" s="1"/>
  <c r="S732" i="12"/>
  <c r="R732" i="12"/>
  <c r="O732" i="12"/>
  <c r="P732" i="12"/>
  <c r="M731" i="12"/>
  <c r="Q731" i="12" s="1"/>
  <c r="L731" i="12"/>
  <c r="S731" i="12"/>
  <c r="P731" i="12"/>
  <c r="R731" i="12"/>
  <c r="O731" i="12"/>
  <c r="M730" i="12"/>
  <c r="Q730" i="12" s="1"/>
  <c r="L730" i="12"/>
  <c r="S730" i="12"/>
  <c r="P730" i="12"/>
  <c r="O730" i="12"/>
  <c r="R730" i="12"/>
  <c r="L729" i="12"/>
  <c r="S729" i="12"/>
  <c r="M729" i="12"/>
  <c r="Q729" i="12" s="1"/>
  <c r="R729" i="12"/>
  <c r="O729" i="12"/>
  <c r="P729" i="12"/>
  <c r="M728" i="12"/>
  <c r="Q728" i="12" s="1"/>
  <c r="L728" i="12"/>
  <c r="S728" i="12"/>
  <c r="R728" i="12"/>
  <c r="P728" i="12"/>
  <c r="O728" i="12"/>
  <c r="L727" i="12"/>
  <c r="M727" i="12"/>
  <c r="Q727" i="12" s="1"/>
  <c r="S727" i="12"/>
  <c r="R727" i="12"/>
  <c r="P727" i="12"/>
  <c r="O727" i="12"/>
  <c r="L726" i="12"/>
  <c r="S726" i="12"/>
  <c r="M726" i="12"/>
  <c r="Q726" i="12" s="1"/>
  <c r="S725" i="12"/>
  <c r="M725" i="12"/>
  <c r="Q725" i="12" s="1"/>
  <c r="L725" i="12"/>
  <c r="R725" i="12"/>
  <c r="P725" i="12"/>
  <c r="O725" i="12"/>
  <c r="L724" i="12"/>
  <c r="S724" i="12"/>
  <c r="M724" i="12"/>
  <c r="Q724" i="12" s="1"/>
  <c r="R724" i="12"/>
  <c r="P724" i="12"/>
  <c r="O724" i="12"/>
  <c r="M723" i="12"/>
  <c r="Q723" i="12" s="1"/>
  <c r="L723" i="12"/>
  <c r="S723" i="12"/>
  <c r="P723" i="12"/>
  <c r="O723" i="12"/>
  <c r="R723" i="12"/>
  <c r="M722" i="12"/>
  <c r="Q722" i="12" s="1"/>
  <c r="L722" i="12"/>
  <c r="S722" i="12"/>
  <c r="R722" i="12"/>
  <c r="P722" i="12"/>
  <c r="O722" i="12"/>
  <c r="M721" i="12"/>
  <c r="Q721" i="12" s="1"/>
  <c r="L721" i="12"/>
  <c r="S721" i="12"/>
  <c r="P721" i="12"/>
  <c r="R721" i="12"/>
  <c r="O721" i="12"/>
  <c r="L720" i="12"/>
  <c r="M720" i="12"/>
  <c r="Q720" i="12" s="1"/>
  <c r="S720" i="12"/>
  <c r="O720" i="12"/>
  <c r="P720" i="12"/>
  <c r="R720" i="12"/>
  <c r="S719" i="12"/>
  <c r="M719" i="12"/>
  <c r="Q719" i="12" s="1"/>
  <c r="L719" i="12"/>
  <c r="O719" i="12"/>
  <c r="P719" i="12"/>
  <c r="R719" i="12"/>
  <c r="M718" i="12"/>
  <c r="Q718" i="12" s="1"/>
  <c r="S718" i="12"/>
  <c r="L718" i="12"/>
  <c r="O718" i="12"/>
  <c r="R718" i="12"/>
  <c r="P718" i="12"/>
  <c r="S717" i="12"/>
  <c r="M717" i="12"/>
  <c r="Q717" i="12" s="1"/>
  <c r="L717" i="12"/>
  <c r="R717" i="12"/>
  <c r="P717" i="12"/>
  <c r="O717" i="12"/>
  <c r="S716" i="12"/>
  <c r="L716" i="12"/>
  <c r="M716" i="12"/>
  <c r="Q716" i="12" s="1"/>
  <c r="P716" i="12"/>
  <c r="O716" i="12"/>
  <c r="R716" i="12"/>
  <c r="M715" i="12"/>
  <c r="Q715" i="12" s="1"/>
  <c r="L715" i="12"/>
  <c r="S715" i="12"/>
  <c r="O715" i="12"/>
  <c r="R715" i="12"/>
  <c r="P715" i="12"/>
  <c r="S714" i="12"/>
  <c r="L714" i="12"/>
  <c r="M714" i="12"/>
  <c r="Q714" i="12" s="1"/>
  <c r="P714" i="12"/>
  <c r="O714" i="12"/>
  <c r="R714" i="12"/>
  <c r="S713" i="12"/>
  <c r="M713" i="12"/>
  <c r="Q713" i="12" s="1"/>
  <c r="L713" i="12"/>
  <c r="R713" i="12"/>
  <c r="P713" i="12"/>
  <c r="O713" i="12"/>
  <c r="M712" i="12"/>
  <c r="Q712" i="12" s="1"/>
  <c r="S712" i="12"/>
  <c r="L712" i="12"/>
  <c r="P712" i="12"/>
  <c r="R712" i="12"/>
  <c r="O712" i="12"/>
  <c r="M711" i="12"/>
  <c r="Q711" i="12" s="1"/>
  <c r="L711" i="12"/>
  <c r="S711" i="12"/>
  <c r="O711" i="12"/>
  <c r="P711" i="12"/>
  <c r="R711" i="12"/>
  <c r="S710" i="12"/>
  <c r="L710" i="12"/>
  <c r="M710" i="12"/>
  <c r="Q710" i="12" s="1"/>
  <c r="O710" i="12"/>
  <c r="P710" i="12"/>
  <c r="R710" i="12"/>
  <c r="L709" i="12"/>
  <c r="M709" i="12"/>
  <c r="Q709" i="12" s="1"/>
  <c r="S709" i="12"/>
  <c r="O709" i="12"/>
  <c r="P709" i="12"/>
  <c r="R709" i="12"/>
  <c r="S708" i="12"/>
  <c r="L708" i="12"/>
  <c r="M708" i="12"/>
  <c r="Q708" i="12" s="1"/>
  <c r="R708" i="12"/>
  <c r="O708" i="12"/>
  <c r="P708" i="12"/>
  <c r="M707" i="12"/>
  <c r="Q707" i="12" s="1"/>
  <c r="L707" i="12"/>
  <c r="S707" i="12"/>
  <c r="O707" i="12"/>
  <c r="R707" i="12"/>
  <c r="P707" i="12"/>
  <c r="M706" i="12"/>
  <c r="Q706" i="12" s="1"/>
  <c r="L706" i="12"/>
  <c r="S706" i="12"/>
  <c r="P706" i="12"/>
  <c r="R706" i="12"/>
  <c r="O706" i="12"/>
  <c r="M705" i="12"/>
  <c r="Q705" i="12" s="1"/>
  <c r="L705" i="12"/>
  <c r="S705" i="12"/>
  <c r="R705" i="12"/>
  <c r="P705" i="12"/>
  <c r="O705" i="12"/>
  <c r="S704" i="12"/>
  <c r="M704" i="12"/>
  <c r="Q704" i="12" s="1"/>
  <c r="L704" i="12"/>
  <c r="R704" i="12"/>
  <c r="P704" i="12"/>
  <c r="O704" i="12"/>
  <c r="M703" i="12"/>
  <c r="Q703" i="12" s="1"/>
  <c r="L703" i="12"/>
  <c r="S703" i="12"/>
  <c r="P703" i="12"/>
  <c r="R703" i="12"/>
  <c r="O703" i="12"/>
  <c r="L702" i="12"/>
  <c r="S702" i="12"/>
  <c r="M702" i="12"/>
  <c r="Q702" i="12" s="1"/>
  <c r="O702" i="12"/>
  <c r="P702" i="12"/>
  <c r="R702" i="12"/>
  <c r="S701" i="12"/>
  <c r="M701" i="12"/>
  <c r="Q701" i="12" s="1"/>
  <c r="L701" i="12"/>
  <c r="R701" i="12"/>
  <c r="P701" i="12"/>
  <c r="O701" i="12"/>
  <c r="S700" i="12"/>
  <c r="M700" i="12"/>
  <c r="Q700" i="12" s="1"/>
  <c r="L700" i="12"/>
  <c r="R700" i="12"/>
  <c r="O700" i="12"/>
  <c r="P700" i="12"/>
  <c r="M699" i="12"/>
  <c r="Q699" i="12" s="1"/>
  <c r="S699" i="12"/>
  <c r="L699" i="12"/>
  <c r="R699" i="12"/>
  <c r="O699" i="12"/>
  <c r="P699" i="12"/>
  <c r="L698" i="12"/>
  <c r="S698" i="12"/>
  <c r="M698" i="12"/>
  <c r="Q698" i="12" s="1"/>
  <c r="P698" i="12"/>
  <c r="O698" i="12"/>
  <c r="R698" i="12"/>
  <c r="S697" i="12"/>
  <c r="M697" i="12"/>
  <c r="Q697" i="12" s="1"/>
  <c r="L697" i="12"/>
  <c r="R697" i="12"/>
  <c r="P697" i="12"/>
  <c r="O697" i="12"/>
  <c r="S696" i="12"/>
  <c r="M696" i="12"/>
  <c r="Q696" i="12" s="1"/>
  <c r="L696" i="12"/>
  <c r="P696" i="12"/>
  <c r="O696" i="12"/>
  <c r="R696" i="12"/>
  <c r="L695" i="12"/>
  <c r="M695" i="12"/>
  <c r="Q695" i="12" s="1"/>
  <c r="S695" i="12"/>
  <c r="P695" i="12"/>
  <c r="O695" i="12"/>
  <c r="R695" i="12"/>
  <c r="M694" i="12"/>
  <c r="Q694" i="12" s="1"/>
  <c r="L694" i="12"/>
  <c r="S694" i="12"/>
  <c r="O694" i="12"/>
  <c r="P694" i="12"/>
  <c r="R694" i="12"/>
  <c r="M693" i="12"/>
  <c r="Q693" i="12" s="1"/>
  <c r="S693" i="12"/>
  <c r="L693" i="12"/>
  <c r="R693" i="12"/>
  <c r="O693" i="12"/>
  <c r="P693" i="12"/>
  <c r="M692" i="12"/>
  <c r="Q692" i="12" s="1"/>
  <c r="L692" i="12"/>
  <c r="S692" i="12"/>
  <c r="P692" i="12"/>
  <c r="O692" i="12"/>
  <c r="R692" i="12"/>
  <c r="S691" i="12"/>
  <c r="L691" i="12"/>
  <c r="M691" i="12"/>
  <c r="Q691" i="12" s="1"/>
  <c r="R691" i="12"/>
  <c r="P691" i="12"/>
  <c r="O691" i="12"/>
  <c r="S690" i="12"/>
  <c r="L690" i="12"/>
  <c r="M690" i="12"/>
  <c r="Q690" i="12" s="1"/>
  <c r="P690" i="12"/>
  <c r="O690" i="12"/>
  <c r="R690" i="12"/>
  <c r="L689" i="12"/>
  <c r="S689" i="12"/>
  <c r="M689" i="12"/>
  <c r="Q689" i="12" s="1"/>
  <c r="O689" i="12"/>
  <c r="R689" i="12"/>
  <c r="P689" i="12"/>
  <c r="L688" i="12"/>
  <c r="M688" i="12"/>
  <c r="Q688" i="12" s="1"/>
  <c r="S688" i="12"/>
  <c r="R688" i="12"/>
  <c r="P688" i="12"/>
  <c r="O688" i="12"/>
  <c r="S687" i="12"/>
  <c r="M687" i="12"/>
  <c r="Q687" i="12" s="1"/>
  <c r="L687" i="12"/>
  <c r="R687" i="12"/>
  <c r="O687" i="12"/>
  <c r="P687" i="12"/>
  <c r="M686" i="12"/>
  <c r="Q686" i="12" s="1"/>
  <c r="S686" i="12"/>
  <c r="L686" i="12"/>
  <c r="O686" i="12"/>
  <c r="R686" i="12"/>
  <c r="P686" i="12"/>
  <c r="L685" i="12"/>
  <c r="M685" i="12"/>
  <c r="Q685" i="12" s="1"/>
  <c r="S685" i="12"/>
  <c r="R685" i="12"/>
  <c r="P685" i="12"/>
  <c r="O685" i="12"/>
  <c r="M684" i="12"/>
  <c r="Q684" i="12" s="1"/>
  <c r="S684" i="12"/>
  <c r="L684" i="12"/>
  <c r="R684" i="12"/>
  <c r="P684" i="12"/>
  <c r="O684" i="12"/>
  <c r="S683" i="12"/>
  <c r="L683" i="12"/>
  <c r="M683" i="12"/>
  <c r="Q683" i="12" s="1"/>
  <c r="R683" i="12"/>
  <c r="P683" i="12"/>
  <c r="O683" i="12"/>
  <c r="S682" i="12"/>
  <c r="M682" i="12"/>
  <c r="Q682" i="12" s="1"/>
  <c r="L682" i="12"/>
  <c r="R682" i="12"/>
  <c r="P682" i="12"/>
  <c r="O682" i="12"/>
  <c r="L681" i="12"/>
  <c r="S681" i="12"/>
  <c r="M681" i="12"/>
  <c r="Q681" i="12" s="1"/>
  <c r="O681" i="12"/>
  <c r="R681" i="12"/>
  <c r="P681" i="12"/>
  <c r="S680" i="12"/>
  <c r="M680" i="12"/>
  <c r="Q680" i="12" s="1"/>
  <c r="L680" i="12"/>
  <c r="R680" i="12"/>
  <c r="P680" i="12"/>
  <c r="O680" i="12"/>
  <c r="M679" i="12"/>
  <c r="Q679" i="12" s="1"/>
  <c r="S679" i="12"/>
  <c r="L679" i="12"/>
  <c r="R679" i="12"/>
  <c r="O679" i="12"/>
  <c r="P679" i="12"/>
  <c r="S678" i="12"/>
  <c r="L678" i="12"/>
  <c r="M678" i="12"/>
  <c r="Q678" i="12" s="1"/>
  <c r="O678" i="12"/>
  <c r="P678" i="12"/>
  <c r="R678" i="12"/>
  <c r="L677" i="12"/>
  <c r="S677" i="12"/>
  <c r="M677" i="12"/>
  <c r="Q677" i="12" s="1"/>
  <c r="P677" i="12"/>
  <c r="O677" i="12"/>
  <c r="R677" i="12"/>
  <c r="S676" i="12"/>
  <c r="L676" i="12"/>
  <c r="M676" i="12"/>
  <c r="Q676" i="12" s="1"/>
  <c r="R676" i="12"/>
  <c r="P676" i="12"/>
  <c r="O676" i="12"/>
  <c r="L675" i="12"/>
  <c r="M675" i="12"/>
  <c r="Q675" i="12" s="1"/>
  <c r="S675" i="12"/>
  <c r="O675" i="12"/>
  <c r="P675" i="12"/>
  <c r="R675" i="12"/>
  <c r="M674" i="12"/>
  <c r="Q674" i="12" s="1"/>
  <c r="L674" i="12"/>
  <c r="S674" i="12"/>
  <c r="P674" i="12"/>
  <c r="O674" i="12"/>
  <c r="R674" i="12"/>
  <c r="L673" i="12"/>
  <c r="M673" i="12"/>
  <c r="Q673" i="12" s="1"/>
  <c r="S673" i="12"/>
  <c r="P673" i="12"/>
  <c r="O673" i="12"/>
  <c r="R673" i="12"/>
  <c r="M672" i="12"/>
  <c r="Q672" i="12" s="1"/>
  <c r="L672" i="12"/>
  <c r="S672" i="12"/>
  <c r="O672" i="12"/>
  <c r="R672" i="12"/>
  <c r="P672" i="12"/>
  <c r="S671" i="12"/>
  <c r="M671" i="12"/>
  <c r="Q671" i="12" s="1"/>
  <c r="L671" i="12"/>
  <c r="R671" i="12"/>
  <c r="P671" i="12"/>
  <c r="O671" i="12"/>
  <c r="L670" i="12"/>
  <c r="S670" i="12"/>
  <c r="M670" i="12"/>
  <c r="Q670" i="12" s="1"/>
  <c r="O670" i="12"/>
  <c r="P670" i="12"/>
  <c r="R670" i="12"/>
  <c r="S669" i="12"/>
  <c r="M669" i="12"/>
  <c r="Q669" i="12" s="1"/>
  <c r="L669" i="12"/>
  <c r="R669" i="12"/>
  <c r="P669" i="12"/>
  <c r="O669" i="12"/>
  <c r="M668" i="12"/>
  <c r="Q668" i="12" s="1"/>
  <c r="L668" i="12"/>
  <c r="S668" i="12"/>
  <c r="R668" i="12"/>
  <c r="O668" i="12"/>
  <c r="P668" i="12"/>
  <c r="L667" i="12"/>
  <c r="S667" i="12"/>
  <c r="M667" i="12"/>
  <c r="Q667" i="12" s="1"/>
  <c r="R667" i="12"/>
  <c r="P667" i="12"/>
  <c r="O667" i="12"/>
  <c r="L666" i="12"/>
  <c r="S666" i="12"/>
  <c r="M666" i="12"/>
  <c r="Q666" i="12" s="1"/>
  <c r="O666" i="12"/>
  <c r="R666" i="12"/>
  <c r="P666" i="12"/>
  <c r="M665" i="12"/>
  <c r="Q665" i="12" s="1"/>
  <c r="L665" i="12"/>
  <c r="S665" i="12"/>
  <c r="R665" i="12"/>
  <c r="P665" i="12"/>
  <c r="O665" i="12"/>
  <c r="M664" i="12"/>
  <c r="Q664" i="12" s="1"/>
  <c r="S664" i="12"/>
  <c r="L664" i="12"/>
  <c r="O664" i="12"/>
  <c r="P664" i="12"/>
  <c r="R664" i="12"/>
  <c r="S663" i="12"/>
  <c r="L663" i="12"/>
  <c r="M663" i="12"/>
  <c r="Q663" i="12" s="1"/>
  <c r="P663" i="12"/>
  <c r="R663" i="12"/>
  <c r="O663" i="12"/>
  <c r="L661" i="12"/>
  <c r="M661" i="12"/>
  <c r="Q661" i="12" s="1"/>
  <c r="S661" i="12"/>
  <c r="O661" i="12"/>
  <c r="P661" i="12"/>
  <c r="R661" i="12"/>
  <c r="M660" i="12"/>
  <c r="Q660" i="12" s="1"/>
  <c r="L660" i="12"/>
  <c r="S660" i="12"/>
  <c r="R660" i="12"/>
  <c r="P660" i="12"/>
  <c r="O660" i="12"/>
  <c r="L659" i="12"/>
  <c r="M659" i="12"/>
  <c r="Q659" i="12" s="1"/>
  <c r="S659" i="12"/>
  <c r="O659" i="12"/>
  <c r="R659" i="12"/>
  <c r="P659" i="12"/>
  <c r="S658" i="12"/>
  <c r="M658" i="12"/>
  <c r="Q658" i="12" s="1"/>
  <c r="L658" i="12"/>
  <c r="R658" i="12"/>
  <c r="P658" i="12"/>
  <c r="O658" i="12"/>
  <c r="M657" i="12"/>
  <c r="Q657" i="12" s="1"/>
  <c r="L657" i="12"/>
  <c r="S657" i="12"/>
  <c r="R657" i="12"/>
  <c r="O657" i="12"/>
  <c r="P657" i="12"/>
  <c r="M656" i="12"/>
  <c r="Q656" i="12" s="1"/>
  <c r="L656" i="12"/>
  <c r="S656" i="12"/>
  <c r="R656" i="12"/>
  <c r="P656" i="12"/>
  <c r="O656" i="12"/>
  <c r="S655" i="12"/>
  <c r="L655" i="12"/>
  <c r="M655" i="12"/>
  <c r="Q655" i="12" s="1"/>
  <c r="O655" i="12"/>
  <c r="P655" i="12"/>
  <c r="R655" i="12"/>
  <c r="L654" i="12"/>
  <c r="M654" i="12"/>
  <c r="Q654" i="12" s="1"/>
  <c r="S654" i="12"/>
  <c r="O654" i="12"/>
  <c r="P654" i="12"/>
  <c r="R654" i="12"/>
  <c r="S653" i="12"/>
  <c r="M653" i="12"/>
  <c r="Q653" i="12" s="1"/>
  <c r="L653" i="12"/>
  <c r="P653" i="12"/>
  <c r="R653" i="12"/>
  <c r="O653" i="12"/>
  <c r="S652" i="12"/>
  <c r="M652" i="12"/>
  <c r="Q652" i="12" s="1"/>
  <c r="L652" i="12"/>
  <c r="R652" i="12"/>
  <c r="P652" i="12"/>
  <c r="O652" i="12"/>
  <c r="S651" i="12"/>
  <c r="L651" i="12"/>
  <c r="M651" i="12"/>
  <c r="Q651" i="12" s="1"/>
  <c r="R651" i="12"/>
  <c r="P651" i="12"/>
  <c r="O651" i="12"/>
  <c r="L650" i="12"/>
  <c r="S650" i="12"/>
  <c r="M650" i="12"/>
  <c r="Q650" i="12" s="1"/>
  <c r="P650" i="12"/>
  <c r="O650" i="12"/>
  <c r="R650" i="12"/>
  <c r="L649" i="12"/>
  <c r="S649" i="12"/>
  <c r="M649" i="12"/>
  <c r="Q649" i="12" s="1"/>
  <c r="O649" i="12"/>
  <c r="R649" i="12"/>
  <c r="P649" i="12"/>
  <c r="S648" i="12"/>
  <c r="M648" i="12"/>
  <c r="Q648" i="12" s="1"/>
  <c r="L648" i="12"/>
  <c r="R648" i="12"/>
  <c r="P648" i="12"/>
  <c r="O648" i="12"/>
  <c r="S647" i="12"/>
  <c r="L647" i="12"/>
  <c r="M647" i="12"/>
  <c r="Q647" i="12" s="1"/>
  <c r="R647" i="12"/>
  <c r="P647" i="12"/>
  <c r="O647" i="12"/>
  <c r="S646" i="12"/>
  <c r="M646" i="12"/>
  <c r="Q646" i="12" s="1"/>
  <c r="L646" i="12"/>
  <c r="R646" i="12"/>
  <c r="O646" i="12"/>
  <c r="P646" i="12"/>
  <c r="L645" i="12"/>
  <c r="M645" i="12"/>
  <c r="Q645" i="12" s="1"/>
  <c r="S645" i="12"/>
  <c r="R645" i="12"/>
  <c r="P645" i="12"/>
  <c r="O645" i="12"/>
  <c r="S644" i="12"/>
  <c r="M644" i="12"/>
  <c r="Q644" i="12" s="1"/>
  <c r="L644" i="12"/>
  <c r="R644" i="12"/>
  <c r="P644" i="12"/>
  <c r="O644" i="12"/>
  <c r="S643" i="12"/>
  <c r="L643" i="12"/>
  <c r="M643" i="12"/>
  <c r="Q643" i="12" s="1"/>
  <c r="R643" i="12"/>
  <c r="P643" i="12"/>
  <c r="O643" i="12"/>
  <c r="M642" i="12"/>
  <c r="Q642" i="12" s="1"/>
  <c r="L642" i="12"/>
  <c r="S642" i="12"/>
  <c r="R642" i="12"/>
  <c r="O642" i="12"/>
  <c r="P642" i="12"/>
  <c r="M641" i="12"/>
  <c r="Q641" i="12" s="1"/>
  <c r="L641" i="12"/>
  <c r="S641" i="12"/>
  <c r="P641" i="12"/>
  <c r="O641" i="12"/>
  <c r="R641" i="12"/>
  <c r="M640" i="12"/>
  <c r="Q640" i="12" s="1"/>
  <c r="S640" i="12"/>
  <c r="L640" i="12"/>
  <c r="O640" i="12"/>
  <c r="P640" i="12"/>
  <c r="R640" i="12"/>
  <c r="S639" i="12"/>
  <c r="M639" i="12"/>
  <c r="Q639" i="12" s="1"/>
  <c r="L639" i="12"/>
  <c r="R639" i="12"/>
  <c r="P639" i="12"/>
  <c r="O639" i="12"/>
  <c r="M638" i="12"/>
  <c r="Q638" i="12" s="1"/>
  <c r="L638" i="12"/>
  <c r="S638" i="12"/>
  <c r="O638" i="12"/>
  <c r="R638" i="12"/>
  <c r="P638" i="12"/>
  <c r="L637" i="12"/>
  <c r="M637" i="12"/>
  <c r="Q637" i="12" s="1"/>
  <c r="S637" i="12"/>
  <c r="R637" i="12"/>
  <c r="P637" i="12"/>
  <c r="O637" i="12"/>
  <c r="S636" i="12"/>
  <c r="M636" i="12"/>
  <c r="Q636" i="12" s="1"/>
  <c r="L636" i="12"/>
  <c r="R636" i="12"/>
  <c r="P636" i="12"/>
  <c r="O636" i="12"/>
  <c r="S635" i="12"/>
  <c r="L635" i="12"/>
  <c r="M635" i="12"/>
  <c r="Q635" i="12" s="1"/>
  <c r="R635" i="12"/>
  <c r="P635" i="12"/>
  <c r="O635" i="12"/>
  <c r="M634" i="12"/>
  <c r="Q634" i="12" s="1"/>
  <c r="S634" i="12"/>
  <c r="L634" i="12"/>
  <c r="P634" i="12"/>
  <c r="O634" i="12"/>
  <c r="R634" i="12"/>
  <c r="M633" i="12"/>
  <c r="Q633" i="12" s="1"/>
  <c r="L633" i="12"/>
  <c r="S633" i="12"/>
  <c r="O633" i="12"/>
  <c r="P633" i="12"/>
  <c r="R633" i="12"/>
  <c r="L632" i="12"/>
  <c r="M632" i="12"/>
  <c r="Q632" i="12" s="1"/>
  <c r="S632" i="12"/>
  <c r="O632" i="12"/>
  <c r="P632" i="12"/>
  <c r="R632" i="12"/>
  <c r="S631" i="12"/>
  <c r="M631" i="12"/>
  <c r="Q631" i="12" s="1"/>
  <c r="L631" i="12"/>
  <c r="O631" i="12"/>
  <c r="P631" i="12"/>
  <c r="R631" i="12"/>
  <c r="S630" i="12"/>
  <c r="M630" i="12"/>
  <c r="Q630" i="12" s="1"/>
  <c r="L630" i="12"/>
  <c r="R630" i="12"/>
  <c r="O630" i="12"/>
  <c r="P630" i="12"/>
  <c r="M629" i="12"/>
  <c r="Q629" i="12" s="1"/>
  <c r="L629" i="12"/>
  <c r="S629" i="12"/>
  <c r="R629" i="12"/>
  <c r="O629" i="12"/>
  <c r="P629" i="12"/>
  <c r="S628" i="12"/>
  <c r="M628" i="12"/>
  <c r="Q628" i="12" s="1"/>
  <c r="L628" i="12"/>
  <c r="R628" i="12"/>
  <c r="P628" i="12"/>
  <c r="O628" i="12"/>
  <c r="S627" i="12"/>
  <c r="L627" i="12"/>
  <c r="M627" i="12"/>
  <c r="Q627" i="12" s="1"/>
  <c r="R627" i="12"/>
  <c r="P627" i="12"/>
  <c r="O627" i="12"/>
  <c r="L626" i="12"/>
  <c r="M626" i="12"/>
  <c r="Q626" i="12" s="1"/>
  <c r="S626" i="12"/>
  <c r="O626" i="12"/>
  <c r="R626" i="12"/>
  <c r="P626" i="12"/>
  <c r="M625" i="12"/>
  <c r="Q625" i="12" s="1"/>
  <c r="L625" i="12"/>
  <c r="S625" i="12"/>
  <c r="O625" i="12"/>
  <c r="P625" i="12"/>
  <c r="R625" i="12"/>
  <c r="S624" i="12"/>
  <c r="L624" i="12"/>
  <c r="M624" i="12"/>
  <c r="Q624" i="12" s="1"/>
  <c r="R624" i="12"/>
  <c r="P624" i="12"/>
  <c r="O624" i="12"/>
  <c r="L623" i="12"/>
  <c r="M623" i="12"/>
  <c r="Q623" i="12" s="1"/>
  <c r="S623" i="12"/>
  <c r="P623" i="12"/>
  <c r="R623" i="12"/>
  <c r="O623" i="12"/>
  <c r="S622" i="12"/>
  <c r="M622" i="12"/>
  <c r="Q622" i="12" s="1"/>
  <c r="L622" i="12"/>
  <c r="R622" i="12"/>
  <c r="P622" i="12"/>
  <c r="O622" i="12"/>
  <c r="L621" i="12"/>
  <c r="S621" i="12"/>
  <c r="M621" i="12"/>
  <c r="Q621" i="12" s="1"/>
  <c r="P621" i="12"/>
  <c r="O621" i="12"/>
  <c r="R621" i="12"/>
  <c r="S620" i="12"/>
  <c r="M620" i="12"/>
  <c r="Q620" i="12" s="1"/>
  <c r="L620" i="12"/>
  <c r="R620" i="12"/>
  <c r="P620" i="12"/>
  <c r="O620" i="12"/>
  <c r="S619" i="12"/>
  <c r="M619" i="12"/>
  <c r="Q619" i="12" s="1"/>
  <c r="L619" i="12"/>
  <c r="R619" i="12"/>
  <c r="P619" i="12"/>
  <c r="O619" i="12"/>
  <c r="S618" i="12"/>
  <c r="M618" i="12"/>
  <c r="Q618" i="12" s="1"/>
  <c r="L618" i="12"/>
  <c r="O618" i="12"/>
  <c r="R618" i="12"/>
  <c r="P618" i="12"/>
  <c r="S617" i="12"/>
  <c r="M617" i="12"/>
  <c r="Q617" i="12" s="1"/>
  <c r="L617" i="12"/>
  <c r="R617" i="12"/>
  <c r="P617" i="12"/>
  <c r="O617" i="12"/>
  <c r="S616" i="12"/>
  <c r="M616" i="12"/>
  <c r="Q616" i="12" s="1"/>
  <c r="L616" i="12"/>
  <c r="R616" i="12"/>
  <c r="P616" i="12"/>
  <c r="O616" i="12"/>
  <c r="S615" i="12"/>
  <c r="M615" i="12"/>
  <c r="Q615" i="12" s="1"/>
  <c r="L615" i="12"/>
  <c r="R615" i="12"/>
  <c r="P615" i="12"/>
  <c r="O615" i="12"/>
  <c r="S614" i="12"/>
  <c r="M614" i="12"/>
  <c r="Q614" i="12" s="1"/>
  <c r="L614" i="12"/>
  <c r="R614" i="12"/>
  <c r="P614" i="12"/>
  <c r="O614" i="12"/>
  <c r="S613" i="12"/>
  <c r="L613" i="12"/>
  <c r="M613" i="12"/>
  <c r="Q613" i="12" s="1"/>
  <c r="R613" i="12"/>
  <c r="P613" i="12"/>
  <c r="O613" i="12"/>
  <c r="S612" i="12"/>
  <c r="M612" i="12"/>
  <c r="Q612" i="12" s="1"/>
  <c r="L612" i="12"/>
  <c r="O612" i="12"/>
  <c r="P612" i="12"/>
  <c r="R612" i="12"/>
  <c r="S611" i="12"/>
  <c r="M611" i="12"/>
  <c r="Q611" i="12" s="1"/>
  <c r="L611" i="12"/>
  <c r="R611" i="12"/>
  <c r="P611" i="12"/>
  <c r="O611" i="12"/>
  <c r="S610" i="12"/>
  <c r="M610" i="12"/>
  <c r="Q610" i="12" s="1"/>
  <c r="L610" i="12"/>
  <c r="R610" i="12"/>
  <c r="P610" i="12"/>
  <c r="O610" i="12"/>
  <c r="S609" i="12"/>
  <c r="L609" i="12"/>
  <c r="M609" i="12"/>
  <c r="Q609" i="12" s="1"/>
  <c r="O609" i="12"/>
  <c r="P609" i="12"/>
  <c r="R609" i="12"/>
  <c r="L608" i="12"/>
  <c r="S608" i="12"/>
  <c r="M608" i="12"/>
  <c r="Q608" i="12" s="1"/>
  <c r="O608" i="12"/>
  <c r="P608" i="12"/>
  <c r="R608" i="12"/>
  <c r="M607" i="12"/>
  <c r="Q607" i="12" s="1"/>
  <c r="L607" i="12"/>
  <c r="S607" i="12"/>
  <c r="O607" i="12"/>
  <c r="P607" i="12"/>
  <c r="R607" i="12"/>
  <c r="L606" i="12"/>
  <c r="M606" i="12"/>
  <c r="Q606" i="12" s="1"/>
  <c r="S606" i="12"/>
  <c r="R606" i="12"/>
  <c r="P606" i="12"/>
  <c r="O606" i="12"/>
  <c r="L605" i="12"/>
  <c r="M605" i="12"/>
  <c r="Q605" i="12" s="1"/>
  <c r="S605" i="12"/>
  <c r="O605" i="12"/>
  <c r="P605" i="12"/>
  <c r="R605" i="12"/>
  <c r="L604" i="12"/>
  <c r="M604" i="12"/>
  <c r="Q604" i="12" s="1"/>
  <c r="S604" i="12"/>
  <c r="O604" i="12"/>
  <c r="P604" i="12"/>
  <c r="R604" i="12"/>
  <c r="M603" i="12"/>
  <c r="Q603" i="12" s="1"/>
  <c r="L603" i="12"/>
  <c r="S603" i="12"/>
  <c r="P603" i="12"/>
  <c r="O603" i="12"/>
  <c r="R603" i="12"/>
  <c r="S602" i="12"/>
  <c r="L602" i="12"/>
  <c r="M602" i="12"/>
  <c r="Q602" i="12" s="1"/>
  <c r="R602" i="12"/>
  <c r="O602" i="12"/>
  <c r="P602" i="12"/>
  <c r="S601" i="12"/>
  <c r="L601" i="12"/>
  <c r="M601" i="12"/>
  <c r="Q601" i="12" s="1"/>
  <c r="P601" i="12"/>
  <c r="O601" i="12"/>
  <c r="R601" i="12"/>
  <c r="S600" i="12"/>
  <c r="M600" i="12"/>
  <c r="Q600" i="12" s="1"/>
  <c r="L600" i="12"/>
  <c r="R600" i="12"/>
  <c r="P600" i="12"/>
  <c r="O600" i="12"/>
  <c r="L599" i="12"/>
  <c r="M599" i="12"/>
  <c r="Q599" i="12" s="1"/>
  <c r="S599" i="12"/>
  <c r="O599" i="12"/>
  <c r="P599" i="12"/>
  <c r="R599" i="12"/>
  <c r="S597" i="12"/>
  <c r="L597" i="12"/>
  <c r="M597" i="12"/>
  <c r="Q597" i="12" s="1"/>
  <c r="R597" i="12"/>
  <c r="P597" i="12"/>
  <c r="O597" i="12"/>
  <c r="S596" i="12"/>
  <c r="M596" i="12"/>
  <c r="Q596" i="12" s="1"/>
  <c r="L596" i="12"/>
  <c r="R596" i="12"/>
  <c r="P596" i="12"/>
  <c r="O596" i="12"/>
  <c r="S595" i="12"/>
  <c r="M595" i="12"/>
  <c r="Q595" i="12" s="1"/>
  <c r="L595" i="12"/>
  <c r="P595" i="12"/>
  <c r="O595" i="12"/>
  <c r="R595" i="12"/>
  <c r="M594" i="12"/>
  <c r="Q594" i="12" s="1"/>
  <c r="L594" i="12"/>
  <c r="S594" i="12"/>
  <c r="R594" i="12"/>
  <c r="P594" i="12"/>
  <c r="O594" i="12"/>
  <c r="S593" i="12"/>
  <c r="M593" i="12"/>
  <c r="Q593" i="12" s="1"/>
  <c r="L593" i="12"/>
  <c r="R593" i="12"/>
  <c r="P593" i="12"/>
  <c r="O593" i="12"/>
  <c r="L592" i="12"/>
  <c r="M592" i="12"/>
  <c r="Q592" i="12" s="1"/>
  <c r="S592" i="12"/>
  <c r="P592" i="12"/>
  <c r="O592" i="12"/>
  <c r="R592" i="12"/>
  <c r="S591" i="12"/>
  <c r="L591" i="12"/>
  <c r="M591" i="12"/>
  <c r="Q591" i="12" s="1"/>
  <c r="R591" i="12"/>
  <c r="P591" i="12"/>
  <c r="O591" i="12"/>
  <c r="L590" i="12"/>
  <c r="S590" i="12"/>
  <c r="M590" i="12"/>
  <c r="Q590" i="12" s="1"/>
  <c r="R590" i="12"/>
  <c r="O590" i="12"/>
  <c r="P590" i="12"/>
  <c r="S589" i="12"/>
  <c r="L589" i="12"/>
  <c r="M589" i="12"/>
  <c r="Q589" i="12" s="1"/>
  <c r="O589" i="12"/>
  <c r="P589" i="12"/>
  <c r="R589" i="12"/>
  <c r="L588" i="12"/>
  <c r="S588" i="12"/>
  <c r="M588" i="12"/>
  <c r="Q588" i="12" s="1"/>
  <c r="R588" i="12"/>
  <c r="O588" i="12"/>
  <c r="P588" i="12"/>
  <c r="L587" i="12"/>
  <c r="M587" i="12"/>
  <c r="Q587" i="12" s="1"/>
  <c r="S587" i="12"/>
  <c r="O587" i="12"/>
  <c r="P587" i="12"/>
  <c r="R587" i="12"/>
  <c r="M586" i="12"/>
  <c r="Q586" i="12" s="1"/>
  <c r="L586" i="12"/>
  <c r="S586" i="12"/>
  <c r="P586" i="12"/>
  <c r="O586" i="12"/>
  <c r="R586" i="12"/>
  <c r="S585" i="12"/>
  <c r="L585" i="12"/>
  <c r="M585" i="12"/>
  <c r="Q585" i="12" s="1"/>
  <c r="R585" i="12"/>
  <c r="O585" i="12"/>
  <c r="P585" i="12"/>
  <c r="L584" i="12"/>
  <c r="M584" i="12"/>
  <c r="Q584" i="12" s="1"/>
  <c r="S584" i="12"/>
  <c r="O584" i="12"/>
  <c r="P584" i="12"/>
  <c r="R584" i="12"/>
  <c r="L583" i="12"/>
  <c r="S583" i="12"/>
  <c r="M583" i="12"/>
  <c r="Q583" i="12" s="1"/>
  <c r="O583" i="12"/>
  <c r="P583" i="12"/>
  <c r="R583" i="12"/>
  <c r="M582" i="12"/>
  <c r="Q582" i="12" s="1"/>
  <c r="L582" i="12"/>
  <c r="S582" i="12"/>
  <c r="O582" i="12"/>
  <c r="R582" i="12"/>
  <c r="P582" i="12"/>
  <c r="M581" i="12"/>
  <c r="Q581" i="12" s="1"/>
  <c r="S581" i="12"/>
  <c r="L581" i="12"/>
  <c r="P581" i="12"/>
  <c r="O581" i="12"/>
  <c r="R581" i="12"/>
  <c r="S580" i="12"/>
  <c r="M580" i="12"/>
  <c r="Q580" i="12" s="1"/>
  <c r="L580" i="12"/>
  <c r="P580" i="12"/>
  <c r="O580" i="12"/>
  <c r="R580" i="12"/>
  <c r="M579" i="12"/>
  <c r="Q579" i="12" s="1"/>
  <c r="S579" i="12"/>
  <c r="L579" i="12"/>
  <c r="O579" i="12"/>
  <c r="P579" i="12"/>
  <c r="R579" i="12"/>
  <c r="M578" i="12"/>
  <c r="Q578" i="12" s="1"/>
  <c r="L578" i="12"/>
  <c r="S578" i="12"/>
  <c r="P578" i="12"/>
  <c r="R578" i="12"/>
  <c r="O578" i="12"/>
  <c r="S577" i="12"/>
  <c r="M577" i="12"/>
  <c r="Q577" i="12" s="1"/>
  <c r="L577" i="12"/>
  <c r="P577" i="12"/>
  <c r="R577" i="12"/>
  <c r="O577" i="12"/>
  <c r="S576" i="12"/>
  <c r="L576" i="12"/>
  <c r="M576" i="12"/>
  <c r="Q576" i="12" s="1"/>
  <c r="R576" i="12"/>
  <c r="P576" i="12"/>
  <c r="O576" i="12"/>
  <c r="L575" i="12"/>
  <c r="M575" i="12"/>
  <c r="Q575" i="12" s="1"/>
  <c r="S575" i="12"/>
  <c r="R575" i="12"/>
  <c r="O575" i="12"/>
  <c r="P575" i="12"/>
  <c r="L574" i="12"/>
  <c r="M574" i="12"/>
  <c r="Q574" i="12" s="1"/>
  <c r="S574" i="12"/>
  <c r="R574" i="12"/>
  <c r="O574" i="12"/>
  <c r="P574" i="12"/>
  <c r="M573" i="12"/>
  <c r="Q573" i="12" s="1"/>
  <c r="L573" i="12"/>
  <c r="S573" i="12"/>
  <c r="P573" i="12"/>
  <c r="O573" i="12"/>
  <c r="R573" i="12"/>
  <c r="S572" i="12"/>
  <c r="M572" i="12"/>
  <c r="Q572" i="12" s="1"/>
  <c r="L572" i="12"/>
  <c r="O572" i="12"/>
  <c r="P572" i="12"/>
  <c r="R572" i="12"/>
  <c r="M571" i="12"/>
  <c r="Q571" i="12" s="1"/>
  <c r="L571" i="12"/>
  <c r="S571" i="12"/>
  <c r="P571" i="12"/>
  <c r="R571" i="12"/>
  <c r="O571" i="12"/>
  <c r="S570" i="12"/>
  <c r="M570" i="12"/>
  <c r="Q570" i="12" s="1"/>
  <c r="L570" i="12"/>
  <c r="O570" i="12"/>
  <c r="P570" i="12"/>
  <c r="R570" i="12"/>
  <c r="M569" i="12"/>
  <c r="Q569" i="12" s="1"/>
  <c r="L569" i="12"/>
  <c r="S569" i="12"/>
  <c r="P569" i="12"/>
  <c r="O569" i="12"/>
  <c r="R569" i="12"/>
  <c r="S568" i="12"/>
  <c r="L568" i="12"/>
  <c r="M568" i="12"/>
  <c r="Q568" i="12" s="1"/>
  <c r="R568" i="12"/>
  <c r="P568" i="12"/>
  <c r="O568" i="12"/>
  <c r="M567" i="12"/>
  <c r="Q567" i="12" s="1"/>
  <c r="L567" i="12"/>
  <c r="S567" i="12"/>
  <c r="R567" i="12"/>
  <c r="O567" i="12"/>
  <c r="P567" i="12"/>
  <c r="M566" i="12"/>
  <c r="Q566" i="12" s="1"/>
  <c r="S566" i="12"/>
  <c r="L566" i="12"/>
  <c r="O566" i="12"/>
  <c r="R566" i="12"/>
  <c r="P566" i="12"/>
  <c r="S565" i="12"/>
  <c r="L565" i="12"/>
  <c r="M565" i="12"/>
  <c r="Q565" i="12" s="1"/>
  <c r="O565" i="12"/>
  <c r="P565" i="12"/>
  <c r="R565" i="12"/>
  <c r="S564" i="12"/>
  <c r="L564" i="12"/>
  <c r="M564" i="12"/>
  <c r="Q564" i="12" s="1"/>
  <c r="P564" i="12"/>
  <c r="O564" i="12"/>
  <c r="R564" i="12"/>
  <c r="S563" i="12"/>
  <c r="L563" i="12"/>
  <c r="M563" i="12"/>
  <c r="Q563" i="12" s="1"/>
  <c r="O563" i="12"/>
  <c r="R563" i="12"/>
  <c r="P563" i="12"/>
  <c r="S562" i="12"/>
  <c r="M562" i="12"/>
  <c r="Q562" i="12" s="1"/>
  <c r="L562" i="12"/>
  <c r="R562" i="12"/>
  <c r="P562" i="12"/>
  <c r="O562" i="12"/>
  <c r="L561" i="12"/>
  <c r="S561" i="12"/>
  <c r="M561" i="12"/>
  <c r="Q561" i="12" s="1"/>
  <c r="R561" i="12"/>
  <c r="P561" i="12"/>
  <c r="O561" i="12"/>
  <c r="S560" i="12"/>
  <c r="M560" i="12"/>
  <c r="Q560" i="12" s="1"/>
  <c r="L560" i="12"/>
  <c r="R560" i="12"/>
  <c r="P560" i="12"/>
  <c r="O560" i="12"/>
  <c r="S559" i="12"/>
  <c r="L559" i="12"/>
  <c r="M559" i="12"/>
  <c r="Q559" i="12" s="1"/>
  <c r="R559" i="12"/>
  <c r="P559" i="12"/>
  <c r="O559" i="12"/>
  <c r="S558" i="12"/>
  <c r="M558" i="12"/>
  <c r="Q558" i="12" s="1"/>
  <c r="L558" i="12"/>
  <c r="R558" i="12"/>
  <c r="P558" i="12"/>
  <c r="O558" i="12"/>
  <c r="S557" i="12"/>
  <c r="M557" i="12"/>
  <c r="Q557" i="12" s="1"/>
  <c r="L557" i="12"/>
  <c r="P557" i="12"/>
  <c r="R557" i="12"/>
  <c r="O557" i="12"/>
  <c r="L556" i="12"/>
  <c r="M556" i="12"/>
  <c r="Q556" i="12" s="1"/>
  <c r="S556" i="12"/>
  <c r="R556" i="12"/>
  <c r="P556" i="12"/>
  <c r="O556" i="12"/>
  <c r="L555" i="12"/>
  <c r="S555" i="12"/>
  <c r="O555" i="12"/>
  <c r="P555" i="12"/>
  <c r="R555" i="12"/>
  <c r="S554" i="12"/>
  <c r="M554" i="12"/>
  <c r="Q554" i="12" s="1"/>
  <c r="L554" i="12"/>
  <c r="R554" i="12"/>
  <c r="P554" i="12"/>
  <c r="O554" i="12"/>
  <c r="S553" i="12"/>
  <c r="M553" i="12"/>
  <c r="Q553" i="12" s="1"/>
  <c r="L553" i="12"/>
  <c r="P553" i="12"/>
  <c r="O553" i="12"/>
  <c r="R553" i="12"/>
  <c r="S552" i="12"/>
  <c r="M552" i="12"/>
  <c r="Q552" i="12" s="1"/>
  <c r="L552" i="12"/>
  <c r="R552" i="12"/>
  <c r="O552" i="12"/>
  <c r="P552" i="12"/>
  <c r="M551" i="12"/>
  <c r="Q551" i="12" s="1"/>
  <c r="L551" i="12"/>
  <c r="S551" i="12"/>
  <c r="R551" i="12"/>
  <c r="P551" i="12"/>
  <c r="O551" i="12"/>
  <c r="L550" i="12"/>
  <c r="S550" i="12"/>
  <c r="M550" i="12"/>
  <c r="Q550" i="12" s="1"/>
  <c r="O550" i="12"/>
  <c r="P550" i="12"/>
  <c r="R550" i="12"/>
  <c r="S549" i="12"/>
  <c r="M549" i="12"/>
  <c r="Q549" i="12" s="1"/>
  <c r="L549" i="12"/>
  <c r="R549" i="12"/>
  <c r="P549" i="12"/>
  <c r="O549" i="12"/>
  <c r="L548" i="12"/>
  <c r="M548" i="12"/>
  <c r="Q548" i="12" s="1"/>
  <c r="S548" i="12"/>
  <c r="O548" i="12"/>
  <c r="P548" i="12"/>
  <c r="R548" i="12"/>
  <c r="L547" i="12"/>
  <c r="M547" i="12"/>
  <c r="Q547" i="12" s="1"/>
  <c r="S547" i="12"/>
  <c r="R547" i="12"/>
  <c r="P547" i="12"/>
  <c r="O547" i="12"/>
  <c r="L546" i="12"/>
  <c r="S546" i="12"/>
  <c r="M546" i="12"/>
  <c r="Q546" i="12" s="1"/>
  <c r="P546" i="12"/>
  <c r="O546" i="12"/>
  <c r="R546" i="12"/>
  <c r="L545" i="12"/>
  <c r="M545" i="12"/>
  <c r="Q545" i="12" s="1"/>
  <c r="S545" i="12"/>
  <c r="O545" i="12"/>
  <c r="P545" i="12"/>
  <c r="R545" i="12"/>
  <c r="S544" i="12"/>
  <c r="L544" i="12"/>
  <c r="M544" i="12"/>
  <c r="Q544" i="12" s="1"/>
  <c r="P544" i="12"/>
  <c r="R544" i="12"/>
  <c r="O544" i="12"/>
  <c r="M543" i="12"/>
  <c r="Q543" i="12" s="1"/>
  <c r="S543" i="12"/>
  <c r="L543" i="12"/>
  <c r="O543" i="12"/>
  <c r="P543" i="12"/>
  <c r="R543" i="12"/>
  <c r="S542" i="12"/>
  <c r="L542" i="12"/>
  <c r="M542" i="12"/>
  <c r="Q542" i="12" s="1"/>
  <c r="P542" i="12"/>
  <c r="R542" i="12"/>
  <c r="O542" i="12"/>
  <c r="L541" i="12"/>
  <c r="S541" i="12"/>
  <c r="M541" i="12"/>
  <c r="Q541" i="12" s="1"/>
  <c r="O541" i="12"/>
  <c r="R541" i="12"/>
  <c r="P541" i="12"/>
  <c r="S540" i="12"/>
  <c r="M540" i="12"/>
  <c r="Q540" i="12" s="1"/>
  <c r="L540" i="12"/>
  <c r="O540" i="12"/>
  <c r="R540" i="12"/>
  <c r="P540" i="12"/>
  <c r="L539" i="12"/>
  <c r="M539" i="12"/>
  <c r="Q539" i="12" s="1"/>
  <c r="S539" i="12"/>
  <c r="R539" i="12"/>
  <c r="O539" i="12"/>
  <c r="P539" i="12"/>
  <c r="M538" i="12"/>
  <c r="Q538" i="12" s="1"/>
  <c r="L538" i="12"/>
  <c r="S538" i="12"/>
  <c r="R538" i="12"/>
  <c r="P538" i="12"/>
  <c r="O538" i="12"/>
  <c r="S537" i="12"/>
  <c r="M537" i="12"/>
  <c r="Q537" i="12" s="1"/>
  <c r="L537" i="12"/>
  <c r="O537" i="12"/>
  <c r="P537" i="12"/>
  <c r="R537" i="12"/>
  <c r="L536" i="12"/>
  <c r="M536" i="12"/>
  <c r="Q536" i="12" s="1"/>
  <c r="S536" i="12"/>
  <c r="R536" i="12"/>
  <c r="P536" i="12"/>
  <c r="O536" i="12"/>
  <c r="M535" i="12"/>
  <c r="Q535" i="12" s="1"/>
  <c r="L535" i="12"/>
  <c r="S535" i="12"/>
  <c r="O535" i="12"/>
  <c r="P535" i="12"/>
  <c r="R535" i="12"/>
  <c r="M534" i="12"/>
  <c r="Q534" i="12" s="1"/>
  <c r="L534" i="12"/>
  <c r="M533" i="12"/>
  <c r="Q533" i="12" s="1"/>
  <c r="L533" i="12"/>
  <c r="S533" i="12"/>
  <c r="O533" i="12"/>
  <c r="R533" i="12"/>
  <c r="P533" i="12"/>
  <c r="M532" i="12"/>
  <c r="Q532" i="12" s="1"/>
  <c r="S532" i="12"/>
  <c r="L532" i="12"/>
  <c r="R532" i="12"/>
  <c r="P532" i="12"/>
  <c r="O532" i="12"/>
  <c r="L531" i="12"/>
  <c r="S531" i="12"/>
  <c r="M531" i="12"/>
  <c r="Q531" i="12" s="1"/>
  <c r="O531" i="12"/>
  <c r="R531" i="12"/>
  <c r="P531" i="12"/>
  <c r="S530" i="12"/>
  <c r="L530" i="12"/>
  <c r="M530" i="12"/>
  <c r="Q530" i="12" s="1"/>
  <c r="P530" i="12"/>
  <c r="O530" i="12"/>
  <c r="R530" i="12"/>
  <c r="S529" i="12"/>
  <c r="M529" i="12"/>
  <c r="Q529" i="12" s="1"/>
  <c r="L529" i="12"/>
  <c r="P529" i="12"/>
  <c r="O529" i="12"/>
  <c r="R529" i="12"/>
  <c r="S528" i="12"/>
  <c r="L528" i="12"/>
  <c r="M528" i="12"/>
  <c r="Q528" i="12" s="1"/>
  <c r="O528" i="12"/>
  <c r="P528" i="12"/>
  <c r="R528" i="12"/>
  <c r="M527" i="12"/>
  <c r="Q527" i="12" s="1"/>
  <c r="L527" i="12"/>
  <c r="S527" i="12"/>
  <c r="O527" i="12"/>
  <c r="P527" i="12"/>
  <c r="R527" i="12"/>
  <c r="S526" i="12"/>
  <c r="M526" i="12"/>
  <c r="Q526" i="12" s="1"/>
  <c r="L526" i="12"/>
  <c r="R526" i="12"/>
  <c r="P526" i="12"/>
  <c r="O526" i="12"/>
  <c r="L525" i="12"/>
  <c r="M525" i="12"/>
  <c r="Q525" i="12" s="1"/>
  <c r="S525" i="12"/>
  <c r="R525" i="12"/>
  <c r="O525" i="12"/>
  <c r="P525" i="12"/>
  <c r="L524" i="12"/>
  <c r="M524" i="12"/>
  <c r="Q524" i="12" s="1"/>
  <c r="S524" i="12"/>
  <c r="O524" i="12"/>
  <c r="P524" i="12"/>
  <c r="R524" i="12"/>
  <c r="L523" i="12"/>
  <c r="S523" i="12"/>
  <c r="M523" i="12"/>
  <c r="Q523" i="12" s="1"/>
  <c r="O523" i="12"/>
  <c r="P523" i="12"/>
  <c r="R523" i="12"/>
  <c r="S522" i="12"/>
  <c r="M522" i="12"/>
  <c r="Q522" i="12" s="1"/>
  <c r="L522" i="12"/>
  <c r="R522" i="12"/>
  <c r="P522" i="12"/>
  <c r="O522" i="12"/>
  <c r="L521" i="12"/>
  <c r="M521" i="12"/>
  <c r="Q521" i="12" s="1"/>
  <c r="S521" i="12"/>
  <c r="O521" i="12"/>
  <c r="P521" i="12"/>
  <c r="R521" i="12"/>
  <c r="S520" i="12"/>
  <c r="M520" i="12"/>
  <c r="Q520" i="12" s="1"/>
  <c r="L520" i="12"/>
  <c r="P520" i="12"/>
  <c r="R520" i="12"/>
  <c r="O520" i="12"/>
  <c r="M519" i="12"/>
  <c r="Q519" i="12" s="1"/>
  <c r="L519" i="12"/>
  <c r="S519" i="12"/>
  <c r="P519" i="12"/>
  <c r="O519" i="12"/>
  <c r="R519" i="12"/>
  <c r="L518" i="12"/>
  <c r="M518" i="12"/>
  <c r="Q518" i="12" s="1"/>
  <c r="S518" i="12"/>
  <c r="O518" i="12"/>
  <c r="P518" i="12"/>
  <c r="R518" i="12"/>
  <c r="L517" i="12"/>
  <c r="S517" i="12"/>
  <c r="M517" i="12"/>
  <c r="Q517" i="12" s="1"/>
  <c r="P517" i="12"/>
  <c r="R517" i="12"/>
  <c r="O517" i="12"/>
  <c r="L516" i="12"/>
  <c r="M516" i="12"/>
  <c r="Q516" i="12" s="1"/>
  <c r="S516" i="12"/>
  <c r="R516" i="12"/>
  <c r="O516" i="12"/>
  <c r="P516" i="12"/>
  <c r="L515" i="12"/>
  <c r="M515" i="12"/>
  <c r="Q515" i="12" s="1"/>
  <c r="S515" i="12"/>
  <c r="R515" i="12"/>
  <c r="P515" i="12"/>
  <c r="O515" i="12"/>
  <c r="L514" i="12"/>
  <c r="M514" i="12"/>
  <c r="Q514" i="12" s="1"/>
  <c r="S514" i="12"/>
  <c r="P514" i="12"/>
  <c r="R514" i="12"/>
  <c r="O514" i="12"/>
  <c r="L513" i="12"/>
  <c r="S513" i="12"/>
  <c r="M513" i="12"/>
  <c r="Q513" i="12" s="1"/>
  <c r="R513" i="12"/>
  <c r="P513" i="12"/>
  <c r="O513" i="12"/>
  <c r="S512" i="12"/>
  <c r="M512" i="12"/>
  <c r="Q512" i="12" s="1"/>
  <c r="L512" i="12"/>
  <c r="R512" i="12"/>
  <c r="P512" i="12"/>
  <c r="O512" i="12"/>
  <c r="S511" i="12"/>
  <c r="M511" i="12"/>
  <c r="Q511" i="12" s="1"/>
  <c r="L511" i="12"/>
  <c r="P511" i="12"/>
  <c r="O511" i="12"/>
  <c r="R511" i="12"/>
  <c r="S510" i="12"/>
  <c r="M510" i="12"/>
  <c r="Q510" i="12" s="1"/>
  <c r="L510" i="12"/>
  <c r="R510" i="12"/>
  <c r="P510" i="12"/>
  <c r="O510" i="12"/>
  <c r="S509" i="12"/>
  <c r="M509" i="12"/>
  <c r="Q509" i="12" s="1"/>
  <c r="L509" i="12"/>
  <c r="R509" i="12"/>
  <c r="P509" i="12"/>
  <c r="O509" i="12"/>
  <c r="L508" i="12"/>
  <c r="M508" i="12"/>
  <c r="Q508" i="12" s="1"/>
  <c r="S508" i="12"/>
  <c r="R508" i="12"/>
  <c r="P508" i="12"/>
  <c r="O508" i="12"/>
  <c r="S507" i="12"/>
  <c r="L507" i="12"/>
  <c r="M507" i="12"/>
  <c r="Q507" i="12" s="1"/>
  <c r="R507" i="12"/>
  <c r="P507" i="12"/>
  <c r="O507" i="12"/>
  <c r="L506" i="12"/>
  <c r="M506" i="12"/>
  <c r="Q506" i="12" s="1"/>
  <c r="S506" i="12"/>
  <c r="R506" i="12"/>
  <c r="P506" i="12"/>
  <c r="O506" i="12"/>
  <c r="L505" i="12"/>
  <c r="M505" i="12"/>
  <c r="Q505" i="12" s="1"/>
  <c r="S505" i="12"/>
  <c r="R505" i="12"/>
  <c r="P505" i="12"/>
  <c r="O505" i="12"/>
  <c r="M504" i="12"/>
  <c r="Q504" i="12" s="1"/>
  <c r="S504" i="12"/>
  <c r="L504" i="12"/>
  <c r="R504" i="12"/>
  <c r="P504" i="12"/>
  <c r="O504" i="12"/>
  <c r="M503" i="12"/>
  <c r="Q503" i="12" s="1"/>
  <c r="L503" i="12"/>
  <c r="S503" i="12"/>
  <c r="P503" i="12"/>
  <c r="O503" i="12"/>
  <c r="R503" i="12"/>
  <c r="M502" i="12"/>
  <c r="Q502" i="12" s="1"/>
  <c r="L502" i="12"/>
  <c r="S502" i="12"/>
  <c r="R502" i="12"/>
  <c r="P502" i="12"/>
  <c r="O502" i="12"/>
  <c r="S501" i="12"/>
  <c r="M501" i="12"/>
  <c r="Q501" i="12" s="1"/>
  <c r="L501" i="12"/>
  <c r="R501" i="12"/>
  <c r="P501" i="12"/>
  <c r="O501" i="12"/>
  <c r="S500" i="12"/>
  <c r="M500" i="12"/>
  <c r="Q500" i="12" s="1"/>
  <c r="L500" i="12"/>
  <c r="R500" i="12"/>
  <c r="P500" i="12"/>
  <c r="O500" i="12"/>
  <c r="S499" i="12"/>
  <c r="M499" i="12"/>
  <c r="Q499" i="12" s="1"/>
  <c r="L499" i="12"/>
  <c r="R499" i="12"/>
  <c r="P499" i="12"/>
  <c r="O499" i="12"/>
  <c r="M498" i="12"/>
  <c r="Q498" i="12" s="1"/>
  <c r="L498" i="12"/>
  <c r="S498" i="12"/>
  <c r="R498" i="12"/>
  <c r="P498" i="12"/>
  <c r="O498" i="12"/>
  <c r="S497" i="12"/>
  <c r="M497" i="12"/>
  <c r="Q497" i="12" s="1"/>
  <c r="L497" i="12"/>
  <c r="R497" i="12"/>
  <c r="P497" i="12"/>
  <c r="O497" i="12"/>
  <c r="S496" i="12"/>
  <c r="M496" i="12"/>
  <c r="Q496" i="12" s="1"/>
  <c r="L496" i="12"/>
  <c r="R496" i="12"/>
  <c r="P496" i="12"/>
  <c r="O496" i="12"/>
  <c r="S495" i="12"/>
  <c r="M495" i="12"/>
  <c r="Q495" i="12" s="1"/>
  <c r="L495" i="12"/>
  <c r="R495" i="12"/>
  <c r="P495" i="12"/>
  <c r="O495" i="12"/>
  <c r="S494" i="12"/>
  <c r="M494" i="12"/>
  <c r="Q494" i="12" s="1"/>
  <c r="L494" i="12"/>
  <c r="R494" i="12"/>
  <c r="P494" i="12"/>
  <c r="O494" i="12"/>
  <c r="S493" i="12"/>
  <c r="L493" i="12"/>
  <c r="M493" i="12"/>
  <c r="Q493" i="12" s="1"/>
  <c r="R493" i="12"/>
  <c r="P493" i="12"/>
  <c r="O493" i="12"/>
  <c r="S492" i="12"/>
  <c r="M492" i="12"/>
  <c r="Q492" i="12" s="1"/>
  <c r="L492" i="12"/>
  <c r="R492" i="12"/>
  <c r="P492" i="12"/>
  <c r="O492" i="12"/>
  <c r="S491" i="12"/>
  <c r="M491" i="12"/>
  <c r="Q491" i="12" s="1"/>
  <c r="L491" i="12"/>
  <c r="P491" i="12"/>
  <c r="R491" i="12"/>
  <c r="O491" i="12"/>
  <c r="S490" i="12"/>
  <c r="M490" i="12"/>
  <c r="Q490" i="12" s="1"/>
  <c r="L490" i="12"/>
  <c r="R490" i="12"/>
  <c r="P490" i="12"/>
  <c r="O490" i="12"/>
  <c r="S489" i="12"/>
  <c r="M489" i="12"/>
  <c r="Q489" i="12" s="1"/>
  <c r="L489" i="12"/>
  <c r="R489" i="12"/>
  <c r="P489" i="12"/>
  <c r="O489" i="12"/>
  <c r="S488" i="12"/>
  <c r="M488" i="12"/>
  <c r="Q488" i="12" s="1"/>
  <c r="L488" i="12"/>
  <c r="P488" i="12"/>
  <c r="O488" i="12"/>
  <c r="R488" i="12"/>
  <c r="L487" i="12"/>
  <c r="M487" i="12"/>
  <c r="Q487" i="12" s="1"/>
  <c r="S487" i="12"/>
  <c r="O487" i="12"/>
  <c r="P487" i="12"/>
  <c r="R487" i="12"/>
  <c r="M486" i="12"/>
  <c r="Q486" i="12" s="1"/>
  <c r="L486" i="12"/>
  <c r="S486" i="12"/>
  <c r="O486" i="12"/>
  <c r="P486" i="12"/>
  <c r="R486" i="12"/>
  <c r="S485" i="12"/>
  <c r="L485" i="12"/>
  <c r="M485" i="12"/>
  <c r="Q485" i="12" s="1"/>
  <c r="R485" i="12"/>
  <c r="O485" i="12"/>
  <c r="P485" i="12"/>
  <c r="S484" i="12"/>
  <c r="M484" i="12"/>
  <c r="Q484" i="12" s="1"/>
  <c r="L484" i="12"/>
  <c r="O484" i="12"/>
  <c r="P484" i="12"/>
  <c r="R484" i="12"/>
  <c r="M483" i="12"/>
  <c r="Q483" i="12" s="1"/>
  <c r="L483" i="12"/>
  <c r="S483" i="12"/>
  <c r="O483" i="12"/>
  <c r="P483" i="12"/>
  <c r="R483" i="12"/>
  <c r="S482" i="12"/>
  <c r="M482" i="12"/>
  <c r="Q482" i="12" s="1"/>
  <c r="L482" i="12"/>
  <c r="P482" i="12"/>
  <c r="R482" i="12"/>
  <c r="O482" i="12"/>
  <c r="M481" i="12"/>
  <c r="Q481" i="12" s="1"/>
  <c r="S481" i="12"/>
  <c r="L481" i="12"/>
  <c r="P481" i="12"/>
  <c r="O481" i="12"/>
  <c r="R481" i="12"/>
  <c r="S480" i="12"/>
  <c r="L480" i="12"/>
  <c r="M480" i="12"/>
  <c r="Q480" i="12" s="1"/>
  <c r="R480" i="12"/>
  <c r="O480" i="12"/>
  <c r="P480" i="12"/>
  <c r="S479" i="12"/>
  <c r="M479" i="12"/>
  <c r="Q479" i="12" s="1"/>
  <c r="L479" i="12"/>
  <c r="R479" i="12"/>
  <c r="P479" i="12"/>
  <c r="O479" i="12"/>
  <c r="L478" i="12"/>
  <c r="S478" i="12"/>
  <c r="M478" i="12"/>
  <c r="Q478" i="12" s="1"/>
  <c r="R478" i="12"/>
  <c r="P478" i="12"/>
  <c r="O478" i="12"/>
  <c r="M477" i="12"/>
  <c r="Q477" i="12" s="1"/>
  <c r="S477" i="12"/>
  <c r="L477" i="12"/>
  <c r="O477" i="12"/>
  <c r="P477" i="12"/>
  <c r="R477" i="12"/>
  <c r="L476" i="12"/>
  <c r="S476" i="12"/>
  <c r="M476" i="12"/>
  <c r="Q476" i="12" s="1"/>
  <c r="R476" i="12"/>
  <c r="P476" i="12"/>
  <c r="O476" i="12"/>
  <c r="L475" i="12"/>
  <c r="S475" i="12"/>
  <c r="M475" i="12"/>
  <c r="Q475" i="12" s="1"/>
  <c r="R475" i="12"/>
  <c r="O475" i="12"/>
  <c r="P475" i="12"/>
  <c r="L474" i="12"/>
  <c r="M474" i="12"/>
  <c r="Q474" i="12" s="1"/>
  <c r="S474" i="12"/>
  <c r="R474" i="12"/>
  <c r="P474" i="12"/>
  <c r="O474" i="12"/>
  <c r="L473" i="12"/>
  <c r="S473" i="12"/>
  <c r="M473" i="12"/>
  <c r="Q473" i="12" s="1"/>
  <c r="R473" i="12"/>
  <c r="P473" i="12"/>
  <c r="O473" i="12"/>
  <c r="S472" i="12"/>
  <c r="L472" i="12"/>
  <c r="M472" i="12"/>
  <c r="Q472" i="12" s="1"/>
  <c r="R472" i="12"/>
  <c r="O472" i="12"/>
  <c r="P472" i="12"/>
  <c r="L471" i="12"/>
  <c r="S471" i="12"/>
  <c r="M471" i="12"/>
  <c r="Q471" i="12" s="1"/>
  <c r="R471" i="12"/>
  <c r="P471" i="12"/>
  <c r="O471" i="12"/>
  <c r="L470" i="12"/>
  <c r="M470" i="12"/>
  <c r="Q470" i="12" s="1"/>
  <c r="P470" i="12"/>
  <c r="O470" i="12"/>
  <c r="R470" i="12"/>
  <c r="M469" i="12"/>
  <c r="Q469" i="12" s="1"/>
  <c r="S469" i="12"/>
  <c r="L469" i="12"/>
  <c r="R469" i="12"/>
  <c r="P469" i="12"/>
  <c r="O469" i="12"/>
  <c r="L468" i="12"/>
  <c r="M468" i="12"/>
  <c r="Q468" i="12" s="1"/>
  <c r="S468" i="12"/>
  <c r="O468" i="12"/>
  <c r="P468" i="12"/>
  <c r="R468" i="12"/>
  <c r="L467" i="12"/>
  <c r="S467" i="12"/>
  <c r="M467" i="12"/>
  <c r="Q467" i="12" s="1"/>
  <c r="P467" i="12"/>
  <c r="O467" i="12"/>
  <c r="R467" i="12"/>
  <c r="L466" i="12"/>
  <c r="M466" i="12"/>
  <c r="Q466" i="12" s="1"/>
  <c r="S466" i="12"/>
  <c r="P466" i="12"/>
  <c r="O466" i="12"/>
  <c r="R466" i="12"/>
  <c r="L465" i="12"/>
  <c r="M465" i="12"/>
  <c r="Q465" i="12" s="1"/>
  <c r="S465" i="12"/>
  <c r="O465" i="12"/>
  <c r="R465" i="12"/>
  <c r="P465" i="12"/>
  <c r="S464" i="12"/>
  <c r="M464" i="12"/>
  <c r="Q464" i="12" s="1"/>
  <c r="L464" i="12"/>
  <c r="P464" i="12"/>
  <c r="O464" i="12"/>
  <c r="R464" i="12"/>
  <c r="M463" i="12"/>
  <c r="Q463" i="12" s="1"/>
  <c r="L463" i="12"/>
  <c r="S463" i="12"/>
  <c r="P463" i="12"/>
  <c r="O463" i="12"/>
  <c r="R463" i="12"/>
  <c r="S462" i="12"/>
  <c r="M462" i="12"/>
  <c r="Q462" i="12" s="1"/>
  <c r="L462" i="12"/>
  <c r="R462" i="12"/>
  <c r="O462" i="12"/>
  <c r="P462" i="12"/>
  <c r="L461" i="12"/>
  <c r="M461" i="12"/>
  <c r="Q461" i="12" s="1"/>
  <c r="S461" i="12"/>
  <c r="P461" i="12"/>
  <c r="R461" i="12"/>
  <c r="O461" i="12"/>
  <c r="S460" i="12"/>
  <c r="M460" i="12"/>
  <c r="Q460" i="12" s="1"/>
  <c r="L460" i="12"/>
  <c r="R460" i="12"/>
  <c r="O460" i="12"/>
  <c r="P460" i="12"/>
  <c r="L459" i="12"/>
  <c r="M459" i="12"/>
  <c r="Q459" i="12" s="1"/>
  <c r="S459" i="12"/>
  <c r="P459" i="12"/>
  <c r="O459" i="12"/>
  <c r="R459" i="12"/>
  <c r="S458" i="12"/>
  <c r="M458" i="12"/>
  <c r="Q458" i="12" s="1"/>
  <c r="L458" i="12"/>
  <c r="P458" i="12"/>
  <c r="O458" i="12"/>
  <c r="R458" i="12"/>
  <c r="M457" i="12"/>
  <c r="Q457" i="12" s="1"/>
  <c r="L457" i="12"/>
  <c r="S457" i="12"/>
  <c r="R457" i="12"/>
  <c r="P457" i="12"/>
  <c r="O457" i="12"/>
  <c r="S456" i="12"/>
  <c r="M456" i="12"/>
  <c r="Q456" i="12" s="1"/>
  <c r="L456" i="12"/>
  <c r="R456" i="12"/>
  <c r="P456" i="12"/>
  <c r="O456" i="12"/>
  <c r="S455" i="12"/>
  <c r="M455" i="12"/>
  <c r="Q455" i="12" s="1"/>
  <c r="L455" i="12"/>
  <c r="R455" i="12"/>
  <c r="P455" i="12"/>
  <c r="O455" i="12"/>
  <c r="S454" i="12"/>
  <c r="L454" i="12"/>
  <c r="M454" i="12"/>
  <c r="Q454" i="12" s="1"/>
  <c r="P454" i="12"/>
  <c r="R454" i="12"/>
  <c r="O454" i="12"/>
  <c r="L453" i="12"/>
  <c r="S453" i="12"/>
  <c r="M453" i="12"/>
  <c r="Q453" i="12" s="1"/>
  <c r="R453" i="12"/>
  <c r="P453" i="12"/>
  <c r="O453" i="12"/>
  <c r="M452" i="12"/>
  <c r="Q452" i="12" s="1"/>
  <c r="L452" i="12"/>
  <c r="S452" i="12"/>
  <c r="R452" i="12"/>
  <c r="P452" i="12"/>
  <c r="O452" i="12"/>
  <c r="S451" i="12"/>
  <c r="M451" i="12"/>
  <c r="Q451" i="12" s="1"/>
  <c r="L451" i="12"/>
  <c r="R451" i="12"/>
  <c r="P451" i="12"/>
  <c r="O451" i="12"/>
  <c r="M450" i="12"/>
  <c r="Q450" i="12" s="1"/>
  <c r="L450" i="12"/>
  <c r="S450" i="12"/>
  <c r="O450" i="12"/>
  <c r="P450" i="12"/>
  <c r="R450" i="12"/>
  <c r="M449" i="12"/>
  <c r="Q449" i="12" s="1"/>
  <c r="L449" i="12"/>
  <c r="S449" i="12"/>
  <c r="O449" i="12"/>
  <c r="P449" i="12"/>
  <c r="R449" i="12"/>
  <c r="M448" i="12"/>
  <c r="Q448" i="12" s="1"/>
  <c r="L448" i="12"/>
  <c r="S448" i="12"/>
  <c r="O448" i="12"/>
  <c r="R448" i="12"/>
  <c r="P448" i="12"/>
  <c r="L447" i="12"/>
  <c r="M447" i="12"/>
  <c r="Q447" i="12" s="1"/>
  <c r="S447" i="12"/>
  <c r="R447" i="12"/>
  <c r="P447" i="12"/>
  <c r="O447" i="12"/>
  <c r="S446" i="12"/>
  <c r="L446" i="12"/>
  <c r="M446" i="12"/>
  <c r="Q446" i="12" s="1"/>
  <c r="R446" i="12"/>
  <c r="P446" i="12"/>
  <c r="O446" i="12"/>
  <c r="M445" i="12"/>
  <c r="Q445" i="12" s="1"/>
  <c r="S445" i="12"/>
  <c r="L445" i="12"/>
  <c r="O445" i="12"/>
  <c r="P445" i="12"/>
  <c r="R445" i="12"/>
  <c r="M444" i="12"/>
  <c r="Q444" i="12" s="1"/>
  <c r="L444" i="12"/>
  <c r="S444" i="12"/>
  <c r="P444" i="12"/>
  <c r="O444" i="12"/>
  <c r="R444" i="12"/>
  <c r="S443" i="12"/>
  <c r="L443" i="12"/>
  <c r="M443" i="12"/>
  <c r="Q443" i="12" s="1"/>
  <c r="R443" i="12"/>
  <c r="O443" i="12"/>
  <c r="P443" i="12"/>
  <c r="S442" i="12"/>
  <c r="M442" i="12"/>
  <c r="Q442" i="12" s="1"/>
  <c r="L442" i="12"/>
  <c r="P442" i="12"/>
  <c r="O442" i="12"/>
  <c r="R442" i="12"/>
  <c r="S441" i="12"/>
  <c r="M441" i="12"/>
  <c r="Q441" i="12" s="1"/>
  <c r="L441" i="12"/>
  <c r="O441" i="12"/>
  <c r="P441" i="12"/>
  <c r="R441" i="12"/>
  <c r="S440" i="12"/>
  <c r="M440" i="12"/>
  <c r="Q440" i="12" s="1"/>
  <c r="L440" i="12"/>
  <c r="R440" i="12"/>
  <c r="P440" i="12"/>
  <c r="O440" i="12"/>
  <c r="S439" i="12"/>
  <c r="M439" i="12"/>
  <c r="Q439" i="12" s="1"/>
  <c r="L439" i="12"/>
  <c r="R439" i="12"/>
  <c r="P439" i="12"/>
  <c r="O439" i="12"/>
  <c r="S438" i="12"/>
  <c r="M438" i="12"/>
  <c r="Q438" i="12" s="1"/>
  <c r="L438" i="12"/>
  <c r="P438" i="12"/>
  <c r="O438" i="12"/>
  <c r="R438" i="12"/>
  <c r="M437" i="12"/>
  <c r="Q437" i="12" s="1"/>
  <c r="L437" i="12"/>
  <c r="S437" i="12"/>
  <c r="R437" i="12"/>
  <c r="P437" i="12"/>
  <c r="O437" i="12"/>
  <c r="L436" i="12"/>
  <c r="M436" i="12"/>
  <c r="Q436" i="12" s="1"/>
  <c r="S436" i="12"/>
  <c r="R436" i="12"/>
  <c r="O436" i="12"/>
  <c r="P436" i="12"/>
  <c r="M435" i="12"/>
  <c r="Q435" i="12" s="1"/>
  <c r="L435" i="12"/>
  <c r="S435" i="12"/>
  <c r="R435" i="12"/>
  <c r="P435" i="12"/>
  <c r="O435" i="12"/>
  <c r="S434" i="12"/>
  <c r="M434" i="12"/>
  <c r="Q434" i="12" s="1"/>
  <c r="L434" i="12"/>
  <c r="R434" i="12"/>
  <c r="P434" i="12"/>
  <c r="O434" i="12"/>
  <c r="S433" i="12"/>
  <c r="M433" i="12"/>
  <c r="Q433" i="12" s="1"/>
  <c r="L433" i="12"/>
  <c r="R433" i="12"/>
  <c r="P433" i="12"/>
  <c r="O433" i="12"/>
  <c r="S432" i="12"/>
  <c r="M432" i="12"/>
  <c r="Q432" i="12" s="1"/>
  <c r="L432" i="12"/>
  <c r="R432" i="12"/>
  <c r="P432" i="12"/>
  <c r="O432" i="12"/>
  <c r="M431" i="12"/>
  <c r="Q431" i="12" s="1"/>
  <c r="L431" i="12"/>
  <c r="S431" i="12"/>
  <c r="P431" i="12"/>
  <c r="O431" i="12"/>
  <c r="R431" i="12"/>
  <c r="S430" i="12"/>
  <c r="M430" i="12"/>
  <c r="Q430" i="12" s="1"/>
  <c r="L430" i="12"/>
  <c r="R430" i="12"/>
  <c r="P430" i="12"/>
  <c r="O430" i="12"/>
  <c r="S429" i="12"/>
  <c r="M429" i="12"/>
  <c r="Q429" i="12" s="1"/>
  <c r="L429" i="12"/>
  <c r="P429" i="12"/>
  <c r="R429" i="12"/>
  <c r="O429" i="12"/>
  <c r="S428" i="12"/>
  <c r="M428" i="12"/>
  <c r="Q428" i="12" s="1"/>
  <c r="L428" i="12"/>
  <c r="O428" i="12"/>
  <c r="P428" i="12"/>
  <c r="R428" i="12"/>
  <c r="S427" i="12"/>
  <c r="L427" i="12"/>
  <c r="M427" i="12"/>
  <c r="Q427" i="12" s="1"/>
  <c r="O427" i="12"/>
  <c r="R427" i="12"/>
  <c r="P427" i="12"/>
  <c r="M426" i="12"/>
  <c r="Q426" i="12" s="1"/>
  <c r="L426" i="12"/>
  <c r="S426" i="12"/>
  <c r="P426" i="12"/>
  <c r="O426" i="12"/>
  <c r="R426" i="12"/>
  <c r="M425" i="12"/>
  <c r="Q425" i="12" s="1"/>
  <c r="S425" i="12"/>
  <c r="L425" i="12"/>
  <c r="P425" i="12"/>
  <c r="R425" i="12"/>
  <c r="O425" i="12"/>
  <c r="M424" i="12"/>
  <c r="Q424" i="12" s="1"/>
  <c r="L424" i="12"/>
  <c r="S424" i="12"/>
  <c r="O424" i="12"/>
  <c r="P424" i="12"/>
  <c r="R424" i="12"/>
  <c r="M423" i="12"/>
  <c r="Q423" i="12" s="1"/>
  <c r="S423" i="12"/>
  <c r="L423" i="12"/>
  <c r="R423" i="12"/>
  <c r="P423" i="12"/>
  <c r="O423" i="12"/>
  <c r="S422" i="12"/>
  <c r="M422" i="12"/>
  <c r="Q422" i="12" s="1"/>
  <c r="L422" i="12"/>
  <c r="O422" i="12"/>
  <c r="P422" i="12"/>
  <c r="R422" i="12"/>
  <c r="L421" i="12"/>
  <c r="M421" i="12"/>
  <c r="Q421" i="12" s="1"/>
  <c r="S421" i="12"/>
  <c r="O421" i="12"/>
  <c r="P421" i="12"/>
  <c r="R421" i="12"/>
  <c r="L420" i="12"/>
  <c r="M420" i="12"/>
  <c r="Q420" i="12" s="1"/>
  <c r="S420" i="12"/>
  <c r="O420" i="12"/>
  <c r="P420" i="12"/>
  <c r="R420" i="12"/>
  <c r="M419" i="12"/>
  <c r="Q419" i="12" s="1"/>
  <c r="S419" i="12"/>
  <c r="L419" i="12"/>
  <c r="P419" i="12"/>
  <c r="R419" i="12"/>
  <c r="O419" i="12"/>
  <c r="M418" i="12"/>
  <c r="Q418" i="12" s="1"/>
  <c r="L418" i="12"/>
  <c r="S418" i="12"/>
  <c r="O418" i="12"/>
  <c r="P418" i="12"/>
  <c r="R418" i="12"/>
  <c r="S417" i="12"/>
  <c r="M417" i="12"/>
  <c r="Q417" i="12" s="1"/>
  <c r="L417" i="12"/>
  <c r="R417" i="12"/>
  <c r="P417" i="12"/>
  <c r="O417" i="12"/>
  <c r="M416" i="12"/>
  <c r="Q416" i="12" s="1"/>
  <c r="L416" i="12"/>
  <c r="S416" i="12"/>
  <c r="R416" i="12"/>
  <c r="O416" i="12"/>
  <c r="P416" i="12"/>
  <c r="M415" i="12"/>
  <c r="Q415" i="12" s="1"/>
  <c r="S415" i="12"/>
  <c r="L415" i="12"/>
  <c r="O415" i="12"/>
  <c r="P415" i="12"/>
  <c r="R415" i="12"/>
  <c r="S414" i="12"/>
  <c r="M414" i="12"/>
  <c r="Q414" i="12" s="1"/>
  <c r="L414" i="12"/>
  <c r="O414" i="12"/>
  <c r="P414" i="12"/>
  <c r="R414" i="12"/>
  <c r="S413" i="12"/>
  <c r="M413" i="12"/>
  <c r="Q413" i="12" s="1"/>
  <c r="L413" i="12"/>
  <c r="R413" i="12"/>
  <c r="P413" i="12"/>
  <c r="O413" i="12"/>
  <c r="M412" i="12"/>
  <c r="Q412" i="12" s="1"/>
  <c r="S412" i="12"/>
  <c r="L412" i="12"/>
  <c r="R412" i="12"/>
  <c r="P412" i="12"/>
  <c r="O412" i="12"/>
  <c r="S411" i="12"/>
  <c r="M411" i="12"/>
  <c r="Q411" i="12" s="1"/>
  <c r="L411" i="12"/>
  <c r="R411" i="12"/>
  <c r="P411" i="12"/>
  <c r="O411" i="12"/>
  <c r="M410" i="12"/>
  <c r="Q410" i="12" s="1"/>
  <c r="L410" i="12"/>
  <c r="S410" i="12"/>
  <c r="R410" i="12"/>
  <c r="P410" i="12"/>
  <c r="O410" i="12"/>
  <c r="M409" i="12"/>
  <c r="Q409" i="12" s="1"/>
  <c r="L409" i="12"/>
  <c r="S409" i="12"/>
  <c r="P409" i="12"/>
  <c r="O409" i="12"/>
  <c r="R409" i="12"/>
  <c r="S408" i="12"/>
  <c r="M408" i="12"/>
  <c r="Q408" i="12" s="1"/>
  <c r="L408" i="12"/>
  <c r="P408" i="12"/>
  <c r="O408" i="12"/>
  <c r="R408" i="12"/>
  <c r="S407" i="12"/>
  <c r="M407" i="12"/>
  <c r="Q407" i="12" s="1"/>
  <c r="L407" i="12"/>
  <c r="S406" i="12"/>
  <c r="L406" i="12"/>
  <c r="M406" i="12"/>
  <c r="Q406" i="12" s="1"/>
  <c r="R406" i="12"/>
  <c r="P406" i="12"/>
  <c r="O406" i="12"/>
  <c r="S405" i="12"/>
  <c r="L405" i="12"/>
  <c r="M405" i="12"/>
  <c r="Q405" i="12" s="1"/>
  <c r="R405" i="12"/>
  <c r="P405" i="12"/>
  <c r="O405" i="12"/>
  <c r="M404" i="12"/>
  <c r="Q404" i="12" s="1"/>
  <c r="L404" i="12"/>
  <c r="S404" i="12"/>
  <c r="P404" i="12"/>
  <c r="O404" i="12"/>
  <c r="R404" i="12"/>
  <c r="L403" i="12"/>
  <c r="S403" i="12"/>
  <c r="M403" i="12"/>
  <c r="Q403" i="12" s="1"/>
  <c r="P403" i="12"/>
  <c r="O403" i="12"/>
  <c r="R403" i="12"/>
  <c r="S402" i="12"/>
  <c r="M402" i="12"/>
  <c r="Q402" i="12" s="1"/>
  <c r="L402" i="12"/>
  <c r="O402" i="12"/>
  <c r="P402" i="12"/>
  <c r="R402" i="12"/>
  <c r="S401" i="12"/>
  <c r="L401" i="12"/>
  <c r="M401" i="12"/>
  <c r="Q401" i="12" s="1"/>
  <c r="R401" i="12"/>
  <c r="O401" i="12"/>
  <c r="P401" i="12"/>
  <c r="M400" i="12"/>
  <c r="Q400" i="12" s="1"/>
  <c r="L400" i="12"/>
  <c r="S400" i="12"/>
  <c r="O400" i="12"/>
  <c r="P400" i="12"/>
  <c r="R400" i="12"/>
  <c r="M399" i="12"/>
  <c r="Q399" i="12" s="1"/>
  <c r="L399" i="12"/>
  <c r="S399" i="12"/>
  <c r="P399" i="12"/>
  <c r="O399" i="12"/>
  <c r="R399" i="12"/>
  <c r="S398" i="12"/>
  <c r="M398" i="12"/>
  <c r="Q398" i="12" s="1"/>
  <c r="L398" i="12"/>
  <c r="R398" i="12"/>
  <c r="P398" i="12"/>
  <c r="O398" i="12"/>
  <c r="S397" i="12"/>
  <c r="M397" i="12"/>
  <c r="Q397" i="12" s="1"/>
  <c r="L397" i="12"/>
  <c r="R397" i="12"/>
  <c r="P397" i="12"/>
  <c r="O397" i="12"/>
  <c r="L396" i="12"/>
  <c r="S396" i="12"/>
  <c r="M396" i="12"/>
  <c r="Q396" i="12" s="1"/>
  <c r="O396" i="12"/>
  <c r="P396" i="12"/>
  <c r="R396" i="12"/>
  <c r="S395" i="12"/>
  <c r="M395" i="12"/>
  <c r="Q395" i="12" s="1"/>
  <c r="L395" i="12"/>
  <c r="R395" i="12"/>
  <c r="P395" i="12"/>
  <c r="O395" i="12"/>
  <c r="S394" i="12"/>
  <c r="M394" i="12"/>
  <c r="Q394" i="12" s="1"/>
  <c r="L394" i="12"/>
  <c r="O394" i="12"/>
  <c r="P394" i="12"/>
  <c r="R394" i="12"/>
  <c r="M393" i="12"/>
  <c r="Q393" i="12" s="1"/>
  <c r="S393" i="12"/>
  <c r="L393" i="12"/>
  <c r="O393" i="12"/>
  <c r="R393" i="12"/>
  <c r="P393" i="12"/>
  <c r="M392" i="12"/>
  <c r="Q392" i="12" s="1"/>
  <c r="L392" i="12"/>
  <c r="S392" i="12"/>
  <c r="O392" i="12"/>
  <c r="R392" i="12"/>
  <c r="P392" i="12"/>
  <c r="S391" i="12"/>
  <c r="M391" i="12"/>
  <c r="Q391" i="12" s="1"/>
  <c r="L391" i="12"/>
  <c r="R391" i="12"/>
  <c r="P391" i="12"/>
  <c r="O391" i="12"/>
  <c r="L390" i="12"/>
  <c r="M390" i="12"/>
  <c r="Q390" i="12" s="1"/>
  <c r="S390" i="12"/>
  <c r="P390" i="12"/>
  <c r="R390" i="12"/>
  <c r="O390" i="12"/>
  <c r="M389" i="12"/>
  <c r="Q389" i="12" s="1"/>
  <c r="L389" i="12"/>
  <c r="S389" i="12"/>
  <c r="R389" i="12"/>
  <c r="P389" i="12"/>
  <c r="O389" i="12"/>
  <c r="S388" i="12"/>
  <c r="M388" i="12"/>
  <c r="Q388" i="12" s="1"/>
  <c r="L388" i="12"/>
  <c r="P388" i="12"/>
  <c r="O388" i="12"/>
  <c r="R388" i="12"/>
  <c r="M387" i="12"/>
  <c r="Q387" i="12" s="1"/>
  <c r="S387" i="12"/>
  <c r="L387" i="12"/>
  <c r="R387" i="12"/>
  <c r="O387" i="12"/>
  <c r="P387" i="12"/>
  <c r="M386" i="12"/>
  <c r="Q386" i="12" s="1"/>
  <c r="L386" i="12"/>
  <c r="S386" i="12"/>
  <c r="P386" i="12"/>
  <c r="O386" i="12"/>
  <c r="R386" i="12"/>
  <c r="S385" i="12"/>
  <c r="L385" i="12"/>
  <c r="M385" i="12"/>
  <c r="Q385" i="12" s="1"/>
  <c r="R385" i="12"/>
  <c r="P385" i="12"/>
  <c r="O385" i="12"/>
  <c r="L384" i="12"/>
  <c r="S384" i="12"/>
  <c r="M384" i="12"/>
  <c r="Q384" i="12" s="1"/>
  <c r="O384" i="12"/>
  <c r="P384" i="12"/>
  <c r="R384" i="12"/>
  <c r="S383" i="12"/>
  <c r="M383" i="12"/>
  <c r="Q383" i="12" s="1"/>
  <c r="L383" i="12"/>
  <c r="R383" i="12"/>
  <c r="P383" i="12"/>
  <c r="O383" i="12"/>
  <c r="L382" i="12"/>
  <c r="S382" i="12"/>
  <c r="M382" i="12"/>
  <c r="Q382" i="12" s="1"/>
  <c r="O382" i="12"/>
  <c r="R382" i="12"/>
  <c r="P382" i="12"/>
  <c r="S381" i="12"/>
  <c r="M381" i="12"/>
  <c r="Q381" i="12" s="1"/>
  <c r="L381" i="12"/>
  <c r="P381" i="12"/>
  <c r="O381" i="12"/>
  <c r="R381" i="12"/>
  <c r="M380" i="12"/>
  <c r="Q380" i="12" s="1"/>
  <c r="S380" i="12"/>
  <c r="L380" i="12"/>
  <c r="R380" i="12"/>
  <c r="O380" i="12"/>
  <c r="P380" i="12"/>
  <c r="L379" i="12"/>
  <c r="S379" i="12"/>
  <c r="M379" i="12"/>
  <c r="Q379" i="12" s="1"/>
  <c r="R379" i="12"/>
  <c r="O379" i="12"/>
  <c r="P379" i="12"/>
  <c r="S378" i="12"/>
  <c r="M378" i="12"/>
  <c r="Q378" i="12" s="1"/>
  <c r="L378" i="12"/>
  <c r="R378" i="12"/>
  <c r="P378" i="12"/>
  <c r="O378" i="12"/>
  <c r="S377" i="12"/>
  <c r="L377" i="12"/>
  <c r="M377" i="12"/>
  <c r="Q377" i="12" s="1"/>
  <c r="R377" i="12"/>
  <c r="P377" i="12"/>
  <c r="O377" i="12"/>
  <c r="M376" i="12"/>
  <c r="Q376" i="12" s="1"/>
  <c r="L376" i="12"/>
  <c r="S376" i="12"/>
  <c r="O376" i="12"/>
  <c r="P376" i="12"/>
  <c r="R376" i="12"/>
  <c r="S375" i="12"/>
  <c r="M375" i="12"/>
  <c r="Q375" i="12" s="1"/>
  <c r="L375" i="12"/>
  <c r="R375" i="12"/>
  <c r="P375" i="12"/>
  <c r="O375" i="12"/>
  <c r="M374" i="12"/>
  <c r="Q374" i="12" s="1"/>
  <c r="L374" i="12"/>
  <c r="S374" i="12"/>
  <c r="O374" i="12"/>
  <c r="P374" i="12"/>
  <c r="R374" i="12"/>
  <c r="S373" i="12"/>
  <c r="M373" i="12"/>
  <c r="Q373" i="12" s="1"/>
  <c r="L373" i="12"/>
  <c r="P373" i="12"/>
  <c r="R373" i="12"/>
  <c r="O373" i="12"/>
  <c r="S372" i="12"/>
  <c r="M372" i="12"/>
  <c r="Q372" i="12" s="1"/>
  <c r="L372" i="12"/>
  <c r="R372" i="12"/>
  <c r="P372" i="12"/>
  <c r="O372" i="12"/>
  <c r="S371" i="12"/>
  <c r="M371" i="12"/>
  <c r="Q371" i="12" s="1"/>
  <c r="L371" i="12"/>
  <c r="R371" i="12"/>
  <c r="O371" i="12"/>
  <c r="P371" i="12"/>
  <c r="S370" i="12"/>
  <c r="M370" i="12"/>
  <c r="Q370" i="12" s="1"/>
  <c r="L370" i="12"/>
  <c r="O370" i="12"/>
  <c r="R370" i="12"/>
  <c r="P370" i="12"/>
  <c r="S369" i="12"/>
  <c r="M369" i="12"/>
  <c r="Q369" i="12" s="1"/>
  <c r="L369" i="12"/>
  <c r="P369" i="12"/>
  <c r="R369" i="12"/>
  <c r="O369" i="12"/>
  <c r="L368" i="12"/>
  <c r="M368" i="12"/>
  <c r="Q368" i="12" s="1"/>
  <c r="S368" i="12"/>
  <c r="P368" i="12"/>
  <c r="O368" i="12"/>
  <c r="R368" i="12"/>
  <c r="L367" i="12"/>
  <c r="M367" i="12"/>
  <c r="Q367" i="12" s="1"/>
  <c r="S367" i="12"/>
  <c r="O367" i="12"/>
  <c r="R367" i="12"/>
  <c r="P367" i="12"/>
  <c r="L366" i="12"/>
  <c r="S366" i="12"/>
  <c r="M366" i="12"/>
  <c r="Q366" i="12" s="1"/>
  <c r="O366" i="12"/>
  <c r="R366" i="12"/>
  <c r="P366" i="12"/>
  <c r="L365" i="12"/>
  <c r="M365" i="12"/>
  <c r="Q365" i="12" s="1"/>
  <c r="S365" i="12"/>
  <c r="O365" i="12"/>
  <c r="P365" i="12"/>
  <c r="R365" i="12"/>
  <c r="S364" i="12"/>
  <c r="L364" i="12"/>
  <c r="M364" i="12"/>
  <c r="Q364" i="12" s="1"/>
  <c r="R364" i="12"/>
  <c r="O364" i="12"/>
  <c r="P364" i="12"/>
  <c r="S363" i="12"/>
  <c r="M363" i="12"/>
  <c r="Q363" i="12" s="1"/>
  <c r="L363" i="12"/>
  <c r="O363" i="12"/>
  <c r="P363" i="12"/>
  <c r="R363" i="12"/>
  <c r="M362" i="12"/>
  <c r="Q362" i="12" s="1"/>
  <c r="L362" i="12"/>
  <c r="S362" i="12"/>
  <c r="O362" i="12"/>
  <c r="P362" i="12"/>
  <c r="R362" i="12"/>
  <c r="S361" i="12"/>
  <c r="L361" i="12"/>
  <c r="M361" i="12"/>
  <c r="Q361" i="12" s="1"/>
  <c r="R361" i="12"/>
  <c r="P361" i="12"/>
  <c r="O361" i="12"/>
  <c r="S360" i="12"/>
  <c r="L360" i="12"/>
  <c r="M360" i="12"/>
  <c r="Q360" i="12" s="1"/>
  <c r="R360" i="12"/>
  <c r="P360" i="12"/>
  <c r="O360" i="12"/>
  <c r="M359" i="12"/>
  <c r="Q359" i="12" s="1"/>
  <c r="L359" i="12"/>
  <c r="S359" i="12"/>
  <c r="P359" i="12"/>
  <c r="R359" i="12"/>
  <c r="O359" i="12"/>
  <c r="L358" i="12"/>
  <c r="S358" i="12"/>
  <c r="M358" i="12"/>
  <c r="Q358" i="12" s="1"/>
  <c r="P358" i="12"/>
  <c r="O358" i="12"/>
  <c r="R358" i="12"/>
  <c r="L357" i="12"/>
  <c r="M357" i="12"/>
  <c r="Q357" i="12" s="1"/>
  <c r="S357" i="12"/>
  <c r="R357" i="12"/>
  <c r="P357" i="12"/>
  <c r="O357" i="12"/>
  <c r="S356" i="12"/>
  <c r="L356" i="12"/>
  <c r="M356" i="12"/>
  <c r="Q356" i="12" s="1"/>
  <c r="O356" i="12"/>
  <c r="R356" i="12"/>
  <c r="P356" i="12"/>
  <c r="S355" i="12"/>
  <c r="L355" i="12"/>
  <c r="M355" i="12"/>
  <c r="Q355" i="12" s="1"/>
  <c r="O355" i="12"/>
  <c r="P355" i="12"/>
  <c r="R355" i="12"/>
  <c r="L354" i="12"/>
  <c r="M354" i="12"/>
  <c r="Q354" i="12" s="1"/>
  <c r="S354" i="12"/>
  <c r="P354" i="12"/>
  <c r="R354" i="12"/>
  <c r="O354" i="12"/>
  <c r="L353" i="12"/>
  <c r="M353" i="12"/>
  <c r="Q353" i="12" s="1"/>
  <c r="S353" i="12"/>
  <c r="R353" i="12"/>
  <c r="O353" i="12"/>
  <c r="P353" i="12"/>
  <c r="S352" i="12"/>
  <c r="M352" i="12"/>
  <c r="Q352" i="12" s="1"/>
  <c r="L352" i="12"/>
  <c r="R352" i="12"/>
  <c r="P352" i="12"/>
  <c r="O352" i="12"/>
  <c r="M351" i="12"/>
  <c r="Q351" i="12" s="1"/>
  <c r="L351" i="12"/>
  <c r="S351" i="12"/>
  <c r="R351" i="12"/>
  <c r="P351" i="12"/>
  <c r="O351" i="12"/>
  <c r="L350" i="12"/>
  <c r="M350" i="12"/>
  <c r="Q350" i="12" s="1"/>
  <c r="S350" i="12"/>
  <c r="P350" i="12"/>
  <c r="O350" i="12"/>
  <c r="R350" i="12"/>
  <c r="S349" i="12"/>
  <c r="L349" i="12"/>
  <c r="M349" i="12"/>
  <c r="Q349" i="12" s="1"/>
  <c r="R349" i="12"/>
  <c r="O349" i="12"/>
  <c r="P349" i="12"/>
  <c r="L348" i="12"/>
  <c r="M348" i="12"/>
  <c r="Q348" i="12" s="1"/>
  <c r="S348" i="12"/>
  <c r="O348" i="12"/>
  <c r="P348" i="12"/>
  <c r="R348" i="12"/>
  <c r="M347" i="12"/>
  <c r="Q347" i="12" s="1"/>
  <c r="S347" i="12"/>
  <c r="L347" i="12"/>
  <c r="O347" i="12"/>
  <c r="P347" i="12"/>
  <c r="R347" i="12"/>
  <c r="S346" i="12"/>
  <c r="M346" i="12"/>
  <c r="Q346" i="12" s="1"/>
  <c r="L346" i="12"/>
  <c r="P346" i="12"/>
  <c r="R346" i="12"/>
  <c r="O346" i="12"/>
  <c r="L345" i="12"/>
  <c r="M345" i="12"/>
  <c r="Q345" i="12" s="1"/>
  <c r="S345" i="12"/>
  <c r="P345" i="12"/>
  <c r="O345" i="12"/>
  <c r="R345" i="12"/>
  <c r="S344" i="12"/>
  <c r="M344" i="12"/>
  <c r="Q344" i="12" s="1"/>
  <c r="L344" i="12"/>
  <c r="R344" i="12"/>
  <c r="P344" i="12"/>
  <c r="O344" i="12"/>
  <c r="S342" i="12"/>
  <c r="L342" i="12"/>
  <c r="M342" i="12"/>
  <c r="Q342" i="12" s="1"/>
  <c r="R342" i="12"/>
  <c r="P342" i="12"/>
  <c r="O342" i="12"/>
  <c r="M341" i="12"/>
  <c r="Q341" i="12" s="1"/>
  <c r="L341" i="12"/>
  <c r="S341" i="12"/>
  <c r="P341" i="12"/>
  <c r="O341" i="12"/>
  <c r="R341" i="12"/>
  <c r="S340" i="12"/>
  <c r="M340" i="12"/>
  <c r="Q340" i="12" s="1"/>
  <c r="L340" i="12"/>
  <c r="O340" i="12"/>
  <c r="P340" i="12"/>
  <c r="R340" i="12"/>
  <c r="L339" i="12"/>
  <c r="M339" i="12"/>
  <c r="Q339" i="12" s="1"/>
  <c r="S339" i="12"/>
  <c r="O339" i="12"/>
  <c r="P339" i="12"/>
  <c r="R339" i="12"/>
  <c r="L338" i="12"/>
  <c r="S338" i="12"/>
  <c r="M338" i="12"/>
  <c r="Q338" i="12" s="1"/>
  <c r="O338" i="12"/>
  <c r="P338" i="12"/>
  <c r="R338" i="12"/>
  <c r="S337" i="12"/>
  <c r="L337" i="12"/>
  <c r="M337" i="12"/>
  <c r="Q337" i="12" s="1"/>
  <c r="O337" i="12"/>
  <c r="P337" i="12"/>
  <c r="R337" i="12"/>
  <c r="L336" i="12"/>
  <c r="M336" i="12"/>
  <c r="Q336" i="12" s="1"/>
  <c r="S336" i="12"/>
  <c r="O336" i="12"/>
  <c r="P336" i="12"/>
  <c r="R336" i="12"/>
  <c r="S335" i="12"/>
  <c r="M335" i="12"/>
  <c r="Q335" i="12" s="1"/>
  <c r="L335" i="12"/>
  <c r="R335" i="12"/>
  <c r="P335" i="12"/>
  <c r="O335" i="12"/>
  <c r="L334" i="12"/>
  <c r="S334" i="12"/>
  <c r="M334" i="12"/>
  <c r="Q334" i="12" s="1"/>
  <c r="P334" i="12"/>
  <c r="R334" i="12"/>
  <c r="O334" i="12"/>
  <c r="L333" i="12"/>
  <c r="S333" i="12"/>
  <c r="M333" i="12"/>
  <c r="Q333" i="12" s="1"/>
  <c r="P333" i="12"/>
  <c r="R333" i="12"/>
  <c r="O333" i="12"/>
  <c r="S332" i="12"/>
  <c r="L332" i="12"/>
  <c r="M332" i="12"/>
  <c r="Q332" i="12" s="1"/>
  <c r="P332" i="12"/>
  <c r="R332" i="12"/>
  <c r="O332" i="12"/>
  <c r="S331" i="12"/>
  <c r="L331" i="12"/>
  <c r="M331" i="12"/>
  <c r="Q331" i="12" s="1"/>
  <c r="P331" i="12"/>
  <c r="R331" i="12"/>
  <c r="O331" i="12"/>
  <c r="M330" i="12"/>
  <c r="Q330" i="12" s="1"/>
  <c r="L330" i="12"/>
  <c r="S330" i="12"/>
  <c r="P330" i="12"/>
  <c r="O330" i="12"/>
  <c r="R330" i="12"/>
  <c r="S329" i="12"/>
  <c r="M329" i="12"/>
  <c r="Q329" i="12" s="1"/>
  <c r="L329" i="12"/>
  <c r="R329" i="12"/>
  <c r="P329" i="12"/>
  <c r="O329" i="12"/>
  <c r="S328" i="12"/>
  <c r="M328" i="12"/>
  <c r="Q328" i="12" s="1"/>
  <c r="L328" i="12"/>
  <c r="R328" i="12"/>
  <c r="P328" i="12"/>
  <c r="O328" i="12"/>
  <c r="S327" i="12"/>
  <c r="M327" i="12"/>
  <c r="Q327" i="12" s="1"/>
  <c r="L327" i="12"/>
  <c r="R327" i="12"/>
  <c r="O327" i="12"/>
  <c r="P327" i="12"/>
  <c r="S326" i="12"/>
  <c r="L326" i="12"/>
  <c r="M326" i="12"/>
  <c r="Q326" i="12" s="1"/>
  <c r="R326" i="12"/>
  <c r="P326" i="12"/>
  <c r="O326" i="12"/>
  <c r="S325" i="12"/>
  <c r="M325" i="12"/>
  <c r="Q325" i="12" s="1"/>
  <c r="L325" i="12"/>
  <c r="R325" i="12"/>
  <c r="O325" i="12"/>
  <c r="P325" i="12"/>
  <c r="S324" i="12"/>
  <c r="L324" i="12"/>
  <c r="M324" i="12"/>
  <c r="Q324" i="12" s="1"/>
  <c r="O324" i="12"/>
  <c r="R324" i="12"/>
  <c r="P324" i="12"/>
  <c r="S323" i="12"/>
  <c r="M323" i="12"/>
  <c r="Q323" i="12" s="1"/>
  <c r="L323" i="12"/>
  <c r="P323" i="12"/>
  <c r="O323" i="12"/>
  <c r="R323" i="12"/>
  <c r="S322" i="12"/>
  <c r="M322" i="12"/>
  <c r="Q322" i="12" s="1"/>
  <c r="L322" i="12"/>
  <c r="R322" i="12"/>
  <c r="P322" i="12"/>
  <c r="O322" i="12"/>
  <c r="M321" i="12"/>
  <c r="Q321" i="12" s="1"/>
  <c r="L321" i="12"/>
  <c r="S321" i="12"/>
  <c r="R321" i="12"/>
  <c r="P321" i="12"/>
  <c r="O321" i="12"/>
  <c r="S320" i="12"/>
  <c r="M320" i="12"/>
  <c r="Q320" i="12" s="1"/>
  <c r="L320" i="12"/>
  <c r="R320" i="12"/>
  <c r="P320" i="12"/>
  <c r="O320" i="12"/>
  <c r="S319" i="12"/>
  <c r="M319" i="12"/>
  <c r="Q319" i="12" s="1"/>
  <c r="L319" i="12"/>
  <c r="R319" i="12"/>
  <c r="O319" i="12"/>
  <c r="P319" i="12"/>
  <c r="S318" i="12"/>
  <c r="M318" i="12"/>
  <c r="Q318" i="12" s="1"/>
  <c r="L318" i="12"/>
  <c r="R318" i="12"/>
  <c r="O318" i="12"/>
  <c r="P318" i="12"/>
  <c r="S317" i="12"/>
  <c r="M317" i="12"/>
  <c r="Q317" i="12" s="1"/>
  <c r="L317" i="12"/>
  <c r="R317" i="12"/>
  <c r="P317" i="12"/>
  <c r="O317" i="12"/>
  <c r="S316" i="12"/>
  <c r="M316" i="12"/>
  <c r="Q316" i="12" s="1"/>
  <c r="L316" i="12"/>
  <c r="R316" i="12"/>
  <c r="P316" i="12"/>
  <c r="O316" i="12"/>
  <c r="S315" i="12"/>
  <c r="M315" i="12"/>
  <c r="Q315" i="12" s="1"/>
  <c r="L315" i="12"/>
  <c r="R315" i="12"/>
  <c r="P315" i="12"/>
  <c r="O315" i="12"/>
  <c r="M314" i="12"/>
  <c r="Q314" i="12" s="1"/>
  <c r="S314" i="12"/>
  <c r="L314" i="12"/>
  <c r="P314" i="12"/>
  <c r="O314" i="12"/>
  <c r="R314" i="12"/>
  <c r="M313" i="12"/>
  <c r="Q313" i="12" s="1"/>
  <c r="L313" i="12"/>
  <c r="S313" i="12"/>
  <c r="R313" i="12"/>
  <c r="P313" i="12"/>
  <c r="O313" i="12"/>
  <c r="M312" i="12"/>
  <c r="Q312" i="12" s="1"/>
  <c r="L312" i="12"/>
  <c r="S312" i="12"/>
  <c r="O312" i="12"/>
  <c r="R312" i="12"/>
  <c r="P312" i="12"/>
  <c r="L311" i="12"/>
  <c r="S311" i="12"/>
  <c r="M311" i="12"/>
  <c r="Q311" i="12" s="1"/>
  <c r="O311" i="12"/>
  <c r="R311" i="12"/>
  <c r="P311" i="12"/>
  <c r="S310" i="12"/>
  <c r="L310" i="12"/>
  <c r="M310" i="12"/>
  <c r="Q310" i="12" s="1"/>
  <c r="P310" i="12"/>
  <c r="O310" i="12"/>
  <c r="R310" i="12"/>
  <c r="S309" i="12"/>
  <c r="L309" i="12"/>
  <c r="M309" i="12"/>
  <c r="Q309" i="12" s="1"/>
  <c r="O309" i="12"/>
  <c r="R309" i="12"/>
  <c r="P309" i="12"/>
  <c r="S308" i="12"/>
  <c r="M308" i="12"/>
  <c r="Q308" i="12" s="1"/>
  <c r="L308" i="12"/>
  <c r="O308" i="12"/>
  <c r="P308" i="12"/>
  <c r="R308" i="12"/>
  <c r="L307" i="12"/>
  <c r="S307" i="12"/>
  <c r="M307" i="12"/>
  <c r="Q307" i="12" s="1"/>
  <c r="O307" i="12"/>
  <c r="R307" i="12"/>
  <c r="P307" i="12"/>
  <c r="S306" i="12"/>
  <c r="M306" i="12"/>
  <c r="Q306" i="12" s="1"/>
  <c r="L306" i="12"/>
  <c r="O306" i="12"/>
  <c r="P306" i="12"/>
  <c r="R306" i="12"/>
  <c r="M305" i="12"/>
  <c r="Q305" i="12" s="1"/>
  <c r="S305" i="12"/>
  <c r="L305" i="12"/>
  <c r="O305" i="12"/>
  <c r="P305" i="12"/>
  <c r="R305" i="12"/>
  <c r="L304" i="12"/>
  <c r="S304" i="12"/>
  <c r="M304" i="12"/>
  <c r="Q304" i="12" s="1"/>
  <c r="O304" i="12"/>
  <c r="R304" i="12"/>
  <c r="P304" i="12"/>
  <c r="L303" i="12"/>
  <c r="S303" i="12"/>
  <c r="O303" i="12"/>
  <c r="P303" i="12"/>
  <c r="R303" i="12"/>
  <c r="M302" i="12"/>
  <c r="Q302" i="12" s="1"/>
  <c r="L302" i="12"/>
  <c r="S302" i="12"/>
  <c r="R302" i="12"/>
  <c r="O302" i="12"/>
  <c r="P302" i="12"/>
  <c r="S301" i="12"/>
  <c r="L301" i="12"/>
  <c r="M301" i="12"/>
  <c r="Q301" i="12" s="1"/>
  <c r="O301" i="12"/>
  <c r="P301" i="12"/>
  <c r="R301" i="12"/>
  <c r="M300" i="12"/>
  <c r="Q300" i="12" s="1"/>
  <c r="L300" i="12"/>
  <c r="S300" i="12"/>
  <c r="O300" i="12"/>
  <c r="R300" i="12"/>
  <c r="P300" i="12"/>
  <c r="S299" i="12"/>
  <c r="L299" i="12"/>
  <c r="M299" i="12"/>
  <c r="Q299" i="12" s="1"/>
  <c r="O299" i="12"/>
  <c r="R299" i="12"/>
  <c r="P299" i="12"/>
  <c r="L298" i="12"/>
  <c r="M298" i="12"/>
  <c r="Q298" i="12" s="1"/>
  <c r="S298" i="12"/>
  <c r="R298" i="12"/>
  <c r="P298" i="12"/>
  <c r="O298" i="12"/>
  <c r="M297" i="12"/>
  <c r="Q297" i="12" s="1"/>
  <c r="L297" i="12"/>
  <c r="S297" i="12"/>
  <c r="P297" i="12"/>
  <c r="R297" i="12"/>
  <c r="O297" i="12"/>
  <c r="M296" i="12"/>
  <c r="Q296" i="12" s="1"/>
  <c r="S296" i="12"/>
  <c r="L296" i="12"/>
  <c r="P296" i="12"/>
  <c r="R296" i="12"/>
  <c r="O296" i="12"/>
  <c r="M295" i="12"/>
  <c r="Q295" i="12" s="1"/>
  <c r="S295" i="12"/>
  <c r="L295" i="12"/>
  <c r="R295" i="12"/>
  <c r="P295" i="12"/>
  <c r="O295" i="12"/>
  <c r="S294" i="12"/>
  <c r="L294" i="12"/>
  <c r="M294" i="12"/>
  <c r="Q294" i="12" s="1"/>
  <c r="O294" i="12"/>
  <c r="R294" i="12"/>
  <c r="P294" i="12"/>
  <c r="S293" i="12"/>
  <c r="M293" i="12"/>
  <c r="Q293" i="12" s="1"/>
  <c r="L293" i="12"/>
  <c r="O293" i="12"/>
  <c r="P293" i="12"/>
  <c r="R293" i="12"/>
  <c r="L292" i="12"/>
  <c r="S292" i="12"/>
  <c r="M292" i="12"/>
  <c r="Q292" i="12" s="1"/>
  <c r="R292" i="12"/>
  <c r="O292" i="12"/>
  <c r="P292" i="12"/>
  <c r="M291" i="12"/>
  <c r="Q291" i="12" s="1"/>
  <c r="L291" i="12"/>
  <c r="S291" i="12"/>
  <c r="R291" i="12"/>
  <c r="O291" i="12"/>
  <c r="P291" i="12"/>
  <c r="S290" i="12"/>
  <c r="M290" i="12"/>
  <c r="Q290" i="12" s="1"/>
  <c r="L290" i="12"/>
  <c r="P290" i="12"/>
  <c r="R290" i="12"/>
  <c r="O290" i="12"/>
  <c r="L289" i="12"/>
  <c r="S289" i="12"/>
  <c r="M289" i="12"/>
  <c r="Q289" i="12" s="1"/>
  <c r="P289" i="12"/>
  <c r="R289" i="12"/>
  <c r="O289" i="12"/>
  <c r="M288" i="12"/>
  <c r="Q288" i="12" s="1"/>
  <c r="L288" i="12"/>
  <c r="S288" i="12"/>
  <c r="O288" i="12"/>
  <c r="R288" i="12"/>
  <c r="P288" i="12"/>
  <c r="S287" i="12"/>
  <c r="M287" i="12"/>
  <c r="Q287" i="12" s="1"/>
  <c r="L287" i="12"/>
  <c r="P287" i="12"/>
  <c r="O287" i="12"/>
  <c r="R287" i="12"/>
  <c r="S286" i="12"/>
  <c r="L286" i="12"/>
  <c r="M286" i="12"/>
  <c r="Q286" i="12" s="1"/>
  <c r="R286" i="12"/>
  <c r="O286" i="12"/>
  <c r="P286" i="12"/>
  <c r="M285" i="12"/>
  <c r="Q285" i="12" s="1"/>
  <c r="S285" i="12"/>
  <c r="L285" i="12"/>
  <c r="O285" i="12"/>
  <c r="R285" i="12"/>
  <c r="P285" i="12"/>
  <c r="S284" i="12"/>
  <c r="L284" i="12"/>
  <c r="M284" i="12"/>
  <c r="Q284" i="12" s="1"/>
  <c r="R284" i="12"/>
  <c r="O284" i="12"/>
  <c r="P284" i="12"/>
  <c r="S283" i="12"/>
  <c r="M283" i="12"/>
  <c r="Q283" i="12" s="1"/>
  <c r="L283" i="12"/>
  <c r="P283" i="12"/>
  <c r="R283" i="12"/>
  <c r="O283" i="12"/>
  <c r="S282" i="12"/>
  <c r="M282" i="12"/>
  <c r="Q282" i="12" s="1"/>
  <c r="L282" i="12"/>
  <c r="P282" i="12"/>
  <c r="R282" i="12"/>
  <c r="O282" i="12"/>
  <c r="M281" i="12"/>
  <c r="Q281" i="12" s="1"/>
  <c r="S281" i="12"/>
  <c r="L281" i="12"/>
  <c r="P281" i="12"/>
  <c r="O281" i="12"/>
  <c r="R281" i="12"/>
  <c r="S280" i="12"/>
  <c r="L280" i="12"/>
  <c r="M280" i="12"/>
  <c r="Q280" i="12" s="1"/>
  <c r="O280" i="12"/>
  <c r="R280" i="12"/>
  <c r="P280" i="12"/>
  <c r="S278" i="12"/>
  <c r="L278" i="12"/>
  <c r="M278" i="12"/>
  <c r="Q278" i="12" s="1"/>
  <c r="R278" i="12"/>
  <c r="O278" i="12"/>
  <c r="P278" i="12"/>
  <c r="M277" i="12"/>
  <c r="Q277" i="12" s="1"/>
  <c r="L277" i="12"/>
  <c r="S277" i="12"/>
  <c r="R277" i="12"/>
  <c r="P277" i="12"/>
  <c r="O277" i="12"/>
  <c r="M276" i="12"/>
  <c r="Q276" i="12" s="1"/>
  <c r="L276" i="12"/>
  <c r="S276" i="12"/>
  <c r="R276" i="12"/>
  <c r="O276" i="12"/>
  <c r="P276" i="12"/>
  <c r="S275" i="12"/>
  <c r="M275" i="12"/>
  <c r="Q275" i="12" s="1"/>
  <c r="L275" i="12"/>
  <c r="O275" i="12"/>
  <c r="R275" i="12"/>
  <c r="P275" i="12"/>
  <c r="S274" i="12"/>
  <c r="M274" i="12"/>
  <c r="Q274" i="12" s="1"/>
  <c r="L274" i="12"/>
  <c r="O274" i="12"/>
  <c r="R274" i="12"/>
  <c r="P274" i="12"/>
  <c r="L273" i="12"/>
  <c r="M273" i="12"/>
  <c r="Q273" i="12" s="1"/>
  <c r="S273" i="12"/>
  <c r="O273" i="12"/>
  <c r="R273" i="12"/>
  <c r="P273" i="12"/>
  <c r="S272" i="12"/>
  <c r="L272" i="12"/>
  <c r="M272" i="12"/>
  <c r="Q272" i="12" s="1"/>
  <c r="O272" i="12"/>
  <c r="P272" i="12"/>
  <c r="R272" i="12"/>
  <c r="L271" i="12"/>
  <c r="M271" i="12"/>
  <c r="Q271" i="12" s="1"/>
  <c r="S271" i="12"/>
  <c r="O271" i="12"/>
  <c r="P271" i="12"/>
  <c r="R271" i="12"/>
  <c r="M270" i="12"/>
  <c r="Q270" i="12" s="1"/>
  <c r="S270" i="12"/>
  <c r="L270" i="12"/>
  <c r="O270" i="12"/>
  <c r="P270" i="12"/>
  <c r="R270" i="12"/>
  <c r="L269" i="12"/>
  <c r="M269" i="12"/>
  <c r="Q269" i="12" s="1"/>
  <c r="S269" i="12"/>
  <c r="O269" i="12"/>
  <c r="P269" i="12"/>
  <c r="R269" i="12"/>
  <c r="S268" i="12"/>
  <c r="L268" i="12"/>
  <c r="M268" i="12"/>
  <c r="Q268" i="12" s="1"/>
  <c r="R268" i="12"/>
  <c r="O268" i="12"/>
  <c r="P268" i="12"/>
  <c r="M267" i="12"/>
  <c r="Q267" i="12" s="1"/>
  <c r="S267" i="12"/>
  <c r="L267" i="12"/>
  <c r="P267" i="12"/>
  <c r="O267" i="12"/>
  <c r="R267" i="12"/>
  <c r="L266" i="12"/>
  <c r="S266" i="12"/>
  <c r="M266" i="12"/>
  <c r="Q266" i="12" s="1"/>
  <c r="R266" i="12"/>
  <c r="O266" i="12"/>
  <c r="P266" i="12"/>
  <c r="M265" i="12"/>
  <c r="Q265" i="12" s="1"/>
  <c r="L265" i="12"/>
  <c r="S265" i="12"/>
  <c r="R265" i="12"/>
  <c r="P265" i="12"/>
  <c r="O265" i="12"/>
  <c r="L264" i="12"/>
  <c r="S264" i="12"/>
  <c r="M264" i="12"/>
  <c r="Q264" i="12" s="1"/>
  <c r="P264" i="12"/>
  <c r="R264" i="12"/>
  <c r="O264" i="12"/>
  <c r="L263" i="12"/>
  <c r="S263" i="12"/>
  <c r="M263" i="12"/>
  <c r="Q263" i="12" s="1"/>
  <c r="R263" i="12"/>
  <c r="O263" i="12"/>
  <c r="P263" i="12"/>
  <c r="S262" i="12"/>
  <c r="M262" i="12"/>
  <c r="Q262" i="12" s="1"/>
  <c r="L262" i="12"/>
  <c r="P262" i="12"/>
  <c r="O262" i="12"/>
  <c r="R262" i="12"/>
  <c r="S261" i="12"/>
  <c r="M261" i="12"/>
  <c r="Q261" i="12" s="1"/>
  <c r="L261" i="12"/>
  <c r="R261" i="12"/>
  <c r="O261" i="12"/>
  <c r="P261" i="12"/>
  <c r="S260" i="12"/>
  <c r="M260" i="12"/>
  <c r="Q260" i="12" s="1"/>
  <c r="L260" i="12"/>
  <c r="O260" i="12"/>
  <c r="P260" i="12"/>
  <c r="R260" i="12"/>
  <c r="M259" i="12"/>
  <c r="Q259" i="12" s="1"/>
  <c r="L259" i="12"/>
  <c r="S259" i="12"/>
  <c r="P259" i="12"/>
  <c r="O259" i="12"/>
  <c r="R259" i="12"/>
  <c r="S258" i="12"/>
  <c r="M258" i="12"/>
  <c r="Q258" i="12" s="1"/>
  <c r="L258" i="12"/>
  <c r="P258" i="12"/>
  <c r="O258" i="12"/>
  <c r="R258" i="12"/>
  <c r="L257" i="12"/>
  <c r="M257" i="12"/>
  <c r="Q257" i="12" s="1"/>
  <c r="S257" i="12"/>
  <c r="O257" i="12"/>
  <c r="P257" i="12"/>
  <c r="R257" i="12"/>
  <c r="L256" i="12"/>
  <c r="S256" i="12"/>
  <c r="M256" i="12"/>
  <c r="Q256" i="12" s="1"/>
  <c r="O256" i="12"/>
  <c r="P256" i="12"/>
  <c r="R256" i="12"/>
  <c r="S255" i="12"/>
  <c r="M255" i="12"/>
  <c r="Q255" i="12" s="1"/>
  <c r="L255" i="12"/>
  <c r="R255" i="12"/>
  <c r="P255" i="12"/>
  <c r="O255" i="12"/>
  <c r="M254" i="12"/>
  <c r="Q254" i="12" s="1"/>
  <c r="S254" i="12"/>
  <c r="L254" i="12"/>
  <c r="O254" i="12"/>
  <c r="P254" i="12"/>
  <c r="R254" i="12"/>
  <c r="S253" i="12"/>
  <c r="M253" i="12"/>
  <c r="Q253" i="12" s="1"/>
  <c r="L253" i="12"/>
  <c r="R253" i="12"/>
  <c r="P253" i="12"/>
  <c r="O253" i="12"/>
  <c r="L252" i="12"/>
  <c r="S252" i="12"/>
  <c r="M252" i="12"/>
  <c r="Q252" i="12" s="1"/>
  <c r="R252" i="12"/>
  <c r="P252" i="12"/>
  <c r="O252" i="12"/>
  <c r="S251" i="12"/>
  <c r="M251" i="12"/>
  <c r="Q251" i="12" s="1"/>
  <c r="L251" i="12"/>
  <c r="R251" i="12"/>
  <c r="P251" i="12"/>
  <c r="O251" i="12"/>
  <c r="S250" i="12"/>
  <c r="M250" i="12"/>
  <c r="Q250" i="12" s="1"/>
  <c r="L250" i="12"/>
  <c r="O250" i="12"/>
  <c r="R250" i="12"/>
  <c r="P250" i="12"/>
  <c r="L249" i="12"/>
  <c r="M249" i="12"/>
  <c r="Q249" i="12" s="1"/>
  <c r="S249" i="12"/>
  <c r="P249" i="12"/>
  <c r="R249" i="12"/>
  <c r="O249" i="12"/>
  <c r="L248" i="12"/>
  <c r="M248" i="12"/>
  <c r="Q248" i="12" s="1"/>
  <c r="S248" i="12"/>
  <c r="O248" i="12"/>
  <c r="P248" i="12"/>
  <c r="R248" i="12"/>
  <c r="M247" i="12"/>
  <c r="Q247" i="12" s="1"/>
  <c r="L247" i="12"/>
  <c r="S247" i="12"/>
  <c r="P247" i="12"/>
  <c r="O247" i="12"/>
  <c r="R247" i="12"/>
  <c r="L246" i="12"/>
  <c r="M246" i="12"/>
  <c r="Q246" i="12" s="1"/>
  <c r="S246" i="12"/>
  <c r="O246" i="12"/>
  <c r="P246" i="12"/>
  <c r="R246" i="12"/>
  <c r="S245" i="12"/>
  <c r="L245" i="12"/>
  <c r="M245" i="12"/>
  <c r="Q245" i="12" s="1"/>
  <c r="O245" i="12"/>
  <c r="P245" i="12"/>
  <c r="R245" i="12"/>
  <c r="L244" i="12"/>
  <c r="S244" i="12"/>
  <c r="M244" i="12"/>
  <c r="Q244" i="12" s="1"/>
  <c r="R244" i="12"/>
  <c r="P244" i="12"/>
  <c r="O244" i="12"/>
  <c r="L243" i="12"/>
  <c r="M243" i="12"/>
  <c r="Q243" i="12" s="1"/>
  <c r="S243" i="12"/>
  <c r="O243" i="12"/>
  <c r="P243" i="12"/>
  <c r="R243" i="12"/>
  <c r="L242" i="12"/>
  <c r="M242" i="12"/>
  <c r="Q242" i="12" s="1"/>
  <c r="S242" i="12"/>
  <c r="O242" i="12"/>
  <c r="P242" i="12"/>
  <c r="R242" i="12"/>
  <c r="S241" i="12"/>
  <c r="L241" i="12"/>
  <c r="M241" i="12"/>
  <c r="Q241" i="12" s="1"/>
  <c r="R241" i="12"/>
  <c r="O241" i="12"/>
  <c r="P241" i="12"/>
  <c r="M240" i="12"/>
  <c r="Q240" i="12" s="1"/>
  <c r="S240" i="12"/>
  <c r="L240" i="12"/>
  <c r="P240" i="12"/>
  <c r="R240" i="12"/>
  <c r="O240" i="12"/>
  <c r="L239" i="12"/>
  <c r="M239" i="12"/>
  <c r="Q239" i="12" s="1"/>
  <c r="S239" i="12"/>
  <c r="R239" i="12"/>
  <c r="O239" i="12"/>
  <c r="P239" i="12"/>
  <c r="L238" i="12"/>
  <c r="M238" i="12"/>
  <c r="Q238" i="12" s="1"/>
  <c r="S238" i="12"/>
  <c r="O238" i="12"/>
  <c r="P238" i="12"/>
  <c r="R238" i="12"/>
  <c r="S237" i="12"/>
  <c r="M237" i="12"/>
  <c r="Q237" i="12" s="1"/>
  <c r="L237" i="12"/>
  <c r="R237" i="12"/>
  <c r="P237" i="12"/>
  <c r="O237" i="12"/>
  <c r="L236" i="12"/>
  <c r="S236" i="12"/>
  <c r="M236" i="12"/>
  <c r="Q236" i="12" s="1"/>
  <c r="R236" i="12"/>
  <c r="P236" i="12"/>
  <c r="O236" i="12"/>
  <c r="M235" i="12"/>
  <c r="Q235" i="12" s="1"/>
  <c r="L235" i="12"/>
  <c r="S235" i="12"/>
  <c r="R235" i="12"/>
  <c r="P235" i="12"/>
  <c r="O235" i="12"/>
  <c r="L234" i="12"/>
  <c r="M234" i="12"/>
  <c r="Q234" i="12" s="1"/>
  <c r="S234" i="12"/>
  <c r="P234" i="12"/>
  <c r="O234" i="12"/>
  <c r="R234" i="12"/>
  <c r="S233" i="12"/>
  <c r="M233" i="12"/>
  <c r="Q233" i="12" s="1"/>
  <c r="L233" i="12"/>
  <c r="R233" i="12"/>
  <c r="O233" i="12"/>
  <c r="P233" i="12"/>
  <c r="L232" i="12"/>
  <c r="S232" i="12"/>
  <c r="M232" i="12"/>
  <c r="Q232" i="12" s="1"/>
  <c r="R232" i="12"/>
  <c r="O232" i="12"/>
  <c r="P232" i="12"/>
  <c r="L231" i="12"/>
  <c r="M231" i="12"/>
  <c r="Q231" i="12" s="1"/>
  <c r="S231" i="12"/>
  <c r="R231" i="12"/>
  <c r="O231" i="12"/>
  <c r="P231" i="12"/>
  <c r="L230" i="12"/>
  <c r="M230" i="12"/>
  <c r="Q230" i="12" s="1"/>
  <c r="S230" i="12"/>
  <c r="O230" i="12"/>
  <c r="P230" i="12"/>
  <c r="R230" i="12"/>
  <c r="S229" i="12"/>
  <c r="M229" i="12"/>
  <c r="Q229" i="12" s="1"/>
  <c r="L229" i="12"/>
  <c r="R229" i="12"/>
  <c r="P229" i="12"/>
  <c r="O229" i="12"/>
  <c r="M228" i="12"/>
  <c r="Q228" i="12" s="1"/>
  <c r="L228" i="12"/>
  <c r="S228" i="12"/>
  <c r="P228" i="12"/>
  <c r="R228" i="12"/>
  <c r="O228" i="12"/>
  <c r="S227" i="12"/>
  <c r="M227" i="12"/>
  <c r="Q227" i="12" s="1"/>
  <c r="L227" i="12"/>
  <c r="O227" i="12"/>
  <c r="P227" i="12"/>
  <c r="R227" i="12"/>
  <c r="L226" i="12"/>
  <c r="M226" i="12"/>
  <c r="Q226" i="12" s="1"/>
  <c r="S226" i="12"/>
  <c r="P226" i="12"/>
  <c r="O226" i="12"/>
  <c r="R226" i="12"/>
  <c r="M225" i="12"/>
  <c r="Q225" i="12" s="1"/>
  <c r="S225" i="12"/>
  <c r="L225" i="12"/>
  <c r="R225" i="12"/>
  <c r="P225" i="12"/>
  <c r="O225" i="12"/>
  <c r="S224" i="12"/>
  <c r="M224" i="12"/>
  <c r="Q224" i="12" s="1"/>
  <c r="L224" i="12"/>
  <c r="R224" i="12"/>
  <c r="O224" i="12"/>
  <c r="P224" i="12"/>
  <c r="L223" i="12"/>
  <c r="M223" i="12"/>
  <c r="Q223" i="12" s="1"/>
  <c r="S223" i="12"/>
  <c r="R223" i="12"/>
  <c r="O223" i="12"/>
  <c r="P223" i="12"/>
  <c r="S222" i="12"/>
  <c r="L222" i="12"/>
  <c r="M222" i="12"/>
  <c r="Q222" i="12" s="1"/>
  <c r="P222" i="12"/>
  <c r="O222" i="12"/>
  <c r="R222" i="12"/>
  <c r="L221" i="12"/>
  <c r="M221" i="12"/>
  <c r="Q221" i="12" s="1"/>
  <c r="S221" i="12"/>
  <c r="O221" i="12"/>
  <c r="P221" i="12"/>
  <c r="R221" i="12"/>
  <c r="M220" i="12"/>
  <c r="Q220" i="12" s="1"/>
  <c r="L220" i="12"/>
  <c r="S220" i="12"/>
  <c r="R220" i="12"/>
  <c r="P220" i="12"/>
  <c r="O220" i="12"/>
  <c r="M219" i="12"/>
  <c r="Q219" i="12" s="1"/>
  <c r="L219" i="12"/>
  <c r="S219" i="12"/>
  <c r="R219" i="12"/>
  <c r="P219" i="12"/>
  <c r="O219" i="12"/>
  <c r="M218" i="12"/>
  <c r="Q218" i="12" s="1"/>
  <c r="L218" i="12"/>
  <c r="S218" i="12"/>
  <c r="O218" i="12"/>
  <c r="P218" i="12"/>
  <c r="R218" i="12"/>
  <c r="L217" i="12"/>
  <c r="M217" i="12"/>
  <c r="Q217" i="12" s="1"/>
  <c r="S217" i="12"/>
  <c r="O217" i="12"/>
  <c r="P217" i="12"/>
  <c r="R217" i="12"/>
  <c r="M216" i="12"/>
  <c r="Q216" i="12" s="1"/>
  <c r="L216" i="12"/>
  <c r="S216" i="12"/>
  <c r="O216" i="12"/>
  <c r="R216" i="12"/>
  <c r="P216" i="12"/>
  <c r="L215" i="12"/>
  <c r="M215" i="12"/>
  <c r="Q215" i="12" s="1"/>
  <c r="M214" i="12"/>
  <c r="Q214" i="12" s="1"/>
  <c r="S214" i="12"/>
  <c r="L214" i="12"/>
  <c r="O214" i="12"/>
  <c r="P214" i="12"/>
  <c r="R214" i="12"/>
  <c r="L213" i="12"/>
  <c r="M213" i="12"/>
  <c r="Q213" i="12" s="1"/>
  <c r="S213" i="12"/>
  <c r="R213" i="12"/>
  <c r="O213" i="12"/>
  <c r="P213" i="12"/>
  <c r="M212" i="12"/>
  <c r="Q212" i="12" s="1"/>
  <c r="L212" i="12"/>
  <c r="S212" i="12"/>
  <c r="O212" i="12"/>
  <c r="P212" i="12"/>
  <c r="R212" i="12"/>
  <c r="L211" i="12"/>
  <c r="M211" i="12"/>
  <c r="Q211" i="12" s="1"/>
  <c r="S211" i="12"/>
  <c r="O211" i="12"/>
  <c r="P211" i="12"/>
  <c r="R211" i="12"/>
  <c r="L210" i="12"/>
  <c r="M210" i="12"/>
  <c r="Q210" i="12" s="1"/>
  <c r="S210" i="12"/>
  <c r="O210" i="12"/>
  <c r="P210" i="12"/>
  <c r="R210" i="12"/>
  <c r="L209" i="12"/>
  <c r="M209" i="12"/>
  <c r="Q209" i="12" s="1"/>
  <c r="S209" i="12"/>
  <c r="P209" i="12"/>
  <c r="O209" i="12"/>
  <c r="R209" i="12"/>
  <c r="L208" i="12"/>
  <c r="M208" i="12"/>
  <c r="Q208" i="12" s="1"/>
  <c r="S208" i="12"/>
  <c r="O208" i="12"/>
  <c r="P208" i="12"/>
  <c r="R208" i="12"/>
  <c r="M207" i="12"/>
  <c r="Q207" i="12" s="1"/>
  <c r="L207" i="12"/>
  <c r="S207" i="12"/>
  <c r="O207" i="12"/>
  <c r="R207" i="12"/>
  <c r="P207" i="12"/>
  <c r="S206" i="12"/>
  <c r="M206" i="12"/>
  <c r="Q206" i="12" s="1"/>
  <c r="L206" i="12"/>
  <c r="R206" i="12"/>
  <c r="P206" i="12"/>
  <c r="O206" i="12"/>
  <c r="S205" i="12"/>
  <c r="L205" i="12"/>
  <c r="M205" i="12"/>
  <c r="Q205" i="12" s="1"/>
  <c r="P205" i="12"/>
  <c r="R205" i="12"/>
  <c r="O205" i="12"/>
  <c r="S204" i="12"/>
  <c r="L204" i="12"/>
  <c r="M204" i="12"/>
  <c r="Q204" i="12" s="1"/>
  <c r="R204" i="12"/>
  <c r="O204" i="12"/>
  <c r="P204" i="12"/>
  <c r="L203" i="12"/>
  <c r="S203" i="12"/>
  <c r="M203" i="12"/>
  <c r="Q203" i="12" s="1"/>
  <c r="R203" i="12"/>
  <c r="O203" i="12"/>
  <c r="P203" i="12"/>
  <c r="S202" i="12"/>
  <c r="M202" i="12"/>
  <c r="Q202" i="12" s="1"/>
  <c r="L202" i="12"/>
  <c r="P202" i="12"/>
  <c r="O202" i="12"/>
  <c r="R202" i="12"/>
  <c r="S201" i="12"/>
  <c r="L201" i="12"/>
  <c r="M201" i="12"/>
  <c r="Q201" i="12" s="1"/>
  <c r="O201" i="12"/>
  <c r="R201" i="12"/>
  <c r="P201" i="12"/>
  <c r="S200" i="12"/>
  <c r="M200" i="12"/>
  <c r="Q200" i="12" s="1"/>
  <c r="L200" i="12"/>
  <c r="R200" i="12"/>
  <c r="P200" i="12"/>
  <c r="O200" i="12"/>
  <c r="L199" i="12"/>
  <c r="M199" i="12"/>
  <c r="Q199" i="12" s="1"/>
  <c r="S199" i="12"/>
  <c r="R199" i="12"/>
  <c r="P199" i="12"/>
  <c r="O199" i="12"/>
  <c r="S198" i="12"/>
  <c r="M198" i="12"/>
  <c r="Q198" i="12" s="1"/>
  <c r="L198" i="12"/>
  <c r="R198" i="12"/>
  <c r="P198" i="12"/>
  <c r="O198" i="12"/>
  <c r="S197" i="12"/>
  <c r="M197" i="12"/>
  <c r="Q197" i="12" s="1"/>
  <c r="L197" i="12"/>
  <c r="R197" i="12"/>
  <c r="O197" i="12"/>
  <c r="P197" i="12"/>
  <c r="S196" i="12"/>
  <c r="L196" i="12"/>
  <c r="M196" i="12"/>
  <c r="Q196" i="12" s="1"/>
  <c r="R196" i="12"/>
  <c r="P196" i="12"/>
  <c r="O196" i="12"/>
  <c r="M195" i="12"/>
  <c r="Q195" i="12" s="1"/>
  <c r="S195" i="12"/>
  <c r="L195" i="12"/>
  <c r="R195" i="12"/>
  <c r="P195" i="12"/>
  <c r="O195" i="12"/>
  <c r="L194" i="12"/>
  <c r="S194" i="12"/>
  <c r="M194" i="12"/>
  <c r="Q194" i="12" s="1"/>
  <c r="O194" i="12"/>
  <c r="P194" i="12"/>
  <c r="R194" i="12"/>
  <c r="L193" i="12"/>
  <c r="M193" i="12"/>
  <c r="Q193" i="12" s="1"/>
  <c r="S193" i="12"/>
  <c r="O193" i="12"/>
  <c r="P193" i="12"/>
  <c r="R193" i="12"/>
  <c r="S192" i="12"/>
  <c r="L192" i="12"/>
  <c r="M192" i="12"/>
  <c r="Q192" i="12" s="1"/>
  <c r="R192" i="12"/>
  <c r="O192" i="12"/>
  <c r="P192" i="12"/>
  <c r="L191" i="12"/>
  <c r="M191" i="12"/>
  <c r="Q191" i="12" s="1"/>
  <c r="S191" i="12"/>
  <c r="O191" i="12"/>
  <c r="P191" i="12"/>
  <c r="R191" i="12"/>
  <c r="L190" i="12"/>
  <c r="M190" i="12"/>
  <c r="Q190" i="12" s="1"/>
  <c r="S190" i="12"/>
  <c r="O190" i="12"/>
  <c r="P190" i="12"/>
  <c r="R190" i="12"/>
  <c r="S189" i="12"/>
  <c r="M189" i="12"/>
  <c r="Q189" i="12" s="1"/>
  <c r="L189" i="12"/>
  <c r="R189" i="12"/>
  <c r="P189" i="12"/>
  <c r="O189" i="12"/>
  <c r="L188" i="12"/>
  <c r="S188" i="12"/>
  <c r="M188" i="12"/>
  <c r="Q188" i="12" s="1"/>
  <c r="P188" i="12"/>
  <c r="O188" i="12"/>
  <c r="R188" i="12"/>
  <c r="M187" i="12"/>
  <c r="Q187" i="12" s="1"/>
  <c r="S187" i="12"/>
  <c r="L187" i="12"/>
  <c r="P187" i="12"/>
  <c r="R187" i="12"/>
  <c r="O187" i="12"/>
  <c r="S186" i="12"/>
  <c r="M186" i="12"/>
  <c r="Q186" i="12" s="1"/>
  <c r="L186" i="12"/>
  <c r="R186" i="12"/>
  <c r="P186" i="12"/>
  <c r="O186" i="12"/>
  <c r="L185" i="12"/>
  <c r="M185" i="12"/>
  <c r="Q185" i="12" s="1"/>
  <c r="S185" i="12"/>
  <c r="R185" i="12"/>
  <c r="O185" i="12"/>
  <c r="P185" i="12"/>
  <c r="S184" i="12"/>
  <c r="M184" i="12"/>
  <c r="Q184" i="12" s="1"/>
  <c r="L184" i="12"/>
  <c r="R184" i="12"/>
  <c r="O184" i="12"/>
  <c r="P184" i="12"/>
  <c r="S183" i="12"/>
  <c r="L183" i="12"/>
  <c r="M183" i="12"/>
  <c r="Q183" i="12" s="1"/>
  <c r="R183" i="12"/>
  <c r="O183" i="12"/>
  <c r="P183" i="12"/>
  <c r="S182" i="12"/>
  <c r="M182" i="12"/>
  <c r="Q182" i="12" s="1"/>
  <c r="L182" i="12"/>
  <c r="P182" i="12"/>
  <c r="O182" i="12"/>
  <c r="R182" i="12"/>
  <c r="S181" i="12"/>
  <c r="M181" i="12"/>
  <c r="Q181" i="12" s="1"/>
  <c r="L181" i="12"/>
  <c r="P181" i="12"/>
  <c r="O181" i="12"/>
  <c r="R181" i="12"/>
  <c r="M180" i="12"/>
  <c r="Q180" i="12" s="1"/>
  <c r="L180" i="12"/>
  <c r="S180" i="12"/>
  <c r="R180" i="12"/>
  <c r="P180" i="12"/>
  <c r="O180" i="12"/>
  <c r="L179" i="12"/>
  <c r="M179" i="12"/>
  <c r="Q179" i="12" s="1"/>
  <c r="S179" i="12"/>
  <c r="O179" i="12"/>
  <c r="P179" i="12"/>
  <c r="R179" i="12"/>
  <c r="M178" i="12"/>
  <c r="Q178" i="12" s="1"/>
  <c r="L178" i="12"/>
  <c r="S178" i="12"/>
  <c r="O178" i="12"/>
  <c r="P178" i="12"/>
  <c r="R178" i="12"/>
  <c r="L177" i="12"/>
  <c r="M177" i="12"/>
  <c r="Q177" i="12" s="1"/>
  <c r="S177" i="12"/>
  <c r="O177" i="12"/>
  <c r="P177" i="12"/>
  <c r="R177" i="12"/>
  <c r="S176" i="12"/>
  <c r="L176" i="12"/>
  <c r="M176" i="12"/>
  <c r="Q176" i="12" s="1"/>
  <c r="P176" i="12"/>
  <c r="O176" i="12"/>
  <c r="R176" i="12"/>
  <c r="L175" i="12"/>
  <c r="M175" i="12"/>
  <c r="Q175" i="12" s="1"/>
  <c r="S175" i="12"/>
  <c r="R175" i="12"/>
  <c r="O175" i="12"/>
  <c r="P175" i="12"/>
  <c r="L174" i="12"/>
  <c r="M174" i="12"/>
  <c r="Q174" i="12" s="1"/>
  <c r="S174" i="12"/>
  <c r="P174" i="12"/>
  <c r="R174" i="12"/>
  <c r="O174" i="12"/>
  <c r="L173" i="12"/>
  <c r="M173" i="12"/>
  <c r="Q173" i="12" s="1"/>
  <c r="S173" i="12"/>
  <c r="O173" i="12"/>
  <c r="P173" i="12"/>
  <c r="R173" i="12"/>
  <c r="L172" i="12"/>
  <c r="M172" i="12"/>
  <c r="Q172" i="12" s="1"/>
  <c r="S172" i="12"/>
  <c r="R172" i="12"/>
  <c r="P172" i="12"/>
  <c r="O172" i="12"/>
  <c r="L171" i="12"/>
  <c r="M171" i="12"/>
  <c r="Q171" i="12" s="1"/>
  <c r="S171" i="12"/>
  <c r="O171" i="12"/>
  <c r="P171" i="12"/>
  <c r="R171" i="12"/>
  <c r="S170" i="12"/>
  <c r="M170" i="12"/>
  <c r="Q170" i="12" s="1"/>
  <c r="L170" i="12"/>
  <c r="R170" i="12"/>
  <c r="P170" i="12"/>
  <c r="O170" i="12"/>
  <c r="M169" i="12"/>
  <c r="Q169" i="12" s="1"/>
  <c r="L169" i="12"/>
  <c r="S169" i="12"/>
  <c r="O169" i="12"/>
  <c r="R169" i="12"/>
  <c r="P169" i="12"/>
  <c r="S168" i="12"/>
  <c r="L168" i="12"/>
  <c r="M168" i="12"/>
  <c r="Q168" i="12" s="1"/>
  <c r="P168" i="12"/>
  <c r="R168" i="12"/>
  <c r="O168" i="12"/>
  <c r="M167" i="12"/>
  <c r="Q167" i="12" s="1"/>
  <c r="S167" i="12"/>
  <c r="L167" i="12"/>
  <c r="O167" i="12"/>
  <c r="P167" i="12"/>
  <c r="R167" i="12"/>
  <c r="S166" i="12"/>
  <c r="L166" i="12"/>
  <c r="M166" i="12"/>
  <c r="Q166" i="12" s="1"/>
  <c r="O166" i="12"/>
  <c r="P166" i="12"/>
  <c r="R166" i="12"/>
  <c r="L165" i="12"/>
  <c r="M165" i="12"/>
  <c r="Q165" i="12" s="1"/>
  <c r="S165" i="12"/>
  <c r="R165" i="12"/>
  <c r="P165" i="12"/>
  <c r="O165" i="12"/>
  <c r="S164" i="12"/>
  <c r="M164" i="12"/>
  <c r="Q164" i="12" s="1"/>
  <c r="L164" i="12"/>
  <c r="O164" i="12"/>
  <c r="P164" i="12"/>
  <c r="R164" i="12"/>
  <c r="L163" i="12"/>
  <c r="S163" i="12"/>
  <c r="M163" i="12"/>
  <c r="Q163" i="12" s="1"/>
  <c r="R163" i="12"/>
  <c r="P163" i="12"/>
  <c r="O163" i="12"/>
  <c r="L162" i="12"/>
  <c r="M162" i="12"/>
  <c r="Q162" i="12" s="1"/>
  <c r="S162" i="12"/>
  <c r="R162" i="12"/>
  <c r="P162" i="12"/>
  <c r="O162" i="12"/>
  <c r="S161" i="12"/>
  <c r="L161" i="12"/>
  <c r="M161" i="12"/>
  <c r="Q161" i="12" s="1"/>
  <c r="R161" i="12"/>
  <c r="P161" i="12"/>
  <c r="O161" i="12"/>
  <c r="M160" i="12"/>
  <c r="Q160" i="12" s="1"/>
  <c r="L160" i="12"/>
  <c r="S160" i="12"/>
  <c r="P160" i="12"/>
  <c r="R160" i="12"/>
  <c r="O160" i="12"/>
  <c r="S159" i="12"/>
  <c r="M159" i="12"/>
  <c r="Q159" i="12" s="1"/>
  <c r="L159" i="12"/>
  <c r="O159" i="12"/>
  <c r="R159" i="12"/>
  <c r="P159" i="12"/>
  <c r="L158" i="12"/>
  <c r="M158" i="12"/>
  <c r="Q158" i="12" s="1"/>
  <c r="S158" i="12"/>
  <c r="O158" i="12"/>
  <c r="P158" i="12"/>
  <c r="R158" i="12"/>
  <c r="S157" i="12"/>
  <c r="M157" i="12"/>
  <c r="Q157" i="12" s="1"/>
  <c r="L157" i="12"/>
  <c r="O157" i="12"/>
  <c r="P157" i="12"/>
  <c r="R157" i="12"/>
  <c r="L156" i="12"/>
  <c r="S156" i="12"/>
  <c r="M156" i="12"/>
  <c r="Q156" i="12" s="1"/>
  <c r="R156" i="12"/>
  <c r="O156" i="12"/>
  <c r="P156" i="12"/>
  <c r="L155" i="12"/>
  <c r="S155" i="12"/>
  <c r="M155" i="12"/>
  <c r="Q155" i="12" s="1"/>
  <c r="R155" i="12"/>
  <c r="O155" i="12"/>
  <c r="P155" i="12"/>
  <c r="S154" i="12"/>
  <c r="M154" i="12"/>
  <c r="Q154" i="12" s="1"/>
  <c r="L154" i="12"/>
  <c r="R154" i="12"/>
  <c r="P154" i="12"/>
  <c r="O154" i="12"/>
  <c r="L153" i="12"/>
  <c r="M153" i="12"/>
  <c r="Q153" i="12" s="1"/>
  <c r="S153" i="12"/>
  <c r="R153" i="12"/>
  <c r="P153" i="12"/>
  <c r="O153" i="12"/>
  <c r="S152" i="12"/>
  <c r="M152" i="12"/>
  <c r="Q152" i="12" s="1"/>
  <c r="L152" i="12"/>
  <c r="R152" i="12"/>
  <c r="P152" i="12"/>
  <c r="O152" i="12"/>
  <c r="S151" i="12"/>
  <c r="M151" i="12"/>
  <c r="Q151" i="12" s="1"/>
  <c r="L151" i="12"/>
  <c r="R151" i="12"/>
  <c r="P151" i="12"/>
  <c r="O151" i="12"/>
  <c r="S150" i="12"/>
  <c r="M150" i="12"/>
  <c r="Q150" i="12" s="1"/>
  <c r="L150" i="12"/>
  <c r="P150" i="12"/>
  <c r="R150" i="12"/>
  <c r="O150" i="12"/>
  <c r="S149" i="12"/>
  <c r="M149" i="12"/>
  <c r="Q149" i="12" s="1"/>
  <c r="L149" i="12"/>
  <c r="R149" i="12"/>
  <c r="P149" i="12"/>
  <c r="O149" i="12"/>
  <c r="M148" i="12"/>
  <c r="Q148" i="12" s="1"/>
  <c r="L148" i="12"/>
  <c r="S148" i="12"/>
  <c r="P148" i="12"/>
  <c r="O148" i="12"/>
  <c r="R148" i="12"/>
  <c r="L147" i="12"/>
  <c r="S147" i="12"/>
  <c r="M147" i="12"/>
  <c r="Q147" i="12" s="1"/>
  <c r="O147" i="12"/>
  <c r="R147" i="12"/>
  <c r="P147" i="12"/>
  <c r="S146" i="12"/>
  <c r="M146" i="12"/>
  <c r="Q146" i="12" s="1"/>
  <c r="L146" i="12"/>
  <c r="P146" i="12"/>
  <c r="O146" i="12"/>
  <c r="R146" i="12"/>
  <c r="S145" i="12"/>
  <c r="L145" i="12"/>
  <c r="M145" i="12"/>
  <c r="Q145" i="12" s="1"/>
  <c r="R145" i="12"/>
  <c r="O145" i="12"/>
  <c r="P145" i="12"/>
  <c r="L144" i="12"/>
  <c r="S144" i="12"/>
  <c r="M144" i="12"/>
  <c r="Q144" i="12" s="1"/>
  <c r="O144" i="12"/>
  <c r="P144" i="12"/>
  <c r="R144" i="12"/>
  <c r="L143" i="12"/>
  <c r="S143" i="12"/>
  <c r="M143" i="12"/>
  <c r="Q143" i="12" s="1"/>
  <c r="R143" i="12"/>
  <c r="P143" i="12"/>
  <c r="O143" i="12"/>
  <c r="S142" i="12"/>
  <c r="M142" i="12"/>
  <c r="Q142" i="12" s="1"/>
  <c r="L142" i="12"/>
  <c r="R142" i="12"/>
  <c r="P142" i="12"/>
  <c r="O142" i="12"/>
  <c r="M141" i="12"/>
  <c r="Q141" i="12" s="1"/>
  <c r="S141" i="12"/>
  <c r="L141" i="12"/>
  <c r="R141" i="12"/>
  <c r="P141" i="12"/>
  <c r="O141" i="12"/>
  <c r="M140" i="12"/>
  <c r="Q140" i="12" s="1"/>
  <c r="L140" i="12"/>
  <c r="S140" i="12"/>
  <c r="P140" i="12"/>
  <c r="O140" i="12"/>
  <c r="R140" i="12"/>
  <c r="M139" i="12"/>
  <c r="Q139" i="12" s="1"/>
  <c r="L139" i="12"/>
  <c r="S139" i="12"/>
  <c r="O139" i="12"/>
  <c r="P139" i="12"/>
  <c r="R139" i="12"/>
  <c r="S138" i="12"/>
  <c r="L138" i="12"/>
  <c r="M138" i="12"/>
  <c r="Q138" i="12" s="1"/>
  <c r="O138" i="12"/>
  <c r="R138" i="12"/>
  <c r="P138" i="12"/>
  <c r="S137" i="12"/>
  <c r="L137" i="12"/>
  <c r="M137" i="12"/>
  <c r="Q137" i="12" s="1"/>
  <c r="R137" i="12"/>
  <c r="P137" i="12"/>
  <c r="O137" i="12"/>
  <c r="M136" i="12"/>
  <c r="Q136" i="12" s="1"/>
  <c r="L136" i="12"/>
  <c r="S136" i="12"/>
  <c r="R136" i="12"/>
  <c r="O136" i="12"/>
  <c r="P136" i="12"/>
  <c r="L135" i="12"/>
  <c r="M135" i="12"/>
  <c r="Q135" i="12" s="1"/>
  <c r="S135" i="12"/>
  <c r="P135" i="12"/>
  <c r="R135" i="12"/>
  <c r="O135" i="12"/>
  <c r="S134" i="12"/>
  <c r="L134" i="12"/>
  <c r="M134" i="12"/>
  <c r="Q134" i="12" s="1"/>
  <c r="R134" i="12"/>
  <c r="O134" i="12"/>
  <c r="P134" i="12"/>
  <c r="S133" i="12"/>
  <c r="M133" i="12"/>
  <c r="Q133" i="12" s="1"/>
  <c r="L133" i="12"/>
  <c r="R133" i="12"/>
  <c r="P133" i="12"/>
  <c r="O133" i="12"/>
  <c r="S132" i="12"/>
  <c r="M132" i="12"/>
  <c r="Q132" i="12" s="1"/>
  <c r="L132" i="12"/>
  <c r="R132" i="12"/>
  <c r="O132" i="12"/>
  <c r="P132" i="12"/>
  <c r="L131" i="12"/>
  <c r="M131" i="12"/>
  <c r="Q131" i="12" s="1"/>
  <c r="S131" i="12"/>
  <c r="O131" i="12"/>
  <c r="P131" i="12"/>
  <c r="R131" i="12"/>
  <c r="S130" i="12"/>
  <c r="M130" i="12"/>
  <c r="Q130" i="12" s="1"/>
  <c r="L130" i="12"/>
  <c r="R130" i="12"/>
  <c r="P130" i="12"/>
  <c r="O130" i="12"/>
  <c r="S129" i="12"/>
  <c r="M129" i="12"/>
  <c r="Q129" i="12" s="1"/>
  <c r="L129" i="12"/>
  <c r="R129" i="12"/>
  <c r="P129" i="12"/>
  <c r="O129" i="12"/>
  <c r="L128" i="12"/>
  <c r="S128" i="12"/>
  <c r="M128" i="12"/>
  <c r="Q128" i="12" s="1"/>
  <c r="O128" i="12"/>
  <c r="P128" i="12"/>
  <c r="R128" i="12"/>
  <c r="L127" i="12"/>
  <c r="M127" i="12"/>
  <c r="Q127" i="12" s="1"/>
  <c r="S127" i="12"/>
  <c r="R127" i="12"/>
  <c r="O127" i="12"/>
  <c r="P127" i="12"/>
  <c r="M126" i="12"/>
  <c r="Q126" i="12" s="1"/>
  <c r="S126" i="12"/>
  <c r="L126" i="12"/>
  <c r="O126" i="12"/>
  <c r="P126" i="12"/>
  <c r="R126" i="12"/>
  <c r="M125" i="12"/>
  <c r="Q125" i="12" s="1"/>
  <c r="L125" i="12"/>
  <c r="S125" i="12"/>
  <c r="P125" i="12"/>
  <c r="O125" i="12"/>
  <c r="R125" i="12"/>
  <c r="S124" i="12"/>
  <c r="M124" i="12"/>
  <c r="Q124" i="12" s="1"/>
  <c r="L124" i="12"/>
  <c r="R124" i="12"/>
  <c r="P124" i="12"/>
  <c r="O124" i="12"/>
  <c r="S123" i="12"/>
  <c r="M123" i="12"/>
  <c r="Q123" i="12" s="1"/>
  <c r="L123" i="12"/>
  <c r="R123" i="12"/>
  <c r="P123" i="12"/>
  <c r="O123" i="12"/>
  <c r="S122" i="12"/>
  <c r="M122" i="12"/>
  <c r="Q122" i="12" s="1"/>
  <c r="L122" i="12"/>
  <c r="R122" i="12"/>
  <c r="P122" i="12"/>
  <c r="O122" i="12"/>
  <c r="S121" i="12"/>
  <c r="M121" i="12"/>
  <c r="Q121" i="12" s="1"/>
  <c r="L121" i="12"/>
  <c r="R121" i="12"/>
  <c r="P121" i="12"/>
  <c r="O121" i="12"/>
  <c r="M120" i="12"/>
  <c r="Q120" i="12" s="1"/>
  <c r="S120" i="12"/>
  <c r="L120" i="12"/>
  <c r="P120" i="12"/>
  <c r="O120" i="12"/>
  <c r="R120" i="12"/>
  <c r="M119" i="12"/>
  <c r="Q119" i="12" s="1"/>
  <c r="S119" i="12"/>
  <c r="L119" i="12"/>
  <c r="O119" i="12"/>
  <c r="R119" i="12"/>
  <c r="P119" i="12"/>
  <c r="S118" i="12"/>
  <c r="M118" i="12"/>
  <c r="Q118" i="12" s="1"/>
  <c r="L118" i="12"/>
  <c r="R118" i="12"/>
  <c r="O118" i="12"/>
  <c r="P118" i="12"/>
  <c r="M117" i="12"/>
  <c r="Q117" i="12" s="1"/>
  <c r="L117" i="12"/>
  <c r="S117" i="12"/>
  <c r="O117" i="12"/>
  <c r="R117" i="12"/>
  <c r="P117" i="12"/>
  <c r="M116" i="12"/>
  <c r="Q116" i="12" s="1"/>
  <c r="L116" i="12"/>
  <c r="S116" i="12"/>
  <c r="P116" i="12"/>
  <c r="O116" i="12"/>
  <c r="R116" i="12"/>
  <c r="M115" i="12"/>
  <c r="Q115" i="12" s="1"/>
  <c r="L115" i="12"/>
  <c r="S115" i="12"/>
  <c r="R115" i="12"/>
  <c r="P115" i="12"/>
  <c r="O115" i="12"/>
  <c r="M114" i="12"/>
  <c r="Q114" i="12" s="1"/>
  <c r="L114" i="12"/>
  <c r="S114" i="12"/>
  <c r="R114" i="12"/>
  <c r="P114" i="12"/>
  <c r="O114" i="12"/>
  <c r="S113" i="12"/>
  <c r="M113" i="12"/>
  <c r="Q113" i="12" s="1"/>
  <c r="L113" i="12"/>
  <c r="R113" i="12"/>
  <c r="P113" i="12"/>
  <c r="O113" i="12"/>
  <c r="S112" i="12"/>
  <c r="L112" i="12"/>
  <c r="M112" i="12"/>
  <c r="Q112" i="12" s="1"/>
  <c r="R112" i="12"/>
  <c r="P112" i="12"/>
  <c r="O112" i="12"/>
  <c r="S111" i="12"/>
  <c r="L111" i="12"/>
  <c r="M111" i="12"/>
  <c r="Q111" i="12" s="1"/>
  <c r="R111" i="12"/>
  <c r="P111" i="12"/>
  <c r="O111" i="12"/>
  <c r="L110" i="12"/>
  <c r="M110" i="12"/>
  <c r="Q110" i="12" s="1"/>
  <c r="S110" i="12"/>
  <c r="P110" i="12"/>
  <c r="R110" i="12"/>
  <c r="O110" i="12"/>
  <c r="S109" i="12"/>
  <c r="M109" i="12"/>
  <c r="Q109" i="12" s="1"/>
  <c r="L109" i="12"/>
  <c r="O109" i="12"/>
  <c r="P109" i="12"/>
  <c r="R109" i="12"/>
  <c r="S108" i="12"/>
  <c r="M108" i="12"/>
  <c r="Q108" i="12" s="1"/>
  <c r="L108" i="12"/>
  <c r="R108" i="12"/>
  <c r="P108" i="12"/>
  <c r="O108" i="12"/>
  <c r="M107" i="12"/>
  <c r="Q107" i="12" s="1"/>
  <c r="L107" i="12"/>
  <c r="S107" i="12"/>
  <c r="O107" i="12"/>
  <c r="P107" i="12"/>
  <c r="R107" i="12"/>
  <c r="L106" i="12"/>
  <c r="S106" i="12"/>
  <c r="M106" i="12"/>
  <c r="Q106" i="12" s="1"/>
  <c r="O106" i="12"/>
  <c r="P106" i="12"/>
  <c r="R106" i="12"/>
  <c r="M105" i="12"/>
  <c r="Q105" i="12" s="1"/>
  <c r="L105" i="12"/>
  <c r="S105" i="12"/>
  <c r="R105" i="12"/>
  <c r="P105" i="12"/>
  <c r="O105" i="12"/>
  <c r="S104" i="12"/>
  <c r="L104" i="12"/>
  <c r="M104" i="12"/>
  <c r="Q104" i="12" s="1"/>
  <c r="R104" i="12"/>
  <c r="P104" i="12"/>
  <c r="O104" i="12"/>
  <c r="S103" i="12"/>
  <c r="M103" i="12"/>
  <c r="Q103" i="12" s="1"/>
  <c r="L103" i="12"/>
  <c r="R103" i="12"/>
  <c r="P103" i="12"/>
  <c r="O103" i="12"/>
  <c r="M102" i="12"/>
  <c r="Q102" i="12" s="1"/>
  <c r="L102" i="12"/>
  <c r="S102" i="12"/>
  <c r="P102" i="12"/>
  <c r="O102" i="12"/>
  <c r="R102" i="12"/>
  <c r="S101" i="12"/>
  <c r="M101" i="12"/>
  <c r="Q101" i="12" s="1"/>
  <c r="L101" i="12"/>
  <c r="R101" i="12"/>
  <c r="O101" i="12"/>
  <c r="P101" i="12"/>
  <c r="M100" i="12"/>
  <c r="Q100" i="12" s="1"/>
  <c r="L100" i="12"/>
  <c r="S100" i="12"/>
  <c r="O100" i="12"/>
  <c r="R100" i="12"/>
  <c r="P100" i="12"/>
  <c r="L99" i="12"/>
  <c r="M99" i="12"/>
  <c r="Q99" i="12" s="1"/>
  <c r="S99" i="12"/>
  <c r="R99" i="12"/>
  <c r="O99" i="12"/>
  <c r="P99" i="12"/>
  <c r="M98" i="12"/>
  <c r="Q98" i="12" s="1"/>
  <c r="L98" i="12"/>
  <c r="S98" i="12"/>
  <c r="P98" i="12"/>
  <c r="O98" i="12"/>
  <c r="R98" i="12"/>
  <c r="S97" i="12"/>
  <c r="M97" i="12"/>
  <c r="Q97" i="12" s="1"/>
  <c r="L97" i="12"/>
  <c r="P97" i="12"/>
  <c r="O97" i="12"/>
  <c r="R97" i="12"/>
  <c r="L96" i="12"/>
  <c r="M96" i="12"/>
  <c r="Q96" i="12" s="1"/>
  <c r="S96" i="12"/>
  <c r="O96" i="12"/>
  <c r="P96" i="12"/>
  <c r="R96" i="12"/>
  <c r="L95" i="12"/>
  <c r="M95" i="12"/>
  <c r="Q95" i="12" s="1"/>
  <c r="S95" i="12"/>
  <c r="O95" i="12"/>
  <c r="P95" i="12"/>
  <c r="R95" i="12"/>
  <c r="L94" i="12"/>
  <c r="S94" i="12"/>
  <c r="M94" i="12"/>
  <c r="Q94" i="12" s="1"/>
  <c r="R94" i="12"/>
  <c r="P94" i="12"/>
  <c r="O94" i="12"/>
  <c r="M93" i="12"/>
  <c r="Q93" i="12" s="1"/>
  <c r="S93" i="12"/>
  <c r="L93" i="12"/>
  <c r="P93" i="12"/>
  <c r="O93" i="12"/>
  <c r="R93" i="12"/>
  <c r="L92" i="12"/>
  <c r="S92" i="12"/>
  <c r="M92" i="12"/>
  <c r="Q92" i="12" s="1"/>
  <c r="R92" i="12"/>
  <c r="P92" i="12"/>
  <c r="O92" i="12"/>
  <c r="M91" i="12"/>
  <c r="Q91" i="12" s="1"/>
  <c r="S91" i="12"/>
  <c r="L91" i="12"/>
  <c r="R91" i="12"/>
  <c r="O91" i="12"/>
  <c r="P91" i="12"/>
  <c r="M90" i="12"/>
  <c r="Q90" i="12" s="1"/>
  <c r="L90" i="12"/>
  <c r="S90" i="12"/>
  <c r="P90" i="12"/>
  <c r="O90" i="12"/>
  <c r="R90" i="12"/>
  <c r="S89" i="12"/>
  <c r="L89" i="12"/>
  <c r="M89" i="12"/>
  <c r="Q89" i="12" s="1"/>
  <c r="P89" i="12"/>
  <c r="O89" i="12"/>
  <c r="R89" i="12"/>
  <c r="S87" i="12"/>
  <c r="M87" i="12"/>
  <c r="Q87" i="12" s="1"/>
  <c r="L87" i="12"/>
  <c r="R87" i="12"/>
  <c r="P87" i="12"/>
  <c r="O87" i="12"/>
  <c r="S86" i="12"/>
  <c r="M86" i="12"/>
  <c r="Q86" i="12" s="1"/>
  <c r="L86" i="12"/>
  <c r="O86" i="12"/>
  <c r="R86" i="12"/>
  <c r="P86" i="12"/>
  <c r="M85" i="12"/>
  <c r="Q85" i="12" s="1"/>
  <c r="L85" i="12"/>
  <c r="S85" i="12"/>
  <c r="P85" i="12"/>
  <c r="O85" i="12"/>
  <c r="R85" i="12"/>
  <c r="S84" i="12"/>
  <c r="M84" i="12"/>
  <c r="Q84" i="12" s="1"/>
  <c r="L84" i="12"/>
  <c r="R84" i="12"/>
  <c r="P84" i="12"/>
  <c r="O84" i="12"/>
  <c r="S83" i="12"/>
  <c r="M83" i="12"/>
  <c r="Q83" i="12" s="1"/>
  <c r="L83" i="12"/>
  <c r="O83" i="12"/>
  <c r="R83" i="12"/>
  <c r="P83" i="12"/>
  <c r="M82" i="12"/>
  <c r="Q82" i="12" s="1"/>
  <c r="L82" i="12"/>
  <c r="S82" i="12"/>
  <c r="P82" i="12"/>
  <c r="O82" i="12"/>
  <c r="R82" i="12"/>
  <c r="S81" i="12"/>
  <c r="L81" i="12"/>
  <c r="M81" i="12"/>
  <c r="Q81" i="12" s="1"/>
  <c r="R81" i="12"/>
  <c r="O81" i="12"/>
  <c r="P81" i="12"/>
  <c r="S80" i="12"/>
  <c r="M80" i="12"/>
  <c r="Q80" i="12" s="1"/>
  <c r="L80" i="12"/>
  <c r="R80" i="12"/>
  <c r="P80" i="12"/>
  <c r="O80" i="12"/>
  <c r="S79" i="12"/>
  <c r="M79" i="12"/>
  <c r="Q79" i="12" s="1"/>
  <c r="L79" i="12"/>
  <c r="R79" i="12"/>
  <c r="P79" i="12"/>
  <c r="O79" i="12"/>
  <c r="S78" i="12"/>
  <c r="L78" i="12"/>
  <c r="M78" i="12"/>
  <c r="Q78" i="12" s="1"/>
  <c r="R78" i="12"/>
  <c r="P78" i="12"/>
  <c r="O78" i="12"/>
  <c r="S77" i="12"/>
  <c r="M77" i="12"/>
  <c r="Q77" i="12" s="1"/>
  <c r="L77" i="12"/>
  <c r="R77" i="12"/>
  <c r="P77" i="12"/>
  <c r="O77" i="12"/>
  <c r="M76" i="12"/>
  <c r="Q76" i="12" s="1"/>
  <c r="L76" i="12"/>
  <c r="S76" i="12"/>
  <c r="P76" i="12"/>
  <c r="O76" i="12"/>
  <c r="R76" i="12"/>
  <c r="S75" i="12"/>
  <c r="M75" i="12"/>
  <c r="Q75" i="12" s="1"/>
  <c r="L75" i="12"/>
  <c r="R75" i="12"/>
  <c r="P75" i="12"/>
  <c r="O75" i="12"/>
  <c r="S74" i="12"/>
  <c r="M74" i="12"/>
  <c r="Q74" i="12" s="1"/>
  <c r="L74" i="12"/>
  <c r="P74" i="12"/>
  <c r="O74" i="12"/>
  <c r="R74" i="12"/>
  <c r="S73" i="12"/>
  <c r="M73" i="12"/>
  <c r="Q73" i="12" s="1"/>
  <c r="L73" i="12"/>
  <c r="P73" i="12"/>
  <c r="O73" i="12"/>
  <c r="R73" i="12"/>
  <c r="M72" i="12"/>
  <c r="Q72" i="12" s="1"/>
  <c r="L72" i="12"/>
  <c r="S72" i="12"/>
  <c r="P72" i="12"/>
  <c r="O72" i="12"/>
  <c r="R72" i="12"/>
  <c r="S71" i="12"/>
  <c r="M71" i="12"/>
  <c r="Q71" i="12" s="1"/>
  <c r="L71" i="12"/>
  <c r="R71" i="12"/>
  <c r="P71" i="12"/>
  <c r="O71" i="12"/>
  <c r="M70" i="12"/>
  <c r="Q70" i="12" s="1"/>
  <c r="L70" i="12"/>
  <c r="S70" i="12"/>
  <c r="R70" i="12"/>
  <c r="P70" i="12"/>
  <c r="O70" i="12"/>
  <c r="S69" i="12"/>
  <c r="M69" i="12"/>
  <c r="Q69" i="12" s="1"/>
  <c r="L69" i="12"/>
  <c r="R69" i="12"/>
  <c r="P69" i="12"/>
  <c r="O69" i="12"/>
  <c r="M68" i="12"/>
  <c r="Q68" i="12" s="1"/>
  <c r="L68" i="12"/>
  <c r="S68" i="12"/>
  <c r="P68" i="12"/>
  <c r="O68" i="12"/>
  <c r="R68" i="12"/>
  <c r="S67" i="12"/>
  <c r="M67" i="12"/>
  <c r="Q67" i="12" s="1"/>
  <c r="L67" i="12"/>
  <c r="R67" i="12"/>
  <c r="P67" i="12"/>
  <c r="O67" i="12"/>
  <c r="S66" i="12"/>
  <c r="M66" i="12"/>
  <c r="Q66" i="12" s="1"/>
  <c r="L66" i="12"/>
  <c r="P66" i="12"/>
  <c r="O66" i="12"/>
  <c r="R66" i="12"/>
  <c r="S65" i="12"/>
  <c r="M65" i="12"/>
  <c r="Q65" i="12" s="1"/>
  <c r="L65" i="12"/>
  <c r="R65" i="12"/>
  <c r="P65" i="12"/>
  <c r="O65" i="12"/>
  <c r="L64" i="12"/>
  <c r="M64" i="12"/>
  <c r="Q64" i="12" s="1"/>
  <c r="S64" i="12"/>
  <c r="O64" i="12"/>
  <c r="R64" i="12"/>
  <c r="P64" i="12"/>
  <c r="M63" i="12"/>
  <c r="Q63" i="12" s="1"/>
  <c r="L63" i="12"/>
  <c r="S63" i="12"/>
  <c r="O63" i="12"/>
  <c r="P63" i="12"/>
  <c r="R63" i="12"/>
  <c r="S62" i="12"/>
  <c r="M62" i="12"/>
  <c r="Q62" i="12" s="1"/>
  <c r="L62" i="12"/>
  <c r="R62" i="12"/>
  <c r="P62" i="12"/>
  <c r="O62" i="12"/>
  <c r="L61" i="12"/>
  <c r="S61" i="12"/>
  <c r="M61" i="12"/>
  <c r="Q61" i="12" s="1"/>
  <c r="O61" i="12"/>
  <c r="P61" i="12"/>
  <c r="R61" i="12"/>
  <c r="L60" i="12"/>
  <c r="M60" i="12"/>
  <c r="Q60" i="12" s="1"/>
  <c r="S60" i="12"/>
  <c r="R60" i="12"/>
  <c r="P60" i="12"/>
  <c r="O60" i="12"/>
  <c r="L59" i="12"/>
  <c r="S59" i="12"/>
  <c r="M59" i="12"/>
  <c r="Q59" i="12" s="1"/>
  <c r="R59" i="12"/>
  <c r="P59" i="12"/>
  <c r="O59" i="12"/>
  <c r="M58" i="12"/>
  <c r="Q58" i="12" s="1"/>
  <c r="L58" i="12"/>
  <c r="S58" i="12"/>
  <c r="R58" i="12"/>
  <c r="O58" i="12"/>
  <c r="P58" i="12"/>
  <c r="L57" i="12"/>
  <c r="M57" i="12"/>
  <c r="Q57" i="12" s="1"/>
  <c r="S57" i="12"/>
  <c r="P57" i="12"/>
  <c r="R57" i="12"/>
  <c r="O57" i="12"/>
  <c r="S56" i="12"/>
  <c r="M56" i="12"/>
  <c r="Q56" i="12" s="1"/>
  <c r="L56" i="12"/>
  <c r="R56" i="12"/>
  <c r="O56" i="12"/>
  <c r="P56" i="12"/>
  <c r="S55" i="12"/>
  <c r="L55" i="12"/>
  <c r="M55" i="12"/>
  <c r="Q55" i="12" s="1"/>
  <c r="R55" i="12"/>
  <c r="O55" i="12"/>
  <c r="P55" i="12"/>
  <c r="S54" i="12"/>
  <c r="M54" i="12"/>
  <c r="Q54" i="12" s="1"/>
  <c r="L54" i="12"/>
  <c r="P54" i="12"/>
  <c r="O54" i="12"/>
  <c r="R54" i="12"/>
  <c r="S53" i="12"/>
  <c r="L53" i="12"/>
  <c r="M53" i="12"/>
  <c r="Q53" i="12" s="1"/>
  <c r="O53" i="12"/>
  <c r="R53" i="12"/>
  <c r="P53" i="12"/>
  <c r="S52" i="12"/>
  <c r="M52" i="12"/>
  <c r="Q52" i="12" s="1"/>
  <c r="L52" i="12"/>
  <c r="O52" i="12"/>
  <c r="R52" i="12"/>
  <c r="P52" i="12"/>
  <c r="L51" i="12"/>
  <c r="S51" i="12"/>
  <c r="M51" i="12"/>
  <c r="Q51" i="12" s="1"/>
  <c r="P51" i="12"/>
  <c r="R51" i="12"/>
  <c r="O51" i="12"/>
  <c r="M50" i="12"/>
  <c r="Q50" i="12" s="1"/>
  <c r="L50" i="12"/>
  <c r="S50" i="12"/>
  <c r="O50" i="12"/>
  <c r="R50" i="12"/>
  <c r="P50" i="12"/>
  <c r="M49" i="12"/>
  <c r="Q49" i="12" s="1"/>
  <c r="L49" i="12"/>
  <c r="S49" i="12"/>
  <c r="R49" i="12"/>
  <c r="P49" i="12"/>
  <c r="O49" i="12"/>
  <c r="S48" i="12"/>
  <c r="L48" i="12"/>
  <c r="M48" i="12"/>
  <c r="Q48" i="12" s="1"/>
  <c r="P48" i="12"/>
  <c r="R48" i="12"/>
  <c r="O48" i="12"/>
  <c r="L47" i="12"/>
  <c r="M47" i="12"/>
  <c r="Q47" i="12" s="1"/>
  <c r="S47" i="12"/>
  <c r="O47" i="12"/>
  <c r="P47" i="12"/>
  <c r="R47" i="12"/>
  <c r="M46" i="12"/>
  <c r="Q46" i="12" s="1"/>
  <c r="S46" i="12"/>
  <c r="L46" i="12"/>
  <c r="P46" i="12"/>
  <c r="R46" i="12"/>
  <c r="O46" i="12"/>
  <c r="S45" i="12"/>
  <c r="L45" i="12"/>
  <c r="M45" i="12"/>
  <c r="Q45" i="12" s="1"/>
  <c r="R45" i="12"/>
  <c r="P45" i="12"/>
  <c r="O45" i="12"/>
  <c r="M44" i="12"/>
  <c r="Q44" i="12" s="1"/>
  <c r="S44" i="12"/>
  <c r="L44" i="12"/>
  <c r="P44" i="12"/>
  <c r="R44" i="12"/>
  <c r="O44" i="12"/>
  <c r="L43" i="12"/>
  <c r="S43" i="12"/>
  <c r="M43" i="12"/>
  <c r="Q43" i="12" s="1"/>
  <c r="O43" i="12"/>
  <c r="P43" i="12"/>
  <c r="R43" i="12"/>
  <c r="L42" i="12"/>
  <c r="M42" i="12"/>
  <c r="Q42" i="12" s="1"/>
  <c r="S42" i="12"/>
  <c r="R42" i="12"/>
  <c r="O42" i="12"/>
  <c r="P42" i="12"/>
  <c r="M41" i="12"/>
  <c r="Q41" i="12" s="1"/>
  <c r="S41" i="12"/>
  <c r="L41" i="12"/>
  <c r="O41" i="12"/>
  <c r="R41" i="12"/>
  <c r="P41" i="12"/>
  <c r="M40" i="12"/>
  <c r="Q40" i="12" s="1"/>
  <c r="S40" i="12"/>
  <c r="L40" i="12"/>
  <c r="P40" i="12"/>
  <c r="R40" i="12"/>
  <c r="O40" i="12"/>
  <c r="M39" i="12"/>
  <c r="Q39" i="12" s="1"/>
  <c r="L39" i="12"/>
  <c r="S39" i="12"/>
  <c r="O39" i="12"/>
  <c r="P39" i="12"/>
  <c r="R39" i="12"/>
  <c r="M38" i="12"/>
  <c r="Q38" i="12" s="1"/>
  <c r="L38" i="12"/>
  <c r="S38" i="12"/>
  <c r="R38" i="12"/>
  <c r="P38" i="12"/>
  <c r="O38" i="12"/>
  <c r="L37" i="12"/>
  <c r="S37" i="12"/>
  <c r="M37" i="12"/>
  <c r="Q37" i="12" s="1"/>
  <c r="O37" i="12"/>
  <c r="P37" i="12"/>
  <c r="R37" i="12"/>
  <c r="L36" i="12"/>
  <c r="S36" i="12"/>
  <c r="M36" i="12"/>
  <c r="Q36" i="12" s="1"/>
  <c r="O36" i="12"/>
  <c r="R36" i="12"/>
  <c r="P36" i="12"/>
  <c r="S35" i="12"/>
  <c r="L35" i="12"/>
  <c r="M35" i="12"/>
  <c r="Q35" i="12" s="1"/>
  <c r="R35" i="12"/>
  <c r="O35" i="12"/>
  <c r="P35" i="12"/>
  <c r="M34" i="12"/>
  <c r="Q34" i="12" s="1"/>
  <c r="L34" i="12"/>
  <c r="S34" i="12"/>
  <c r="P34" i="12"/>
  <c r="R34" i="12"/>
  <c r="O34" i="12"/>
  <c r="M33" i="12"/>
  <c r="Q33" i="12" s="1"/>
  <c r="L33" i="12"/>
  <c r="S33" i="12"/>
  <c r="O33" i="12"/>
  <c r="R33" i="12"/>
  <c r="P33" i="12"/>
  <c r="L32" i="12"/>
  <c r="S32" i="12"/>
  <c r="M32" i="12"/>
  <c r="Q32" i="12" s="1"/>
  <c r="O32" i="12"/>
  <c r="P32" i="12"/>
  <c r="R32" i="12"/>
  <c r="M30" i="12"/>
  <c r="Q30" i="12" s="1"/>
  <c r="S30" i="12"/>
  <c r="L30" i="12"/>
  <c r="P30" i="12"/>
  <c r="R30" i="12"/>
  <c r="O30" i="12"/>
  <c r="M29" i="12"/>
  <c r="Q29" i="12" s="1"/>
  <c r="L29" i="12"/>
  <c r="S29" i="12"/>
  <c r="O29" i="12"/>
  <c r="P29" i="12"/>
  <c r="R29" i="12"/>
  <c r="S28" i="12"/>
  <c r="M28" i="12"/>
  <c r="Q28" i="12" s="1"/>
  <c r="L28" i="12"/>
  <c r="R28" i="12"/>
  <c r="O28" i="12"/>
  <c r="P28" i="12"/>
  <c r="L27" i="12"/>
  <c r="M27" i="12"/>
  <c r="Q27" i="12" s="1"/>
  <c r="S27" i="12"/>
  <c r="R27" i="12"/>
  <c r="P27" i="12"/>
  <c r="O27" i="12"/>
  <c r="S26" i="12"/>
  <c r="M26" i="12"/>
  <c r="Q26" i="12" s="1"/>
  <c r="L26" i="12"/>
  <c r="P26" i="12"/>
  <c r="R26" i="12"/>
  <c r="O26" i="12"/>
  <c r="M25" i="12"/>
  <c r="Q25" i="12" s="1"/>
  <c r="L25" i="12"/>
  <c r="S25" i="12"/>
  <c r="P25" i="12"/>
  <c r="R25" i="12"/>
  <c r="O25" i="12"/>
  <c r="M24" i="12"/>
  <c r="Q24" i="12" s="1"/>
  <c r="L24" i="12"/>
  <c r="S24" i="12"/>
  <c r="R24" i="12"/>
  <c r="O24" i="12"/>
  <c r="P24" i="12"/>
  <c r="M23" i="12"/>
  <c r="Q23" i="12" s="1"/>
  <c r="S23" i="12"/>
  <c r="L23" i="12"/>
  <c r="O23" i="12"/>
  <c r="R23" i="12"/>
  <c r="P23" i="12"/>
  <c r="M22" i="12"/>
  <c r="Q22" i="12" s="1"/>
  <c r="L22" i="12"/>
  <c r="S22" i="12"/>
  <c r="O22" i="12"/>
  <c r="R22" i="12"/>
  <c r="P22" i="12"/>
  <c r="L21" i="12"/>
  <c r="S21" i="12"/>
  <c r="M21" i="12"/>
  <c r="Q21" i="12" s="1"/>
  <c r="O21" i="12"/>
  <c r="P21" i="12"/>
  <c r="R21" i="12"/>
  <c r="L20" i="12"/>
  <c r="M20" i="12"/>
  <c r="Q20" i="12" s="1"/>
  <c r="S20" i="12"/>
  <c r="P20" i="12"/>
  <c r="R20" i="12"/>
  <c r="O20" i="12"/>
  <c r="S19" i="12"/>
  <c r="M19" i="12"/>
  <c r="Q19" i="12" s="1"/>
  <c r="L19" i="12"/>
  <c r="P19" i="12"/>
  <c r="O19" i="12"/>
  <c r="R19" i="12"/>
  <c r="S18" i="12"/>
  <c r="M18" i="12"/>
  <c r="Q18" i="12" s="1"/>
  <c r="L18" i="12"/>
  <c r="O18" i="12"/>
  <c r="P18" i="12"/>
  <c r="R18" i="12"/>
  <c r="S17" i="12"/>
  <c r="M17" i="12"/>
  <c r="Q17" i="12" s="1"/>
  <c r="L17" i="12"/>
  <c r="O17" i="12"/>
  <c r="R17" i="12"/>
  <c r="P17" i="12"/>
  <c r="M16" i="12"/>
  <c r="Q16" i="12" s="1"/>
  <c r="S16" i="12"/>
  <c r="L16" i="12"/>
  <c r="O16" i="12"/>
  <c r="P16" i="12"/>
  <c r="R16" i="12"/>
  <c r="L15" i="12"/>
  <c r="S15" i="12"/>
  <c r="M15" i="12"/>
  <c r="Q15" i="12" s="1"/>
  <c r="P15" i="12"/>
  <c r="R15" i="12"/>
  <c r="O15" i="12"/>
  <c r="L14" i="12"/>
  <c r="S14" i="12"/>
  <c r="M14" i="12"/>
  <c r="Q14" i="12" s="1"/>
  <c r="R14" i="12"/>
  <c r="P14" i="12"/>
  <c r="O14" i="12"/>
  <c r="AI13" i="12"/>
  <c r="BC13" i="12"/>
  <c r="AJ13" i="12"/>
  <c r="AV13" i="12"/>
  <c r="AD13" i="12"/>
  <c r="AG13" i="12"/>
  <c r="AM13" i="12"/>
  <c r="AF13" i="12"/>
  <c r="AK13" i="12"/>
  <c r="AO13" i="12"/>
  <c r="AR13" i="12"/>
  <c r="AU13" i="12"/>
  <c r="BB13" i="12"/>
  <c r="BF13" i="12"/>
  <c r="AC13" i="12"/>
  <c r="AE13" i="12"/>
  <c r="AH13" i="12"/>
  <c r="AN13" i="12"/>
  <c r="BE13" i="12"/>
  <c r="AL13" i="12"/>
  <c r="AQ13" i="12"/>
  <c r="AS13" i="12"/>
  <c r="AW13" i="12"/>
  <c r="AZ13" i="12"/>
  <c r="BD13" i="12"/>
  <c r="BA13" i="12"/>
  <c r="AX13" i="12"/>
  <c r="AT13" i="12"/>
  <c r="AP13" i="12"/>
  <c r="S13" i="12"/>
  <c r="M13" i="12"/>
  <c r="Q13" i="12" s="1"/>
  <c r="L13" i="12"/>
  <c r="P13" i="12"/>
  <c r="R13" i="12"/>
  <c r="O13" i="12"/>
  <c r="BE12" i="12"/>
  <c r="AM12" i="12"/>
  <c r="AK12" i="12"/>
  <c r="BA12" i="12"/>
  <c r="BC12" i="12"/>
  <c r="AH12" i="12"/>
  <c r="AW12" i="12"/>
  <c r="AS12" i="12"/>
  <c r="AN12" i="12"/>
  <c r="AI12" i="12"/>
  <c r="AE12" i="12"/>
  <c r="AD12" i="12"/>
  <c r="AC12" i="12"/>
  <c r="AU12" i="12"/>
  <c r="AX12" i="12"/>
  <c r="AY12" i="12"/>
  <c r="AQ12" i="12"/>
  <c r="AJ12" i="12"/>
  <c r="AL12" i="12"/>
  <c r="AP12" i="12"/>
  <c r="AT12" i="12"/>
  <c r="AG12" i="12"/>
  <c r="AF12" i="12"/>
  <c r="BF12" i="12"/>
  <c r="BD12" i="12"/>
  <c r="BB12" i="12"/>
  <c r="AZ12" i="12"/>
  <c r="AV12" i="12"/>
  <c r="AR12" i="12"/>
  <c r="AO12" i="12"/>
  <c r="L12" i="12"/>
  <c r="M12" i="12"/>
  <c r="Q12" i="12" s="1"/>
  <c r="S12" i="12"/>
  <c r="R12" i="12"/>
  <c r="P12" i="12"/>
  <c r="O12" i="12"/>
  <c r="AG11" i="12"/>
  <c r="BD11" i="12"/>
  <c r="BA11" i="12"/>
  <c r="AU11" i="12"/>
  <c r="AR11" i="12"/>
  <c r="AN11" i="12"/>
  <c r="AK11" i="12"/>
  <c r="AF11" i="12"/>
  <c r="AC11" i="12"/>
  <c r="BF11" i="12"/>
  <c r="BC11" i="12"/>
  <c r="AX11" i="12"/>
  <c r="AT11" i="12"/>
  <c r="AD11" i="12"/>
  <c r="AO11" i="12"/>
  <c r="AJ11" i="12"/>
  <c r="AH11" i="12"/>
  <c r="AL11" i="12"/>
  <c r="AP11" i="12"/>
  <c r="AW11" i="12"/>
  <c r="AQ11" i="12"/>
  <c r="AZ11" i="12"/>
  <c r="BE11" i="12"/>
  <c r="BB11" i="12"/>
  <c r="AY11" i="12"/>
  <c r="AV11" i="12"/>
  <c r="AS11" i="12"/>
  <c r="AM11" i="12"/>
  <c r="AI11" i="12"/>
  <c r="AE11" i="12"/>
  <c r="M11" i="12"/>
  <c r="Q11" i="12" s="1"/>
  <c r="L11" i="12"/>
  <c r="S11" i="12"/>
  <c r="R11" i="12"/>
  <c r="O11" i="12"/>
  <c r="P11" i="12"/>
  <c r="BD10" i="12"/>
  <c r="BA10" i="12"/>
  <c r="AS10" i="12"/>
  <c r="BC10" i="12"/>
  <c r="BE10" i="12"/>
  <c r="AD10" i="12"/>
  <c r="AV10" i="12"/>
  <c r="AC10" i="12"/>
  <c r="AX10" i="12"/>
  <c r="AY10" i="12"/>
  <c r="AU10" i="12"/>
  <c r="AR10" i="12"/>
  <c r="AH10" i="12"/>
  <c r="AZ10" i="12"/>
  <c r="AP10" i="12"/>
  <c r="BF10" i="12"/>
  <c r="AT10" i="12"/>
  <c r="AL10" i="12"/>
  <c r="AN10" i="12"/>
  <c r="AQ10" i="12"/>
  <c r="AW10" i="12"/>
  <c r="AI10" i="12"/>
  <c r="AF10" i="12"/>
  <c r="BB10" i="12"/>
  <c r="AM10" i="12"/>
  <c r="AK10" i="12"/>
  <c r="AG10" i="12"/>
  <c r="AE10" i="12"/>
  <c r="AJ10" i="12"/>
  <c r="AO10" i="12"/>
  <c r="L10" i="12"/>
  <c r="S10" i="12"/>
  <c r="M10" i="12"/>
  <c r="Q10" i="12" s="1"/>
  <c r="R10" i="12"/>
  <c r="P10" i="12"/>
  <c r="O10" i="12"/>
  <c r="BA9" i="12"/>
  <c r="BE9" i="12"/>
  <c r="AM9" i="12"/>
  <c r="AJ9" i="12"/>
  <c r="AE9" i="12"/>
  <c r="AI9" i="12"/>
  <c r="AU9" i="12"/>
  <c r="BC9" i="12"/>
  <c r="BF9" i="12"/>
  <c r="AS9" i="12"/>
  <c r="AP9" i="12"/>
  <c r="AZ9" i="12"/>
  <c r="AG9" i="12"/>
  <c r="AQ9" i="12"/>
  <c r="AW9" i="12"/>
  <c r="AF9" i="12"/>
  <c r="AL9" i="12"/>
  <c r="AR9" i="12"/>
  <c r="AV9" i="12"/>
  <c r="BB9" i="12"/>
  <c r="BD9" i="12"/>
  <c r="AN9" i="12"/>
  <c r="AK9" i="12"/>
  <c r="AH9" i="12"/>
  <c r="AC9" i="12"/>
  <c r="AO9" i="12"/>
  <c r="AY9" i="12"/>
  <c r="AT9" i="12"/>
  <c r="AD9" i="12"/>
  <c r="AX9" i="12"/>
  <c r="L9" i="12"/>
  <c r="S9" i="12"/>
  <c r="M9" i="12"/>
  <c r="Q9" i="12" s="1"/>
  <c r="P9" i="12"/>
  <c r="R9" i="12"/>
  <c r="O9" i="12"/>
  <c r="AV8" i="12"/>
  <c r="BF8" i="12"/>
  <c r="AD8" i="12"/>
  <c r="BE8" i="12"/>
  <c r="BC8" i="12"/>
  <c r="AZ8" i="12"/>
  <c r="AT8" i="12"/>
  <c r="AP8" i="12"/>
  <c r="AE8" i="12"/>
  <c r="AF8" i="12"/>
  <c r="BA8" i="12"/>
  <c r="AM8" i="12"/>
  <c r="AR8" i="12"/>
  <c r="AI8" i="12"/>
  <c r="AH8" i="12"/>
  <c r="AS8" i="12"/>
  <c r="BB8" i="12"/>
  <c r="AX8" i="12"/>
  <c r="AC8" i="12"/>
  <c r="AY8" i="12"/>
  <c r="AN8" i="12"/>
  <c r="AQ8" i="12"/>
  <c r="AK8" i="12"/>
  <c r="AG8" i="12"/>
  <c r="AJ8" i="12"/>
  <c r="AL8" i="12"/>
  <c r="AW8" i="12"/>
  <c r="BD8" i="12"/>
  <c r="AU8" i="12"/>
  <c r="AO8" i="12"/>
  <c r="L8" i="12"/>
  <c r="M8" i="12"/>
  <c r="Q8" i="12" s="1"/>
  <c r="O8" i="12"/>
  <c r="P8" i="12"/>
  <c r="R8" i="12"/>
  <c r="AH7" i="12"/>
  <c r="AL7" i="12"/>
  <c r="AQ7" i="12"/>
  <c r="AW7" i="12"/>
  <c r="AU7" i="12"/>
  <c r="AO7" i="12"/>
  <c r="AT7" i="12"/>
  <c r="AZ7" i="12"/>
  <c r="BC7" i="12"/>
  <c r="BF7" i="12"/>
  <c r="AY7" i="12"/>
  <c r="AM7" i="12"/>
  <c r="AF7" i="12"/>
  <c r="AR7" i="12"/>
  <c r="AD7" i="12"/>
  <c r="BE7" i="12"/>
  <c r="BD7" i="12"/>
  <c r="BA7" i="12"/>
  <c r="BB7" i="12"/>
  <c r="AV7" i="12"/>
  <c r="AN7" i="12"/>
  <c r="AJ7" i="12"/>
  <c r="AK7" i="12"/>
  <c r="AP7" i="12"/>
  <c r="AI7" i="12"/>
  <c r="AC7" i="12"/>
  <c r="AX7" i="12"/>
  <c r="AS7" i="12"/>
  <c r="AG7" i="12"/>
  <c r="AE7" i="12"/>
  <c r="L7" i="12"/>
  <c r="M7" i="12"/>
  <c r="Q7" i="12" s="1"/>
  <c r="S7" i="12"/>
  <c r="R7" i="12"/>
  <c r="O7" i="12"/>
  <c r="P7" i="12"/>
  <c r="AS6" i="12"/>
  <c r="AG6" i="12"/>
  <c r="AU6" i="12"/>
  <c r="AL6" i="12"/>
  <c r="BF6" i="12"/>
  <c r="BB6" i="12"/>
  <c r="AM6" i="12"/>
  <c r="AR6" i="12"/>
  <c r="AT6" i="12"/>
  <c r="AW6" i="12"/>
  <c r="BC6" i="12"/>
  <c r="AY6" i="12"/>
  <c r="AO6" i="12"/>
  <c r="AK6" i="12"/>
  <c r="AC6" i="12"/>
  <c r="AP6" i="12"/>
  <c r="AH6" i="12"/>
  <c r="AI6" i="12"/>
  <c r="BA6" i="12"/>
  <c r="AD6" i="12"/>
  <c r="AZ6" i="12"/>
  <c r="AV6" i="12"/>
  <c r="AN6" i="12"/>
  <c r="BE6" i="12"/>
  <c r="BD6" i="12"/>
  <c r="AX6" i="12"/>
  <c r="AF6" i="12"/>
  <c r="AJ6" i="12"/>
  <c r="AQ6" i="12"/>
  <c r="S6" i="12"/>
  <c r="M6" i="12"/>
  <c r="Q6" i="12" s="1"/>
  <c r="L6" i="12"/>
  <c r="O6" i="12"/>
  <c r="R6" i="12"/>
  <c r="P6" i="12"/>
  <c r="AW5" i="12"/>
  <c r="BE5" i="12"/>
  <c r="AU5" i="12"/>
  <c r="AP5" i="12"/>
  <c r="AL5" i="12"/>
  <c r="AC5" i="12"/>
  <c r="AK5" i="12"/>
  <c r="BB5" i="12"/>
  <c r="AV5" i="12"/>
  <c r="AH5" i="12"/>
  <c r="AD5" i="12"/>
  <c r="AF5" i="12"/>
  <c r="AS5" i="12"/>
  <c r="AO5" i="12"/>
  <c r="BC5" i="12"/>
  <c r="AZ5" i="12"/>
  <c r="AM5" i="12"/>
  <c r="AG5" i="12"/>
  <c r="AI5" i="12"/>
  <c r="AR5" i="12"/>
  <c r="BF5" i="12"/>
  <c r="BD5" i="12"/>
  <c r="AY5" i="12"/>
  <c r="AJ5" i="12"/>
  <c r="BA5" i="12"/>
  <c r="AX5" i="12"/>
  <c r="AT5" i="12"/>
  <c r="AQ5" i="12"/>
  <c r="AE5" i="12"/>
  <c r="AN5" i="12"/>
  <c r="M5" i="12"/>
  <c r="Q5" i="12" s="1"/>
  <c r="L5" i="12"/>
  <c r="S5" i="12"/>
  <c r="O5" i="12"/>
  <c r="P5" i="12"/>
  <c r="R5" i="12"/>
  <c r="AV4" i="12"/>
  <c r="BA4" i="12"/>
  <c r="BD4" i="12"/>
  <c r="BB4" i="12"/>
  <c r="BC4" i="12"/>
  <c r="AZ4" i="12"/>
  <c r="AI4" i="12"/>
  <c r="AE4" i="12"/>
  <c r="AK4" i="12"/>
  <c r="AO4" i="12"/>
  <c r="BE4" i="12"/>
  <c r="AY4" i="12"/>
  <c r="AU4" i="12"/>
  <c r="AP4" i="12"/>
  <c r="AJ4" i="12"/>
  <c r="AD4" i="12"/>
  <c r="AW4" i="12"/>
  <c r="AF4" i="12"/>
  <c r="AC4" i="12"/>
  <c r="AH4" i="12"/>
  <c r="AM4" i="12"/>
  <c r="AT4" i="12"/>
  <c r="AN4" i="12"/>
  <c r="AX4" i="12"/>
  <c r="AR4" i="12"/>
  <c r="AS4" i="12"/>
  <c r="AL4" i="12"/>
  <c r="AQ4" i="12"/>
  <c r="BF4" i="12"/>
  <c r="AG4" i="12"/>
  <c r="M4" i="12"/>
  <c r="Q4" i="12" s="1"/>
  <c r="L4" i="12"/>
  <c r="S4" i="12"/>
  <c r="O4" i="12"/>
  <c r="R4" i="12"/>
  <c r="P4" i="12"/>
  <c r="BD3" i="12"/>
  <c r="AJ3" i="12"/>
  <c r="AE3" i="12"/>
  <c r="AD3" i="12"/>
  <c r="AM3" i="12"/>
  <c r="AR3" i="12"/>
  <c r="BE3" i="12"/>
  <c r="AC3" i="12"/>
  <c r="AH3" i="12"/>
  <c r="AG3" i="12"/>
  <c r="AQ3" i="12"/>
  <c r="AF3" i="12"/>
  <c r="AN3" i="12"/>
  <c r="AW3" i="12"/>
  <c r="AP3" i="12"/>
  <c r="AL3" i="12"/>
  <c r="AS3" i="12"/>
  <c r="AV3" i="12"/>
  <c r="AY3" i="12"/>
  <c r="BB3" i="12"/>
  <c r="AK3" i="12"/>
  <c r="BA3" i="12"/>
  <c r="AI3" i="12"/>
  <c r="AT3" i="12"/>
  <c r="BF3" i="12"/>
  <c r="BC3" i="12"/>
  <c r="AZ3" i="12"/>
  <c r="AX3" i="12"/>
  <c r="AU3" i="12"/>
  <c r="AO3" i="12"/>
  <c r="S3" i="12"/>
  <c r="L3" i="12"/>
  <c r="M3" i="12"/>
  <c r="Q3" i="12" s="1"/>
  <c r="P3" i="12"/>
  <c r="O3" i="12"/>
  <c r="R3" i="12"/>
  <c r="AZ2" i="12"/>
  <c r="AR2" i="12"/>
  <c r="AH2" i="12"/>
  <c r="AL2" i="12"/>
  <c r="AO2" i="12"/>
  <c r="AT2" i="12"/>
  <c r="AV2" i="12"/>
  <c r="AQ2" i="12"/>
  <c r="BF2" i="12"/>
  <c r="BB2" i="12"/>
  <c r="AD2" i="12"/>
  <c r="AW2" i="12"/>
  <c r="AN2" i="12"/>
  <c r="AE2" i="12"/>
  <c r="BD2" i="12"/>
  <c r="AY2" i="12"/>
  <c r="AS2" i="12"/>
  <c r="AI2" i="12"/>
  <c r="AC2" i="12"/>
  <c r="AU2" i="12"/>
  <c r="AK2" i="12"/>
  <c r="AJ2" i="12"/>
  <c r="AX2" i="12"/>
  <c r="BC2" i="12"/>
  <c r="BE2" i="12"/>
  <c r="BA2" i="12"/>
  <c r="AM2" i="12"/>
  <c r="AF2" i="12"/>
  <c r="AP2" i="12"/>
  <c r="AG2" i="12"/>
  <c r="U30" i="12"/>
  <c r="E8" i="11" s="1"/>
  <c r="U27" i="12"/>
  <c r="E5" i="11" s="1"/>
  <c r="U20" i="12"/>
  <c r="E9" i="9" s="1"/>
  <c r="N2" i="12"/>
  <c r="S2" i="12"/>
  <c r="L2" i="12"/>
  <c r="U18" i="12" s="1"/>
  <c r="E7" i="9" s="1"/>
  <c r="M2" i="12"/>
  <c r="Q2" i="12" s="1"/>
  <c r="O2" i="12"/>
  <c r="U21" i="12" s="1"/>
  <c r="E10" i="9" s="1"/>
  <c r="R2" i="12"/>
  <c r="P2" i="12"/>
  <c r="U16" i="12"/>
  <c r="E5" i="9" s="1"/>
  <c r="U25" i="12"/>
  <c r="E8" i="10" s="1"/>
  <c r="U28" i="12"/>
  <c r="E6" i="11" s="1"/>
  <c r="U6" i="12"/>
  <c r="E9" i="7" s="1"/>
  <c r="U2" i="12"/>
  <c r="E5" i="7" s="1"/>
  <c r="U8" i="12"/>
  <c r="E11" i="7" s="1"/>
  <c r="U4" i="12"/>
  <c r="E7" i="7" s="1"/>
  <c r="U3" i="12"/>
  <c r="E6" i="7" s="1"/>
  <c r="U7" i="12"/>
  <c r="E10" i="7" s="1"/>
  <c r="U26" i="12"/>
  <c r="E9" i="10" s="1"/>
  <c r="U19" i="12"/>
  <c r="E8" i="9" s="1"/>
  <c r="BJ31" i="12" l="1"/>
  <c r="BJ32" i="12"/>
  <c r="BJ33" i="12"/>
  <c r="BJ34" i="12"/>
  <c r="BJ35" i="12"/>
  <c r="BJ36" i="12"/>
  <c r="BJ37" i="12"/>
  <c r="BJ38" i="12"/>
  <c r="BJ39" i="12"/>
  <c r="BJ40" i="12"/>
  <c r="BJ4" i="12"/>
  <c r="BJ8" i="12"/>
  <c r="BJ24" i="12"/>
  <c r="BJ30" i="12"/>
  <c r="BJ56" i="12"/>
  <c r="BJ17" i="12"/>
  <c r="BJ18" i="12"/>
  <c r="BJ19" i="12"/>
  <c r="BJ20" i="12"/>
  <c r="BJ21" i="12"/>
  <c r="BJ22" i="12"/>
  <c r="BJ25" i="12"/>
  <c r="BJ29" i="12"/>
  <c r="BJ43" i="12"/>
  <c r="BJ53" i="12"/>
  <c r="BJ55" i="12"/>
  <c r="BJ9" i="12"/>
  <c r="BJ26" i="12"/>
  <c r="BJ44" i="12"/>
  <c r="BJ59" i="12"/>
  <c r="BJ50" i="12"/>
  <c r="BJ60" i="12"/>
  <c r="BJ6" i="12"/>
  <c r="BJ41" i="12"/>
  <c r="BJ46" i="12"/>
  <c r="BJ58" i="12"/>
  <c r="BJ15" i="12"/>
  <c r="BJ47" i="12"/>
  <c r="BJ57" i="12"/>
  <c r="BJ27" i="12"/>
  <c r="BJ45" i="12"/>
  <c r="BJ49" i="12"/>
  <c r="BJ2" i="12"/>
  <c r="BJ51" i="12"/>
  <c r="BJ10" i="12"/>
  <c r="BJ48" i="12"/>
  <c r="BJ3" i="12"/>
  <c r="BJ54" i="12"/>
  <c r="BJ5" i="12"/>
  <c r="BJ11" i="12"/>
  <c r="BJ42" i="12"/>
  <c r="BJ13" i="12"/>
  <c r="BJ23" i="12"/>
  <c r="BJ28" i="12"/>
  <c r="BJ52" i="12"/>
  <c r="BJ12" i="12"/>
  <c r="BJ7" i="12"/>
  <c r="BJ14" i="12"/>
  <c r="U22" i="12"/>
  <c r="E5" i="10" s="1"/>
  <c r="BJ16" i="12"/>
  <c r="U24" i="12"/>
  <c r="E7" i="10" s="1"/>
  <c r="U23" i="12"/>
  <c r="E6" i="10" s="1"/>
</calcChain>
</file>

<file path=xl/sharedStrings.xml><?xml version="1.0" encoding="utf-8"?>
<sst xmlns="http://schemas.openxmlformats.org/spreadsheetml/2006/main" count="13860" uniqueCount="3007">
  <si>
    <t>Marks</t>
  </si>
  <si>
    <t>order_id</t>
  </si>
  <si>
    <t>order_date</t>
  </si>
  <si>
    <t>customer_id</t>
  </si>
  <si>
    <t>product_id</t>
  </si>
  <si>
    <t>sales_rep_id</t>
  </si>
  <si>
    <t>quantity</t>
  </si>
  <si>
    <t>unit_price</t>
  </si>
  <si>
    <t>discount_pct</t>
  </si>
  <si>
    <t>final_amount</t>
  </si>
  <si>
    <t>payment_status</t>
  </si>
  <si>
    <t>ship_city</t>
  </si>
  <si>
    <t>ORD-00001</t>
  </si>
  <si>
    <t>CUST-0243</t>
  </si>
  <si>
    <t>PROD-014</t>
  </si>
  <si>
    <t>R007</t>
  </si>
  <si>
    <t>Completed</t>
  </si>
  <si>
    <t>Pune</t>
  </si>
  <si>
    <t>ORD-00002</t>
  </si>
  <si>
    <t>CUST-0202</t>
  </si>
  <si>
    <t>PROD-020</t>
  </si>
  <si>
    <t>R005</t>
  </si>
  <si>
    <t>Pending</t>
  </si>
  <si>
    <t>Chennai</t>
  </si>
  <si>
    <t>ORD-00003</t>
  </si>
  <si>
    <t>CUST-0098</t>
  </si>
  <si>
    <t>PROD-053</t>
  </si>
  <si>
    <t>R014</t>
  </si>
  <si>
    <t>Delhi</t>
  </si>
  <si>
    <t>ORD-00004</t>
  </si>
  <si>
    <t>CUST-0071</t>
  </si>
  <si>
    <t>PROD-028</t>
  </si>
  <si>
    <t>R006</t>
  </si>
  <si>
    <t>ORD-00005</t>
  </si>
  <si>
    <t>CUST-0180</t>
  </si>
  <si>
    <t>PROD-012</t>
  </si>
  <si>
    <t>R008</t>
  </si>
  <si>
    <t>ORD-00006</t>
  </si>
  <si>
    <t>CUST-0275</t>
  </si>
  <si>
    <t>PROD-032</t>
  </si>
  <si>
    <t>R025</t>
  </si>
  <si>
    <t>Mumbai</t>
  </si>
  <si>
    <t>ORD-00007</t>
  </si>
  <si>
    <t>CUST-0293</t>
  </si>
  <si>
    <t>PROD-057</t>
  </si>
  <si>
    <t>R024</t>
  </si>
  <si>
    <t>Bengaluru</t>
  </si>
  <si>
    <t>ORD-00008</t>
  </si>
  <si>
    <t>CUST-0281</t>
  </si>
  <si>
    <t>PROD-007</t>
  </si>
  <si>
    <t>R019</t>
  </si>
  <si>
    <t>ORD-00009</t>
  </si>
  <si>
    <t>CUST-0260</t>
  </si>
  <si>
    <t>PROD-038</t>
  </si>
  <si>
    <t>ORD-00010</t>
  </si>
  <si>
    <t>CUST-0147</t>
  </si>
  <si>
    <t>PROD-030</t>
  </si>
  <si>
    <t>R028</t>
  </si>
  <si>
    <t>ORD-00011</t>
  </si>
  <si>
    <t>CUST-0204</t>
  </si>
  <si>
    <t>PROD-024</t>
  </si>
  <si>
    <t>R010</t>
  </si>
  <si>
    <t>Hyderabad</t>
  </si>
  <si>
    <t>ORD-00012</t>
  </si>
  <si>
    <t>PROD-010</t>
  </si>
  <si>
    <t>ORD-00013</t>
  </si>
  <si>
    <t>CUST-0280</t>
  </si>
  <si>
    <t>PROD-002</t>
  </si>
  <si>
    <t>R004</t>
  </si>
  <si>
    <t>Cancelled</t>
  </si>
  <si>
    <t>ORD-00014</t>
  </si>
  <si>
    <t>CUST-0008</t>
  </si>
  <si>
    <t>PROD-036</t>
  </si>
  <si>
    <t>Refunded</t>
  </si>
  <si>
    <t>ORD-00015</t>
  </si>
  <si>
    <t>CUST-0052</t>
  </si>
  <si>
    <t>PROD-060</t>
  </si>
  <si>
    <t>R003</t>
  </si>
  <si>
    <t>ORD-00016</t>
  </si>
  <si>
    <t>CUST-0184</t>
  </si>
  <si>
    <t>PROD-058</t>
  </si>
  <si>
    <t>ORD-00017</t>
  </si>
  <si>
    <t>CUST-0056</t>
  </si>
  <si>
    <t>R023</t>
  </si>
  <si>
    <t>ORD-00018</t>
  </si>
  <si>
    <t>CUST-0273</t>
  </si>
  <si>
    <t>PROD-047</t>
  </si>
  <si>
    <t>R021</t>
  </si>
  <si>
    <t>ORD-00019</t>
  </si>
  <si>
    <t>CUST-0182</t>
  </si>
  <si>
    <t>PROD-051</t>
  </si>
  <si>
    <t>ORD-00020</t>
  </si>
  <si>
    <t>CUST-0265</t>
  </si>
  <si>
    <t>PROD-040</t>
  </si>
  <si>
    <t>ORD-00021</t>
  </si>
  <si>
    <t>CUST-0159</t>
  </si>
  <si>
    <t>PROD-019</t>
  </si>
  <si>
    <t>ORD-00022</t>
  </si>
  <si>
    <t>CUST-0259</t>
  </si>
  <si>
    <t>R030</t>
  </si>
  <si>
    <t>ORD-00023</t>
  </si>
  <si>
    <t>CUST-0107</t>
  </si>
  <si>
    <t>PROD-015</t>
  </si>
  <si>
    <t>ORD-00024</t>
  </si>
  <si>
    <t>CUST-0101</t>
  </si>
  <si>
    <t>PROD-044</t>
  </si>
  <si>
    <t>ORD-00025</t>
  </si>
  <si>
    <t>CUST-0142</t>
  </si>
  <si>
    <t>PROD-043</t>
  </si>
  <si>
    <t>ORD-00026</t>
  </si>
  <si>
    <t>CUST-0250</t>
  </si>
  <si>
    <t>PROD-054</t>
  </si>
  <si>
    <t>ORD-00027</t>
  </si>
  <si>
    <t>PROD-046</t>
  </si>
  <si>
    <t>ORD-00028</t>
  </si>
  <si>
    <t>CUST-0143</t>
  </si>
  <si>
    <t>PROD-003</t>
  </si>
  <si>
    <t>R015</t>
  </si>
  <si>
    <t>ORD-00029</t>
  </si>
  <si>
    <t>CUST-0086</t>
  </si>
  <si>
    <t>PROD-048</t>
  </si>
  <si>
    <t>R020</t>
  </si>
  <si>
    <t>ORD-00030</t>
  </si>
  <si>
    <t>CUST-0006</t>
  </si>
  <si>
    <t>PROD-055</t>
  </si>
  <si>
    <t>ORD-00031</t>
  </si>
  <si>
    <t>CUST-0241</t>
  </si>
  <si>
    <t>ORD-00032</t>
  </si>
  <si>
    <t>CUST-0035</t>
  </si>
  <si>
    <t>PROD-021</t>
  </si>
  <si>
    <t>R026</t>
  </si>
  <si>
    <t>ORD-00033</t>
  </si>
  <si>
    <t>PROD-037</t>
  </si>
  <si>
    <t>R009</t>
  </si>
  <si>
    <t>ORD-00034</t>
  </si>
  <si>
    <t>CUST-0064</t>
  </si>
  <si>
    <t>ORD-00035</t>
  </si>
  <si>
    <t>CUST-0118</t>
  </si>
  <si>
    <t>ORD-00036</t>
  </si>
  <si>
    <t>CUST-0013</t>
  </si>
  <si>
    <t>ORD-00037</t>
  </si>
  <si>
    <t>CUST-0177</t>
  </si>
  <si>
    <t>ORD-00038</t>
  </si>
  <si>
    <t>CUST-0186</t>
  </si>
  <si>
    <t>R001</t>
  </si>
  <si>
    <t>ORD-00039</t>
  </si>
  <si>
    <t>CUST-0069</t>
  </si>
  <si>
    <t>ORD-00040</t>
  </si>
  <si>
    <t>CUST-0283</t>
  </si>
  <si>
    <t>ORD-00041</t>
  </si>
  <si>
    <t>CUST-9507</t>
  </si>
  <si>
    <t>ORD-00042</t>
  </si>
  <si>
    <t>CUST-0053</t>
  </si>
  <si>
    <t>ORD-00043</t>
  </si>
  <si>
    <t>CUST-0222</t>
  </si>
  <si>
    <t>PROD-031</t>
  </si>
  <si>
    <t>ORD-00044</t>
  </si>
  <si>
    <t>CUST-0095</t>
  </si>
  <si>
    <t>R029</t>
  </si>
  <si>
    <t>ORD-00045</t>
  </si>
  <si>
    <t>CUST-0152</t>
  </si>
  <si>
    <t>ORD-00046</t>
  </si>
  <si>
    <t>CUST-0291</t>
  </si>
  <si>
    <t>PROD-027</t>
  </si>
  <si>
    <t>ORD-00047</t>
  </si>
  <si>
    <t>CUST-0112</t>
  </si>
  <si>
    <t>PROD-013</t>
  </si>
  <si>
    <t>R017</t>
  </si>
  <si>
    <t>ORD-00048</t>
  </si>
  <si>
    <t>CUST-9800</t>
  </si>
  <si>
    <t>PROD-050</t>
  </si>
  <si>
    <t>ORD-00049</t>
  </si>
  <si>
    <t>ORD-00050</t>
  </si>
  <si>
    <t>CUST-0226</t>
  </si>
  <si>
    <t>PROD-022</t>
  </si>
  <si>
    <t>ORD-00051</t>
  </si>
  <si>
    <t>CUST-0234</t>
  </si>
  <si>
    <t>PROD-004</t>
  </si>
  <si>
    <t>ORD-00052</t>
  </si>
  <si>
    <t>CUST-0176</t>
  </si>
  <si>
    <t>ORD-00053</t>
  </si>
  <si>
    <t>R013</t>
  </si>
  <si>
    <t>ORD-00054</t>
  </si>
  <si>
    <t>CUST-0088</t>
  </si>
  <si>
    <t>ORD-00055</t>
  </si>
  <si>
    <t>CUST-0267</t>
  </si>
  <si>
    <t>ORD-00056</t>
  </si>
  <si>
    <t>CUST-0194</t>
  </si>
  <si>
    <t>PROD-041</t>
  </si>
  <si>
    <t>ORD-00057</t>
  </si>
  <si>
    <t>CUST-0261</t>
  </si>
  <si>
    <t>ORD-00058</t>
  </si>
  <si>
    <t>CUST-0031</t>
  </si>
  <si>
    <t>PROD-026</t>
  </si>
  <si>
    <t>ORD-00059</t>
  </si>
  <si>
    <t>CUST-0175</t>
  </si>
  <si>
    <t>PROD-009</t>
  </si>
  <si>
    <t>ORD-00060</t>
  </si>
  <si>
    <t>CUST-0263</t>
  </si>
  <si>
    <t>PROD-039</t>
  </si>
  <si>
    <t>ORD-00061</t>
  </si>
  <si>
    <t>CUST-0203</t>
  </si>
  <si>
    <t>R011</t>
  </si>
  <si>
    <t>ORD-00062</t>
  </si>
  <si>
    <t>CUST-0258</t>
  </si>
  <si>
    <t>PROD-045</t>
  </si>
  <si>
    <t>ORD-00063</t>
  </si>
  <si>
    <t>CUST-0282</t>
  </si>
  <si>
    <t>PROD-008</t>
  </si>
  <si>
    <t>ORD-00064</t>
  </si>
  <si>
    <t>CUST-0168</t>
  </si>
  <si>
    <t>PROD-005</t>
  </si>
  <si>
    <t>ORD-00065</t>
  </si>
  <si>
    <t>CUST-0040</t>
  </si>
  <si>
    <t>R022</t>
  </si>
  <si>
    <t>ORD-00066</t>
  </si>
  <si>
    <t>ORD-00067</t>
  </si>
  <si>
    <t>ORD-00068</t>
  </si>
  <si>
    <t>CUST-0161</t>
  </si>
  <si>
    <t>ORD-00069</t>
  </si>
  <si>
    <t>CUST-0033</t>
  </si>
  <si>
    <t>PROD-016</t>
  </si>
  <si>
    <t>ORD-00070</t>
  </si>
  <si>
    <t>CUST-0191</t>
  </si>
  <si>
    <t>PROD-033</t>
  </si>
  <si>
    <t>ORD-00071</t>
  </si>
  <si>
    <t>R002</t>
  </si>
  <si>
    <t>ORD-00072</t>
  </si>
  <si>
    <t>CUST-0129</t>
  </si>
  <si>
    <t>ORD-00073</t>
  </si>
  <si>
    <t>CUST-0189</t>
  </si>
  <si>
    <t>ORD-00074</t>
  </si>
  <si>
    <t>R018</t>
  </si>
  <si>
    <t>ORD-00075</t>
  </si>
  <si>
    <t>CUST-0200</t>
  </si>
  <si>
    <t>ORD-00076</t>
  </si>
  <si>
    <t>ORD-00077</t>
  </si>
  <si>
    <t>CUST-0051</t>
  </si>
  <si>
    <t>ORD-00078</t>
  </si>
  <si>
    <t>CUST-0193</t>
  </si>
  <si>
    <t>ORD-00079</t>
  </si>
  <si>
    <t>CUST-0020</t>
  </si>
  <si>
    <t>ORD-00080</t>
  </si>
  <si>
    <t>CUST-0230</t>
  </si>
  <si>
    <t>ORD-00081</t>
  </si>
  <si>
    <t>CUST-0094</t>
  </si>
  <si>
    <t>ORD-00082</t>
  </si>
  <si>
    <t>CUST-0248</t>
  </si>
  <si>
    <t>ORD-00083</t>
  </si>
  <si>
    <t>CUST-0082</t>
  </si>
  <si>
    <t>ORD-00084</t>
  </si>
  <si>
    <t>CUST-0078</t>
  </si>
  <si>
    <t>ORD-00085</t>
  </si>
  <si>
    <t>CUST-0032</t>
  </si>
  <si>
    <t>R012</t>
  </si>
  <si>
    <t>ORD-00086</t>
  </si>
  <si>
    <t>ORD-00087</t>
  </si>
  <si>
    <t>CUST-0084</t>
  </si>
  <si>
    <t>ORD-00088</t>
  </si>
  <si>
    <t>ORD-00089</t>
  </si>
  <si>
    <t>CUST-0108</t>
  </si>
  <si>
    <t>ORD-00090</t>
  </si>
  <si>
    <t>CUST-0139</t>
  </si>
  <si>
    <t>ORD-00091</t>
  </si>
  <si>
    <t>ORD-00092</t>
  </si>
  <si>
    <t>CUST-0208</t>
  </si>
  <si>
    <t>ORD-00093</t>
  </si>
  <si>
    <t>PROD-029</t>
  </si>
  <si>
    <t>ORD-00094</t>
  </si>
  <si>
    <t>CUST-0042</t>
  </si>
  <si>
    <t>ORD-00095</t>
  </si>
  <si>
    <t>CUST-0133</t>
  </si>
  <si>
    <t>R027</t>
  </si>
  <si>
    <t>ORD-00096</t>
  </si>
  <si>
    <t>CUST-0219</t>
  </si>
  <si>
    <t>R016</t>
  </si>
  <si>
    <t>ORD-00097</t>
  </si>
  <si>
    <t>ORD-00098</t>
  </si>
  <si>
    <t>ORD-00099</t>
  </si>
  <si>
    <t>CUST-0170</t>
  </si>
  <si>
    <t>PROD-025</t>
  </si>
  <si>
    <t>ORD-00100</t>
  </si>
  <si>
    <t>CUST-0164</t>
  </si>
  <si>
    <t>ORD-00101</t>
  </si>
  <si>
    <t>PROD-017</t>
  </si>
  <si>
    <t>ORD-00102</t>
  </si>
  <si>
    <t>CUST-0181</t>
  </si>
  <si>
    <t>ORD-00103</t>
  </si>
  <si>
    <t>CUST-0131</t>
  </si>
  <si>
    <t>PROD-052</t>
  </si>
  <si>
    <t>ORD-00104</t>
  </si>
  <si>
    <t>CUST-0255</t>
  </si>
  <si>
    <t>ORD-00105</t>
  </si>
  <si>
    <t>PROD-001</t>
  </si>
  <si>
    <t>ORD-00106</t>
  </si>
  <si>
    <t>CUST-0081</t>
  </si>
  <si>
    <t>PROD-023</t>
  </si>
  <si>
    <t>ORD-00107</t>
  </si>
  <si>
    <t>CUST-0102</t>
  </si>
  <si>
    <t>ORD-00108</t>
  </si>
  <si>
    <t>CUST-0070</t>
  </si>
  <si>
    <t>ORD-00109</t>
  </si>
  <si>
    <t>CUST-0012</t>
  </si>
  <si>
    <t>ORD-00110</t>
  </si>
  <si>
    <t>ORD-00111</t>
  </si>
  <si>
    <t>CUST-0145</t>
  </si>
  <si>
    <t>ORD-00112</t>
  </si>
  <si>
    <t>CUST-0287</t>
  </si>
  <si>
    <t>ORD-00113</t>
  </si>
  <si>
    <t>PROD-049</t>
  </si>
  <si>
    <t>ORD-00114</t>
  </si>
  <si>
    <t>CUST-0096</t>
  </si>
  <si>
    <t>ORD-00115</t>
  </si>
  <si>
    <t>ORD-00116</t>
  </si>
  <si>
    <t>CUST-0025</t>
  </si>
  <si>
    <t>PROD-042</t>
  </si>
  <si>
    <t>ORD-00117</t>
  </si>
  <si>
    <t>CUST-0149</t>
  </si>
  <si>
    <t>ORD-00118</t>
  </si>
  <si>
    <t>CUST-0018</t>
  </si>
  <si>
    <t>ORD-00119</t>
  </si>
  <si>
    <t>CUST-0216</t>
  </si>
  <si>
    <t>ORD-00120</t>
  </si>
  <si>
    <t>CUST-0092</t>
  </si>
  <si>
    <t>ORD-00121</t>
  </si>
  <si>
    <t>ORD-00122</t>
  </si>
  <si>
    <t>CUST-0113</t>
  </si>
  <si>
    <t>ORD-00123</t>
  </si>
  <si>
    <t>CUST-0253</t>
  </si>
  <si>
    <t>ORD-00124</t>
  </si>
  <si>
    <t>CUST-0187</t>
  </si>
  <si>
    <t>ORD-00125</t>
  </si>
  <si>
    <t>CUST-0028</t>
  </si>
  <si>
    <t>ORD-00126</t>
  </si>
  <si>
    <t>CUST-0224</t>
  </si>
  <si>
    <t>ORD-00127</t>
  </si>
  <si>
    <t>CUST-0150</t>
  </si>
  <si>
    <t>PROD-006</t>
  </si>
  <si>
    <t>ORD-00128</t>
  </si>
  <si>
    <t>ORD-00129</t>
  </si>
  <si>
    <t>CUST-0239</t>
  </si>
  <si>
    <t>ORD-00130</t>
  </si>
  <si>
    <t>CUST-0106</t>
  </si>
  <si>
    <t>ORD-00131</t>
  </si>
  <si>
    <t>ORD-00132</t>
  </si>
  <si>
    <t>CUST-0114</t>
  </si>
  <si>
    <t>ORD-00133</t>
  </si>
  <si>
    <t>CUST-0146</t>
  </si>
  <si>
    <t>ORD-00134</t>
  </si>
  <si>
    <t>CUST-0298</t>
  </si>
  <si>
    <t>ORD-00135</t>
  </si>
  <si>
    <t>CUST-0111</t>
  </si>
  <si>
    <t>ORD-01445</t>
  </si>
  <si>
    <t>ORD-00137</t>
  </si>
  <si>
    <t>CUST-0024</t>
  </si>
  <si>
    <t>ORD-00138</t>
  </si>
  <si>
    <t>CUST-0210</t>
  </si>
  <si>
    <t>ORD-00139</t>
  </si>
  <si>
    <t>CUST-0192</t>
  </si>
  <si>
    <t>ORD-00140</t>
  </si>
  <si>
    <t>ORD-00141</t>
  </si>
  <si>
    <t>ORD-00142</t>
  </si>
  <si>
    <t>ORD-00143</t>
  </si>
  <si>
    <t>CUST-0294</t>
  </si>
  <si>
    <t>ORD-00144</t>
  </si>
  <si>
    <t>ORD-00145</t>
  </si>
  <si>
    <t>ORD-00146</t>
  </si>
  <si>
    <t>CUST-9657</t>
  </si>
  <si>
    <t>ORD-00147</t>
  </si>
  <si>
    <t>CUST-0080</t>
  </si>
  <si>
    <t>ORD-00148</t>
  </si>
  <si>
    <t>CUST-0172</t>
  </si>
  <si>
    <t>PROD-034</t>
  </si>
  <si>
    <t>ORD-00149</t>
  </si>
  <si>
    <t>ORD-00150</t>
  </si>
  <si>
    <t>ORD-00151</t>
  </si>
  <si>
    <t>CUST-0137</t>
  </si>
  <si>
    <t>MUMBAI</t>
  </si>
  <si>
    <t>ORD-00152</t>
  </si>
  <si>
    <t>ORD-00153</t>
  </si>
  <si>
    <t>CUST-0117</t>
  </si>
  <si>
    <t>PROD-011</t>
  </si>
  <si>
    <t>ORD-00154</t>
  </si>
  <si>
    <t>CUST-0104</t>
  </si>
  <si>
    <t>ORD-00155</t>
  </si>
  <si>
    <t>ORD-00156</t>
  </si>
  <si>
    <t>CUST-0165</t>
  </si>
  <si>
    <t>ORD-00157</t>
  </si>
  <si>
    <t>ORD-00158</t>
  </si>
  <si>
    <t>CUST-0228</t>
  </si>
  <si>
    <t>PROD-059</t>
  </si>
  <si>
    <t>ORD-00159</t>
  </si>
  <si>
    <t>CUST-0197</t>
  </si>
  <si>
    <t>ORD-00160</t>
  </si>
  <si>
    <t>CUST-0009</t>
  </si>
  <si>
    <t>ORD-00161</t>
  </si>
  <si>
    <t>ORD-00162</t>
  </si>
  <si>
    <t>ORD-00163</t>
  </si>
  <si>
    <t>CUST-0119</t>
  </si>
  <si>
    <t>ORD-00164</t>
  </si>
  <si>
    <t>ORD-00165</t>
  </si>
  <si>
    <t>CUST-0240</t>
  </si>
  <si>
    <t>ORD-00166</t>
  </si>
  <si>
    <t>CUST-0067</t>
  </si>
  <si>
    <t>ORD-00167</t>
  </si>
  <si>
    <t>ORD-00168</t>
  </si>
  <si>
    <t>ORD-00169</t>
  </si>
  <si>
    <t>ORD-00170</t>
  </si>
  <si>
    <t>CUST-0087</t>
  </si>
  <si>
    <t>ORD-00171</t>
  </si>
  <si>
    <t>ORD-00172</t>
  </si>
  <si>
    <t>CUST-0027</t>
  </si>
  <si>
    <t>ORD-00173</t>
  </si>
  <si>
    <t>ORD-00174</t>
  </si>
  <si>
    <t>CUST-0163</t>
  </si>
  <si>
    <t>ORD-00175</t>
  </si>
  <si>
    <t>CUST-0059</t>
  </si>
  <si>
    <t>ORD-00176</t>
  </si>
  <si>
    <t>ORD-00177</t>
  </si>
  <si>
    <t>CUST-0048</t>
  </si>
  <si>
    <t>ORD-00178</t>
  </si>
  <si>
    <t>ORD-00179</t>
  </si>
  <si>
    <t>CUST-0124</t>
  </si>
  <si>
    <t>ORD-00180</t>
  </si>
  <si>
    <t>ORD-00181</t>
  </si>
  <si>
    <t>ORD-00182</t>
  </si>
  <si>
    <t>ORD-00183</t>
  </si>
  <si>
    <t>ORD-00184</t>
  </si>
  <si>
    <t>ORD-00185</t>
  </si>
  <si>
    <t>ORD-00186</t>
  </si>
  <si>
    <t>CUST-0284</t>
  </si>
  <si>
    <t>PROD-035</t>
  </si>
  <si>
    <t>ORD-00187</t>
  </si>
  <si>
    <t>CUST-0274</t>
  </si>
  <si>
    <t>ORD-00188</t>
  </si>
  <si>
    <t>ORD-00189</t>
  </si>
  <si>
    <t>CUST-0264</t>
  </si>
  <si>
    <t>ORD-00190</t>
  </si>
  <si>
    <t>ORD-00191</t>
  </si>
  <si>
    <t>CUST-0041</t>
  </si>
  <si>
    <t>ORD-00192</t>
  </si>
  <si>
    <t>CUST-0043</t>
  </si>
  <si>
    <t>ORD-00193</t>
  </si>
  <si>
    <t>ORD-00194</t>
  </si>
  <si>
    <t>PROD-056</t>
  </si>
  <si>
    <t>ORD-00195</t>
  </si>
  <si>
    <t>ORD-00196</t>
  </si>
  <si>
    <t>CUST-0047</t>
  </si>
  <si>
    <t>ORD-00197</t>
  </si>
  <si>
    <t>CUST-0162</t>
  </si>
  <si>
    <t>ORD-00198</t>
  </si>
  <si>
    <t>CUST-0121</t>
  </si>
  <si>
    <t>ORD-00199</t>
  </si>
  <si>
    <t>CUST-0075</t>
  </si>
  <si>
    <t>ORD-00200</t>
  </si>
  <si>
    <t>ORD-00201</t>
  </si>
  <si>
    <t>ORD-00202</t>
  </si>
  <si>
    <t>CUST-0251</t>
  </si>
  <si>
    <t>ORD-00203</t>
  </si>
  <si>
    <t>CUST-0125</t>
  </si>
  <si>
    <t>ORD-00204</t>
  </si>
  <si>
    <t>ORD-00205</t>
  </si>
  <si>
    <t>CUST-0068</t>
  </si>
  <si>
    <t>ORD-00206</t>
  </si>
  <si>
    <t>ORD-00207</t>
  </si>
  <si>
    <t>ORD-00208</t>
  </si>
  <si>
    <t>CUST-0077</t>
  </si>
  <si>
    <t>ORD-00209</t>
  </si>
  <si>
    <t>CUST-0232</t>
  </si>
  <si>
    <t>ORD-00210</t>
  </si>
  <si>
    <t>CUST-0277</t>
  </si>
  <si>
    <t>ORD-00211</t>
  </si>
  <si>
    <t>ORD-00212</t>
  </si>
  <si>
    <t>CUST-0178</t>
  </si>
  <si>
    <t>ORD-00213</t>
  </si>
  <si>
    <t>CUST-0246</t>
  </si>
  <si>
    <t>ORD-00214</t>
  </si>
  <si>
    <t>ORD-00215</t>
  </si>
  <si>
    <t>ORD-00216</t>
  </si>
  <si>
    <t>ORD-00217</t>
  </si>
  <si>
    <t>CUST-0079</t>
  </si>
  <si>
    <t>ORD-00218</t>
  </si>
  <si>
    <t>CUST-0173</t>
  </si>
  <si>
    <t>ORD-00219</t>
  </si>
  <si>
    <t>CUST-0050</t>
  </si>
  <si>
    <t>ORD-00220</t>
  </si>
  <si>
    <t>CUST-0097</t>
  </si>
  <si>
    <t>ORD-00221</t>
  </si>
  <si>
    <t>CUST-0026</t>
  </si>
  <si>
    <t>ORD-00222</t>
  </si>
  <si>
    <t>CUST-0185</t>
  </si>
  <si>
    <t>ORD-00223</t>
  </si>
  <si>
    <t>CUST-0135</t>
  </si>
  <si>
    <t>ORD-00224</t>
  </si>
  <si>
    <t>CUST-0010</t>
  </si>
  <si>
    <t>ORD-00225</t>
  </si>
  <si>
    <t>CUST-0271</t>
  </si>
  <si>
    <t>ORD-00226</t>
  </si>
  <si>
    <t>ORD-00227</t>
  </si>
  <si>
    <t>CUST-0296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</si>
  <si>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</si>
  <si>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</si>
  <si>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</si>
  <si>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</si>
  <si>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</si>
  <si>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</si>
  <si>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</si>
  <si>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</si>
  <si>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</si>
  <si>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CUST-0073</t>
  </si>
  <si>
    <t>ORD-00237</t>
  </si>
  <si>
    <t>CUST-0242</t>
  </si>
  <si>
    <t>ORD-00238</t>
  </si>
  <si>
    <t>ORD-00239</t>
  </si>
  <si>
    <t>CUST-0085</t>
  </si>
  <si>
    <t>ORD-00240</t>
  </si>
  <si>
    <t>ORD-00241</t>
  </si>
  <si>
    <t>ORD-00242</t>
  </si>
  <si>
    <t>CUST-0171</t>
  </si>
  <si>
    <t>ORD-00243</t>
  </si>
  <si>
    <t>ORD-00244</t>
  </si>
  <si>
    <t>CUST-0285</t>
  </si>
  <si>
    <t>ORD-00245</t>
  </si>
  <si>
    <t>ORD-00246</t>
  </si>
  <si>
    <t>CUST-0295</t>
  </si>
  <si>
    <t>ORD-00247</t>
  </si>
  <si>
    <t>CUST-0218</t>
  </si>
  <si>
    <t>ORD-00248</t>
  </si>
  <si>
    <t>CUST-0090</t>
  </si>
  <si>
    <t>ORD-00249</t>
  </si>
  <si>
    <t>ORD-00250</t>
  </si>
  <si>
    <t>CUST-0231</t>
  </si>
  <si>
    <t>ORD-00251</t>
  </si>
  <si>
    <t>CUST-0055</t>
  </si>
  <si>
    <t>ORD-00252</t>
  </si>
  <si>
    <t>CUST-0262</t>
  </si>
  <si>
    <t>ORD-00253</t>
  </si>
  <si>
    <t>CUST-0155</t>
  </si>
  <si>
    <t>ORD-00254</t>
  </si>
  <si>
    <t>CUST-0169</t>
  </si>
  <si>
    <t>ORD-00255</t>
  </si>
  <si>
    <t>ORD-00256</t>
  </si>
  <si>
    <t>CUST-0249</t>
  </si>
  <si>
    <t>ORD-00257</t>
  </si>
  <si>
    <t>CUST-0151</t>
  </si>
  <si>
    <t>ORD-00258</t>
  </si>
  <si>
    <t>CUST-0115</t>
  </si>
  <si>
    <t>ORD-00259</t>
  </si>
  <si>
    <t>ORD-00260</t>
  </si>
  <si>
    <t>ORD-00261</t>
  </si>
  <si>
    <t>CUST-0198</t>
  </si>
  <si>
    <t>ORD-00262</t>
  </si>
  <si>
    <t>ORD-00263</t>
  </si>
  <si>
    <t>CUST-0110</t>
  </si>
  <si>
    <t>ORD-00264</t>
  </si>
  <si>
    <t>CUST-0134</t>
  </si>
  <si>
    <t>ORD-00265</t>
  </si>
  <si>
    <t>CUST-0141</t>
  </si>
  <si>
    <t>ORD-00266</t>
  </si>
  <si>
    <t>ORD-00267</t>
  </si>
  <si>
    <t>ORD-00268</t>
  </si>
  <si>
    <t>ORD-00269</t>
  </si>
  <si>
    <t>ORD-00270</t>
  </si>
  <si>
    <t>ORD-00271</t>
  </si>
  <si>
    <t>CUST-0238</t>
  </si>
  <si>
    <t>ORD-00272</t>
  </si>
  <si>
    <t>ORD-00273</t>
  </si>
  <si>
    <t>CUST-0167</t>
  </si>
  <si>
    <t>ORD-00274</t>
  </si>
  <si>
    <t>ORD-00275</t>
  </si>
  <si>
    <t>ORD-00276</t>
  </si>
  <si>
    <t>ORD-00277</t>
  </si>
  <si>
    <t>CUST-0183</t>
  </si>
  <si>
    <t>ORD-00278</t>
  </si>
  <si>
    <t>ORD-00279</t>
  </si>
  <si>
    <t>ORD-00280</t>
  </si>
  <si>
    <t>ORD-00281</t>
  </si>
  <si>
    <t>ORD-00282</t>
  </si>
  <si>
    <t>ORD-00283</t>
  </si>
  <si>
    <t>ORD-00284</t>
  </si>
  <si>
    <t>CUST-0297</t>
  </si>
  <si>
    <t>ORD-00285</t>
  </si>
  <si>
    <t>ORD-00286</t>
  </si>
  <si>
    <t>ORD-00287</t>
  </si>
  <si>
    <t>CUST-0160</t>
  </si>
  <si>
    <t>ORD-00288</t>
  </si>
  <si>
    <t>ORD-00289</t>
  </si>
  <si>
    <t>ORD-00290</t>
  </si>
  <si>
    <t>PROD-018</t>
  </si>
  <si>
    <t>ORD-00291</t>
  </si>
  <si>
    <t>ORD-00292</t>
  </si>
  <si>
    <t>CUST-0011</t>
  </si>
  <si>
    <t>ORD-00335</t>
  </si>
  <si>
    <t>ORD-00294</t>
  </si>
  <si>
    <t>ORD-00295</t>
  </si>
  <si>
    <t>ORD-00296</t>
  </si>
  <si>
    <t>ORD-01770</t>
  </si>
  <si>
    <t>ORD-00298</t>
  </si>
  <si>
    <t>CUST-0166</t>
  </si>
  <si>
    <t>ORD-00299</t>
  </si>
  <si>
    <t>ORD-00300</t>
  </si>
  <si>
    <t>ORD-00301</t>
  </si>
  <si>
    <t>CUST-0036</t>
  </si>
  <si>
    <t>ORD-00302</t>
  </si>
  <si>
    <t>ORD-00303</t>
  </si>
  <si>
    <t>CUST-0247</t>
  </si>
  <si>
    <t>ORD-00881</t>
  </si>
  <si>
    <t>ORD-00305</t>
  </si>
  <si>
    <t>ORD-00306</t>
  </si>
  <si>
    <t>CUST-0196</t>
  </si>
  <si>
    <t>ORD-00307</t>
  </si>
  <si>
    <t>ORD-00308</t>
  </si>
  <si>
    <t>ORD-00309</t>
  </si>
  <si>
    <t>CUST-0132</t>
  </si>
  <si>
    <t>ORD-00310</t>
  </si>
  <si>
    <t>CUST-0153</t>
  </si>
  <si>
    <t>ORD-00311</t>
  </si>
  <si>
    <t>ORD-00312</t>
  </si>
  <si>
    <t>CUST-0256</t>
  </si>
  <si>
    <t>ORD-00313</t>
  </si>
  <si>
    <t>ORD-00314</t>
  </si>
  <si>
    <t>ORD-00315</t>
  </si>
  <si>
    <t>ORD-00316</t>
  </si>
  <si>
    <t>ORD-00317</t>
  </si>
  <si>
    <t>ORD-00318</t>
  </si>
  <si>
    <t>ORD-00319</t>
  </si>
  <si>
    <t>CUST-0245</t>
  </si>
  <si>
    <t>ORD-00320</t>
  </si>
  <si>
    <t>ORD-00321</t>
  </si>
  <si>
    <t>CUST-0212</t>
  </si>
  <si>
    <t>ORD-00322</t>
  </si>
  <si>
    <t>ORD-00323</t>
  </si>
  <si>
    <t>CUST-0157</t>
  </si>
  <si>
    <t>ORD-00324</t>
  </si>
  <si>
    <t>CUST-0004</t>
  </si>
  <si>
    <t>ORD-00325</t>
  </si>
  <si>
    <t>CUST-0003</t>
  </si>
  <si>
    <t>ORD-00326</t>
  </si>
  <si>
    <t>ORD-00327</t>
  </si>
  <si>
    <t>ORD-00328</t>
  </si>
  <si>
    <t>ORD-00329</t>
  </si>
  <si>
    <t>CUST-0299</t>
  </si>
  <si>
    <t>ORD-00330</t>
  </si>
  <si>
    <t>CUST-0066</t>
  </si>
  <si>
    <t>ORD-00331</t>
  </si>
  <si>
    <t>ORD-00332</t>
  </si>
  <si>
    <t>CUST-0138</t>
  </si>
  <si>
    <t>ORD-00333</t>
  </si>
  <si>
    <t>ORD-00334</t>
  </si>
  <si>
    <t>CUST-0269</t>
  </si>
  <si>
    <t>PUNE</t>
  </si>
  <si>
    <t>ORD-00336</t>
  </si>
  <si>
    <t>ORD-00337</t>
  </si>
  <si>
    <t>ORD-00338</t>
  </si>
  <si>
    <t>CUST-0016</t>
  </si>
  <si>
    <t>ORD-00339</t>
  </si>
  <si>
    <t>ORD-00340</t>
  </si>
  <si>
    <t>ORD-00341</t>
  </si>
  <si>
    <t>CUST-0279</t>
  </si>
  <si>
    <t>ORD-00342</t>
  </si>
  <si>
    <t>ORD-00343</t>
  </si>
  <si>
    <t>ORD-00344</t>
  </si>
  <si>
    <t>ORD-00593</t>
  </si>
  <si>
    <t>ORD-00346</t>
  </si>
  <si>
    <t>CUST-0062</t>
  </si>
  <si>
    <t>ORD-00347</t>
  </si>
  <si>
    <t>ORD-00348</t>
  </si>
  <si>
    <t>CUST-0001</t>
  </si>
  <si>
    <t>ORD-00349</t>
  </si>
  <si>
    <t>ORD-00350</t>
  </si>
  <si>
    <t>CUST-0044</t>
  </si>
  <si>
    <t>ORD-00351</t>
  </si>
  <si>
    <t>ORD-00352</t>
  </si>
  <si>
    <t>CUST-0061</t>
  </si>
  <si>
    <t>ORD-00353</t>
  </si>
  <si>
    <t>ORD-00354</t>
  </si>
  <si>
    <t>ORD-00355</t>
  </si>
  <si>
    <t>ORD-00356</t>
  </si>
  <si>
    <t>ORD-00357</t>
  </si>
  <si>
    <t>ORD-00358</t>
  </si>
  <si>
    <t>ORD-00359</t>
  </si>
  <si>
    <t>CUST-0292</t>
  </si>
  <si>
    <t>ORD-00360</t>
  </si>
  <si>
    <t>ORD-00361</t>
  </si>
  <si>
    <t>ORD-00362</t>
  </si>
  <si>
    <t>ORD-00363</t>
  </si>
  <si>
    <t>CUST-0030</t>
  </si>
  <si>
    <t>ORD-00364</t>
  </si>
  <si>
    <t>CUST-0270</t>
  </si>
  <si>
    <t>ORD-00365</t>
  </si>
  <si>
    <t>ORD-00366</t>
  </si>
  <si>
    <t>CUST-0215</t>
  </si>
  <si>
    <t>ORD-00367</t>
  </si>
  <si>
    <t>CUST-0225</t>
  </si>
  <si>
    <t>ORD-00368</t>
  </si>
  <si>
    <t>ORD-00369</t>
  </si>
  <si>
    <t>ORD-00370</t>
  </si>
  <si>
    <t>CUST-0002</t>
  </si>
  <si>
    <t>ORD-00371</t>
  </si>
  <si>
    <t>CUST-0057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</si>
  <si>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</si>
  <si>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</si>
  <si>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</si>
  <si>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</si>
  <si>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</si>
  <si>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</si>
  <si>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</si>
  <si>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</si>
  <si>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CUST-0074</t>
  </si>
  <si>
    <t>ORD-00380</t>
  </si>
  <si>
    <t>CUST-0221</t>
  </si>
  <si>
    <t>ORD-00381</t>
  </si>
  <si>
    <t>ORD-00382</t>
  </si>
  <si>
    <t>ORD-00383</t>
  </si>
  <si>
    <t>CUST-0209</t>
  </si>
  <si>
    <t>pune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</si>
  <si>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</si>
  <si>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</si>
  <si>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</si>
  <si>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</si>
  <si>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</si>
  <si>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</si>
  <si>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</si>
  <si>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</si>
  <si>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CUST-0019</t>
  </si>
  <si>
    <t>ORD-00392</t>
  </si>
  <si>
    <t>CUST-0290</t>
  </si>
  <si>
    <t>ORD-00393</t>
  </si>
  <si>
    <t>CUST-9557</t>
  </si>
  <si>
    <t>ORD-00394</t>
  </si>
  <si>
    <t>ORD-00395</t>
  </si>
  <si>
    <t>CUST-0045</t>
  </si>
  <si>
    <t>ORD-00396</t>
  </si>
  <si>
    <t>ORD-00397</t>
  </si>
  <si>
    <t>ORD-00398</t>
  </si>
  <si>
    <t>ORD-00399</t>
  </si>
  <si>
    <t>CUST-0154</t>
  </si>
  <si>
    <t>ORD-00400</t>
  </si>
  <si>
    <t>ORD-00401</t>
  </si>
  <si>
    <t>CUST-9654</t>
  </si>
  <si>
    <t>ORD-00402</t>
  </si>
  <si>
    <t>ORD-00403</t>
  </si>
  <si>
    <t>ORD-00404</t>
  </si>
  <si>
    <t>ORD-00405</t>
  </si>
  <si>
    <t>ORD-00406</t>
  </si>
  <si>
    <t>CUST-0093</t>
  </si>
  <si>
    <t>ORD-00407</t>
  </si>
  <si>
    <t>ORD-00408</t>
  </si>
  <si>
    <t>ORD-00409</t>
  </si>
  <si>
    <t>ORD-00410</t>
  </si>
  <si>
    <t>ORD-00411</t>
  </si>
  <si>
    <t>ORD-00412</t>
  </si>
  <si>
    <t>CUST-0148</t>
  </si>
  <si>
    <t>ORD-00413</t>
  </si>
  <si>
    <t>ORD-00414</t>
  </si>
  <si>
    <t>ORD-00415</t>
  </si>
  <si>
    <t>ORD-00416</t>
  </si>
  <si>
    <t>CUST-0190</t>
  </si>
  <si>
    <t>ORD-00417</t>
  </si>
  <si>
    <t>ORD-00418</t>
  </si>
  <si>
    <t>ORD-00419</t>
  </si>
  <si>
    <t>ORD-00420</t>
  </si>
  <si>
    <t>ORD-00421</t>
  </si>
  <si>
    <t>ORD-00422</t>
  </si>
  <si>
    <t>CUST-0037</t>
  </si>
  <si>
    <t>ORD-00423</t>
  </si>
  <si>
    <t>CUST-0039</t>
  </si>
  <si>
    <t>ORD-00424</t>
  </si>
  <si>
    <t>ORD-00425</t>
  </si>
  <si>
    <t>ORD-00426</t>
  </si>
  <si>
    <t>CUST-0130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</si>
  <si>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</si>
  <si>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</si>
  <si>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</si>
  <si>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</si>
  <si>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</si>
  <si>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</si>
  <si>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</si>
  <si>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</si>
  <si>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CUST-0136</t>
  </si>
  <si>
    <t>ORD-00435</t>
  </si>
  <si>
    <t>ORD-00436</t>
  </si>
  <si>
    <t>ORD-00437</t>
  </si>
  <si>
    <t>ORD-00438</t>
  </si>
  <si>
    <t>ORD-00439</t>
  </si>
  <si>
    <t>CUST-0217</t>
  </si>
  <si>
    <t>ORD-00440</t>
  </si>
  <si>
    <t>ORD-00441</t>
  </si>
  <si>
    <t>ORD-00442</t>
  </si>
  <si>
    <t>ORD-00443</t>
  </si>
  <si>
    <t>ORD-00444</t>
  </si>
  <si>
    <t>ORD-00445</t>
  </si>
  <si>
    <t>CUST-9626</t>
  </si>
  <si>
    <t>ORD-00446</t>
  </si>
  <si>
    <t>ORD-00447</t>
  </si>
  <si>
    <t>ORD-00448</t>
  </si>
  <si>
    <t>ORD-00449</t>
  </si>
  <si>
    <t>CUST-0017</t>
  </si>
  <si>
    <t>ORD-00450</t>
  </si>
  <si>
    <t>CUST-0007</t>
  </si>
  <si>
    <t>ORD-00451</t>
  </si>
  <si>
    <t>CUST-0054</t>
  </si>
  <si>
    <t>ORD-00452</t>
  </si>
  <si>
    <t>CUST-0038</t>
  </si>
  <si>
    <t>ORD-00453</t>
  </si>
  <si>
    <t>ORD-00454</t>
  </si>
  <si>
    <t>ORD-00455</t>
  </si>
  <si>
    <t>CUST-0072</t>
  </si>
  <si>
    <t>ORD-00456</t>
  </si>
  <si>
    <t>ORD-00457</t>
  </si>
  <si>
    <t>ORD-00458</t>
  </si>
  <si>
    <t>CUST-0214</t>
  </si>
  <si>
    <t>CUST-0236</t>
  </si>
  <si>
    <t>ORD-00460</t>
  </si>
  <si>
    <t>ORD-00461</t>
  </si>
  <si>
    <t>CUST-0123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</si>
  <si>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</si>
  <si>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</si>
  <si>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</si>
  <si>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</si>
  <si>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</si>
  <si>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</si>
  <si>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</si>
  <si>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</si>
  <si>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CUST-0223</t>
  </si>
  <si>
    <t>ORD-00470</t>
  </si>
  <si>
    <t>ORD-00471</t>
  </si>
  <si>
    <t>ORD-00472</t>
  </si>
  <si>
    <t>ORD-00473</t>
  </si>
  <si>
    <t>CUST-0254</t>
  </si>
  <si>
    <t>ORD-00474</t>
  </si>
  <si>
    <t>CUST-0126</t>
  </si>
  <si>
    <t>ORD-00475</t>
  </si>
  <si>
    <t>ORD-00476</t>
  </si>
  <si>
    <t>CUST-0089</t>
  </si>
  <si>
    <t>ORD-00477</t>
  </si>
  <si>
    <t>ORD-00478</t>
  </si>
  <si>
    <t>CUST-0201</t>
  </si>
  <si>
    <t>ORD-01195</t>
  </si>
  <si>
    <t>CUST-0091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</si>
  <si>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</si>
  <si>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</si>
  <si>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</si>
  <si>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</si>
  <si>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</si>
  <si>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</si>
  <si>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</si>
  <si>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</si>
  <si>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</si>
  <si>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</si>
  <si>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CUST-0195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</si>
  <si>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</si>
  <si>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</si>
  <si>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</si>
  <si>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</si>
  <si>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</si>
  <si>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</si>
  <si>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</si>
  <si>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</si>
  <si>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</si>
  <si>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</si>
  <si>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</si>
  <si>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</si>
  <si>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</si>
  <si>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</si>
  <si>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</si>
  <si>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</si>
  <si>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</si>
  <si>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</si>
  <si>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</si>
  <si>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</si>
  <si>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</si>
  <si>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CUST-0103</t>
  </si>
  <si>
    <t>ORD-00511</t>
  </si>
  <si>
    <t>CUST-0174</t>
  </si>
  <si>
    <t>ORD-00512</t>
  </si>
  <si>
    <t>ORD-00513</t>
  </si>
  <si>
    <t>CUST-0266</t>
  </si>
  <si>
    <t>ORD-00514</t>
  </si>
  <si>
    <t>ORD-00515</t>
  </si>
  <si>
    <t>ORD-00516</t>
  </si>
  <si>
    <t>CUST-0128</t>
  </si>
  <si>
    <t>ORD-00517</t>
  </si>
  <si>
    <t>ORD-00518</t>
  </si>
  <si>
    <t>ORD-00519</t>
  </si>
  <si>
    <t>CUST-0237</t>
  </si>
  <si>
    <t>ORD-00520</t>
  </si>
  <si>
    <t>ORD-00521</t>
  </si>
  <si>
    <t>CUST-0233</t>
  </si>
  <si>
    <t>ORD-00522</t>
  </si>
  <si>
    <t>ORD-00523</t>
  </si>
  <si>
    <t>ORD-00524</t>
  </si>
  <si>
    <t>CUST-0235</t>
  </si>
  <si>
    <t>ORD-00525</t>
  </si>
  <si>
    <t>ORD-00526</t>
  </si>
  <si>
    <t>CUST-0199</t>
  </si>
  <si>
    <t>ORD-00527</t>
  </si>
  <si>
    <t>CUST-0034</t>
  </si>
  <si>
    <t>ORD-00528</t>
  </si>
  <si>
    <t>CUST-0206</t>
  </si>
  <si>
    <t>ORD-00529</t>
  </si>
  <si>
    <t>ORD-00530</t>
  </si>
  <si>
    <t>ORD-00531</t>
  </si>
  <si>
    <t>ORD-00532</t>
  </si>
  <si>
    <t>ORD-00533</t>
  </si>
  <si>
    <t>ORD-00534</t>
  </si>
  <si>
    <t>CUST-0205</t>
  </si>
  <si>
    <t>ORD-00535</t>
  </si>
  <si>
    <t>ORD-00536</t>
  </si>
  <si>
    <t>ORD-00537</t>
  </si>
  <si>
    <t>ORD-00538</t>
  </si>
  <si>
    <t>ORD-00539</t>
  </si>
  <si>
    <t>CUST-0127</t>
  </si>
  <si>
    <t>ORD-00540</t>
  </si>
  <si>
    <t>ORD-00541</t>
  </si>
  <si>
    <t>CUST-0005</t>
  </si>
  <si>
    <t>ORD-00542</t>
  </si>
  <si>
    <t>ORD-00543</t>
  </si>
  <si>
    <t>ORD-00544</t>
  </si>
  <si>
    <t>CUST-0244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</si>
  <si>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</si>
  <si>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</si>
  <si>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</si>
  <si>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</si>
  <si>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</si>
  <si>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</si>
  <si>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</si>
  <si>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</si>
  <si>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</si>
  <si>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CUST-0252</t>
  </si>
  <si>
    <t>ORD-00554</t>
  </si>
  <si>
    <t>ORD-00555</t>
  </si>
  <si>
    <t>CUST-0046</t>
  </si>
  <si>
    <t>ORD-00556</t>
  </si>
  <si>
    <t>ORD-00557</t>
  </si>
  <si>
    <t>CUST-0227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</si>
  <si>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</si>
  <si>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</si>
  <si>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</si>
  <si>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</si>
  <si>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</si>
  <si>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</si>
  <si>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</si>
  <si>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</si>
  <si>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</si>
  <si>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CUST-0058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</si>
  <si>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</si>
  <si>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</si>
  <si>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</si>
  <si>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</si>
  <si>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</si>
  <si>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</si>
  <si>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</si>
  <si>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</si>
  <si>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</si>
  <si>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</si>
  <si>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CUST-0272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</si>
  <si>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</si>
  <si>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</si>
  <si>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</si>
  <si>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</si>
  <si>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</si>
  <si>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</si>
  <si>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</si>
  <si>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</si>
  <si>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CUST-0156</t>
  </si>
  <si>
    <t>ORD-00585</t>
  </si>
  <si>
    <t>CUST-0022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</si>
  <si>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</si>
  <si>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</si>
  <si>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</si>
  <si>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</si>
  <si>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</si>
  <si>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</si>
  <si>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</si>
  <si>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ORD-00594</t>
  </si>
  <si>
    <t>CUST-0278</t>
  </si>
  <si>
    <t>ORD-00595</t>
  </si>
  <si>
    <t>ORD-00596</t>
  </si>
  <si>
    <t>ORD-00597</t>
  </si>
  <si>
    <t>CUST-0289</t>
  </si>
  <si>
    <t>ORD-00598</t>
  </si>
  <si>
    <t>ORD-00599</t>
  </si>
  <si>
    <t>ORD-00600</t>
  </si>
  <si>
    <t>CUST-0213</t>
  </si>
  <si>
    <t>ORD-00601</t>
  </si>
  <si>
    <t>ORD-00602</t>
  </si>
  <si>
    <t>ORD-00603</t>
  </si>
  <si>
    <t>ORD-00604</t>
  </si>
  <si>
    <t>ORD-00605</t>
  </si>
  <si>
    <t>ORD-00606</t>
  </si>
  <si>
    <t>CUST-0179</t>
  </si>
  <si>
    <t>ORD-00607</t>
  </si>
  <si>
    <t>ORD-00608</t>
  </si>
  <si>
    <t>CUST-0144</t>
  </si>
  <si>
    <t>ORD-00609</t>
  </si>
  <si>
    <t>ORD-00610</t>
  </si>
  <si>
    <t>ORD-00611</t>
  </si>
  <si>
    <t>ORD-00612</t>
  </si>
  <si>
    <t>ORD-00613</t>
  </si>
  <si>
    <t>ORD-00614</t>
  </si>
  <si>
    <t>CUST-0063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</si>
  <si>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</si>
  <si>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</si>
  <si>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</si>
  <si>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</si>
  <si>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</si>
  <si>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</si>
  <si>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</si>
  <si>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</si>
  <si>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</si>
  <si>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</si>
  <si>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</si>
  <si>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</si>
  <si>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</si>
  <si>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</si>
  <si>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</si>
  <si>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</si>
  <si>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</si>
  <si>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</si>
  <si>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</si>
  <si>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</si>
  <si>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</si>
  <si>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</si>
  <si>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</si>
  <si>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CUST-0158</t>
  </si>
  <si>
    <t>ORD-00638</t>
  </si>
  <si>
    <t>ORD-00639</t>
  </si>
  <si>
    <t>ORD-00640</t>
  </si>
  <si>
    <t>ORD-00641</t>
  </si>
  <si>
    <t>ORD-00642</t>
  </si>
  <si>
    <t>ORD-00643</t>
  </si>
  <si>
    <t>ORD-00644</t>
  </si>
  <si>
    <t>CUST-0083</t>
  </si>
  <si>
    <t>ORD-00645</t>
  </si>
  <si>
    <t>ORD-00646</t>
  </si>
  <si>
    <t>ORD-00647</t>
  </si>
  <si>
    <t>ORD-00648</t>
  </si>
  <si>
    <t>ORD-00649</t>
  </si>
  <si>
    <t>ORD-00650</t>
  </si>
  <si>
    <t>ORD-00651</t>
  </si>
  <si>
    <t>DELHI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</si>
  <si>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</si>
  <si>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</si>
  <si>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</si>
  <si>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</si>
  <si>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</si>
  <si>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</si>
  <si>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</si>
  <si>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</si>
  <si>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CUST-0257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</si>
  <si>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</si>
  <si>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</si>
  <si>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</si>
  <si>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</si>
  <si>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</si>
  <si>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</si>
  <si>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</si>
  <si>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</si>
  <si>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</si>
  <si>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</si>
  <si>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</si>
  <si>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</si>
  <si>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</si>
  <si>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</si>
  <si>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</si>
  <si>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</si>
  <si>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</si>
  <si>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</si>
  <si>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</si>
  <si>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</si>
  <si>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</si>
  <si>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</si>
  <si>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</si>
  <si>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</si>
  <si>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</si>
  <si>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</si>
  <si>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</si>
  <si>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</si>
  <si>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</si>
  <si>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</si>
  <si>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</si>
  <si>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</si>
  <si>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</si>
  <si>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</si>
  <si>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</si>
  <si>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</si>
  <si>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</si>
  <si>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</si>
  <si>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</si>
  <si>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</si>
  <si>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</si>
  <si>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ORD-01185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</si>
  <si>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</si>
  <si>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</si>
  <si>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</si>
  <si>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</si>
  <si>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</si>
  <si>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</si>
  <si>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</si>
  <si>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</si>
  <si>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CUST-0060</t>
  </si>
  <si>
    <t>ORD-00710</t>
  </si>
  <si>
    <t>ORD-00711</t>
  </si>
  <si>
    <t>ORD-00712</t>
  </si>
  <si>
    <t>ORD-00713</t>
  </si>
  <si>
    <t>ORD-00714</t>
  </si>
  <si>
    <t>ORD-00715</t>
  </si>
  <si>
    <t>ORD-00716</t>
  </si>
  <si>
    <t>CUST-0065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</si>
  <si>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</si>
  <si>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</si>
  <si>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</si>
  <si>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</si>
  <si>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</si>
  <si>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</si>
  <si>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</si>
  <si>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</si>
  <si>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</si>
  <si>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</si>
  <si>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CUST-0211</t>
  </si>
  <si>
    <t>ORD-00727</t>
  </si>
  <si>
    <t>CUST-0229</t>
  </si>
  <si>
    <t>ORD-00728</t>
  </si>
  <si>
    <t>ORD-00729</t>
  </si>
  <si>
    <t>ORD-00730</t>
  </si>
  <si>
    <t>ORD-00731</t>
  </si>
  <si>
    <t>ORD-00732</t>
  </si>
  <si>
    <t>ORD-00733</t>
  </si>
  <si>
    <t>CUST-9846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</si>
  <si>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</si>
  <si>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</si>
  <si>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</si>
  <si>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</si>
  <si>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</si>
  <si>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</si>
  <si>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</si>
  <si>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</si>
  <si>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</si>
  <si>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</si>
  <si>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</si>
  <si>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</si>
  <si>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</si>
  <si>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</si>
  <si>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</si>
  <si>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</si>
  <si>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CUST-0122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</si>
  <si>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</si>
  <si>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</si>
  <si>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</si>
  <si>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</si>
  <si>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</si>
  <si>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</si>
  <si>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</si>
  <si>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</si>
  <si>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</si>
  <si>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</si>
  <si>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</si>
  <si>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</si>
  <si>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</si>
  <si>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CUST-0109</t>
  </si>
  <si>
    <t>ORD-00763</t>
  </si>
  <si>
    <t>ORD-00764</t>
  </si>
  <si>
    <t>CUST-0120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</si>
  <si>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</si>
  <si>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</si>
  <si>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</si>
  <si>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</si>
  <si>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</si>
  <si>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</si>
  <si>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</si>
  <si>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</si>
  <si>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</si>
  <si>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</si>
  <si>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</si>
  <si>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</si>
  <si>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</si>
  <si>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</si>
  <si>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</si>
  <si>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CUST-0021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</si>
  <si>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</si>
  <si>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</si>
  <si>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</si>
  <si>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</si>
  <si>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</si>
  <si>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</si>
  <si>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</si>
  <si>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</si>
  <si>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</si>
  <si>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</si>
  <si>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CUST-0188</t>
  </si>
  <si>
    <t>ORD-00790</t>
  </si>
  <si>
    <t>ORD-00791</t>
  </si>
  <si>
    <t>ORD-00792</t>
  </si>
  <si>
    <t>ORD-00793</t>
  </si>
  <si>
    <t>CUST-9568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</si>
  <si>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</si>
  <si>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</si>
  <si>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</si>
  <si>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</si>
  <si>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</si>
  <si>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</si>
  <si>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</si>
  <si>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</si>
  <si>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</si>
  <si>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</si>
  <si>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</si>
  <si>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</si>
  <si>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</si>
  <si>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</si>
  <si>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</si>
  <si>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</si>
  <si>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</si>
  <si>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</si>
  <si>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</si>
  <si>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</si>
  <si>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</si>
  <si>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ORD-01052</t>
  </si>
  <si>
    <t>ORD-00816</t>
  </si>
  <si>
    <t>ORD-01136</t>
  </si>
  <si>
    <t>ORD-00818</t>
  </si>
  <si>
    <t>ORD-00819</t>
  </si>
  <si>
    <t>ORD-00820</t>
  </si>
  <si>
    <t>CUST-0023</t>
  </si>
  <si>
    <t>ORD-00821</t>
  </si>
  <si>
    <t>ORD-00822</t>
  </si>
  <si>
    <t>CUST-0300</t>
  </si>
  <si>
    <t>ORD-00823</t>
  </si>
  <si>
    <t>CUST-9578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</si>
  <si>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</si>
  <si>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</si>
  <si>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</si>
  <si>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</si>
  <si>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</si>
  <si>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</si>
  <si>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</si>
  <si>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</si>
  <si>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CUST-0105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</si>
  <si>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</si>
  <si>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</si>
  <si>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</si>
  <si>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</si>
  <si>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</si>
  <si>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</si>
  <si>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</si>
  <si>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</si>
  <si>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</si>
  <si>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</si>
  <si>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</si>
  <si>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</si>
  <si>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</si>
  <si>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</si>
  <si>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</si>
  <si>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</si>
  <si>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</si>
  <si>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</si>
  <si>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</si>
  <si>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</si>
  <si>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</si>
  <si>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</si>
  <si>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</si>
  <si>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</si>
  <si>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</si>
  <si>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</si>
  <si>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</si>
  <si>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</si>
  <si>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</si>
  <si>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</si>
  <si>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</si>
  <si>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</si>
  <si>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</si>
  <si>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</si>
  <si>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</si>
  <si>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</si>
  <si>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</si>
  <si>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</si>
  <si>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</si>
  <si>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CUST-9833</t>
  </si>
  <si>
    <t>ORD-00871</t>
  </si>
  <si>
    <t>CUST-0076</t>
  </si>
  <si>
    <t>ORD-00872</t>
  </si>
  <si>
    <t>ORD-00873</t>
  </si>
  <si>
    <t>ORD-00874</t>
  </si>
  <si>
    <t>ORD-00875</t>
  </si>
  <si>
    <t>ORD-00876</t>
  </si>
  <si>
    <t>ORD-00877</t>
  </si>
  <si>
    <t>ORD-00878</t>
  </si>
  <si>
    <t>CUST-0049</t>
  </si>
  <si>
    <t>ORD-00879</t>
  </si>
  <si>
    <t>ORD-00880</t>
  </si>
  <si>
    <t>CUST-0220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</si>
  <si>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</si>
  <si>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</si>
  <si>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</si>
  <si>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</si>
  <si>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</si>
  <si>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</si>
  <si>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</si>
  <si>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</si>
  <si>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</si>
  <si>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</si>
  <si>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</si>
  <si>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</si>
  <si>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</si>
  <si>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</si>
  <si>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</si>
  <si>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ORD-00898</t>
  </si>
  <si>
    <t>CUST-9607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</si>
  <si>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</si>
  <si>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</si>
  <si>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</si>
  <si>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</si>
  <si>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</si>
  <si>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</si>
  <si>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</si>
  <si>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</si>
  <si>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</si>
  <si>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</si>
  <si>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</si>
  <si>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</si>
  <si>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</si>
  <si>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</si>
  <si>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</si>
  <si>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</si>
  <si>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</si>
  <si>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</si>
  <si>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</si>
  <si>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</si>
  <si>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</si>
  <si>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</si>
  <si>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</si>
  <si>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</si>
  <si>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</si>
  <si>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</si>
  <si>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</si>
  <si>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</si>
  <si>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</si>
  <si>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</si>
  <si>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</si>
  <si>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</si>
  <si>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</si>
  <si>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</si>
  <si>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</si>
  <si>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</si>
  <si>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</si>
  <si>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</si>
  <si>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</si>
  <si>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</si>
  <si>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</si>
  <si>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</si>
  <si>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</si>
  <si>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</si>
  <si>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</si>
  <si>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</si>
  <si>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</si>
  <si>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</si>
  <si>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</si>
  <si>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</si>
  <si>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</si>
  <si>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</si>
  <si>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 xml:space="preserve"> Delhi 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</si>
  <si>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</si>
  <si>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</si>
  <si>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</si>
  <si>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</si>
  <si>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</si>
  <si>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</si>
  <si>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</si>
  <si>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</si>
  <si>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</si>
  <si>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</si>
  <si>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</si>
  <si>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</si>
  <si>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</si>
  <si>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</si>
  <si>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</si>
  <si>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</si>
  <si>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</si>
  <si>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</si>
  <si>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</si>
  <si>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CUST-9555</t>
  </si>
  <si>
    <t>ORD-00970</t>
  </si>
  <si>
    <t>ORD-00971</t>
  </si>
  <si>
    <t>ORD-00972</t>
  </si>
  <si>
    <t>ORD-00973</t>
  </si>
  <si>
    <t>ORD-00974</t>
  </si>
  <si>
    <t>ORD-00975</t>
  </si>
  <si>
    <t>ORD-01662</t>
  </si>
  <si>
    <t>ORD-00977</t>
  </si>
  <si>
    <t>ORD-00978</t>
  </si>
  <si>
    <t>ORD-00979</t>
  </si>
  <si>
    <t>CUST-9927</t>
  </si>
  <si>
    <t>ORD-00980</t>
  </si>
  <si>
    <t>ORD-00981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</si>
  <si>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</si>
  <si>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</si>
  <si>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</si>
  <si>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</si>
  <si>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</si>
  <si>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</si>
  <si>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</si>
  <si>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</si>
  <si>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</si>
  <si>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</si>
  <si>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</si>
  <si>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</si>
  <si>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</si>
  <si>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</si>
  <si>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</si>
  <si>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</si>
  <si>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</si>
  <si>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</si>
  <si>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</si>
  <si>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</si>
  <si>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</si>
  <si>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</si>
  <si>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</si>
  <si>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</si>
  <si>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</si>
  <si>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</si>
  <si>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</si>
  <si>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</si>
  <si>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</si>
  <si>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</si>
  <si>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</si>
  <si>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</si>
  <si>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</si>
  <si>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</si>
  <si>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CUST-0276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</si>
  <si>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</si>
  <si>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</si>
  <si>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</si>
  <si>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</si>
  <si>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</si>
  <si>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</si>
  <si>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</si>
  <si>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</si>
  <si>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</si>
  <si>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</si>
  <si>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</si>
  <si>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</si>
  <si>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</si>
  <si>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</si>
  <si>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</si>
  <si>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</si>
  <si>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</si>
  <si>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</si>
  <si>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</si>
  <si>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</si>
  <si>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</si>
  <si>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</si>
  <si>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</si>
  <si>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</si>
  <si>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</si>
  <si>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</si>
  <si>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</si>
  <si>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</si>
  <si>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</si>
  <si>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CUST-0015</t>
  </si>
  <si>
    <t>ORD-01046</t>
  </si>
  <si>
    <t>ORD-01047</t>
  </si>
  <si>
    <t>ORD-01048</t>
  </si>
  <si>
    <t>ORD-01049</t>
  </si>
  <si>
    <t>CUST-0288</t>
  </si>
  <si>
    <t>ORD-01050</t>
  </si>
  <si>
    <t>ORD-01051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</si>
  <si>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</si>
  <si>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</si>
  <si>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</si>
  <si>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</si>
  <si>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</si>
  <si>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</si>
  <si>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</si>
  <si>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</si>
  <si>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</si>
  <si>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</si>
  <si>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</si>
  <si>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</si>
  <si>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</si>
  <si>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</si>
  <si>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</si>
  <si>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</si>
  <si>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</si>
  <si>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</si>
  <si>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</si>
  <si>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</si>
  <si>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</si>
  <si>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</si>
  <si>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</si>
  <si>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CUST-9754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</si>
  <si>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</si>
  <si>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</si>
  <si>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</si>
  <si>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</si>
  <si>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</si>
  <si>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</si>
  <si>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</si>
  <si>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</si>
  <si>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</si>
  <si>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</si>
  <si>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</si>
  <si>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</si>
  <si>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</si>
  <si>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</si>
  <si>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CUST-0100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</si>
  <si>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</si>
  <si>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</si>
  <si>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</si>
  <si>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</si>
  <si>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</si>
  <si>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</si>
  <si>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</si>
  <si>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</si>
  <si>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</si>
  <si>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</si>
  <si>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</si>
  <si>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</si>
  <si>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</si>
  <si>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</si>
  <si>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</si>
  <si>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</si>
  <si>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</si>
  <si>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</si>
  <si>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</si>
  <si>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</si>
  <si>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</si>
  <si>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</si>
  <si>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</si>
  <si>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</si>
  <si>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</si>
  <si>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</si>
  <si>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</si>
  <si>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</si>
  <si>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</si>
  <si>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</si>
  <si>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</si>
  <si>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</si>
  <si>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</si>
  <si>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</si>
  <si>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</si>
  <si>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</si>
  <si>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</si>
  <si>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</si>
  <si>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</si>
  <si>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</si>
  <si>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</si>
  <si>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</si>
  <si>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</si>
  <si>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</si>
  <si>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</si>
  <si>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</si>
  <si>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ORD-01137</t>
  </si>
  <si>
    <t>CUST-0116</t>
  </si>
  <si>
    <t>ORD-01138</t>
  </si>
  <si>
    <t>ORD-01139</t>
  </si>
  <si>
    <t>ORD-01140</t>
  </si>
  <si>
    <t>ORD-01141</t>
  </si>
  <si>
    <t>CUST-0268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</si>
  <si>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</si>
  <si>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</si>
  <si>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</si>
  <si>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</si>
  <si>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</si>
  <si>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</si>
  <si>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</si>
  <si>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</si>
  <si>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</si>
  <si>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</si>
  <si>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</si>
  <si>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</si>
  <si>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</si>
  <si>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</si>
  <si>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</si>
  <si>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</si>
  <si>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</si>
  <si>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</si>
  <si>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</si>
  <si>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</si>
  <si>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</si>
  <si>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</si>
  <si>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</si>
  <si>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</si>
  <si>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</si>
  <si>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</si>
  <si>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</si>
  <si>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</si>
  <si>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</si>
  <si>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</si>
  <si>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</si>
  <si>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</si>
  <si>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</si>
  <si>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</si>
  <si>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</si>
  <si>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CUST-0014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</si>
  <si>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</si>
  <si>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</si>
  <si>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</si>
  <si>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</si>
  <si>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</si>
  <si>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</si>
  <si>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</si>
  <si>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</si>
  <si>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</si>
  <si>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</si>
  <si>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</si>
  <si>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</si>
  <si>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</si>
  <si>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</si>
  <si>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</si>
  <si>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</si>
  <si>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</si>
  <si>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</si>
  <si>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</si>
  <si>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</si>
  <si>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</si>
  <si>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</si>
  <si>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</si>
  <si>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</si>
  <si>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</si>
  <si>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</si>
  <si>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</si>
  <si>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</si>
  <si>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</si>
  <si>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</si>
  <si>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</si>
  <si>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</si>
  <si>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</si>
  <si>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</si>
  <si>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</si>
  <si>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</si>
  <si>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</si>
  <si>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</si>
  <si>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</si>
  <si>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</si>
  <si>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</si>
  <si>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</si>
  <si>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</si>
  <si>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</si>
  <si>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</si>
  <si>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</si>
  <si>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</si>
  <si>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</si>
  <si>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</si>
  <si>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</si>
  <si>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</si>
  <si>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</si>
  <si>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</si>
  <si>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</si>
  <si>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</si>
  <si>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</si>
  <si>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</si>
  <si>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</si>
  <si>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</si>
  <si>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CUST-0099</t>
  </si>
  <si>
    <t>ORD-01239</t>
  </si>
  <si>
    <t>ORD-01240</t>
  </si>
  <si>
    <t>ORD-01241</t>
  </si>
  <si>
    <t>ORD-01365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</si>
  <si>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</si>
  <si>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</si>
  <si>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</si>
  <si>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</si>
  <si>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</si>
  <si>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</si>
  <si>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</si>
  <si>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</si>
  <si>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</si>
  <si>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</si>
  <si>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</si>
  <si>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</si>
  <si>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</si>
  <si>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</si>
  <si>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</si>
  <si>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</si>
  <si>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</si>
  <si>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</si>
  <si>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</si>
  <si>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</si>
  <si>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</si>
  <si>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</si>
  <si>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</si>
  <si>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</si>
  <si>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</si>
  <si>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CUST-9684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</si>
  <si>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</si>
  <si>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</si>
  <si>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</si>
  <si>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</si>
  <si>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</si>
  <si>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</si>
  <si>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</si>
  <si>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</si>
  <si>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</si>
  <si>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</si>
  <si>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</si>
  <si>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</si>
  <si>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</si>
  <si>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</si>
  <si>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</si>
  <si>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</si>
  <si>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</si>
  <si>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</si>
  <si>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</si>
  <si>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</si>
  <si>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</si>
  <si>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</si>
  <si>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</si>
  <si>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</si>
  <si>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</si>
  <si>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</si>
  <si>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</si>
  <si>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</si>
  <si>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</si>
  <si>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</si>
  <si>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</si>
  <si>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</si>
  <si>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</si>
  <si>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</si>
  <si>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</si>
  <si>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</si>
  <si>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</si>
  <si>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</si>
  <si>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</si>
  <si>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</si>
  <si>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</si>
  <si>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</si>
  <si>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</si>
  <si>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</si>
  <si>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</si>
  <si>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</si>
  <si>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</si>
  <si>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</si>
  <si>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</si>
  <si>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</si>
  <si>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</si>
  <si>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</si>
  <si>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</si>
  <si>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</si>
  <si>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</si>
  <si>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</si>
  <si>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</si>
  <si>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</si>
  <si>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</si>
  <si>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</si>
  <si>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</si>
  <si>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CUST-0286</t>
  </si>
  <si>
    <t>ORD-01329</t>
  </si>
  <si>
    <t>ORD-01330</t>
  </si>
  <si>
    <t>ORD-01331</t>
  </si>
  <si>
    <t>ORD-01332</t>
  </si>
  <si>
    <t>HYDERABAD</t>
  </si>
  <si>
    <t>ORD-01333</t>
  </si>
  <si>
    <t>ORD-01334</t>
  </si>
  <si>
    <t>ORD-01335</t>
  </si>
  <si>
    <t>ORD-01336</t>
  </si>
  <si>
    <t>ORD-01337</t>
  </si>
  <si>
    <t>ORD-01338</t>
  </si>
  <si>
    <t>CUST-9595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</si>
  <si>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</si>
  <si>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</si>
  <si>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</si>
  <si>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</si>
  <si>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</si>
  <si>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</si>
  <si>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</si>
  <si>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</si>
  <si>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</si>
  <si>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</si>
  <si>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</si>
  <si>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</si>
  <si>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</si>
  <si>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</si>
  <si>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</si>
  <si>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</si>
  <si>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</si>
  <si>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</si>
  <si>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</si>
  <si>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</si>
  <si>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</si>
  <si>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</si>
  <si>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</si>
  <si>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</si>
  <si>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</si>
  <si>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</si>
  <si>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</si>
  <si>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</si>
  <si>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</si>
  <si>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</si>
  <si>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</si>
  <si>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</si>
  <si>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</si>
  <si>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</si>
  <si>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</si>
  <si>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</si>
  <si>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</si>
  <si>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</si>
  <si>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</si>
  <si>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</si>
  <si>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</si>
  <si>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</si>
  <si>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</si>
  <si>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</si>
  <si>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</si>
  <si>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</si>
  <si>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CUST-0029</t>
  </si>
  <si>
    <t>ORD-01386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</si>
  <si>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</si>
  <si>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</si>
  <si>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</si>
  <si>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</si>
  <si>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</si>
  <si>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</si>
  <si>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</si>
  <si>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</si>
  <si>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</si>
  <si>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</si>
  <si>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</si>
  <si>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</si>
  <si>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</si>
  <si>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CUST-0207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</si>
  <si>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</si>
  <si>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</si>
  <si>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</si>
  <si>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</si>
  <si>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</si>
  <si>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</si>
  <si>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</si>
  <si>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</si>
  <si>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</si>
  <si>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</si>
  <si>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</si>
  <si>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</si>
  <si>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</si>
  <si>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</si>
  <si>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</si>
  <si>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</si>
  <si>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</si>
  <si>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</si>
  <si>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</si>
  <si>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</si>
  <si>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</si>
  <si>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</si>
  <si>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</si>
  <si>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</si>
  <si>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</si>
  <si>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</si>
  <si>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</si>
  <si>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</si>
  <si>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</si>
  <si>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</si>
  <si>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</si>
  <si>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</si>
  <si>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</si>
  <si>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</si>
  <si>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CUST-9889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</si>
  <si>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</si>
  <si>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</si>
  <si>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</si>
  <si>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</si>
  <si>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</si>
  <si>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</si>
  <si>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</si>
  <si>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</si>
  <si>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</si>
  <si>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</si>
  <si>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</si>
  <si>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</si>
  <si>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</si>
  <si>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</si>
  <si>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</si>
  <si>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</si>
  <si>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</si>
  <si>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</si>
  <si>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</si>
  <si>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</si>
  <si>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</si>
  <si>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</si>
  <si>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</si>
  <si>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</si>
  <si>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</si>
  <si>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</si>
  <si>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</si>
  <si>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</si>
  <si>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</si>
  <si>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</si>
  <si>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CUST-9851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</si>
  <si>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</si>
  <si>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</si>
  <si>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</si>
  <si>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</si>
  <si>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</si>
  <si>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</si>
  <si>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</si>
  <si>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</si>
  <si>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</si>
  <si>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</si>
  <si>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</si>
  <si>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</si>
  <si>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</si>
  <si>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</si>
  <si>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</si>
  <si>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</si>
  <si>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</si>
  <si>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</si>
  <si>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</si>
  <si>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CUST-9844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</si>
  <si>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</si>
  <si>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</si>
  <si>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</si>
  <si>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</si>
  <si>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</si>
  <si>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</si>
  <si>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</si>
  <si>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</si>
  <si>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</si>
  <si>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</si>
  <si>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</si>
  <si>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</si>
  <si>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</si>
  <si>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</si>
  <si>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</si>
  <si>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</si>
  <si>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</si>
  <si>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</si>
  <si>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</si>
  <si>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</si>
  <si>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</si>
  <si>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</si>
  <si>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</si>
  <si>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</si>
  <si>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</si>
  <si>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</si>
  <si>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</si>
  <si>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CUST-9582</t>
  </si>
  <si>
    <t>ORD-01512</t>
  </si>
  <si>
    <t>ORD-01513</t>
  </si>
  <si>
    <t>CUST-9565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</si>
  <si>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</si>
  <si>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</si>
  <si>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</si>
  <si>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</si>
  <si>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</si>
  <si>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</si>
  <si>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</si>
  <si>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</si>
  <si>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</si>
  <si>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</si>
  <si>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</si>
  <si>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</si>
  <si>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</si>
  <si>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</si>
  <si>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</si>
  <si>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</si>
  <si>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</si>
  <si>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ORD-01821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</si>
  <si>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</si>
  <si>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</si>
  <si>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</si>
  <si>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</si>
  <si>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</si>
  <si>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</si>
  <si>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</si>
  <si>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</si>
  <si>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</si>
  <si>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</si>
  <si>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</si>
  <si>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</si>
  <si>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</si>
  <si>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</si>
  <si>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</si>
  <si>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</si>
  <si>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</si>
  <si>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</si>
  <si>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</si>
  <si>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</si>
  <si>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</si>
  <si>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</si>
  <si>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</si>
  <si>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</si>
  <si>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CUST-9841</t>
  </si>
  <si>
    <t>ORD-01556</t>
  </si>
  <si>
    <t>ORD-01557</t>
  </si>
  <si>
    <t>CUST-0140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</si>
  <si>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</si>
  <si>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</si>
  <si>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</si>
  <si>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</si>
  <si>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</si>
  <si>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</si>
  <si>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</si>
  <si>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</si>
  <si>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</si>
  <si>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</si>
  <si>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</si>
  <si>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</si>
  <si>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</si>
  <si>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</si>
  <si>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</si>
  <si>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</si>
  <si>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</si>
  <si>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</si>
  <si>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</si>
  <si>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</si>
  <si>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</si>
  <si>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</si>
  <si>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</si>
  <si>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</si>
  <si>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</si>
  <si>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</si>
  <si>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</si>
  <si>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</si>
  <si>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</si>
  <si>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</si>
  <si>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</si>
  <si>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</si>
  <si>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</si>
  <si>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</si>
  <si>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</si>
  <si>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</si>
  <si>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</si>
  <si>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</si>
  <si>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CHENNAI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</si>
  <si>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</si>
  <si>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</si>
  <si>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</si>
  <si>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</si>
  <si>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</si>
  <si>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</si>
  <si>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</si>
  <si>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</si>
  <si>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</si>
  <si>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</si>
  <si>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</si>
  <si>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</si>
  <si>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</si>
  <si>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</si>
  <si>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</si>
  <si>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</si>
  <si>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</si>
  <si>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</si>
  <si>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</si>
  <si>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</si>
  <si>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</si>
  <si>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</si>
  <si>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</si>
  <si>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</si>
  <si>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</si>
  <si>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</si>
  <si>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</si>
  <si>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</si>
  <si>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</si>
  <si>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</si>
  <si>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</si>
  <si>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</si>
  <si>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</si>
  <si>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</si>
  <si>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</si>
  <si>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</si>
  <si>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</si>
  <si>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</si>
  <si>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</si>
  <si>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</si>
  <si>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</si>
  <si>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</si>
  <si>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</si>
  <si>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</si>
  <si>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</si>
  <si>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</si>
  <si>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</si>
  <si>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</si>
  <si>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</si>
  <si>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</si>
  <si>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</si>
  <si>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</si>
  <si>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</si>
  <si>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</si>
  <si>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</si>
  <si>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</si>
  <si>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</si>
  <si>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</si>
  <si>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CUST-9719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</si>
  <si>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</si>
  <si>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</si>
  <si>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</si>
  <si>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</si>
  <si>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</si>
  <si>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</si>
  <si>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</si>
  <si>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ORD-01663</t>
  </si>
  <si>
    <t>ORD-01664</t>
  </si>
  <si>
    <t>ORD-01665</t>
  </si>
  <si>
    <t>ORD-01666</t>
  </si>
  <si>
    <t>ORD-01667</t>
  </si>
  <si>
    <t>ORD-01668</t>
  </si>
  <si>
    <t>ORD-01669</t>
  </si>
  <si>
    <t>CUST-9765</t>
  </si>
  <si>
    <t>ORD-01670</t>
  </si>
  <si>
    <t>ORD-01671</t>
  </si>
  <si>
    <t>ORD-01672</t>
  </si>
  <si>
    <t>CUST-9552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</si>
  <si>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</si>
  <si>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</si>
  <si>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</si>
  <si>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</si>
  <si>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</si>
  <si>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</si>
  <si>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</si>
  <si>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</si>
  <si>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</si>
  <si>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</si>
  <si>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</si>
  <si>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</si>
  <si>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</si>
  <si>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CUST-9740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</si>
  <si>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</si>
  <si>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</si>
  <si>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</si>
  <si>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</si>
  <si>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</si>
  <si>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</si>
  <si>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</si>
  <si>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</si>
  <si>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</si>
  <si>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</si>
  <si>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</si>
  <si>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</si>
  <si>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</si>
  <si>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</si>
  <si>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</si>
  <si>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</si>
  <si>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</si>
  <si>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</si>
  <si>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</si>
  <si>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</si>
  <si>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</si>
  <si>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</si>
  <si>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</si>
  <si>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</si>
  <si>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</si>
  <si>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</si>
  <si>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</si>
  <si>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</si>
  <si>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</si>
  <si>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</si>
  <si>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</si>
  <si>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</si>
  <si>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</si>
  <si>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</si>
  <si>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</si>
  <si>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</si>
  <si>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</si>
  <si>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</si>
  <si>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</si>
  <si>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</si>
  <si>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</si>
  <si>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</si>
  <si>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</si>
  <si>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</si>
  <si>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</si>
  <si>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</si>
  <si>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</si>
  <si>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</si>
  <si>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</si>
  <si>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</si>
  <si>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</si>
  <si>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</si>
  <si>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</si>
  <si>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</si>
  <si>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</si>
  <si>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</si>
  <si>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</si>
  <si>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</si>
  <si>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</si>
  <si>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</si>
  <si>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</si>
  <si>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</si>
  <si>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</si>
  <si>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</si>
  <si>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</si>
  <si>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</si>
  <si>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</si>
  <si>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</si>
  <si>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</si>
  <si>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</si>
  <si>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</si>
  <si>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</si>
  <si>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</si>
  <si>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</si>
  <si>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</si>
  <si>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</si>
  <si>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</si>
  <si>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</si>
  <si>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</si>
  <si>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</si>
  <si>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</si>
  <si>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</si>
  <si>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</si>
  <si>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</si>
  <si>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</si>
  <si>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</si>
  <si>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</si>
  <si>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</si>
  <si>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</si>
  <si>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</si>
  <si>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</si>
  <si>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</si>
  <si>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</si>
  <si>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</si>
  <si>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</si>
  <si>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</si>
  <si>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</si>
  <si>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</si>
  <si>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</si>
  <si>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</si>
  <si>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</si>
  <si>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</si>
  <si>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</si>
  <si>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</si>
  <si>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</si>
  <si>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</si>
  <si>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</si>
  <si>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</si>
  <si>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</si>
  <si>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</si>
  <si>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</si>
  <si>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</si>
  <si>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</si>
  <si>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</si>
  <si>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</si>
  <si>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</si>
  <si>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</si>
  <si>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</si>
  <si>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CUST-9725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</si>
  <si>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</si>
  <si>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</si>
  <si>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</si>
  <si>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</si>
  <si>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</si>
  <si>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</si>
  <si>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</si>
  <si>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</si>
  <si>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</si>
  <si>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</si>
  <si>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CUST-9630</t>
  </si>
  <si>
    <t>ORD-01816</t>
  </si>
  <si>
    <t>ORD-01817</t>
  </si>
  <si>
    <t>ORD-01818</t>
  </si>
  <si>
    <t>ORD-01819</t>
  </si>
  <si>
    <t>ORD-01820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</si>
  <si>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</si>
  <si>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</si>
  <si>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</si>
  <si>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</si>
  <si>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</si>
  <si>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</si>
  <si>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</si>
  <si>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</si>
  <si>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</si>
  <si>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</si>
  <si>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</si>
  <si>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</si>
  <si>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</si>
  <si>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</si>
  <si>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</si>
  <si>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</si>
  <si>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</si>
  <si>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</si>
  <si>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</si>
  <si>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</si>
  <si>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</si>
  <si>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</si>
  <si>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</si>
  <si>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</si>
  <si>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</si>
  <si>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</si>
  <si>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</si>
  <si>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</si>
  <si>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</si>
  <si>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</si>
  <si>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</si>
  <si>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</si>
  <si>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</si>
  <si>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</si>
  <si>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</si>
  <si>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</si>
  <si>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</si>
  <si>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</si>
  <si>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</si>
  <si>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</si>
  <si>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</si>
  <si>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</si>
  <si>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</si>
  <si>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</si>
  <si>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</si>
  <si>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</si>
  <si>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</si>
  <si>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</si>
  <si>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</si>
  <si>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</si>
  <si>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</si>
  <si>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</si>
  <si>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</si>
  <si>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</si>
  <si>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</si>
  <si>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</si>
  <si>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</si>
  <si>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</si>
  <si>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</si>
  <si>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</si>
  <si>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</si>
  <si>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</si>
  <si>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CUST-9967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</si>
  <si>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</si>
  <si>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</si>
  <si>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</si>
  <si>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</si>
  <si>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</si>
  <si>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</si>
  <si>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</si>
  <si>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</si>
  <si>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</si>
  <si>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</si>
  <si>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</si>
  <si>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</si>
  <si>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</si>
  <si>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</si>
  <si>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</si>
  <si>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</si>
  <si>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</si>
  <si>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</si>
  <si>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</si>
  <si>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</si>
  <si>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</si>
  <si>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</si>
  <si>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</si>
  <si>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</si>
  <si>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</si>
  <si>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</si>
  <si>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</si>
  <si>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</si>
  <si>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</si>
  <si>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</si>
  <si>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</si>
  <si>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</si>
  <si>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</si>
  <si>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</si>
  <si>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</si>
  <si>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 xml:space="preserve"> Chennai 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</si>
  <si>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</si>
  <si>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</si>
  <si>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</si>
  <si>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</si>
  <si>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</si>
  <si>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</si>
  <si>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</si>
  <si>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</si>
  <si>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</si>
  <si>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</si>
  <si>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</si>
  <si>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CUST-9905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</si>
  <si>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</si>
  <si>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</si>
  <si>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</si>
  <si>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</si>
  <si>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</si>
  <si>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</si>
  <si>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</si>
  <si>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</si>
  <si>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</si>
  <si>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</si>
  <si>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</si>
  <si>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</si>
  <si>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</si>
  <si>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</si>
  <si>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</si>
  <si>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</si>
  <si>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</si>
  <si>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</si>
  <si>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</si>
  <si>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</si>
  <si>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</si>
  <si>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</si>
  <si>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</si>
  <si>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</si>
  <si>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</si>
  <si>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</si>
  <si>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</si>
  <si>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</si>
  <si>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</si>
  <si>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</si>
  <si>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</si>
  <si>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</si>
  <si>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</si>
  <si>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</si>
  <si>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</si>
  <si>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</si>
  <si>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</si>
  <si>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</si>
  <si>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</si>
  <si>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</si>
  <si>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</si>
  <si>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</si>
  <si>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</si>
  <si>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</si>
  <si>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</si>
  <si>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</si>
  <si>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</si>
  <si>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</si>
  <si>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</si>
  <si>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</si>
  <si>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</si>
  <si>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</si>
  <si>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</si>
  <si>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</si>
  <si>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</si>
  <si>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</si>
  <si>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</si>
  <si>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</si>
  <si>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</si>
  <si>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</si>
  <si>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</si>
  <si>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</si>
  <si>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</si>
  <si>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</si>
  <si>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</si>
  <si>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</si>
  <si>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</si>
  <si>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</si>
  <si>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</si>
  <si>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</si>
  <si>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customer_name</t>
  </si>
  <si>
    <t>age</t>
  </si>
  <si>
    <t>city</t>
  </si>
  <si>
    <t>segment</t>
  </si>
  <si>
    <t>signup_date</t>
  </si>
  <si>
    <t>Amit Agarwal</t>
  </si>
  <si>
    <t>Retail</t>
  </si>
  <si>
    <t>Vihaan Malhotra</t>
  </si>
  <si>
    <t>Corporate</t>
  </si>
  <si>
    <t>Navya Malhotra</t>
  </si>
  <si>
    <t>Aaradhya Mehta</t>
  </si>
  <si>
    <t>delhi</t>
  </si>
  <si>
    <t>Myra Malhotra</t>
  </si>
  <si>
    <t>Shaurya Iyer</t>
  </si>
  <si>
    <t>SMB</t>
  </si>
  <si>
    <t>Dhruv Joshi</t>
  </si>
  <si>
    <t>Kavita Malhotra</t>
  </si>
  <si>
    <t>Neha Malhotra</t>
  </si>
  <si>
    <t>Aaradhya Gupta</t>
  </si>
  <si>
    <t>Diya Menon</t>
  </si>
  <si>
    <t>Prisha Desai</t>
  </si>
  <si>
    <t>Aryan Chopra</t>
  </si>
  <si>
    <t>Priya Malhotra</t>
  </si>
  <si>
    <t>Aadhya Bhatt</t>
  </si>
  <si>
    <t>Vivaan Nair</t>
  </si>
  <si>
    <t>Pranav Reddy</t>
  </si>
  <si>
    <t>Ahana Agarwal</t>
  </si>
  <si>
    <t>Myra Shah</t>
  </si>
  <si>
    <t>Dhruv Iyer</t>
  </si>
  <si>
    <t>Aditya Shah</t>
  </si>
  <si>
    <t>Kavya Sharma</t>
  </si>
  <si>
    <t>Rohan Kapoor</t>
  </si>
  <si>
    <t>Angel Gupta</t>
  </si>
  <si>
    <t>Anika Menon</t>
  </si>
  <si>
    <t xml:space="preserve">Diya Sharma   </t>
  </si>
  <si>
    <t>Navya Reddy</t>
  </si>
  <si>
    <t>Aarav Chopra</t>
  </si>
  <si>
    <t>Ananya Agarwal</t>
  </si>
  <si>
    <t>Advik Joshi</t>
  </si>
  <si>
    <t>Vijay Kumar</t>
  </si>
  <si>
    <t>Rohit Kumar</t>
  </si>
  <si>
    <t>Pari Shah</t>
  </si>
  <si>
    <t>Rahul Rao</t>
  </si>
  <si>
    <t>Aaradhya Desai</t>
  </si>
  <si>
    <t>Rohit Singh</t>
  </si>
  <si>
    <t>Iraa Mehta</t>
  </si>
  <si>
    <t>Rudra Verma</t>
  </si>
  <si>
    <t>Shaurya Menon</t>
  </si>
  <si>
    <t>Aarav Nair</t>
  </si>
  <si>
    <t>Pranav Gupta</t>
  </si>
  <si>
    <t xml:space="preserve">Rohan Reddy   </t>
  </si>
  <si>
    <t>Advik Kumar</t>
  </si>
  <si>
    <t>Myra Reddy</t>
  </si>
  <si>
    <t>Rohan Bhatt</t>
  </si>
  <si>
    <t>Rudra Agarwal</t>
  </si>
  <si>
    <t>Prisha Kumar</t>
  </si>
  <si>
    <t>Prisha Chopra</t>
  </si>
  <si>
    <t>Aadhya Reddy</t>
  </si>
  <si>
    <t>Myra Singh</t>
  </si>
  <si>
    <t>Rahul Kumar</t>
  </si>
  <si>
    <t>Pari Kumar</t>
  </si>
  <si>
    <t>Vivaan Shah</t>
  </si>
  <si>
    <t>Aarohi Patel</t>
  </si>
  <si>
    <t>Vivaan Verma</t>
  </si>
  <si>
    <t>Kavya Iyer</t>
  </si>
  <si>
    <t>Riya Mehta</t>
  </si>
  <si>
    <t>Priya Mehta</t>
  </si>
  <si>
    <t>Rahul Joshi</t>
  </si>
  <si>
    <t>Prisha Malhotra</t>
  </si>
  <si>
    <t>Kartik Chopra</t>
  </si>
  <si>
    <t>Rudra Singh</t>
  </si>
  <si>
    <t>Kabir Singh</t>
  </si>
  <si>
    <t>Aaradhya Bhatt</t>
  </si>
  <si>
    <t>Kiara Rao</t>
  </si>
  <si>
    <t>Kavya Chopra</t>
  </si>
  <si>
    <t>Kavita Menon</t>
  </si>
  <si>
    <t>Diya Shah</t>
  </si>
  <si>
    <t>Neha Menon</t>
  </si>
  <si>
    <t xml:space="preserve"> Anvi Kumar </t>
  </si>
  <si>
    <t>Pranav Malhotra</t>
  </si>
  <si>
    <t>Kabir Nair</t>
  </si>
  <si>
    <t>Vihaan Bhatt</t>
  </si>
  <si>
    <t>Rudra Desai</t>
  </si>
  <si>
    <t>Diya Patel</t>
  </si>
  <si>
    <t xml:space="preserve">Myra Gupta   </t>
  </si>
  <si>
    <t>Kiara Chopra</t>
  </si>
  <si>
    <t>Amit Iyer</t>
  </si>
  <si>
    <t>Amit Kumar</t>
  </si>
  <si>
    <t>Aditya Bhatt</t>
  </si>
  <si>
    <t>Meera Reddy</t>
  </si>
  <si>
    <t>Shaurya Bhatt</t>
  </si>
  <si>
    <t>Riya Patel</t>
  </si>
  <si>
    <t>Shaurya Reddy</t>
  </si>
  <si>
    <t>Aditya Kumar</t>
  </si>
  <si>
    <t>Ishaan Chopra</t>
  </si>
  <si>
    <t>Vijay Reddy</t>
  </si>
  <si>
    <t>Ahana Singh</t>
  </si>
  <si>
    <t>Kabir Chopra</t>
  </si>
  <si>
    <t>Dhruv Nair</t>
  </si>
  <si>
    <t>Suresh Mehta</t>
  </si>
  <si>
    <t>Kabir Shah</t>
  </si>
  <si>
    <t xml:space="preserve">  Pari Malhotra</t>
  </si>
  <si>
    <t>Riya Singh</t>
  </si>
  <si>
    <t>Iraa Kapoor</t>
  </si>
  <si>
    <t>Anika Malhotra</t>
  </si>
  <si>
    <t>Angel Sharma</t>
  </si>
  <si>
    <t>Myra Gupta</t>
  </si>
  <si>
    <t>Rudra Kapoor</t>
  </si>
  <si>
    <t>Advik Nair</t>
  </si>
  <si>
    <t>Pooja Singh</t>
  </si>
  <si>
    <t>Kiara Shah</t>
  </si>
  <si>
    <t>Aryan Agarwal</t>
  </si>
  <si>
    <t>Navya Mehta</t>
  </si>
  <si>
    <t xml:space="preserve">Ishaan Kapoor   </t>
  </si>
  <si>
    <t>Angel Shah</t>
  </si>
  <si>
    <t>Dhruv Gupta</t>
  </si>
  <si>
    <t>Ayaan Reddy</t>
  </si>
  <si>
    <t>Anika Shah</t>
  </si>
  <si>
    <t>Anvi Reddy</t>
  </si>
  <si>
    <t>Reyansh Patel</t>
  </si>
  <si>
    <t>Ritvik Kapoor</t>
  </si>
  <si>
    <t>BENGALURU</t>
  </si>
  <si>
    <t>Rohan Rao</t>
  </si>
  <si>
    <t>Myra Patel</t>
  </si>
  <si>
    <t>Aaradhya Joshi</t>
  </si>
  <si>
    <t>Vihaan Chopra</t>
  </si>
  <si>
    <t>Rohit Shah</t>
  </si>
  <si>
    <t xml:space="preserve"> Priya Kumar </t>
  </si>
  <si>
    <t>Pari Joshi</t>
  </si>
  <si>
    <t>Shaurya Agarwal</t>
  </si>
  <si>
    <t>Aryan Desai</t>
  </si>
  <si>
    <t>Neha Agarwal</t>
  </si>
  <si>
    <t>Angel Joshi</t>
  </si>
  <si>
    <t>Rohit Iyer</t>
  </si>
  <si>
    <t>hyderabad</t>
  </si>
  <si>
    <t>Kabir Kapoor</t>
  </si>
  <si>
    <t>Krishna Kapoor</t>
  </si>
  <si>
    <t xml:space="preserve">  Ishaan Joshi</t>
  </si>
  <si>
    <t>Iraa Kumar</t>
  </si>
  <si>
    <t>Ritvik Shah</t>
  </si>
  <si>
    <t>Aarohi Mehta</t>
  </si>
  <si>
    <t>Arjun Shah</t>
  </si>
  <si>
    <t>Riya Desai</t>
  </si>
  <si>
    <t>Aadhya Kumar</t>
  </si>
  <si>
    <t>Kavya Kumar</t>
  </si>
  <si>
    <t>Ishaan Verma</t>
  </si>
  <si>
    <t>chennai</t>
  </si>
  <si>
    <t>Karan Gupta</t>
  </si>
  <si>
    <t xml:space="preserve">  Kavita Shah</t>
  </si>
  <si>
    <t>Anika Bhatt</t>
  </si>
  <si>
    <t xml:space="preserve">Riya Kapoor   </t>
  </si>
  <si>
    <t>Aarohi Iyer</t>
  </si>
  <si>
    <t>Advik Menon</t>
  </si>
  <si>
    <t>Sanvi Menon</t>
  </si>
  <si>
    <t>Suresh Bhatt</t>
  </si>
  <si>
    <t>Aaradhya Verma</t>
  </si>
  <si>
    <t>Ayaan Chopra</t>
  </si>
  <si>
    <t>Pari Desai</t>
  </si>
  <si>
    <t>Anvi Patel</t>
  </si>
  <si>
    <t>Vihaan Kapoor</t>
  </si>
  <si>
    <t xml:space="preserve">Dhruv Kumar   </t>
  </si>
  <si>
    <t>Pooja Reddy</t>
  </si>
  <si>
    <t>Anaya Chopra</t>
  </si>
  <si>
    <t>Priya Joshi</t>
  </si>
  <si>
    <t>Krishna Reddy</t>
  </si>
  <si>
    <t>Meera Malhotra</t>
  </si>
  <si>
    <t>Neha Kumar</t>
  </si>
  <si>
    <t>Kartik Patel</t>
  </si>
  <si>
    <t>Vivaan Kumar</t>
  </si>
  <si>
    <t>Reyansh Verma</t>
  </si>
  <si>
    <t>Vihaan Gupta</t>
  </si>
  <si>
    <t>Aarav Iyer</t>
  </si>
  <si>
    <t>Aarav Singh</t>
  </si>
  <si>
    <t>Aditya Chopra</t>
  </si>
  <si>
    <t>Kiara Singh</t>
  </si>
  <si>
    <t>Sanvi Agarwal</t>
  </si>
  <si>
    <t>Suresh Nair</t>
  </si>
  <si>
    <t>Sara Desai</t>
  </si>
  <si>
    <t>Vivaan Gupta</t>
  </si>
  <si>
    <t>Amit Chopra</t>
  </si>
  <si>
    <t>Kabir Desai</t>
  </si>
  <si>
    <t>Aaradhya Malhotra</t>
  </si>
  <si>
    <t>Anika Mehta</t>
  </si>
  <si>
    <t>Aadhya Kapoor</t>
  </si>
  <si>
    <t>Advik Agarwal</t>
  </si>
  <si>
    <t>Navya Rao</t>
  </si>
  <si>
    <t>Rohit Chopra</t>
  </si>
  <si>
    <t>Kabir Joshi</t>
  </si>
  <si>
    <t>Kartik Kumar</t>
  </si>
  <si>
    <t>Riya Verma</t>
  </si>
  <si>
    <t>Anaya Sharma</t>
  </si>
  <si>
    <t>Aryan Menon</t>
  </si>
  <si>
    <t xml:space="preserve"> Shaurya Rao </t>
  </si>
  <si>
    <t>Rahul Singh</t>
  </si>
  <si>
    <t>Vijay Shah</t>
  </si>
  <si>
    <t>Karan Agarwal</t>
  </si>
  <si>
    <t>Sara Malhotra</t>
  </si>
  <si>
    <t>Myra Kapoor</t>
  </si>
  <si>
    <t>Kavya Mehta</t>
  </si>
  <si>
    <t>Reyansh Gupta</t>
  </si>
  <si>
    <t>Ishaan Mehta</t>
  </si>
  <si>
    <t>Krishna Mehta</t>
  </si>
  <si>
    <t>Aadhya Shah</t>
  </si>
  <si>
    <t>Ritvik Agarwal</t>
  </si>
  <si>
    <t>Aryan Singh</t>
  </si>
  <si>
    <t>Ayaan Joshi</t>
  </si>
  <si>
    <t>Ayaan Singh</t>
  </si>
  <si>
    <t>Anika Rao</t>
  </si>
  <si>
    <t>Shaurya Kumar</t>
  </si>
  <si>
    <t>Priya Chopra</t>
  </si>
  <si>
    <t>Pari Verma</t>
  </si>
  <si>
    <t>Anvi Malhotra</t>
  </si>
  <si>
    <t>Kavita Bhatt</t>
  </si>
  <si>
    <t>Krishna Menon</t>
  </si>
  <si>
    <t>Pooja Kumar</t>
  </si>
  <si>
    <t xml:space="preserve">Anika Singh   </t>
  </si>
  <si>
    <t>Kavita Sharma</t>
  </si>
  <si>
    <t>Suresh Kumar</t>
  </si>
  <si>
    <t>Aarav Mehta</t>
  </si>
  <si>
    <t>Aaradhya Iyer</t>
  </si>
  <si>
    <t>Karan Singh</t>
  </si>
  <si>
    <t>Aadhya Singh</t>
  </si>
  <si>
    <t>Aarav Menon</t>
  </si>
  <si>
    <t>Kiara Agarwal</t>
  </si>
  <si>
    <t>Ahana Patel</t>
  </si>
  <si>
    <t>Iraa Shah</t>
  </si>
  <si>
    <t>Rohit Kapoor</t>
  </si>
  <si>
    <t>Kavita Agarwal</t>
  </si>
  <si>
    <t>Rudra Gupta</t>
  </si>
  <si>
    <t>Dhruv Verma</t>
  </si>
  <si>
    <t>Ananya Verma</t>
  </si>
  <si>
    <t>Aditya Nair</t>
  </si>
  <si>
    <t>Pari Kapoor</t>
  </si>
  <si>
    <t>Prisha Patel</t>
  </si>
  <si>
    <t>Aryan Iyer</t>
  </si>
  <si>
    <t xml:space="preserve">Kavita Shah   </t>
  </si>
  <si>
    <t>Pari Patel</t>
  </si>
  <si>
    <t>Aadhya Mehta</t>
  </si>
  <si>
    <t>Ananya Malhotra</t>
  </si>
  <si>
    <t>Anika Joshi</t>
  </si>
  <si>
    <t>Neha Patel</t>
  </si>
  <si>
    <t>Sanvi Shah</t>
  </si>
  <si>
    <t>Navya Menon</t>
  </si>
  <si>
    <t>Neha Mehta</t>
  </si>
  <si>
    <t>Sara Joshi</t>
  </si>
  <si>
    <t>Diya Reddy</t>
  </si>
  <si>
    <t>Kabir Menon</t>
  </si>
  <si>
    <t>Rahul Desai</t>
  </si>
  <si>
    <t>Arjun Kapoor</t>
  </si>
  <si>
    <t>Riya Kapoor</t>
  </si>
  <si>
    <t xml:space="preserve">  Ishaan Kumar</t>
  </si>
  <si>
    <t>Ishaan Kumar</t>
  </si>
  <si>
    <t>Aarohi Gupta</t>
  </si>
  <si>
    <t>Aditya Patel</t>
  </si>
  <si>
    <t>Ananya Menon</t>
  </si>
  <si>
    <t>Myra Bhatt</t>
  </si>
  <si>
    <t>Pranav Bhatt</t>
  </si>
  <si>
    <t>Kavita Mehta</t>
  </si>
  <si>
    <t>Aadhya Desai</t>
  </si>
  <si>
    <t>Myra Kumar</t>
  </si>
  <si>
    <t>Kartik Malhotra</t>
  </si>
  <si>
    <t>Kavita Patel</t>
  </si>
  <si>
    <t>Kabir Gupta</t>
  </si>
  <si>
    <t>Dhruv Reddy</t>
  </si>
  <si>
    <t>Arjun Singh</t>
  </si>
  <si>
    <t>Rohan Sharma</t>
  </si>
  <si>
    <t>Aarohi Nair</t>
  </si>
  <si>
    <t>Anaya Joshi</t>
  </si>
  <si>
    <t>Ayaan Verma</t>
  </si>
  <si>
    <t>Krishna Desai</t>
  </si>
  <si>
    <t>Meera Chopra</t>
  </si>
  <si>
    <t>Rohan Menon</t>
  </si>
  <si>
    <t>Neha Desai</t>
  </si>
  <si>
    <t>Rohan Agarwal</t>
  </si>
  <si>
    <t>Navya Sharma</t>
  </si>
  <si>
    <t>Vivaan Agarwal</t>
  </si>
  <si>
    <t>Rahul Iyer</t>
  </si>
  <si>
    <t>Rohit Nair</t>
  </si>
  <si>
    <t>product_name</t>
  </si>
  <si>
    <t>category</t>
  </si>
  <si>
    <t>unit_cost</t>
  </si>
  <si>
    <t>is_active</t>
  </si>
  <si>
    <t>Smartphone Pro</t>
  </si>
  <si>
    <t>Electronics</t>
  </si>
  <si>
    <t>Wireless Earbuds</t>
  </si>
  <si>
    <t>Smart Watch</t>
  </si>
  <si>
    <t>Laptop Bag</t>
  </si>
  <si>
    <t>Power Bank</t>
  </si>
  <si>
    <t>Bluetooth Speaker</t>
  </si>
  <si>
    <t>USB-C Cable</t>
  </si>
  <si>
    <t>Wireless Mouse</t>
  </si>
  <si>
    <t>Mechanical Keyboard</t>
  </si>
  <si>
    <t>Tablet Stand</t>
  </si>
  <si>
    <t>Cotton T-Shirt</t>
  </si>
  <si>
    <t>Apparel</t>
  </si>
  <si>
    <t>Denim Jeans</t>
  </si>
  <si>
    <t>Formal Shirt</t>
  </si>
  <si>
    <t>Winter Jacket</t>
  </si>
  <si>
    <t>Sports Shoes</t>
  </si>
  <si>
    <t>Casual Sneakers</t>
  </si>
  <si>
    <t>Silk Saree</t>
  </si>
  <si>
    <t>Kurta Set</t>
  </si>
  <si>
    <t>Track Pants</t>
  </si>
  <si>
    <t>Woolen Sweater</t>
  </si>
  <si>
    <t>Basmati Rice 5kg</t>
  </si>
  <si>
    <t>Grocery</t>
  </si>
  <si>
    <t>Wheat Flour 10kg</t>
  </si>
  <si>
    <t>Cooking Oil 5L</t>
  </si>
  <si>
    <t>Turmeric Powder 500g</t>
  </si>
  <si>
    <t>Chili Powder 500g</t>
  </si>
  <si>
    <t>Sugar 5kg</t>
  </si>
  <si>
    <t>Tea Leaves 1kg</t>
  </si>
  <si>
    <t>Coffee Beans 500g</t>
  </si>
  <si>
    <t>Ghee 1L</t>
  </si>
  <si>
    <t>Salt 1kg</t>
  </si>
  <si>
    <t>Bed Sheet Set</t>
  </si>
  <si>
    <t>Home</t>
  </si>
  <si>
    <t>Pillow Cover Pair</t>
  </si>
  <si>
    <t>Curtain Set</t>
  </si>
  <si>
    <t>Kitchen Towel Set</t>
  </si>
  <si>
    <t>Doormat</t>
  </si>
  <si>
    <t>Wall Clock</t>
  </si>
  <si>
    <t>Table Lamp</t>
  </si>
  <si>
    <t>Storage Box</t>
  </si>
  <si>
    <t>Photo Frame</t>
  </si>
  <si>
    <t>Cushion Cover</t>
  </si>
  <si>
    <t>Face Wash 100ml</t>
  </si>
  <si>
    <t>Beauty</t>
  </si>
  <si>
    <t>Moisturizer 200ml</t>
  </si>
  <si>
    <t>Shampoo 500ml</t>
  </si>
  <si>
    <t>Conditioner 500ml</t>
  </si>
  <si>
    <t>Body Lotion 400ml</t>
  </si>
  <si>
    <t>Sunscreen SPF50</t>
  </si>
  <si>
    <t>Lipstick</t>
  </si>
  <si>
    <t>Kajal</t>
  </si>
  <si>
    <t>Hair Oil 200ml</t>
  </si>
  <si>
    <t>Perfume 100ml</t>
  </si>
  <si>
    <t>Yoga Mat</t>
  </si>
  <si>
    <t>Sports</t>
  </si>
  <si>
    <t>Dumbbells 5kg</t>
  </si>
  <si>
    <t>Skipping Rope</t>
  </si>
  <si>
    <t>Cricket Bat</t>
  </si>
  <si>
    <t>Football Size 5</t>
  </si>
  <si>
    <t>Badminton Racket</t>
  </si>
  <si>
    <t>Tennis Ball Pack</t>
  </si>
  <si>
    <t>Cycling Helmet</t>
  </si>
  <si>
    <t>Water Bottle 1L</t>
  </si>
  <si>
    <t>Gym Gloves</t>
  </si>
  <si>
    <t>rep_id</t>
  </si>
  <si>
    <t>rep_name</t>
  </si>
  <si>
    <t>region</t>
  </si>
  <si>
    <t>hire_date</t>
  </si>
  <si>
    <t>team_lead_id</t>
  </si>
  <si>
    <t>Rajesh Malhotra</t>
  </si>
  <si>
    <t>North</t>
  </si>
  <si>
    <t>Sunita Malhotra</t>
  </si>
  <si>
    <t>Amit Singh</t>
  </si>
  <si>
    <t>Priya Singh</t>
  </si>
  <si>
    <t>Vikram Patel</t>
  </si>
  <si>
    <t>Suresh Menon</t>
  </si>
  <si>
    <t>Manoj Patel</t>
  </si>
  <si>
    <t>South</t>
  </si>
  <si>
    <t>Divya Rao</t>
  </si>
  <si>
    <t>Anil Verma</t>
  </si>
  <si>
    <t>Pooja Nair</t>
  </si>
  <si>
    <t>Sanjay Kapoor</t>
  </si>
  <si>
    <t>Ritu Menon</t>
  </si>
  <si>
    <t>Deepak Shah</t>
  </si>
  <si>
    <t>Anjali Chopra</t>
  </si>
  <si>
    <t>Naveen Singh</t>
  </si>
  <si>
    <t>East</t>
  </si>
  <si>
    <t>Shalini Patel</t>
  </si>
  <si>
    <t>Prakash Shah</t>
  </si>
  <si>
    <t>Meera Iyer</t>
  </si>
  <si>
    <t>Gaurav Desai</t>
  </si>
  <si>
    <t>Nisha Menon</t>
  </si>
  <si>
    <t>Vinod Kumar</t>
  </si>
  <si>
    <t>Rekha Chopra</t>
  </si>
  <si>
    <t>West</t>
  </si>
  <si>
    <t>Ashok Reddy</t>
  </si>
  <si>
    <t>Sonia Malhotra</t>
  </si>
  <si>
    <t>Ramesh Bhatt</t>
  </si>
  <si>
    <t>Preeti Shah</t>
  </si>
  <si>
    <t>Arun Iyer</t>
  </si>
  <si>
    <t>Kiran Bhatt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</si>
  <si>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</si>
  <si>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</si>
  <si>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</si>
  <si>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</si>
  <si>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</si>
  <si>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</si>
  <si>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</si>
  <si>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</si>
  <si>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</si>
  <si>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</si>
  <si>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</si>
  <si>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</si>
  <si>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Q1 - LOOKUP FUNCTIONS  (25 marks total)</t>
  </si>
  <si>
    <t>VLOOKUP · INDEX-MATCH · Two-way lookup · Chain lookup · Approximate lookup · Self-join</t>
  </si>
  <si>
    <t>Q#</t>
  </si>
  <si>
    <t>Question</t>
  </si>
  <si>
    <t>Hint</t>
  </si>
  <si>
    <t>Your Answer</t>
  </si>
  <si>
    <t>Format</t>
  </si>
  <si>
    <t>Q1.1</t>
  </si>
  <si>
    <t>For order ORD-00234, what is the customer_id?</t>
  </si>
  <si>
    <t>Simple VLOOKUP on Orders sheet.</t>
  </si>
  <si>
    <t>CUST-####</t>
  </si>
  <si>
    <t>Q1.2</t>
  </si>
  <si>
    <t>For order ORD-00456, what is the product_name? (You will need to look up the product_id first, then find its name in Products.)</t>
  </si>
  <si>
    <t>Two-step lookup, or nested VLOOKUP.</t>
  </si>
  <si>
    <t>Text</t>
  </si>
  <si>
    <t>Q1.3</t>
  </si>
  <si>
    <t>For order ORD-00987, what is the rep_name of the sales rep? Note: the rep_name is in a column that appears to the LEFT of what you might look up first.</t>
  </si>
  <si>
    <t>VLOOKUP has directional limits - INDEX/MATCH does not.</t>
  </si>
  <si>
    <t>Q1.4</t>
  </si>
  <si>
    <t>From the Targets sheet, what is the target value for rep R012 in the month Mar-24?</t>
  </si>
  <si>
    <t>Two-way lookup: row = rep_id, column = month.</t>
  </si>
  <si>
    <t>Whole number</t>
  </si>
  <si>
    <t>Q1.5</t>
  </si>
  <si>
    <t>For order ORD-01500, what is the CATEGORY of the product ordered? (Chain: order → product_id → category)</t>
  </si>
  <si>
    <t>Multi-hop lookup across sheets.</t>
  </si>
  <si>
    <t>Q1.6</t>
  </si>
  <si>
    <t>For order ORD-00789, which DISCOUNT SLAB does it fall in? Use the slab table below (rows 20-24). Slab breakpoints are the LOWER bound of each range.</t>
  </si>
  <si>
    <t>Approximate-match VLOOKUP (sort ascending, TRUE / omit last arg).</t>
  </si>
  <si>
    <t>Q1.7</t>
  </si>
  <si>
    <t>For order ORD-01234, in one cell produce the string:  "&lt;rep_name&gt; (&lt;sales_region&gt;)"  - e.g. "Amit Singh (South)".</t>
  </si>
  <si>
    <t>Two lookups joined with &amp; or CONCATENATE.</t>
  </si>
  <si>
    <t>Q1.8</t>
  </si>
  <si>
    <t>What is the rep_name of the TEAM LEAD for rep R017? (The Sales_Reps sheet has team_lead_id - you need to self-join to find that person's name.)</t>
  </si>
  <si>
    <t>Look up the team_lead_id, then look up THAT id's rep_name.</t>
  </si>
  <si>
    <t>DISCOUNT SLAB REFERENCE TABLE (use for Q1.6)</t>
  </si>
  <si>
    <t>Discount % (Lower)</t>
  </si>
  <si>
    <t>Slab</t>
  </si>
  <si>
    <t>Bronze</t>
  </si>
  <si>
    <t>Silver</t>
  </si>
  <si>
    <t>Gold</t>
  </si>
  <si>
    <t>Platinum</t>
  </si>
  <si>
    <t>Q2 - DATA CLEANING &amp; QUALITY DIAGNOSTICS  (20 marks total)</t>
  </si>
  <si>
    <t>Duplicates · Whitespace · Case Inconsistency · Referential Integrity · Discontinued SKUs · Anomaly Patterns</t>
  </si>
  <si>
    <t>Q2.1</t>
  </si>
  <si>
    <t>How many DUPLICATE rows exist in the Orders sheet (i.e., how many order_id values appear more than once)? Count each duplicate as ONE (not the extras).</t>
  </si>
  <si>
    <t>COUNTIF &gt; 1, then count. Watch what you're counting - rows or IDs.</t>
  </si>
  <si>
    <t>Q2.2</t>
  </si>
  <si>
    <t>How many customers in the Customers sheet have LEADING or TRAILING whitespace in their customer_name?</t>
  </si>
  <si>
    <t>Compare LEN vs LEN(TRIM). Or use SUMPRODUCT with a boolean.</t>
  </si>
  <si>
    <t>Q2.3</t>
  </si>
  <si>
    <t>The Customers sheet has some cities in inconsistent case (e.g., "mumbai", "MUMBAI", "Mumbai"). How many DISTINCT cities exist AFTER standardizing case?</t>
  </si>
  <si>
    <t>Combine PROPER/UPPER with a de-dup count. SUMPRODUCT + 1/COUNTIF trick works.</t>
  </si>
  <si>
    <t>Q2.4</t>
  </si>
  <si>
    <t>How many orders reference a customer_id that DOES NOT EXIST in the Customers sheet? (Broken foreign key)</t>
  </si>
  <si>
    <t>Use MATCH with ISNA/ISERROR, then count.</t>
  </si>
  <si>
    <t>Q2.5</t>
  </si>
  <si>
    <t>How many orders reference a product that is currently DISCONTINUED (is_active = FALSE in the Products sheet)?</t>
  </si>
  <si>
    <t>VLOOKUP the is_active flag, then count where FALSE.</t>
  </si>
  <si>
    <t>Q2.6</t>
  </si>
  <si>
    <t>Find the "suspicious pattern": how many orders have payment_status = "Cancelled" AND a discount_pct &gt; 20%? (This pattern often indicates promo abuse - a real-world diagnostic query.)</t>
  </si>
  <si>
    <t>COUNTIFS with two criteria.</t>
  </si>
  <si>
    <t>Q3 - CONDITIONAL AGGREGATION  (25 marks total)</t>
  </si>
  <si>
    <t>SUMIFS · COUNTIFS · AVERAGEIFS · Nested IF logic · Multi-sheet aggregation · Top-N logic</t>
  </si>
  <si>
    <t>Q3.1</t>
  </si>
  <si>
    <t>What is the TOTAL REVENUE (sum of final_amount) for orders in Q3 2024 (Jul-Sep) where ship_city is Mumbai?</t>
  </si>
  <si>
    <t>SUMIFS with 3 conditions: date &gt;= start, date &lt;= end, city = Mumbai. Beware case issues.</t>
  </si>
  <si>
    <t>Currency</t>
  </si>
  <si>
    <t>Q3.2</t>
  </si>
  <si>
    <t>How many orders have discount_pct &gt; 15% AND payment_status = "Completed"?</t>
  </si>
  <si>
    <t>COUNTIFS with two conditions.</t>
  </si>
  <si>
    <t>Q3.3</t>
  </si>
  <si>
    <t>What is the AVERAGE final_amount for orders where the product CATEGORY is "Electronics" AND the customer SEGMENT is "Corporate"? Note: Both fields come from OTHER sheets - you'll need helper columns.</t>
  </si>
  <si>
    <t>Helper columns in Orders: VLOOKUP category from Products, VLOOKUP segment from Customers. Then AVERAGEIFS.</t>
  </si>
  <si>
    <t>Q3.4</t>
  </si>
  <si>
    <t>What is the COMBINED REVENUE of the TOP 3 reps by total revenue? (Sum of the 3 highest rep totals.)</t>
  </si>
  <si>
    <t>Compute per-rep totals, then use SUMPRODUCT with LARGE, or sort and sum top 3.</t>
  </si>
  <si>
    <t>Q3.5</t>
  </si>
  <si>
    <t>For rep R015 in Nov-24: compute the actual revenue and compare to the target (from Targets sheet). Report the PERFORMANCE TIER using: &lt;80% → "Below", 80-120% → "On Track", &gt;120% → "Exceeds". Return only the tier text.</t>
  </si>
  <si>
    <t>Nested IF (or IFS): compute actual/target ratio, then classify.</t>
  </si>
  <si>
    <t>Q3.6</t>
  </si>
  <si>
    <t>What is the TOTAL revenue from Corporate segment customers aged between 30 and 40 (both inclusive)?</t>
  </si>
  <si>
    <t>Helper columns for age and segment. Then SUMIFS with numeric range.</t>
  </si>
  <si>
    <t>Q4 - PIVOT TABLES  (20 marks total)</t>
  </si>
  <si>
    <t>2D Pivots · Filters · % of Row Total · Date Grouping · Calculated Fields · Cross-Sheet Data</t>
  </si>
  <si>
    <t>Q4.1</t>
  </si>
  <si>
    <t>Build a pivot with sales_region as rows and product category as columns, values = SUM of final_amount. What value appears at the intersection of "South" and "Electronics"?</t>
  </si>
  <si>
    <t>You need to add category (from Products) and region (from Sales_Reps) as columns to Orders first. Insert PivotTable from combined data.</t>
  </si>
  <si>
    <t>Q4.2</t>
  </si>
  <si>
    <t>Build a pivot: rows = order month (Jan-24 through Dec-24), columns = sales_rep_id, values = SUM of final_amount. What is the HIGHEST single value in the entire pivot? (One number.)</t>
  </si>
  <si>
    <t>After building, use MAX() over the pivot data range, or scan visually.</t>
  </si>
  <si>
    <t>Q4.3</t>
  </si>
  <si>
    <t>For the North sales_region only: what PERCENTAGE of total revenue comes from the Apparel category? Configure the pivot with Show Values As → % of Row Total.</t>
  </si>
  <si>
    <t>Pivot: rows=region, cols=category, values=sum(final_amount), Show Values As = % of Row Total.</t>
  </si>
  <si>
    <t>Percentage</t>
  </si>
  <si>
    <t>Q4.4</t>
  </si>
  <si>
    <t>Group order dates by QUARTER in a pivot. What is the total revenue for Q4 2024 (Oct-Dec)?</t>
  </si>
  <si>
    <t>PivotTable → Group By → Quarter. Or SUMIFS with date range.</t>
  </si>
  <si>
    <t>Q4.5</t>
  </si>
  <si>
    <t>Create a CALCULATED FIELD in the pivot: profit_margin = (unit_price - unit_cost) / unit_price. What is the AVERAGE profit_margin for orders shipped to Delhi? Give as a percentage.</t>
  </si>
  <si>
    <t>Add unit_cost via VLOOKUP as helper column. Create pivot calculated field, filter to Delhi.</t>
  </si>
  <si>
    <t>Q5 - ADVANCED  (10 marks total)</t>
  </si>
  <si>
    <t>RANK · Running Totals · TEXTJOIN · LARGE + INDEX/MATCH · Multi-condition top-N</t>
  </si>
  <si>
    <t>Q5.1</t>
  </si>
  <si>
    <t>Rank all sales reps by total revenue (highest = rank 1). Who (name) is at RANK #7?</t>
  </si>
  <si>
    <t>Per-rep totals, then use RANK.EQ, or sort. Return the rep_name at position 7.</t>
  </si>
  <si>
    <t>Q5.2</t>
  </si>
  <si>
    <t>What is the CUMULATIVE revenue from Jan 2024 through the end of Aug 2024? (Sum of final_amount where order_date &lt;= 31-Aug-2024.)</t>
  </si>
  <si>
    <t>SUMIFS with date &lt;=.</t>
  </si>
  <si>
    <t>Q5.3</t>
  </si>
  <si>
    <t>Among orders where the sales rep is in the WEST region: which product (by name) has the 2nd highest total revenue?</t>
  </si>
  <si>
    <t>Helper: sales_region on orders. Filter/pivot to West, sum by product, rank, get #2, VLOOKUP product name.</t>
  </si>
  <si>
    <t>Q5.4</t>
  </si>
  <si>
    <t>Concatenate the names of the top 5 reps by revenue into a single cell, separated by " | " (space-pipe-space).</t>
  </si>
  <si>
    <t>TEXTJOIN with delimiter " | ". Combine with LARGE to pull top 5.</t>
  </si>
  <si>
    <t>Q5.5</t>
  </si>
  <si>
    <t>What is the HIGHEST single order value (final_amount) where ship_city = "Bengaluru" AND the product's category = "Grocery"?</t>
  </si>
  <si>
    <t>MAXIFS with a category helper column, or nested MAX(IF()).</t>
  </si>
  <si>
    <t>Order ID</t>
  </si>
  <si>
    <t>Order Date</t>
  </si>
  <si>
    <t>Customer ID</t>
  </si>
  <si>
    <t>Product ID</t>
  </si>
  <si>
    <t>Sales Rep ID</t>
  </si>
  <si>
    <t>Quantity</t>
  </si>
  <si>
    <t>Unit Price</t>
  </si>
  <si>
    <t>Discount %</t>
  </si>
  <si>
    <t>Final Amount</t>
  </si>
  <si>
    <t>Payment Status</t>
  </si>
  <si>
    <t>Ship City</t>
  </si>
  <si>
    <t>Category</t>
  </si>
  <si>
    <t>Unit Cost</t>
  </si>
  <si>
    <t>Sales Region</t>
  </si>
  <si>
    <t>Customer Segment</t>
  </si>
  <si>
    <t>Customer Age</t>
  </si>
  <si>
    <t>Profit Margin</t>
  </si>
  <si>
    <t>Customer Check</t>
  </si>
  <si>
    <t>Active Product?</t>
  </si>
  <si>
    <t>Answer / Calculation</t>
  </si>
  <si>
    <t>Beginner formula used</t>
  </si>
  <si>
    <t>Rep ID</t>
  </si>
  <si>
    <t>Rep Name</t>
  </si>
  <si>
    <t>Total Revenue</t>
  </si>
  <si>
    <t>Rank</t>
  </si>
  <si>
    <t>Month</t>
  </si>
  <si>
    <t>Product Name</t>
  </si>
  <si>
    <t>West Revenue</t>
  </si>
  <si>
    <t>West Rank</t>
  </si>
  <si>
    <t>Duplicate Share</t>
  </si>
  <si>
    <t>Name Has Extra Space</t>
  </si>
  <si>
    <t>City Unique Share</t>
  </si>
  <si>
    <t>Missing Customer</t>
  </si>
  <si>
    <t>Inactive Product</t>
  </si>
  <si>
    <t>INDEX + MATCH</t>
  </si>
  <si>
    <t>Order product ID, then VLOOKUP</t>
  </si>
  <si>
    <t>INDEX + MATCH for rep name</t>
  </si>
  <si>
    <t>Two-way INDEX + MATCH</t>
  </si>
  <si>
    <t>Chain lookup</t>
  </si>
  <si>
    <t>Approximate VLOOKUP</t>
  </si>
  <si>
    <t>Two lookups joined with &amp;</t>
  </si>
  <si>
    <t>Self lookup</t>
  </si>
  <si>
    <t>Row-by-row duplicate check</t>
  </si>
  <si>
    <t>LEN vs TRIM helper</t>
  </si>
  <si>
    <t>Case-insensitive city helper</t>
  </si>
  <si>
    <t>Missing customer helper</t>
  </si>
  <si>
    <t>Inactive product helper</t>
  </si>
  <si>
    <t>COUNTIFS</t>
  </si>
  <si>
    <t>SUMIFS: date range + city</t>
  </si>
  <si>
    <t>AVERAGEIFS with helpers</t>
  </si>
  <si>
    <t>Top 3 using LARGE</t>
  </si>
  <si>
    <t>Nested IF on actual / target</t>
  </si>
  <si>
    <t>SUMIFS with age band</t>
  </si>
  <si>
    <t>2D pivot intersection</t>
  </si>
  <si>
    <t>MAX of month x rep table</t>
  </si>
  <si>
    <t>% of North row total</t>
  </si>
  <si>
    <t>SUMIFS for Q4</t>
  </si>
  <si>
    <t>Average profit margin</t>
  </si>
  <si>
    <t>Rank and INDEX/MATCH</t>
  </si>
  <si>
    <t>Running cumulative SUMIFS</t>
  </si>
  <si>
    <t>West product rank</t>
  </si>
  <si>
    <t>TEXTJOIN top five reps</t>
  </si>
  <si>
    <t>MAXIFS with two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</si>
</sst>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dd\-mmm\-yy"/>
    <numFmt numFmtId="166" formatCode="0.0"/>
    <numFmt numFmtId="167" formatCode="\₹#,##0.00"/>
    <numFmt numFmtId="168" formatCode="mmm\-yy"/>
  </numFmts>
  <fonts count="13" x14ac:knownFonts="1">
    <font>
      <sz val="11"/>
      <color theme="1"/>
      <name val="Calibri"/>
    </font>
    <font>
      <sz val="10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name val="Arial"/>
    </font>
    <font>
      <b/>
      <sz val="16"/>
      <color rgb="FFFFFFFF"/>
      <name val="Arial"/>
    </font>
    <font>
      <i/>
      <sz val="10"/>
      <color rgb="FF1F4E79"/>
      <name val="Arial"/>
    </font>
    <font>
      <b/>
      <sz val="10"/>
      <color rgb="FF1F4E79"/>
      <name val="Arial"/>
    </font>
    <font>
      <i/>
      <sz val="9"/>
      <color rgb="FF595959"/>
      <name val="Arial"/>
    </font>
    <font>
      <b/>
      <sz val="11"/>
      <color rgb="FF1F4E79"/>
      <name val="Arial"/>
    </font>
    <font>
      <b/>
      <sz val="10"/>
      <color rgb="FFFFFFFF"/>
      <name val="Arial"/>
    </font>
    <font>
      <b/>
      <sz val="11"/>
      <color rgb="FFFFFFFF"/>
      <name val="Calibri"/>
    </font>
    <font>
      <b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1F4E78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/>
    <xf numFmtId="0" fontId="10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/>
    <xf numFmtId="0" fontId="2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1" fillId="4" borderId="0" xfId="0" applyFont="1" applyFill="1" applyAlignment="1">
      <alignment horizontal="center" wrapText="1"/>
    </xf>
    <xf numFmtId="0" fontId="11" fillId="4" borderId="3" xfId="0" applyFont="1" applyFill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4" borderId="5" xfId="0" applyFont="1" applyFill="1" applyBorder="1" applyAlignment="1">
      <alignment horizont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1" fillId="4" borderId="11" xfId="0" applyFont="1" applyFill="1" applyBorder="1" applyAlignment="1">
      <alignment horizontal="center" wrapText="1"/>
    </xf>
    <xf numFmtId="0" fontId="0" fillId="0" borderId="11" xfId="0" applyBorder="1"/>
    <xf numFmtId="165" fontId="0" fillId="0" borderId="0" xfId="0" applyNumberFormat="1"/>
    <xf numFmtId="165" fontId="0" fillId="0" borderId="9" xfId="0" applyNumberFormat="1" applyBorder="1"/>
    <xf numFmtId="4" fontId="0" fillId="0" borderId="0" xfId="0" applyNumberFormat="1"/>
    <xf numFmtId="4" fontId="0" fillId="0" borderId="9" xfId="0" applyNumberFormat="1" applyBorder="1"/>
    <xf numFmtId="166" fontId="0" fillId="0" borderId="0" xfId="0" applyNumberFormat="1"/>
    <xf numFmtId="166" fontId="0" fillId="0" borderId="9" xfId="0" applyNumberFormat="1" applyBorder="1"/>
    <xf numFmtId="167" fontId="0" fillId="0" borderId="0" xfId="0" applyNumberFormat="1"/>
    <xf numFmtId="167" fontId="0" fillId="0" borderId="9" xfId="0" applyNumberFormat="1" applyBorder="1"/>
    <xf numFmtId="10" fontId="0" fillId="0" borderId="0" xfId="0" applyNumberFormat="1"/>
    <xf numFmtId="10" fontId="0" fillId="0" borderId="9" xfId="0" applyNumberFormat="1" applyBorder="1"/>
    <xf numFmtId="167" fontId="0" fillId="0" borderId="11" xfId="0" applyNumberFormat="1" applyBorder="1"/>
    <xf numFmtId="168" fontId="0" fillId="0" borderId="0" xfId="0" applyNumberFormat="1"/>
    <xf numFmtId="3" fontId="0" fillId="0" borderId="11" xfId="0" applyNumberFormat="1" applyBorder="1"/>
    <xf numFmtId="4" fontId="0" fillId="0" borderId="11" xfId="0" applyNumberFormat="1" applyBorder="1"/>
    <xf numFmtId="10" fontId="0" fillId="0" borderId="11" xfId="0" applyNumberFormat="1" applyBorder="1"/>
    <xf numFmtId="3" fontId="4" fillId="3" borderId="2" xfId="0" applyNumberFormat="1" applyFont="1" applyFill="1" applyBorder="1" applyAlignment="1">
      <alignment horizontal="center" vertical="center"/>
    </xf>
    <xf numFmtId="4" fontId="4" fillId="3" borderId="2" xfId="0" applyNumberFormat="1" applyFont="1" applyFill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0" fillId="0" borderId="0" xfId="0"/>
    <xf numFmtId="0" fontId="6" fillId="0" borderId="2" xfId="0" applyFont="1" applyBorder="1" applyAlignment="1">
      <alignment horizontal="center" vertical="center"/>
    </xf>
    <xf numFmtId="0" fontId="0" fillId="0" borderId="2" xfId="0" applyBorder="1"/>
    <xf numFmtId="0" fontId="5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K2001"/>
  <sheetViews>
    <sheetView workbookViewId="0"/>
  </sheetViews>
  <sheetFormatPr defaultRowHeight="14.5" x14ac:dyDescent="0.35"/>
  <cols>
    <col min="1" max="1" width="11" customWidth="1"/>
    <col min="2" max="2" width="12" customWidth="1"/>
    <col min="3" max="3" width="13" customWidth="1"/>
    <col min="4" max="4" width="12" customWidth="1"/>
    <col min="5" max="5" width="14" customWidth="1"/>
    <col min="6" max="6" width="10" customWidth="1"/>
    <col min="7" max="7" width="12" customWidth="1"/>
    <col min="8" max="9" width="14" customWidth="1"/>
    <col min="10" max="10" width="16" customWidth="1"/>
    <col min="11" max="11" width="11" customWidth="1"/>
  </cols>
  <sheetData>
    <row r="1" spans="1:1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 x14ac:dyDescent="0.35">
      <c r="A2" s="2" t="s">
        <v>12</v>
      </c>
      <c r="B2" s="3">
        <v>45549</v>
      </c>
      <c r="C2" s="2" t="s">
        <v>13</v>
      </c>
      <c r="D2" s="2" t="s">
        <v>14</v>
      </c>
      <c r="E2" s="2" t="s">
        <v>15</v>
      </c>
      <c r="F2" s="4">
        <v>8</v>
      </c>
      <c r="G2" s="4">
        <v>3620</v>
      </c>
      <c r="H2" s="4">
        <v>15.4</v>
      </c>
      <c r="I2" s="4">
        <v>24500.16</v>
      </c>
      <c r="J2" s="2" t="s">
        <v>16</v>
      </c>
      <c r="K2" s="2" t="s">
        <v>17</v>
      </c>
    </row>
    <row r="3" spans="1:11" x14ac:dyDescent="0.35">
      <c r="A3" s="2" t="s">
        <v>18</v>
      </c>
      <c r="B3" s="3">
        <v>45340</v>
      </c>
      <c r="C3" s="2" t="s">
        <v>19</v>
      </c>
      <c r="D3" s="2" t="s">
        <v>20</v>
      </c>
      <c r="E3" s="2" t="s">
        <v>21</v>
      </c>
      <c r="F3" s="4">
        <v>2</v>
      </c>
      <c r="G3" s="4">
        <v>820</v>
      </c>
      <c r="H3" s="4">
        <v>10.8</v>
      </c>
      <c r="I3" s="4">
        <v>1462.88</v>
      </c>
      <c r="J3" s="2" t="s">
        <v>22</v>
      </c>
      <c r="K3" s="2" t="s">
        <v>23</v>
      </c>
    </row>
    <row r="4" spans="1:11" x14ac:dyDescent="0.35">
      <c r="A4" s="2" t="s">
        <v>24</v>
      </c>
      <c r="B4" s="3">
        <v>45371</v>
      </c>
      <c r="C4" s="2" t="s">
        <v>25</v>
      </c>
      <c r="D4" s="2" t="s">
        <v>26</v>
      </c>
      <c r="E4" s="2" t="s">
        <v>27</v>
      </c>
      <c r="F4" s="4">
        <v>8</v>
      </c>
      <c r="G4" s="4">
        <v>470</v>
      </c>
      <c r="H4" s="4">
        <v>3.3</v>
      </c>
      <c r="I4" s="4">
        <v>3635.92</v>
      </c>
      <c r="J4" s="2" t="s">
        <v>22</v>
      </c>
      <c r="K4" s="2" t="s">
        <v>28</v>
      </c>
    </row>
    <row r="5" spans="1:11" x14ac:dyDescent="0.35">
      <c r="A5" s="2" t="s">
        <v>29</v>
      </c>
      <c r="B5" s="3">
        <v>45413</v>
      </c>
      <c r="C5" s="2" t="s">
        <v>30</v>
      </c>
      <c r="D5" s="2" t="s">
        <v>31</v>
      </c>
      <c r="E5" s="2" t="s">
        <v>32</v>
      </c>
      <c r="F5" s="4">
        <v>1</v>
      </c>
      <c r="G5" s="4">
        <v>3660</v>
      </c>
      <c r="H5" s="4">
        <v>15.7</v>
      </c>
      <c r="I5" s="4">
        <v>3085.38</v>
      </c>
      <c r="J5" s="2" t="s">
        <v>16</v>
      </c>
      <c r="K5" s="2" t="s">
        <v>28</v>
      </c>
    </row>
    <row r="6" spans="1:11" x14ac:dyDescent="0.35">
      <c r="A6" s="2" t="s">
        <v>33</v>
      </c>
      <c r="B6" s="3">
        <v>45611</v>
      </c>
      <c r="C6" s="2" t="s">
        <v>34</v>
      </c>
      <c r="D6" s="2" t="s">
        <v>35</v>
      </c>
      <c r="E6" s="2" t="s">
        <v>36</v>
      </c>
      <c r="F6" s="4">
        <v>1</v>
      </c>
      <c r="G6" s="4">
        <v>3160</v>
      </c>
      <c r="H6" s="4">
        <v>26</v>
      </c>
      <c r="I6" s="4">
        <v>2338.4</v>
      </c>
      <c r="J6" s="2" t="s">
        <v>16</v>
      </c>
      <c r="K6" s="2" t="s">
        <v>23</v>
      </c>
    </row>
    <row r="7" spans="1:11" x14ac:dyDescent="0.35">
      <c r="A7" s="2" t="s">
        <v>37</v>
      </c>
      <c r="B7" s="3">
        <v>45406</v>
      </c>
      <c r="C7" s="2" t="s">
        <v>38</v>
      </c>
      <c r="D7" s="2" t="s">
        <v>39</v>
      </c>
      <c r="E7" s="2" t="s">
        <v>40</v>
      </c>
      <c r="F7" s="4">
        <v>4</v>
      </c>
      <c r="G7" s="4">
        <v>370</v>
      </c>
      <c r="H7" s="4">
        <v>29</v>
      </c>
      <c r="I7" s="4">
        <v>1050.8</v>
      </c>
      <c r="J7" s="2" t="s">
        <v>16</v>
      </c>
      <c r="K7" s="2" t="s">
        <v>41</v>
      </c>
    </row>
    <row r="8" spans="1:11" x14ac:dyDescent="0.35">
      <c r="A8" s="2" t="s">
        <v>42</v>
      </c>
      <c r="B8" s="3">
        <v>45455</v>
      </c>
      <c r="C8" s="2" t="s">
        <v>43</v>
      </c>
      <c r="D8" s="2" t="s">
        <v>44</v>
      </c>
      <c r="E8" s="2" t="s">
        <v>45</v>
      </c>
      <c r="F8" s="4">
        <v>3</v>
      </c>
      <c r="G8" s="4">
        <v>960</v>
      </c>
      <c r="H8" s="4">
        <v>5.8</v>
      </c>
      <c r="I8" s="4">
        <v>2712.96</v>
      </c>
      <c r="J8" s="2" t="s">
        <v>16</v>
      </c>
      <c r="K8" s="2" t="s">
        <v>46</v>
      </c>
    </row>
    <row r="9" spans="1:11" x14ac:dyDescent="0.35">
      <c r="A9" s="2" t="s">
        <v>47</v>
      </c>
      <c r="B9" s="3">
        <v>45617</v>
      </c>
      <c r="C9" s="2" t="s">
        <v>48</v>
      </c>
      <c r="D9" s="2" t="s">
        <v>49</v>
      </c>
      <c r="E9" s="2" t="s">
        <v>50</v>
      </c>
      <c r="F9" s="4">
        <v>8</v>
      </c>
      <c r="G9" s="4">
        <v>1430</v>
      </c>
      <c r="H9" s="4">
        <v>2.4</v>
      </c>
      <c r="I9" s="4">
        <v>11165.44</v>
      </c>
      <c r="J9" s="2" t="s">
        <v>16</v>
      </c>
      <c r="K9" s="2" t="s">
        <v>46</v>
      </c>
    </row>
    <row r="10" spans="1:11" x14ac:dyDescent="0.35">
      <c r="A10" s="2" t="s">
        <v>51</v>
      </c>
      <c r="B10" s="3">
        <v>45549</v>
      </c>
      <c r="C10" s="2" t="s">
        <v>52</v>
      </c>
      <c r="D10" s="2" t="s">
        <v>53</v>
      </c>
      <c r="E10" s="2" t="s">
        <v>36</v>
      </c>
      <c r="F10" s="4">
        <v>3</v>
      </c>
      <c r="G10" s="4">
        <v>5490</v>
      </c>
      <c r="H10" s="4">
        <v>14.2</v>
      </c>
      <c r="I10" s="4">
        <v>14131.26</v>
      </c>
      <c r="J10" s="2" t="s">
        <v>16</v>
      </c>
      <c r="K10" s="2" t="s">
        <v>46</v>
      </c>
    </row>
    <row r="11" spans="1:11" x14ac:dyDescent="0.35">
      <c r="A11" s="2" t="s">
        <v>54</v>
      </c>
      <c r="B11" s="3">
        <v>45396</v>
      </c>
      <c r="C11" s="2" t="s">
        <v>55</v>
      </c>
      <c r="D11" s="2" t="s">
        <v>56</v>
      </c>
      <c r="E11" s="2" t="s">
        <v>57</v>
      </c>
      <c r="F11" s="4">
        <v>3</v>
      </c>
      <c r="G11" s="4">
        <v>970</v>
      </c>
      <c r="H11" s="4">
        <v>1.2</v>
      </c>
      <c r="I11" s="4">
        <v>2875.08</v>
      </c>
      <c r="J11" s="2" t="s">
        <v>16</v>
      </c>
      <c r="K11" s="2" t="s">
        <v>17</v>
      </c>
    </row>
    <row r="12" spans="1:11" x14ac:dyDescent="0.35">
      <c r="A12" s="2" t="s">
        <v>58</v>
      </c>
      <c r="B12" s="3">
        <v>45560</v>
      </c>
      <c r="C12" s="2" t="s">
        <v>59</v>
      </c>
      <c r="D12" s="2" t="s">
        <v>60</v>
      </c>
      <c r="E12" s="2" t="s">
        <v>61</v>
      </c>
      <c r="F12" s="4">
        <v>7</v>
      </c>
      <c r="G12" s="4">
        <v>2270</v>
      </c>
      <c r="H12" s="4">
        <v>7.1</v>
      </c>
      <c r="I12" s="4">
        <v>14761.81</v>
      </c>
      <c r="J12" s="2" t="s">
        <v>22</v>
      </c>
      <c r="K12" s="2" t="s">
        <v>62</v>
      </c>
    </row>
    <row r="13" spans="1:11" x14ac:dyDescent="0.35">
      <c r="A13" s="2" t="s">
        <v>63</v>
      </c>
      <c r="B13" s="3">
        <v>45332</v>
      </c>
      <c r="C13" s="2" t="s">
        <v>55</v>
      </c>
      <c r="D13" s="2" t="s">
        <v>64</v>
      </c>
      <c r="E13" s="2" t="s">
        <v>45</v>
      </c>
      <c r="F13" s="4">
        <v>9</v>
      </c>
      <c r="G13" s="4">
        <v>2640</v>
      </c>
      <c r="H13" s="4">
        <v>21.7</v>
      </c>
      <c r="I13" s="4">
        <v>18604.080000000002</v>
      </c>
      <c r="J13" s="2" t="s">
        <v>16</v>
      </c>
      <c r="K13" s="2" t="s">
        <v>17</v>
      </c>
    </row>
    <row r="14" spans="1:11" x14ac:dyDescent="0.35">
      <c r="A14" s="2" t="s">
        <v>65</v>
      </c>
      <c r="B14" s="3">
        <v>45507</v>
      </c>
      <c r="C14" s="2" t="s">
        <v>66</v>
      </c>
      <c r="D14" s="2" t="s">
        <v>67</v>
      </c>
      <c r="E14" s="2" t="s">
        <v>68</v>
      </c>
      <c r="F14" s="4">
        <v>3</v>
      </c>
      <c r="G14" s="4">
        <v>2600</v>
      </c>
      <c r="H14" s="4">
        <v>4.3</v>
      </c>
      <c r="I14" s="4">
        <v>7464.6</v>
      </c>
      <c r="J14" s="2" t="s">
        <v>69</v>
      </c>
      <c r="K14" s="2" t="s">
        <v>28</v>
      </c>
    </row>
    <row r="15" spans="1:11" x14ac:dyDescent="0.35">
      <c r="A15" s="2" t="s">
        <v>70</v>
      </c>
      <c r="B15" s="3">
        <v>45466</v>
      </c>
      <c r="C15" s="2" t="s">
        <v>71</v>
      </c>
      <c r="D15" s="2" t="s">
        <v>72</v>
      </c>
      <c r="E15" s="2" t="s">
        <v>40</v>
      </c>
      <c r="F15" s="4">
        <v>3</v>
      </c>
      <c r="G15" s="4">
        <v>3250</v>
      </c>
      <c r="H15" s="4">
        <v>14.1</v>
      </c>
      <c r="I15" s="4">
        <v>8375.25</v>
      </c>
      <c r="J15" s="2" t="s">
        <v>73</v>
      </c>
      <c r="K15" s="2" t="s">
        <v>17</v>
      </c>
    </row>
    <row r="16" spans="1:11" x14ac:dyDescent="0.35">
      <c r="A16" s="2" t="s">
        <v>74</v>
      </c>
      <c r="B16" s="3">
        <v>45365</v>
      </c>
      <c r="C16" s="2" t="s">
        <v>75</v>
      </c>
      <c r="D16" s="2" t="s">
        <v>76</v>
      </c>
      <c r="E16" s="2" t="s">
        <v>77</v>
      </c>
      <c r="F16" s="4">
        <v>1</v>
      </c>
      <c r="G16" s="4">
        <v>190</v>
      </c>
      <c r="H16" s="4">
        <v>20.7</v>
      </c>
      <c r="I16" s="4">
        <v>150.66999999999999</v>
      </c>
      <c r="J16" s="2" t="s">
        <v>16</v>
      </c>
      <c r="K16" s="2" t="s">
        <v>17</v>
      </c>
    </row>
    <row r="17" spans="1:11" x14ac:dyDescent="0.35">
      <c r="A17" s="2" t="s">
        <v>78</v>
      </c>
      <c r="B17" s="3">
        <v>45546</v>
      </c>
      <c r="C17" s="2" t="s">
        <v>79</v>
      </c>
      <c r="D17" s="2" t="s">
        <v>80</v>
      </c>
      <c r="E17" s="2" t="s">
        <v>27</v>
      </c>
      <c r="F17" s="4">
        <v>7</v>
      </c>
      <c r="G17" s="4">
        <v>2400</v>
      </c>
      <c r="H17" s="4">
        <v>10.199999999999999</v>
      </c>
      <c r="I17" s="4">
        <v>15086.4</v>
      </c>
      <c r="J17" s="2" t="s">
        <v>22</v>
      </c>
      <c r="K17" s="2" t="s">
        <v>17</v>
      </c>
    </row>
    <row r="18" spans="1:11" x14ac:dyDescent="0.35">
      <c r="A18" s="2" t="s">
        <v>81</v>
      </c>
      <c r="B18" s="3">
        <v>45512</v>
      </c>
      <c r="C18" s="2" t="s">
        <v>82</v>
      </c>
      <c r="D18" s="2" t="s">
        <v>31</v>
      </c>
      <c r="E18" s="2" t="s">
        <v>83</v>
      </c>
      <c r="F18" s="4">
        <v>4</v>
      </c>
      <c r="G18" s="4">
        <v>3660</v>
      </c>
      <c r="H18" s="4">
        <v>2.6</v>
      </c>
      <c r="I18" s="4">
        <v>14259.36</v>
      </c>
      <c r="J18" s="2" t="s">
        <v>16</v>
      </c>
      <c r="K18" s="2" t="s">
        <v>46</v>
      </c>
    </row>
    <row r="19" spans="1:11" x14ac:dyDescent="0.35">
      <c r="A19" s="2" t="s">
        <v>84</v>
      </c>
      <c r="B19" s="3">
        <v>45654</v>
      </c>
      <c r="C19" s="2" t="s">
        <v>85</v>
      </c>
      <c r="D19" s="2" t="s">
        <v>86</v>
      </c>
      <c r="E19" s="2" t="s">
        <v>87</v>
      </c>
      <c r="F19" s="4">
        <v>8</v>
      </c>
      <c r="G19" s="4">
        <v>3450</v>
      </c>
      <c r="H19" s="4">
        <v>18.5</v>
      </c>
      <c r="I19" s="4">
        <v>22494</v>
      </c>
      <c r="J19" s="2" t="s">
        <v>16</v>
      </c>
      <c r="K19" s="2" t="s">
        <v>62</v>
      </c>
    </row>
    <row r="20" spans="1:11" x14ac:dyDescent="0.35">
      <c r="A20" s="2" t="s">
        <v>88</v>
      </c>
      <c r="B20" s="3">
        <v>45626</v>
      </c>
      <c r="C20" s="2" t="s">
        <v>89</v>
      </c>
      <c r="D20" s="2" t="s">
        <v>90</v>
      </c>
      <c r="E20" s="2" t="s">
        <v>83</v>
      </c>
      <c r="F20" s="4">
        <v>5</v>
      </c>
      <c r="G20" s="4">
        <v>3450</v>
      </c>
      <c r="H20" s="4">
        <v>7.3</v>
      </c>
      <c r="I20" s="4">
        <v>15990.75</v>
      </c>
      <c r="J20" s="2" t="s">
        <v>16</v>
      </c>
      <c r="K20" s="2" t="s">
        <v>41</v>
      </c>
    </row>
    <row r="21" spans="1:11" x14ac:dyDescent="0.35">
      <c r="A21" s="2" t="s">
        <v>91</v>
      </c>
      <c r="B21" s="3">
        <v>45394</v>
      </c>
      <c r="C21" s="2" t="s">
        <v>92</v>
      </c>
      <c r="D21" s="2" t="s">
        <v>93</v>
      </c>
      <c r="E21" s="2" t="s">
        <v>83</v>
      </c>
      <c r="F21" s="4">
        <v>8</v>
      </c>
      <c r="G21" s="4">
        <v>1080</v>
      </c>
      <c r="H21" s="4">
        <v>2.2000000000000002</v>
      </c>
      <c r="I21" s="4">
        <v>8449.92</v>
      </c>
      <c r="J21" s="2" t="s">
        <v>16</v>
      </c>
      <c r="K21" s="2" t="s">
        <v>23</v>
      </c>
    </row>
    <row r="22" spans="1:11" x14ac:dyDescent="0.35">
      <c r="A22" s="2" t="s">
        <v>94</v>
      </c>
      <c r="B22" s="3">
        <v>45470</v>
      </c>
      <c r="C22" s="2" t="s">
        <v>95</v>
      </c>
      <c r="D22" s="2" t="s">
        <v>96</v>
      </c>
      <c r="E22" s="2" t="s">
        <v>32</v>
      </c>
      <c r="F22" s="4">
        <v>7</v>
      </c>
      <c r="G22" s="4">
        <v>2480</v>
      </c>
      <c r="H22" s="4">
        <v>28.7</v>
      </c>
      <c r="I22" s="4">
        <v>12377.68</v>
      </c>
      <c r="J22" s="2" t="s">
        <v>16</v>
      </c>
      <c r="K22" s="2" t="s">
        <v>62</v>
      </c>
    </row>
    <row r="23" spans="1:11" x14ac:dyDescent="0.35">
      <c r="A23" s="2" t="s">
        <v>97</v>
      </c>
      <c r="B23" s="3">
        <v>45354</v>
      </c>
      <c r="C23" s="2" t="s">
        <v>98</v>
      </c>
      <c r="D23" s="2" t="s">
        <v>72</v>
      </c>
      <c r="E23" s="2" t="s">
        <v>99</v>
      </c>
      <c r="F23" s="4">
        <v>4</v>
      </c>
      <c r="G23" s="4">
        <v>3250</v>
      </c>
      <c r="H23" s="4">
        <v>24.6</v>
      </c>
      <c r="I23" s="4">
        <v>9802</v>
      </c>
      <c r="J23" s="2" t="s">
        <v>16</v>
      </c>
      <c r="K23" s="2" t="s">
        <v>41</v>
      </c>
    </row>
    <row r="24" spans="1:11" x14ac:dyDescent="0.35">
      <c r="A24" s="2" t="s">
        <v>100</v>
      </c>
      <c r="B24" s="3">
        <v>45530</v>
      </c>
      <c r="C24" s="2" t="s">
        <v>101</v>
      </c>
      <c r="D24" s="2" t="s">
        <v>102</v>
      </c>
      <c r="E24" s="2" t="s">
        <v>99</v>
      </c>
      <c r="F24" s="4">
        <v>9</v>
      </c>
      <c r="G24" s="4">
        <v>2720</v>
      </c>
      <c r="H24" s="4">
        <v>26.2</v>
      </c>
      <c r="I24" s="4">
        <v>18066.240000000002</v>
      </c>
      <c r="J24" s="2" t="s">
        <v>16</v>
      </c>
      <c r="K24" s="2" t="s">
        <v>17</v>
      </c>
    </row>
    <row r="25" spans="1:11" x14ac:dyDescent="0.35">
      <c r="A25" s="2" t="s">
        <v>103</v>
      </c>
      <c r="B25" s="3">
        <v>45472</v>
      </c>
      <c r="C25" s="2" t="s">
        <v>104</v>
      </c>
      <c r="D25" s="2" t="s">
        <v>105</v>
      </c>
      <c r="E25" s="2" t="s">
        <v>77</v>
      </c>
      <c r="F25" s="4">
        <v>2</v>
      </c>
      <c r="G25" s="4">
        <v>1650</v>
      </c>
      <c r="H25" s="4">
        <v>9.4</v>
      </c>
      <c r="I25" s="4">
        <v>2989.8</v>
      </c>
      <c r="J25" s="2" t="s">
        <v>16</v>
      </c>
      <c r="K25" s="2" t="s">
        <v>62</v>
      </c>
    </row>
    <row r="26" spans="1:11" x14ac:dyDescent="0.35">
      <c r="A26" s="2" t="s">
        <v>106</v>
      </c>
      <c r="B26" s="3">
        <v>45394</v>
      </c>
      <c r="C26" s="2" t="s">
        <v>107</v>
      </c>
      <c r="D26" s="2" t="s">
        <v>108</v>
      </c>
      <c r="E26" s="2" t="s">
        <v>83</v>
      </c>
      <c r="F26" s="4">
        <v>6</v>
      </c>
      <c r="G26" s="4">
        <v>3350</v>
      </c>
      <c r="H26" s="4">
        <v>6.1</v>
      </c>
      <c r="I26" s="4">
        <v>18873.900000000001</v>
      </c>
      <c r="J26" s="2" t="s">
        <v>22</v>
      </c>
      <c r="K26" s="2" t="s">
        <v>23</v>
      </c>
    </row>
    <row r="27" spans="1:11" x14ac:dyDescent="0.35">
      <c r="A27" s="2" t="s">
        <v>109</v>
      </c>
      <c r="B27" s="3">
        <v>45570</v>
      </c>
      <c r="C27" s="2" t="s">
        <v>110</v>
      </c>
      <c r="D27" s="2" t="s">
        <v>111</v>
      </c>
      <c r="E27" s="2" t="s">
        <v>50</v>
      </c>
      <c r="F27" s="4">
        <v>2</v>
      </c>
      <c r="G27" s="4">
        <v>1010</v>
      </c>
      <c r="H27" s="4">
        <v>16.5</v>
      </c>
      <c r="I27" s="4">
        <v>1686.7</v>
      </c>
      <c r="J27" s="2" t="s">
        <v>69</v>
      </c>
      <c r="K27" s="2" t="s">
        <v>28</v>
      </c>
    </row>
    <row r="28" spans="1:11" x14ac:dyDescent="0.35">
      <c r="A28" s="2" t="s">
        <v>112</v>
      </c>
      <c r="B28" s="3">
        <v>45401</v>
      </c>
      <c r="C28" s="2" t="s">
        <v>25</v>
      </c>
      <c r="D28" s="2" t="s">
        <v>113</v>
      </c>
      <c r="E28" s="2" t="s">
        <v>32</v>
      </c>
      <c r="F28" s="4">
        <v>5</v>
      </c>
      <c r="G28" s="4">
        <v>4880</v>
      </c>
      <c r="H28" s="4">
        <v>23.6</v>
      </c>
      <c r="I28" s="4">
        <v>18641.599999999999</v>
      </c>
      <c r="J28" s="2" t="s">
        <v>16</v>
      </c>
      <c r="K28" s="2" t="s">
        <v>28</v>
      </c>
    </row>
    <row r="29" spans="1:11" x14ac:dyDescent="0.35">
      <c r="A29" s="2" t="s">
        <v>114</v>
      </c>
      <c r="B29" s="3">
        <v>45517</v>
      </c>
      <c r="C29" s="2" t="s">
        <v>115</v>
      </c>
      <c r="D29" s="2" t="s">
        <v>116</v>
      </c>
      <c r="E29" s="2" t="s">
        <v>117</v>
      </c>
      <c r="F29" s="4">
        <v>7</v>
      </c>
      <c r="G29" s="4">
        <v>3570</v>
      </c>
      <c r="H29" s="4">
        <v>5.8</v>
      </c>
      <c r="I29" s="4">
        <v>23540.58</v>
      </c>
      <c r="J29" s="2" t="s">
        <v>69</v>
      </c>
      <c r="K29" s="2" t="s">
        <v>23</v>
      </c>
    </row>
    <row r="30" spans="1:11" x14ac:dyDescent="0.35">
      <c r="A30" s="2" t="s">
        <v>118</v>
      </c>
      <c r="B30" s="3">
        <v>45363</v>
      </c>
      <c r="C30" s="2" t="s">
        <v>119</v>
      </c>
      <c r="D30" s="2" t="s">
        <v>120</v>
      </c>
      <c r="E30" s="2" t="s">
        <v>121</v>
      </c>
      <c r="F30" s="4">
        <v>9</v>
      </c>
      <c r="G30" s="4">
        <v>5100</v>
      </c>
      <c r="H30" s="4">
        <v>16.7</v>
      </c>
      <c r="I30" s="4">
        <v>38234.699999999997</v>
      </c>
      <c r="J30" s="2" t="s">
        <v>16</v>
      </c>
      <c r="K30" s="2" t="s">
        <v>62</v>
      </c>
    </row>
    <row r="31" spans="1:11" x14ac:dyDescent="0.35">
      <c r="A31" s="2" t="s">
        <v>122</v>
      </c>
      <c r="B31" s="3">
        <v>45367</v>
      </c>
      <c r="C31" s="2" t="s">
        <v>123</v>
      </c>
      <c r="D31" s="2" t="s">
        <v>124</v>
      </c>
      <c r="E31" s="2" t="s">
        <v>21</v>
      </c>
      <c r="F31" s="4">
        <v>3</v>
      </c>
      <c r="G31" s="4">
        <v>2860</v>
      </c>
      <c r="H31" s="4">
        <v>25.8</v>
      </c>
      <c r="I31" s="4">
        <v>6366.36</v>
      </c>
      <c r="J31" s="2" t="s">
        <v>16</v>
      </c>
      <c r="K31" s="2" t="s">
        <v>17</v>
      </c>
    </row>
    <row r="32" spans="1:11" x14ac:dyDescent="0.35">
      <c r="A32" s="2" t="s">
        <v>125</v>
      </c>
      <c r="B32" s="3">
        <v>45569</v>
      </c>
      <c r="C32" s="2" t="s">
        <v>126</v>
      </c>
      <c r="D32" s="2" t="s">
        <v>56</v>
      </c>
      <c r="E32" s="2" t="s">
        <v>32</v>
      </c>
      <c r="F32" s="4">
        <v>7</v>
      </c>
      <c r="G32" s="4">
        <v>970</v>
      </c>
      <c r="H32" s="4">
        <v>29.8</v>
      </c>
      <c r="I32" s="4">
        <v>4766.58</v>
      </c>
      <c r="J32" s="2" t="s">
        <v>16</v>
      </c>
      <c r="K32" s="2" t="s">
        <v>17</v>
      </c>
    </row>
    <row r="33" spans="1:11" x14ac:dyDescent="0.35">
      <c r="A33" s="2" t="s">
        <v>127</v>
      </c>
      <c r="B33" s="3">
        <v>45641</v>
      </c>
      <c r="C33" s="2" t="s">
        <v>128</v>
      </c>
      <c r="D33" s="2" t="s">
        <v>129</v>
      </c>
      <c r="E33" s="2" t="s">
        <v>130</v>
      </c>
      <c r="F33" s="4">
        <v>4</v>
      </c>
      <c r="G33" s="4">
        <v>2760</v>
      </c>
      <c r="H33" s="4">
        <v>5.9</v>
      </c>
      <c r="I33" s="4">
        <v>10388.64</v>
      </c>
      <c r="J33" s="2" t="s">
        <v>16</v>
      </c>
      <c r="K33" s="2" t="s">
        <v>62</v>
      </c>
    </row>
    <row r="34" spans="1:11" x14ac:dyDescent="0.35">
      <c r="A34" s="2" t="s">
        <v>131</v>
      </c>
      <c r="B34" s="3">
        <v>45343</v>
      </c>
      <c r="C34" s="2" t="s">
        <v>85</v>
      </c>
      <c r="D34" s="2" t="s">
        <v>132</v>
      </c>
      <c r="E34" s="2" t="s">
        <v>133</v>
      </c>
      <c r="F34" s="4">
        <v>10</v>
      </c>
      <c r="G34" s="4">
        <v>660</v>
      </c>
      <c r="H34" s="4">
        <v>18.3</v>
      </c>
      <c r="I34" s="4">
        <v>5392.2</v>
      </c>
      <c r="J34" s="2" t="s">
        <v>22</v>
      </c>
      <c r="K34" s="2" t="s">
        <v>62</v>
      </c>
    </row>
    <row r="35" spans="1:11" x14ac:dyDescent="0.35">
      <c r="A35" s="2" t="s">
        <v>134</v>
      </c>
      <c r="B35" s="3">
        <v>45576</v>
      </c>
      <c r="C35" s="2" t="s">
        <v>135</v>
      </c>
      <c r="D35" s="2" t="s">
        <v>72</v>
      </c>
      <c r="E35" s="2" t="s">
        <v>50</v>
      </c>
      <c r="F35" s="4">
        <v>1</v>
      </c>
      <c r="G35" s="4">
        <v>3250</v>
      </c>
      <c r="H35" s="4">
        <v>10.7</v>
      </c>
      <c r="I35" s="4">
        <v>2902.25</v>
      </c>
      <c r="J35" s="2" t="s">
        <v>16</v>
      </c>
      <c r="K35" s="2" t="s">
        <v>62</v>
      </c>
    </row>
    <row r="36" spans="1:11" x14ac:dyDescent="0.35">
      <c r="A36" s="2" t="s">
        <v>136</v>
      </c>
      <c r="B36" s="3">
        <v>45462</v>
      </c>
      <c r="C36" s="2" t="s">
        <v>137</v>
      </c>
      <c r="D36" s="2" t="s">
        <v>120</v>
      </c>
      <c r="E36" s="2" t="s">
        <v>50</v>
      </c>
      <c r="F36" s="4">
        <v>8</v>
      </c>
      <c r="G36" s="4">
        <v>5100</v>
      </c>
      <c r="H36" s="4">
        <v>26.4</v>
      </c>
      <c r="I36" s="4">
        <v>30028.799999999999</v>
      </c>
      <c r="J36" s="2" t="s">
        <v>69</v>
      </c>
      <c r="K36" s="2" t="s">
        <v>62</v>
      </c>
    </row>
    <row r="37" spans="1:11" x14ac:dyDescent="0.35">
      <c r="A37" s="2" t="s">
        <v>138</v>
      </c>
      <c r="B37" s="3">
        <v>45442</v>
      </c>
      <c r="C37" s="2" t="s">
        <v>139</v>
      </c>
      <c r="D37" s="2" t="s">
        <v>93</v>
      </c>
      <c r="E37" s="2" t="s">
        <v>87</v>
      </c>
      <c r="F37" s="4">
        <v>1</v>
      </c>
      <c r="G37" s="4">
        <v>1080</v>
      </c>
      <c r="H37" s="4">
        <v>5.0999999999999996</v>
      </c>
      <c r="I37" s="4">
        <v>1024.92</v>
      </c>
      <c r="J37" s="2" t="s">
        <v>16</v>
      </c>
      <c r="K37" s="2" t="s">
        <v>28</v>
      </c>
    </row>
    <row r="38" spans="1:11" x14ac:dyDescent="0.35">
      <c r="A38" s="2" t="s">
        <v>140</v>
      </c>
      <c r="B38" s="3">
        <v>45646</v>
      </c>
      <c r="C38" s="2" t="s">
        <v>141</v>
      </c>
      <c r="D38" s="2" t="s">
        <v>53</v>
      </c>
      <c r="E38" s="2" t="s">
        <v>133</v>
      </c>
      <c r="F38" s="4">
        <v>2</v>
      </c>
      <c r="G38" s="4">
        <v>5490</v>
      </c>
      <c r="H38" s="4">
        <v>21.1</v>
      </c>
      <c r="I38" s="4">
        <v>8663.2199999999993</v>
      </c>
      <c r="J38" s="2" t="s">
        <v>69</v>
      </c>
      <c r="K38" s="2" t="s">
        <v>41</v>
      </c>
    </row>
    <row r="39" spans="1:11" x14ac:dyDescent="0.35">
      <c r="A39" s="2" t="s">
        <v>142</v>
      </c>
      <c r="B39" s="3">
        <v>45478</v>
      </c>
      <c r="C39" s="2" t="s">
        <v>143</v>
      </c>
      <c r="D39" s="2" t="s">
        <v>76</v>
      </c>
      <c r="E39" s="2" t="s">
        <v>144</v>
      </c>
      <c r="F39" s="4">
        <v>7</v>
      </c>
      <c r="G39" s="4">
        <v>190</v>
      </c>
      <c r="H39" s="4">
        <v>28.7</v>
      </c>
      <c r="I39" s="4">
        <v>948.29</v>
      </c>
      <c r="J39" s="2" t="s">
        <v>16</v>
      </c>
      <c r="K39" s="2" t="s">
        <v>46</v>
      </c>
    </row>
    <row r="40" spans="1:11" x14ac:dyDescent="0.35">
      <c r="A40" s="2" t="s">
        <v>145</v>
      </c>
      <c r="B40" s="3">
        <v>45355</v>
      </c>
      <c r="C40" s="2" t="s">
        <v>146</v>
      </c>
      <c r="D40" s="2" t="s">
        <v>80</v>
      </c>
      <c r="E40" s="2" t="s">
        <v>117</v>
      </c>
      <c r="F40" s="4">
        <v>6</v>
      </c>
      <c r="G40" s="4">
        <v>2400</v>
      </c>
      <c r="H40" s="4">
        <v>2.7</v>
      </c>
      <c r="I40" s="4">
        <v>14011.2</v>
      </c>
      <c r="J40" s="2" t="s">
        <v>16</v>
      </c>
      <c r="K40" s="2" t="s">
        <v>23</v>
      </c>
    </row>
    <row r="41" spans="1:11" x14ac:dyDescent="0.35">
      <c r="A41" s="2" t="s">
        <v>147</v>
      </c>
      <c r="B41" s="3">
        <v>45599</v>
      </c>
      <c r="C41" s="2" t="s">
        <v>148</v>
      </c>
      <c r="D41" s="2" t="s">
        <v>105</v>
      </c>
      <c r="E41" s="2" t="s">
        <v>83</v>
      </c>
      <c r="F41" s="4">
        <v>9</v>
      </c>
      <c r="G41" s="4">
        <v>1650</v>
      </c>
      <c r="H41" s="4">
        <v>11.6</v>
      </c>
      <c r="I41" s="4">
        <v>13127.4</v>
      </c>
      <c r="J41" s="2" t="s">
        <v>16</v>
      </c>
      <c r="K41" s="2" t="s">
        <v>28</v>
      </c>
    </row>
    <row r="42" spans="1:11" x14ac:dyDescent="0.35">
      <c r="A42" s="2" t="s">
        <v>149</v>
      </c>
      <c r="B42" s="3">
        <v>45606</v>
      </c>
      <c r="C42" s="2" t="s">
        <v>150</v>
      </c>
      <c r="D42" s="2" t="s">
        <v>53</v>
      </c>
      <c r="E42" s="2" t="s">
        <v>32</v>
      </c>
      <c r="F42" s="4">
        <v>4</v>
      </c>
      <c r="G42" s="4">
        <v>5490</v>
      </c>
      <c r="H42" s="4">
        <v>12.8</v>
      </c>
      <c r="I42" s="4">
        <v>19149.12</v>
      </c>
      <c r="J42" s="2" t="s">
        <v>69</v>
      </c>
      <c r="K42" s="2" t="s">
        <v>23</v>
      </c>
    </row>
    <row r="43" spans="1:11" x14ac:dyDescent="0.35">
      <c r="A43" s="2" t="s">
        <v>151</v>
      </c>
      <c r="B43" s="3">
        <v>45432</v>
      </c>
      <c r="C43" s="2" t="s">
        <v>152</v>
      </c>
      <c r="D43" s="2" t="s">
        <v>113</v>
      </c>
      <c r="E43" s="2" t="s">
        <v>27</v>
      </c>
      <c r="F43" s="4">
        <v>10</v>
      </c>
      <c r="G43" s="4">
        <v>4880</v>
      </c>
      <c r="H43" s="4">
        <v>12.7</v>
      </c>
      <c r="I43" s="4">
        <v>42602.400000000001</v>
      </c>
      <c r="J43" s="2" t="s">
        <v>16</v>
      </c>
      <c r="K43" s="2" t="s">
        <v>28</v>
      </c>
    </row>
    <row r="44" spans="1:11" x14ac:dyDescent="0.35">
      <c r="A44" s="2" t="s">
        <v>153</v>
      </c>
      <c r="B44" s="3">
        <v>45392</v>
      </c>
      <c r="C44" s="2" t="s">
        <v>154</v>
      </c>
      <c r="D44" s="2" t="s">
        <v>155</v>
      </c>
      <c r="E44" s="2" t="s">
        <v>50</v>
      </c>
      <c r="F44" s="4">
        <v>2</v>
      </c>
      <c r="G44" s="4">
        <v>3730</v>
      </c>
      <c r="H44" s="4">
        <v>25.8</v>
      </c>
      <c r="I44" s="4">
        <v>5535.32</v>
      </c>
      <c r="J44" s="2" t="s">
        <v>16</v>
      </c>
      <c r="K44" s="2" t="s">
        <v>23</v>
      </c>
    </row>
    <row r="45" spans="1:11" x14ac:dyDescent="0.35">
      <c r="A45" s="2" t="s">
        <v>156</v>
      </c>
      <c r="B45" s="3">
        <v>45396</v>
      </c>
      <c r="C45" s="2" t="s">
        <v>157</v>
      </c>
      <c r="D45" s="2" t="s">
        <v>86</v>
      </c>
      <c r="E45" s="2" t="s">
        <v>158</v>
      </c>
      <c r="F45" s="4">
        <v>4</v>
      </c>
      <c r="G45" s="4">
        <v>3450</v>
      </c>
      <c r="H45" s="4">
        <v>20.7</v>
      </c>
      <c r="I45" s="4">
        <v>10943.4</v>
      </c>
      <c r="J45" s="2" t="s">
        <v>16</v>
      </c>
      <c r="K45" s="2" t="s">
        <v>41</v>
      </c>
    </row>
    <row r="46" spans="1:11" x14ac:dyDescent="0.35">
      <c r="A46" s="2" t="s">
        <v>159</v>
      </c>
      <c r="B46" s="3">
        <v>45373</v>
      </c>
      <c r="C46" s="2" t="s">
        <v>160</v>
      </c>
      <c r="D46" s="2" t="s">
        <v>96</v>
      </c>
      <c r="E46" s="2" t="s">
        <v>50</v>
      </c>
      <c r="F46" s="4">
        <v>2</v>
      </c>
      <c r="G46" s="4">
        <v>2480</v>
      </c>
      <c r="H46" s="4">
        <v>17.3</v>
      </c>
      <c r="I46" s="4">
        <v>4101.92</v>
      </c>
      <c r="J46" s="2" t="s">
        <v>16</v>
      </c>
      <c r="K46" s="2" t="s">
        <v>46</v>
      </c>
    </row>
    <row r="47" spans="1:11" x14ac:dyDescent="0.35">
      <c r="A47" s="2" t="s">
        <v>161</v>
      </c>
      <c r="B47" s="3">
        <v>45312</v>
      </c>
      <c r="C47" s="2" t="s">
        <v>162</v>
      </c>
      <c r="D47" s="2" t="s">
        <v>163</v>
      </c>
      <c r="E47" s="2" t="s">
        <v>117</v>
      </c>
      <c r="F47" s="4">
        <v>9</v>
      </c>
      <c r="G47" s="4">
        <v>3780</v>
      </c>
      <c r="H47" s="4">
        <v>8.6999999999999993</v>
      </c>
      <c r="I47" s="4">
        <v>31060.26</v>
      </c>
      <c r="J47" s="2" t="s">
        <v>22</v>
      </c>
      <c r="K47" s="2" t="s">
        <v>17</v>
      </c>
    </row>
    <row r="48" spans="1:11" x14ac:dyDescent="0.35">
      <c r="A48" s="2" t="s">
        <v>164</v>
      </c>
      <c r="B48" s="3">
        <v>45340</v>
      </c>
      <c r="C48" s="2" t="s">
        <v>165</v>
      </c>
      <c r="D48" s="2" t="s">
        <v>166</v>
      </c>
      <c r="E48" s="2" t="s">
        <v>167</v>
      </c>
      <c r="F48" s="4">
        <v>4</v>
      </c>
      <c r="G48" s="4">
        <v>3640</v>
      </c>
      <c r="H48" s="4">
        <v>20.7</v>
      </c>
      <c r="I48" s="4">
        <v>11546.08</v>
      </c>
      <c r="J48" s="2" t="s">
        <v>16</v>
      </c>
      <c r="K48" s="2" t="s">
        <v>62</v>
      </c>
    </row>
    <row r="49" spans="1:11" x14ac:dyDescent="0.35">
      <c r="A49" s="2" t="s">
        <v>168</v>
      </c>
      <c r="B49" s="3">
        <v>45370</v>
      </c>
      <c r="C49" s="2" t="s">
        <v>169</v>
      </c>
      <c r="D49" s="2" t="s">
        <v>170</v>
      </c>
      <c r="E49" s="2" t="s">
        <v>77</v>
      </c>
      <c r="F49" s="4">
        <v>8</v>
      </c>
      <c r="G49" s="4">
        <v>6080</v>
      </c>
      <c r="H49" s="4">
        <v>24.4</v>
      </c>
      <c r="I49" s="4">
        <v>36771.839999999997</v>
      </c>
      <c r="J49" s="2" t="s">
        <v>16</v>
      </c>
      <c r="K49" s="2" t="s">
        <v>17</v>
      </c>
    </row>
    <row r="50" spans="1:11" x14ac:dyDescent="0.35">
      <c r="A50" s="2" t="s">
        <v>171</v>
      </c>
      <c r="B50" s="3">
        <v>45389</v>
      </c>
      <c r="C50" s="2" t="s">
        <v>115</v>
      </c>
      <c r="D50" s="2" t="s">
        <v>56</v>
      </c>
      <c r="E50" s="2" t="s">
        <v>15</v>
      </c>
      <c r="F50" s="4">
        <v>10</v>
      </c>
      <c r="G50" s="4">
        <v>970</v>
      </c>
      <c r="H50" s="4">
        <v>0.6</v>
      </c>
      <c r="I50" s="4">
        <v>9641.7999999999993</v>
      </c>
      <c r="J50" s="2" t="s">
        <v>69</v>
      </c>
      <c r="K50" s="2" t="s">
        <v>23</v>
      </c>
    </row>
    <row r="51" spans="1:11" x14ac:dyDescent="0.35">
      <c r="A51" s="2" t="s">
        <v>172</v>
      </c>
      <c r="B51" s="3">
        <v>45565</v>
      </c>
      <c r="C51" s="2" t="s">
        <v>173</v>
      </c>
      <c r="D51" s="2" t="s">
        <v>174</v>
      </c>
      <c r="E51" s="2" t="s">
        <v>57</v>
      </c>
      <c r="F51" s="4">
        <v>1</v>
      </c>
      <c r="G51" s="4">
        <v>2270</v>
      </c>
      <c r="H51" s="4">
        <v>11.5</v>
      </c>
      <c r="I51" s="4">
        <v>2008.95</v>
      </c>
      <c r="J51" s="2" t="s">
        <v>22</v>
      </c>
      <c r="K51" s="2" t="s">
        <v>23</v>
      </c>
    </row>
    <row r="52" spans="1:11" x14ac:dyDescent="0.35">
      <c r="A52" s="2" t="s">
        <v>175</v>
      </c>
      <c r="B52" s="3">
        <v>45323</v>
      </c>
      <c r="C52" s="2" t="s">
        <v>176</v>
      </c>
      <c r="D52" s="2" t="s">
        <v>177</v>
      </c>
      <c r="E52" s="2" t="s">
        <v>83</v>
      </c>
      <c r="F52" s="4">
        <v>7</v>
      </c>
      <c r="G52" s="4">
        <v>3870</v>
      </c>
      <c r="H52" s="4">
        <v>0.3</v>
      </c>
      <c r="I52" s="4">
        <v>27008.73</v>
      </c>
      <c r="J52" s="2" t="s">
        <v>69</v>
      </c>
      <c r="K52" s="2" t="s">
        <v>46</v>
      </c>
    </row>
    <row r="53" spans="1:11" x14ac:dyDescent="0.35">
      <c r="A53" s="2" t="s">
        <v>178</v>
      </c>
      <c r="B53" s="3">
        <v>45506</v>
      </c>
      <c r="C53" s="2" t="s">
        <v>179</v>
      </c>
      <c r="D53" s="2" t="s">
        <v>113</v>
      </c>
      <c r="E53" s="2" t="s">
        <v>133</v>
      </c>
      <c r="F53" s="4">
        <v>1</v>
      </c>
      <c r="G53" s="4">
        <v>4880</v>
      </c>
      <c r="H53" s="4">
        <v>23.9</v>
      </c>
      <c r="I53" s="4">
        <v>3713.68</v>
      </c>
      <c r="J53" s="2" t="s">
        <v>22</v>
      </c>
      <c r="K53" s="2" t="s">
        <v>46</v>
      </c>
    </row>
    <row r="54" spans="1:11" x14ac:dyDescent="0.35">
      <c r="A54" s="2" t="s">
        <v>180</v>
      </c>
      <c r="B54" s="3">
        <v>45616</v>
      </c>
      <c r="C54" s="2" t="s">
        <v>34</v>
      </c>
      <c r="D54" s="2" t="s">
        <v>163</v>
      </c>
      <c r="E54" s="2" t="s">
        <v>181</v>
      </c>
      <c r="F54" s="4">
        <v>5</v>
      </c>
      <c r="G54" s="4">
        <v>3780</v>
      </c>
      <c r="H54" s="4">
        <v>18.5</v>
      </c>
      <c r="I54" s="4">
        <v>15403.5</v>
      </c>
      <c r="J54" s="2" t="s">
        <v>16</v>
      </c>
      <c r="K54" s="2" t="s">
        <v>23</v>
      </c>
    </row>
    <row r="55" spans="1:11" x14ac:dyDescent="0.35">
      <c r="A55" s="2" t="s">
        <v>182</v>
      </c>
      <c r="B55" s="3">
        <v>45428</v>
      </c>
      <c r="C55" s="2" t="s">
        <v>183</v>
      </c>
      <c r="D55" s="2" t="s">
        <v>72</v>
      </c>
      <c r="E55" s="2" t="s">
        <v>121</v>
      </c>
      <c r="F55" s="4">
        <v>10</v>
      </c>
      <c r="G55" s="4">
        <v>3250</v>
      </c>
      <c r="H55" s="4">
        <v>25.5</v>
      </c>
      <c r="I55" s="4">
        <v>24212.5</v>
      </c>
      <c r="J55" s="2" t="s">
        <v>16</v>
      </c>
      <c r="K55" s="2" t="s">
        <v>23</v>
      </c>
    </row>
    <row r="56" spans="1:11" x14ac:dyDescent="0.35">
      <c r="A56" s="2" t="s">
        <v>184</v>
      </c>
      <c r="B56" s="3">
        <v>45515</v>
      </c>
      <c r="C56" s="2" t="s">
        <v>185</v>
      </c>
      <c r="D56" s="2" t="s">
        <v>166</v>
      </c>
      <c r="E56" s="2" t="s">
        <v>15</v>
      </c>
      <c r="F56" s="4">
        <v>4</v>
      </c>
      <c r="G56" s="4">
        <v>3640</v>
      </c>
      <c r="H56" s="4">
        <v>9.9</v>
      </c>
      <c r="I56" s="4">
        <v>13118.56</v>
      </c>
      <c r="J56" s="2" t="s">
        <v>73</v>
      </c>
      <c r="K56" s="2" t="s">
        <v>62</v>
      </c>
    </row>
    <row r="57" spans="1:11" x14ac:dyDescent="0.35">
      <c r="A57" s="2" t="s">
        <v>186</v>
      </c>
      <c r="B57" s="3">
        <v>45649</v>
      </c>
      <c r="C57" s="2" t="s">
        <v>187</v>
      </c>
      <c r="D57" s="2" t="s">
        <v>188</v>
      </c>
      <c r="E57" s="2" t="s">
        <v>83</v>
      </c>
      <c r="F57" s="4">
        <v>4</v>
      </c>
      <c r="G57" s="4">
        <v>1540</v>
      </c>
      <c r="H57" s="4">
        <v>28.8</v>
      </c>
      <c r="I57" s="4">
        <v>4385.92</v>
      </c>
      <c r="J57" s="2" t="s">
        <v>16</v>
      </c>
      <c r="K57" s="2" t="s">
        <v>28</v>
      </c>
    </row>
    <row r="58" spans="1:11" x14ac:dyDescent="0.35">
      <c r="A58" s="2" t="s">
        <v>189</v>
      </c>
      <c r="B58" s="3">
        <v>45616</v>
      </c>
      <c r="C58" s="2" t="s">
        <v>190</v>
      </c>
      <c r="D58" s="2" t="s">
        <v>93</v>
      </c>
      <c r="E58" s="2" t="s">
        <v>167</v>
      </c>
      <c r="F58" s="4">
        <v>1</v>
      </c>
      <c r="G58" s="4">
        <v>1080</v>
      </c>
      <c r="H58" s="4">
        <v>23</v>
      </c>
      <c r="I58" s="4">
        <v>831.6</v>
      </c>
      <c r="J58" s="2" t="s">
        <v>69</v>
      </c>
      <c r="K58" s="2" t="s">
        <v>28</v>
      </c>
    </row>
    <row r="59" spans="1:11" x14ac:dyDescent="0.35">
      <c r="A59" s="2" t="s">
        <v>191</v>
      </c>
      <c r="B59" s="3">
        <v>45573</v>
      </c>
      <c r="C59" s="2" t="s">
        <v>192</v>
      </c>
      <c r="D59" s="2" t="s">
        <v>193</v>
      </c>
      <c r="E59" s="2" t="s">
        <v>15</v>
      </c>
      <c r="F59" s="4">
        <v>1</v>
      </c>
      <c r="G59" s="4">
        <v>4070</v>
      </c>
      <c r="H59" s="4">
        <v>6.7</v>
      </c>
      <c r="I59" s="4">
        <v>3797.31</v>
      </c>
      <c r="J59" s="2" t="s">
        <v>16</v>
      </c>
      <c r="K59" s="2" t="s">
        <v>62</v>
      </c>
    </row>
    <row r="60" spans="1:11" x14ac:dyDescent="0.35">
      <c r="A60" s="2" t="s">
        <v>194</v>
      </c>
      <c r="B60" s="3">
        <v>45417</v>
      </c>
      <c r="C60" s="2" t="s">
        <v>195</v>
      </c>
      <c r="D60" s="2" t="s">
        <v>196</v>
      </c>
      <c r="E60" s="2" t="s">
        <v>99</v>
      </c>
      <c r="F60" s="4">
        <v>2</v>
      </c>
      <c r="G60" s="4">
        <v>1220</v>
      </c>
      <c r="H60" s="4">
        <v>11.7</v>
      </c>
      <c r="I60" s="4">
        <v>2154.52</v>
      </c>
      <c r="J60" s="2" t="s">
        <v>69</v>
      </c>
      <c r="K60" s="2" t="s">
        <v>28</v>
      </c>
    </row>
    <row r="61" spans="1:11" x14ac:dyDescent="0.35">
      <c r="A61" s="2" t="s">
        <v>197</v>
      </c>
      <c r="B61" s="3">
        <v>45425</v>
      </c>
      <c r="C61" s="2" t="s">
        <v>198</v>
      </c>
      <c r="D61" s="2" t="s">
        <v>199</v>
      </c>
      <c r="E61" s="2" t="s">
        <v>158</v>
      </c>
      <c r="F61" s="4">
        <v>4</v>
      </c>
      <c r="G61" s="4">
        <v>4610</v>
      </c>
      <c r="H61" s="4">
        <v>26.9</v>
      </c>
      <c r="I61" s="4">
        <v>13479.64</v>
      </c>
      <c r="J61" s="2" t="s">
        <v>22</v>
      </c>
      <c r="K61" s="2" t="s">
        <v>41</v>
      </c>
    </row>
    <row r="62" spans="1:11" x14ac:dyDescent="0.35">
      <c r="A62" s="2" t="s">
        <v>200</v>
      </c>
      <c r="B62" s="3">
        <v>45589</v>
      </c>
      <c r="C62" s="2" t="s">
        <v>201</v>
      </c>
      <c r="D62" s="2" t="s">
        <v>93</v>
      </c>
      <c r="E62" s="2" t="s">
        <v>202</v>
      </c>
      <c r="F62" s="4">
        <v>8</v>
      </c>
      <c r="G62" s="4">
        <v>1080</v>
      </c>
      <c r="H62" s="4">
        <v>28.4</v>
      </c>
      <c r="I62" s="4">
        <v>6186.24</v>
      </c>
      <c r="J62" s="2" t="s">
        <v>16</v>
      </c>
      <c r="K62" s="2" t="s">
        <v>23</v>
      </c>
    </row>
    <row r="63" spans="1:11" x14ac:dyDescent="0.35">
      <c r="A63" s="2" t="s">
        <v>203</v>
      </c>
      <c r="B63" s="3">
        <v>45488</v>
      </c>
      <c r="C63" s="2" t="s">
        <v>204</v>
      </c>
      <c r="D63" s="2" t="s">
        <v>205</v>
      </c>
      <c r="E63" s="2" t="s">
        <v>32</v>
      </c>
      <c r="F63" s="4">
        <v>10</v>
      </c>
      <c r="G63" s="4">
        <v>3020</v>
      </c>
      <c r="H63" s="4">
        <v>25.4</v>
      </c>
      <c r="I63" s="4">
        <v>22529.200000000001</v>
      </c>
      <c r="J63" s="2" t="s">
        <v>16</v>
      </c>
      <c r="K63" s="2" t="s">
        <v>17</v>
      </c>
    </row>
    <row r="64" spans="1:11" x14ac:dyDescent="0.35">
      <c r="A64" s="2" t="s">
        <v>206</v>
      </c>
      <c r="B64" s="3">
        <v>45465</v>
      </c>
      <c r="C64" s="2" t="s">
        <v>207</v>
      </c>
      <c r="D64" s="2" t="s">
        <v>208</v>
      </c>
      <c r="E64" s="2" t="s">
        <v>167</v>
      </c>
      <c r="F64" s="4">
        <v>7</v>
      </c>
      <c r="G64" s="4">
        <v>2660</v>
      </c>
      <c r="H64" s="4">
        <v>5.3</v>
      </c>
      <c r="I64" s="4">
        <v>17633.14</v>
      </c>
      <c r="J64" s="2" t="s">
        <v>16</v>
      </c>
      <c r="K64" s="2" t="s">
        <v>62</v>
      </c>
    </row>
    <row r="65" spans="1:11" x14ac:dyDescent="0.35">
      <c r="A65" s="2" t="s">
        <v>209</v>
      </c>
      <c r="B65" s="3">
        <v>45599</v>
      </c>
      <c r="C65" s="2" t="s">
        <v>210</v>
      </c>
      <c r="D65" s="2" t="s">
        <v>211</v>
      </c>
      <c r="E65" s="2" t="s">
        <v>77</v>
      </c>
      <c r="F65" s="4">
        <v>9</v>
      </c>
      <c r="G65" s="4">
        <v>300</v>
      </c>
      <c r="H65" s="4">
        <v>25.3</v>
      </c>
      <c r="I65" s="4">
        <v>2016.9</v>
      </c>
      <c r="J65" s="2" t="s">
        <v>16</v>
      </c>
      <c r="K65" s="2" t="s">
        <v>17</v>
      </c>
    </row>
    <row r="66" spans="1:11" x14ac:dyDescent="0.35">
      <c r="A66" s="2" t="s">
        <v>212</v>
      </c>
      <c r="B66" s="3">
        <v>45317</v>
      </c>
      <c r="C66" s="2" t="s">
        <v>213</v>
      </c>
      <c r="D66" s="2" t="s">
        <v>64</v>
      </c>
      <c r="E66" s="2" t="s">
        <v>214</v>
      </c>
      <c r="F66" s="4">
        <v>10</v>
      </c>
      <c r="G66" s="4">
        <v>2640</v>
      </c>
      <c r="H66" s="4">
        <v>18.7</v>
      </c>
      <c r="I66" s="4">
        <v>21463.200000000001</v>
      </c>
      <c r="J66" s="2" t="s">
        <v>69</v>
      </c>
      <c r="K66" s="2" t="s">
        <v>23</v>
      </c>
    </row>
    <row r="67" spans="1:11" x14ac:dyDescent="0.35">
      <c r="A67" s="2" t="s">
        <v>215</v>
      </c>
      <c r="B67" s="3">
        <v>45462</v>
      </c>
      <c r="C67" s="2" t="s">
        <v>148</v>
      </c>
      <c r="D67" s="2" t="s">
        <v>20</v>
      </c>
      <c r="E67" s="2" t="s">
        <v>121</v>
      </c>
      <c r="F67" s="4">
        <v>8</v>
      </c>
      <c r="G67" s="4">
        <v>820</v>
      </c>
      <c r="H67" s="4">
        <v>24</v>
      </c>
      <c r="I67" s="4">
        <v>4985.6000000000004</v>
      </c>
      <c r="J67" s="2" t="s">
        <v>16</v>
      </c>
      <c r="K67" s="2" t="s">
        <v>28</v>
      </c>
    </row>
    <row r="68" spans="1:11" x14ac:dyDescent="0.35">
      <c r="A68" s="2" t="s">
        <v>216</v>
      </c>
      <c r="B68" s="3">
        <v>45499</v>
      </c>
      <c r="C68" s="2" t="s">
        <v>19</v>
      </c>
      <c r="D68" s="2" t="s">
        <v>129</v>
      </c>
      <c r="E68" s="2" t="s">
        <v>57</v>
      </c>
      <c r="F68" s="4">
        <v>1</v>
      </c>
      <c r="G68" s="4">
        <v>2760</v>
      </c>
      <c r="H68" s="4">
        <v>4.8</v>
      </c>
      <c r="I68" s="4">
        <v>2627.52</v>
      </c>
      <c r="J68" s="2" t="s">
        <v>16</v>
      </c>
      <c r="K68" s="2" t="s">
        <v>23</v>
      </c>
    </row>
    <row r="69" spans="1:11" x14ac:dyDescent="0.35">
      <c r="A69" s="2" t="s">
        <v>217</v>
      </c>
      <c r="B69" s="3">
        <v>45328</v>
      </c>
      <c r="C69" s="2" t="s">
        <v>218</v>
      </c>
      <c r="D69" s="2" t="s">
        <v>14</v>
      </c>
      <c r="E69" s="2" t="s">
        <v>167</v>
      </c>
      <c r="F69" s="4">
        <v>2</v>
      </c>
      <c r="G69" s="4">
        <v>3620</v>
      </c>
      <c r="H69" s="4">
        <v>19.100000000000001</v>
      </c>
      <c r="I69" s="4">
        <v>5857.16</v>
      </c>
      <c r="J69" s="2" t="s">
        <v>16</v>
      </c>
      <c r="K69" s="2" t="s">
        <v>23</v>
      </c>
    </row>
    <row r="70" spans="1:11" x14ac:dyDescent="0.35">
      <c r="A70" s="2" t="s">
        <v>219</v>
      </c>
      <c r="B70" s="3">
        <v>45459</v>
      </c>
      <c r="C70" s="2" t="s">
        <v>220</v>
      </c>
      <c r="D70" s="2" t="s">
        <v>221</v>
      </c>
      <c r="E70" s="2" t="s">
        <v>40</v>
      </c>
      <c r="F70" s="4">
        <v>1</v>
      </c>
      <c r="G70" s="4">
        <v>620</v>
      </c>
      <c r="H70" s="4">
        <v>1</v>
      </c>
      <c r="I70" s="4">
        <v>613.79999999999995</v>
      </c>
      <c r="J70" s="2" t="s">
        <v>16</v>
      </c>
      <c r="K70" s="2" t="s">
        <v>28</v>
      </c>
    </row>
    <row r="71" spans="1:11" x14ac:dyDescent="0.35">
      <c r="A71" s="2" t="s">
        <v>222</v>
      </c>
      <c r="B71" s="3">
        <v>45398</v>
      </c>
      <c r="C71" s="2" t="s">
        <v>223</v>
      </c>
      <c r="D71" s="2" t="s">
        <v>224</v>
      </c>
      <c r="E71" s="2" t="s">
        <v>99</v>
      </c>
      <c r="F71" s="4">
        <v>1</v>
      </c>
      <c r="G71" s="4">
        <v>2030</v>
      </c>
      <c r="H71" s="4">
        <v>3.3</v>
      </c>
      <c r="I71" s="4">
        <v>1963.01</v>
      </c>
      <c r="J71" s="2" t="s">
        <v>16</v>
      </c>
      <c r="K71" s="2" t="s">
        <v>62</v>
      </c>
    </row>
    <row r="72" spans="1:11" x14ac:dyDescent="0.35">
      <c r="A72" s="2" t="s">
        <v>225</v>
      </c>
      <c r="B72" s="3">
        <v>45470</v>
      </c>
      <c r="C72" s="2" t="s">
        <v>34</v>
      </c>
      <c r="D72" s="2" t="s">
        <v>35</v>
      </c>
      <c r="E72" s="2" t="s">
        <v>226</v>
      </c>
      <c r="F72" s="4">
        <v>10</v>
      </c>
      <c r="G72" s="4">
        <v>3160</v>
      </c>
      <c r="H72" s="4">
        <v>15.8</v>
      </c>
      <c r="I72" s="4">
        <v>26607.200000000001</v>
      </c>
      <c r="J72" s="2" t="s">
        <v>16</v>
      </c>
      <c r="K72" s="2" t="s">
        <v>23</v>
      </c>
    </row>
    <row r="73" spans="1:11" x14ac:dyDescent="0.35">
      <c r="A73" s="2" t="s">
        <v>227</v>
      </c>
      <c r="B73" s="3">
        <v>45346</v>
      </c>
      <c r="C73" s="2" t="s">
        <v>228</v>
      </c>
      <c r="D73" s="2" t="s">
        <v>56</v>
      </c>
      <c r="E73" s="2" t="s">
        <v>144</v>
      </c>
      <c r="F73" s="4">
        <v>5</v>
      </c>
      <c r="G73" s="4">
        <v>970</v>
      </c>
      <c r="H73" s="4">
        <v>12.2</v>
      </c>
      <c r="I73" s="4">
        <v>4258.3</v>
      </c>
      <c r="J73" s="2" t="s">
        <v>16</v>
      </c>
      <c r="K73" s="2" t="s">
        <v>62</v>
      </c>
    </row>
    <row r="74" spans="1:11" x14ac:dyDescent="0.35">
      <c r="A74" s="2" t="s">
        <v>229</v>
      </c>
      <c r="B74" s="3">
        <v>45483</v>
      </c>
      <c r="C74" s="2" t="s">
        <v>230</v>
      </c>
      <c r="D74" s="2" t="s">
        <v>108</v>
      </c>
      <c r="E74" s="2" t="s">
        <v>77</v>
      </c>
      <c r="F74" s="4">
        <v>9</v>
      </c>
      <c r="G74" s="4">
        <v>3350</v>
      </c>
      <c r="H74" s="4">
        <v>25.8</v>
      </c>
      <c r="I74" s="4">
        <v>22371.3</v>
      </c>
      <c r="J74" s="2" t="s">
        <v>22</v>
      </c>
      <c r="K74" s="2" t="s">
        <v>23</v>
      </c>
    </row>
    <row r="75" spans="1:11" x14ac:dyDescent="0.35">
      <c r="A75" s="2" t="s">
        <v>231</v>
      </c>
      <c r="B75" s="3">
        <v>45585</v>
      </c>
      <c r="C75" s="2" t="s">
        <v>187</v>
      </c>
      <c r="D75" s="2" t="s">
        <v>39</v>
      </c>
      <c r="E75" s="2" t="s">
        <v>232</v>
      </c>
      <c r="F75" s="4">
        <v>1</v>
      </c>
      <c r="G75" s="4">
        <v>370</v>
      </c>
      <c r="H75" s="4">
        <v>28.9</v>
      </c>
      <c r="I75" s="4">
        <v>263.07</v>
      </c>
      <c r="J75" s="2" t="s">
        <v>16</v>
      </c>
      <c r="K75" s="2" t="s">
        <v>28</v>
      </c>
    </row>
    <row r="76" spans="1:11" x14ac:dyDescent="0.35">
      <c r="A76" s="2" t="s">
        <v>233</v>
      </c>
      <c r="B76" s="3">
        <v>45500</v>
      </c>
      <c r="C76" s="2" t="s">
        <v>234</v>
      </c>
      <c r="D76" s="2" t="s">
        <v>56</v>
      </c>
      <c r="E76" s="2" t="s">
        <v>61</v>
      </c>
      <c r="F76" s="4">
        <v>3</v>
      </c>
      <c r="G76" s="4">
        <v>970</v>
      </c>
      <c r="H76" s="4">
        <v>4.3</v>
      </c>
      <c r="I76" s="4">
        <v>2784.87</v>
      </c>
      <c r="J76" s="2" t="s">
        <v>69</v>
      </c>
      <c r="K76" s="2" t="s">
        <v>62</v>
      </c>
    </row>
    <row r="77" spans="1:11" x14ac:dyDescent="0.35">
      <c r="A77" s="2" t="s">
        <v>235</v>
      </c>
      <c r="B77" s="3">
        <v>45375</v>
      </c>
      <c r="C77" s="2" t="s">
        <v>71</v>
      </c>
      <c r="D77" s="2" t="s">
        <v>129</v>
      </c>
      <c r="E77" s="2" t="s">
        <v>214</v>
      </c>
      <c r="F77" s="4">
        <v>6</v>
      </c>
      <c r="G77" s="4">
        <v>2760</v>
      </c>
      <c r="H77" s="4">
        <v>19.899999999999999</v>
      </c>
      <c r="I77" s="4">
        <v>13264.56</v>
      </c>
      <c r="J77" s="2" t="s">
        <v>22</v>
      </c>
      <c r="K77" s="2" t="s">
        <v>17</v>
      </c>
    </row>
    <row r="78" spans="1:11" x14ac:dyDescent="0.35">
      <c r="A78" s="2" t="s">
        <v>236</v>
      </c>
      <c r="B78" s="3">
        <v>45443</v>
      </c>
      <c r="C78" s="2" t="s">
        <v>237</v>
      </c>
      <c r="D78" s="2" t="s">
        <v>129</v>
      </c>
      <c r="E78" s="2" t="s">
        <v>50</v>
      </c>
      <c r="F78" s="4">
        <v>7</v>
      </c>
      <c r="G78" s="4">
        <v>2760</v>
      </c>
      <c r="H78" s="4">
        <v>25.2</v>
      </c>
      <c r="I78" s="4">
        <v>14451.36</v>
      </c>
      <c r="J78" s="2" t="s">
        <v>16</v>
      </c>
      <c r="K78" s="2" t="s">
        <v>17</v>
      </c>
    </row>
    <row r="79" spans="1:11" x14ac:dyDescent="0.35">
      <c r="A79" s="2" t="s">
        <v>238</v>
      </c>
      <c r="B79" s="3">
        <v>45390</v>
      </c>
      <c r="C79" s="2" t="s">
        <v>239</v>
      </c>
      <c r="D79" s="2" t="s">
        <v>196</v>
      </c>
      <c r="E79" s="2" t="s">
        <v>214</v>
      </c>
      <c r="F79" s="4">
        <v>4</v>
      </c>
      <c r="G79" s="4">
        <v>1220</v>
      </c>
      <c r="H79" s="4">
        <v>8.4</v>
      </c>
      <c r="I79" s="4">
        <v>4470.08</v>
      </c>
      <c r="J79" s="2" t="s">
        <v>16</v>
      </c>
      <c r="K79" s="2" t="s">
        <v>46</v>
      </c>
    </row>
    <row r="80" spans="1:11" x14ac:dyDescent="0.35">
      <c r="A80" s="2" t="s">
        <v>240</v>
      </c>
      <c r="B80" s="3">
        <v>45615</v>
      </c>
      <c r="C80" s="2" t="s">
        <v>241</v>
      </c>
      <c r="D80" s="2" t="s">
        <v>67</v>
      </c>
      <c r="E80" s="2" t="s">
        <v>57</v>
      </c>
      <c r="F80" s="4">
        <v>2</v>
      </c>
      <c r="G80" s="4">
        <v>2600</v>
      </c>
      <c r="H80" s="4">
        <v>1.9</v>
      </c>
      <c r="I80" s="4">
        <v>5101.2</v>
      </c>
      <c r="J80" s="2" t="s">
        <v>22</v>
      </c>
      <c r="K80" s="2" t="s">
        <v>62</v>
      </c>
    </row>
    <row r="81" spans="1:11" x14ac:dyDescent="0.35">
      <c r="A81" s="2" t="s">
        <v>242</v>
      </c>
      <c r="B81" s="3">
        <v>45498</v>
      </c>
      <c r="C81" s="2" t="s">
        <v>243</v>
      </c>
      <c r="D81" s="2" t="s">
        <v>193</v>
      </c>
      <c r="E81" s="2" t="s">
        <v>99</v>
      </c>
      <c r="F81" s="4">
        <v>9</v>
      </c>
      <c r="G81" s="4">
        <v>4070</v>
      </c>
      <c r="H81" s="4">
        <v>28.8</v>
      </c>
      <c r="I81" s="4">
        <v>26080.560000000001</v>
      </c>
      <c r="J81" s="2" t="s">
        <v>16</v>
      </c>
      <c r="K81" s="2" t="s">
        <v>17</v>
      </c>
    </row>
    <row r="82" spans="1:11" x14ac:dyDescent="0.35">
      <c r="A82" s="2" t="s">
        <v>244</v>
      </c>
      <c r="B82" s="3">
        <v>45515</v>
      </c>
      <c r="C82" s="2" t="s">
        <v>245</v>
      </c>
      <c r="D82" s="2" t="s">
        <v>60</v>
      </c>
      <c r="E82" s="2" t="s">
        <v>21</v>
      </c>
      <c r="F82" s="4">
        <v>2</v>
      </c>
      <c r="G82" s="4">
        <v>2270</v>
      </c>
      <c r="H82" s="4">
        <v>18</v>
      </c>
      <c r="I82" s="4">
        <v>3722.8</v>
      </c>
      <c r="J82" s="2" t="s">
        <v>73</v>
      </c>
      <c r="K82" s="2" t="s">
        <v>17</v>
      </c>
    </row>
    <row r="83" spans="1:11" x14ac:dyDescent="0.35">
      <c r="A83" s="2" t="s">
        <v>246</v>
      </c>
      <c r="B83" s="3">
        <v>45528</v>
      </c>
      <c r="C83" s="2" t="s">
        <v>247</v>
      </c>
      <c r="D83" s="2" t="s">
        <v>35</v>
      </c>
      <c r="E83" s="2" t="s">
        <v>167</v>
      </c>
      <c r="F83" s="4">
        <v>2</v>
      </c>
      <c r="G83" s="4">
        <v>3160</v>
      </c>
      <c r="H83" s="4">
        <v>18.3</v>
      </c>
      <c r="I83" s="4">
        <v>5163.4399999999996</v>
      </c>
      <c r="J83" s="2" t="s">
        <v>16</v>
      </c>
      <c r="K83" s="2" t="s">
        <v>23</v>
      </c>
    </row>
    <row r="84" spans="1:11" x14ac:dyDescent="0.35">
      <c r="A84" s="2" t="s">
        <v>248</v>
      </c>
      <c r="B84" s="3">
        <v>45402</v>
      </c>
      <c r="C84" s="2" t="s">
        <v>249</v>
      </c>
      <c r="D84" s="2" t="s">
        <v>96</v>
      </c>
      <c r="E84" s="2" t="s">
        <v>15</v>
      </c>
      <c r="F84" s="4">
        <v>4</v>
      </c>
      <c r="G84" s="4">
        <v>2480</v>
      </c>
      <c r="H84" s="4">
        <v>1.1000000000000001</v>
      </c>
      <c r="I84" s="4">
        <v>9810.8799999999992</v>
      </c>
      <c r="J84" s="2" t="s">
        <v>22</v>
      </c>
      <c r="K84" s="2" t="s">
        <v>62</v>
      </c>
    </row>
    <row r="85" spans="1:11" x14ac:dyDescent="0.35">
      <c r="A85" s="2" t="s">
        <v>250</v>
      </c>
      <c r="B85" s="3">
        <v>45547</v>
      </c>
      <c r="C85" s="2" t="s">
        <v>251</v>
      </c>
      <c r="D85" s="2" t="s">
        <v>208</v>
      </c>
      <c r="E85" s="2" t="s">
        <v>130</v>
      </c>
      <c r="F85" s="4">
        <v>1</v>
      </c>
      <c r="G85" s="4">
        <v>2660</v>
      </c>
      <c r="H85" s="4">
        <v>21</v>
      </c>
      <c r="I85" s="4">
        <v>2101.4</v>
      </c>
      <c r="J85" s="2" t="s">
        <v>16</v>
      </c>
      <c r="K85" s="2" t="s">
        <v>28</v>
      </c>
    </row>
    <row r="86" spans="1:11" x14ac:dyDescent="0.35">
      <c r="A86" s="2" t="s">
        <v>252</v>
      </c>
      <c r="B86" s="3">
        <v>45424</v>
      </c>
      <c r="C86" s="2" t="s">
        <v>253</v>
      </c>
      <c r="D86" s="2" t="s">
        <v>205</v>
      </c>
      <c r="E86" s="2" t="s">
        <v>254</v>
      </c>
      <c r="F86" s="4">
        <v>5</v>
      </c>
      <c r="G86" s="4">
        <v>3020</v>
      </c>
      <c r="H86" s="4">
        <v>22.2</v>
      </c>
      <c r="I86" s="4">
        <v>11747.8</v>
      </c>
      <c r="J86" s="2" t="s">
        <v>16</v>
      </c>
      <c r="K86" s="2" t="s">
        <v>62</v>
      </c>
    </row>
    <row r="87" spans="1:11" x14ac:dyDescent="0.35">
      <c r="A87" s="2" t="s">
        <v>255</v>
      </c>
      <c r="B87" s="3">
        <v>45461</v>
      </c>
      <c r="C87" s="2" t="s">
        <v>123</v>
      </c>
      <c r="D87" s="2" t="s">
        <v>221</v>
      </c>
      <c r="E87" s="2" t="s">
        <v>99</v>
      </c>
      <c r="F87" s="4">
        <v>9</v>
      </c>
      <c r="G87" s="4">
        <v>620</v>
      </c>
      <c r="H87" s="4">
        <v>23.3</v>
      </c>
      <c r="I87" s="4">
        <v>4279.8599999999997</v>
      </c>
      <c r="J87" s="2" t="s">
        <v>16</v>
      </c>
      <c r="K87" s="2" t="s">
        <v>17</v>
      </c>
    </row>
    <row r="88" spans="1:11" x14ac:dyDescent="0.35">
      <c r="A88" s="2" t="s">
        <v>256</v>
      </c>
      <c r="B88" s="3">
        <v>45600</v>
      </c>
      <c r="C88" s="2" t="s">
        <v>257</v>
      </c>
      <c r="D88" s="2" t="s">
        <v>26</v>
      </c>
      <c r="E88" s="2" t="s">
        <v>130</v>
      </c>
      <c r="F88" s="4">
        <v>2</v>
      </c>
      <c r="G88" s="4">
        <v>470</v>
      </c>
      <c r="H88" s="4">
        <v>5.4</v>
      </c>
      <c r="I88" s="4">
        <v>889.24</v>
      </c>
      <c r="J88" s="2" t="s">
        <v>16</v>
      </c>
      <c r="K88" s="2" t="s">
        <v>23</v>
      </c>
    </row>
    <row r="89" spans="1:11" x14ac:dyDescent="0.35">
      <c r="A89" s="2" t="s">
        <v>258</v>
      </c>
      <c r="B89" s="3">
        <v>45587</v>
      </c>
      <c r="C89" s="2" t="s">
        <v>101</v>
      </c>
      <c r="D89" s="2" t="s">
        <v>49</v>
      </c>
      <c r="E89" s="2" t="s">
        <v>61</v>
      </c>
      <c r="F89" s="4">
        <v>3</v>
      </c>
      <c r="G89" s="4">
        <v>1430</v>
      </c>
      <c r="H89" s="4">
        <v>6.5</v>
      </c>
      <c r="I89" s="4">
        <v>4011.15</v>
      </c>
      <c r="J89" s="2" t="s">
        <v>16</v>
      </c>
      <c r="K89" s="2" t="s">
        <v>17</v>
      </c>
    </row>
    <row r="90" spans="1:11" x14ac:dyDescent="0.35">
      <c r="A90" s="2" t="s">
        <v>259</v>
      </c>
      <c r="B90" s="3">
        <v>45518</v>
      </c>
      <c r="C90" s="2" t="s">
        <v>260</v>
      </c>
      <c r="D90" s="2" t="s">
        <v>221</v>
      </c>
      <c r="E90" s="2" t="s">
        <v>68</v>
      </c>
      <c r="F90" s="4">
        <v>6</v>
      </c>
      <c r="G90" s="4">
        <v>620</v>
      </c>
      <c r="H90" s="4">
        <v>2.6</v>
      </c>
      <c r="I90" s="4">
        <v>3623.28</v>
      </c>
      <c r="J90" s="2" t="s">
        <v>16</v>
      </c>
      <c r="K90" s="2" t="s">
        <v>46</v>
      </c>
    </row>
    <row r="91" spans="1:11" x14ac:dyDescent="0.35">
      <c r="A91" s="2" t="s">
        <v>261</v>
      </c>
      <c r="B91" s="3">
        <v>45533</v>
      </c>
      <c r="C91" s="2" t="s">
        <v>262</v>
      </c>
      <c r="D91" s="2" t="s">
        <v>116</v>
      </c>
      <c r="E91" s="2" t="s">
        <v>254</v>
      </c>
      <c r="F91" s="4">
        <v>4</v>
      </c>
      <c r="G91" s="4">
        <v>3570</v>
      </c>
      <c r="H91" s="4">
        <v>4.5</v>
      </c>
      <c r="I91" s="4">
        <v>13637.4</v>
      </c>
      <c r="J91" s="2" t="s">
        <v>22</v>
      </c>
      <c r="K91" s="2" t="s">
        <v>62</v>
      </c>
    </row>
    <row r="92" spans="1:11" x14ac:dyDescent="0.35">
      <c r="A92" s="2" t="s">
        <v>263</v>
      </c>
      <c r="B92" s="3">
        <v>45622</v>
      </c>
      <c r="C92" s="2" t="s">
        <v>234</v>
      </c>
      <c r="D92" s="2" t="s">
        <v>174</v>
      </c>
      <c r="E92" s="2" t="s">
        <v>61</v>
      </c>
      <c r="F92" s="4">
        <v>6</v>
      </c>
      <c r="G92" s="4">
        <v>2270</v>
      </c>
      <c r="H92" s="4">
        <v>2</v>
      </c>
      <c r="I92" s="4">
        <v>13347.6</v>
      </c>
      <c r="J92" s="2" t="s">
        <v>16</v>
      </c>
      <c r="K92" s="2" t="s">
        <v>62</v>
      </c>
    </row>
    <row r="93" spans="1:11" x14ac:dyDescent="0.35">
      <c r="A93" s="2" t="s">
        <v>264</v>
      </c>
      <c r="B93" s="3">
        <v>45328</v>
      </c>
      <c r="C93" s="2" t="s">
        <v>265</v>
      </c>
      <c r="D93" s="2" t="s">
        <v>102</v>
      </c>
      <c r="E93" s="2" t="s">
        <v>27</v>
      </c>
      <c r="F93" s="4">
        <v>7</v>
      </c>
      <c r="G93" s="4">
        <v>2720</v>
      </c>
      <c r="H93" s="4">
        <v>15.4</v>
      </c>
      <c r="I93" s="4">
        <v>16107.84</v>
      </c>
      <c r="J93" s="2" t="s">
        <v>16</v>
      </c>
      <c r="K93" s="2" t="s">
        <v>41</v>
      </c>
    </row>
    <row r="94" spans="1:11" x14ac:dyDescent="0.35">
      <c r="A94" s="2" t="s">
        <v>266</v>
      </c>
      <c r="B94" s="3">
        <v>45380</v>
      </c>
      <c r="C94" s="2" t="s">
        <v>218</v>
      </c>
      <c r="D94" s="2" t="s">
        <v>267</v>
      </c>
      <c r="E94" s="2" t="s">
        <v>144</v>
      </c>
      <c r="F94" s="4">
        <v>9</v>
      </c>
      <c r="G94" s="4">
        <v>2210</v>
      </c>
      <c r="H94" s="4">
        <v>12.4</v>
      </c>
      <c r="I94" s="4">
        <v>17423.64</v>
      </c>
      <c r="J94" s="2" t="s">
        <v>16</v>
      </c>
      <c r="K94" s="2" t="s">
        <v>23</v>
      </c>
    </row>
    <row r="95" spans="1:11" x14ac:dyDescent="0.35">
      <c r="A95" s="2" t="s">
        <v>268</v>
      </c>
      <c r="B95" s="3">
        <v>45648</v>
      </c>
      <c r="C95" s="2" t="s">
        <v>269</v>
      </c>
      <c r="D95" s="2" t="s">
        <v>76</v>
      </c>
      <c r="E95" s="2" t="s">
        <v>130</v>
      </c>
      <c r="F95" s="4">
        <v>6</v>
      </c>
      <c r="G95" s="4">
        <v>190</v>
      </c>
      <c r="H95" s="4">
        <v>19.2</v>
      </c>
      <c r="I95" s="4">
        <v>921.12</v>
      </c>
      <c r="J95" s="2" t="s">
        <v>16</v>
      </c>
      <c r="K95" s="2" t="s">
        <v>17</v>
      </c>
    </row>
    <row r="96" spans="1:11" x14ac:dyDescent="0.35">
      <c r="A96" s="2" t="s">
        <v>270</v>
      </c>
      <c r="B96" s="3">
        <v>45607</v>
      </c>
      <c r="C96" s="2" t="s">
        <v>271</v>
      </c>
      <c r="D96" s="2" t="s">
        <v>120</v>
      </c>
      <c r="E96" s="2" t="s">
        <v>272</v>
      </c>
      <c r="F96" s="4">
        <v>10</v>
      </c>
      <c r="G96" s="4">
        <v>5100</v>
      </c>
      <c r="H96" s="4">
        <v>25.4</v>
      </c>
      <c r="I96" s="4">
        <v>38046</v>
      </c>
      <c r="J96" s="2" t="s">
        <v>73</v>
      </c>
      <c r="K96" s="2" t="s">
        <v>23</v>
      </c>
    </row>
    <row r="97" spans="1:11" x14ac:dyDescent="0.35">
      <c r="A97" s="2" t="s">
        <v>273</v>
      </c>
      <c r="B97" s="3">
        <v>45414</v>
      </c>
      <c r="C97" s="2" t="s">
        <v>274</v>
      </c>
      <c r="D97" s="2" t="s">
        <v>111</v>
      </c>
      <c r="E97" s="2" t="s">
        <v>275</v>
      </c>
      <c r="F97" s="4">
        <v>5</v>
      </c>
      <c r="G97" s="4">
        <v>1010</v>
      </c>
      <c r="H97" s="4">
        <v>1.6</v>
      </c>
      <c r="I97" s="4">
        <v>4969.2</v>
      </c>
      <c r="J97" s="2" t="s">
        <v>16</v>
      </c>
      <c r="K97" s="2" t="s">
        <v>23</v>
      </c>
    </row>
    <row r="98" spans="1:11" x14ac:dyDescent="0.35">
      <c r="A98" s="2" t="s">
        <v>276</v>
      </c>
      <c r="B98" s="3">
        <v>45328</v>
      </c>
      <c r="C98" s="2" t="s">
        <v>192</v>
      </c>
      <c r="D98" s="2" t="s">
        <v>155</v>
      </c>
      <c r="E98" s="2" t="s">
        <v>40</v>
      </c>
      <c r="F98" s="4">
        <v>1</v>
      </c>
      <c r="G98" s="4">
        <v>3730</v>
      </c>
      <c r="H98" s="4">
        <v>22.7</v>
      </c>
      <c r="I98" s="4">
        <v>2883.29</v>
      </c>
      <c r="J98" s="2" t="s">
        <v>16</v>
      </c>
      <c r="K98" s="2" t="s">
        <v>62</v>
      </c>
    </row>
    <row r="99" spans="1:11" x14ac:dyDescent="0.35">
      <c r="A99" s="2" t="s">
        <v>277</v>
      </c>
      <c r="B99" s="3">
        <v>45373</v>
      </c>
      <c r="C99" s="2" t="s">
        <v>230</v>
      </c>
      <c r="D99" s="2" t="s">
        <v>67</v>
      </c>
      <c r="E99" s="2" t="s">
        <v>57</v>
      </c>
      <c r="F99" s="4">
        <v>10</v>
      </c>
      <c r="G99" s="4">
        <v>2600</v>
      </c>
      <c r="H99" s="4">
        <v>20.7</v>
      </c>
      <c r="I99" s="4">
        <v>20618</v>
      </c>
      <c r="J99" s="2" t="s">
        <v>16</v>
      </c>
      <c r="K99" s="2" t="s">
        <v>23</v>
      </c>
    </row>
    <row r="100" spans="1:11" x14ac:dyDescent="0.35">
      <c r="A100" s="2" t="s">
        <v>278</v>
      </c>
      <c r="B100" s="3">
        <v>45458</v>
      </c>
      <c r="C100" s="2" t="s">
        <v>279</v>
      </c>
      <c r="D100" s="2" t="s">
        <v>280</v>
      </c>
      <c r="E100" s="2" t="s">
        <v>32</v>
      </c>
      <c r="F100" s="4">
        <v>4</v>
      </c>
      <c r="G100" s="4">
        <v>4060</v>
      </c>
      <c r="H100" s="4">
        <v>13.9</v>
      </c>
      <c r="I100" s="4">
        <v>13982.64</v>
      </c>
      <c r="J100" s="2" t="s">
        <v>16</v>
      </c>
      <c r="K100" s="2" t="s">
        <v>41</v>
      </c>
    </row>
    <row r="101" spans="1:11" x14ac:dyDescent="0.35">
      <c r="A101" s="2" t="s">
        <v>281</v>
      </c>
      <c r="B101" s="3">
        <v>45426</v>
      </c>
      <c r="C101" s="2" t="s">
        <v>282</v>
      </c>
      <c r="D101" s="2" t="s">
        <v>170</v>
      </c>
      <c r="E101" s="2" t="s">
        <v>272</v>
      </c>
      <c r="F101" s="4">
        <v>6</v>
      </c>
      <c r="G101" s="4">
        <v>6080</v>
      </c>
      <c r="H101" s="4">
        <v>16.5</v>
      </c>
      <c r="I101" s="4">
        <v>30460.799999999999</v>
      </c>
      <c r="J101" s="2" t="s">
        <v>16</v>
      </c>
      <c r="K101" s="2" t="s">
        <v>23</v>
      </c>
    </row>
    <row r="102" spans="1:11" x14ac:dyDescent="0.35">
      <c r="A102" s="2" t="s">
        <v>283</v>
      </c>
      <c r="B102" s="3">
        <v>45557</v>
      </c>
      <c r="C102" s="2" t="s">
        <v>123</v>
      </c>
      <c r="D102" s="2" t="s">
        <v>284</v>
      </c>
      <c r="E102" s="2" t="s">
        <v>57</v>
      </c>
      <c r="F102" s="4">
        <v>6</v>
      </c>
      <c r="G102" s="4">
        <v>2510</v>
      </c>
      <c r="H102" s="4">
        <v>11.7</v>
      </c>
      <c r="I102" s="4">
        <v>13297.98</v>
      </c>
      <c r="J102" s="2" t="s">
        <v>16</v>
      </c>
      <c r="K102" s="2" t="s">
        <v>17</v>
      </c>
    </row>
    <row r="103" spans="1:11" x14ac:dyDescent="0.35">
      <c r="A103" s="2" t="s">
        <v>285</v>
      </c>
      <c r="B103" s="3">
        <v>45509</v>
      </c>
      <c r="C103" s="2" t="s">
        <v>286</v>
      </c>
      <c r="D103" s="2" t="s">
        <v>72</v>
      </c>
      <c r="E103" s="2" t="s">
        <v>130</v>
      </c>
      <c r="F103" s="4">
        <v>5</v>
      </c>
      <c r="G103" s="4">
        <v>3250</v>
      </c>
      <c r="H103" s="4">
        <v>18.399999999999999</v>
      </c>
      <c r="I103" s="4">
        <v>13260</v>
      </c>
      <c r="J103" s="2" t="s">
        <v>16</v>
      </c>
      <c r="K103" s="2" t="s">
        <v>28</v>
      </c>
    </row>
    <row r="104" spans="1:11" x14ac:dyDescent="0.35">
      <c r="A104" s="2" t="s">
        <v>287</v>
      </c>
      <c r="B104" s="3">
        <v>45329</v>
      </c>
      <c r="C104" s="2" t="s">
        <v>288</v>
      </c>
      <c r="D104" s="2" t="s">
        <v>289</v>
      </c>
      <c r="E104" s="2" t="s">
        <v>21</v>
      </c>
      <c r="F104" s="4">
        <v>4</v>
      </c>
      <c r="G104" s="4">
        <v>5410</v>
      </c>
      <c r="H104" s="4">
        <v>9.8000000000000007</v>
      </c>
      <c r="I104" s="4">
        <v>19519.28</v>
      </c>
      <c r="J104" s="2" t="s">
        <v>69</v>
      </c>
      <c r="K104" s="2" t="s">
        <v>28</v>
      </c>
    </row>
    <row r="105" spans="1:11" x14ac:dyDescent="0.35">
      <c r="A105" s="2" t="s">
        <v>290</v>
      </c>
      <c r="B105" s="3">
        <v>45411</v>
      </c>
      <c r="C105" s="2" t="s">
        <v>291</v>
      </c>
      <c r="D105" s="2" t="s">
        <v>116</v>
      </c>
      <c r="E105" s="2" t="s">
        <v>232</v>
      </c>
      <c r="F105" s="4">
        <v>8</v>
      </c>
      <c r="G105" s="4">
        <v>3570</v>
      </c>
      <c r="H105" s="4">
        <v>11.1</v>
      </c>
      <c r="I105" s="4">
        <v>25389.84</v>
      </c>
      <c r="J105" s="2" t="s">
        <v>16</v>
      </c>
      <c r="K105" s="2" t="s">
        <v>23</v>
      </c>
    </row>
    <row r="106" spans="1:11" x14ac:dyDescent="0.35">
      <c r="A106" s="2" t="s">
        <v>292</v>
      </c>
      <c r="B106" s="3">
        <v>45297</v>
      </c>
      <c r="C106" s="2" t="s">
        <v>279</v>
      </c>
      <c r="D106" s="2" t="s">
        <v>293</v>
      </c>
      <c r="E106" s="2" t="s">
        <v>77</v>
      </c>
      <c r="F106" s="4">
        <v>10</v>
      </c>
      <c r="G106" s="4">
        <v>5330</v>
      </c>
      <c r="H106" s="4">
        <v>21.2</v>
      </c>
      <c r="I106" s="4">
        <v>42000.4</v>
      </c>
      <c r="J106" s="2" t="s">
        <v>16</v>
      </c>
      <c r="K106" s="2" t="s">
        <v>41</v>
      </c>
    </row>
    <row r="107" spans="1:11" x14ac:dyDescent="0.35">
      <c r="A107" s="2" t="s">
        <v>294</v>
      </c>
      <c r="B107" s="3">
        <v>45640</v>
      </c>
      <c r="C107" s="2" t="s">
        <v>295</v>
      </c>
      <c r="D107" s="2" t="s">
        <v>296</v>
      </c>
      <c r="E107" s="2" t="s">
        <v>167</v>
      </c>
      <c r="F107" s="4">
        <v>4</v>
      </c>
      <c r="G107" s="4">
        <v>2380</v>
      </c>
      <c r="H107" s="4">
        <v>26.2</v>
      </c>
      <c r="I107" s="4">
        <v>7025.76</v>
      </c>
      <c r="J107" s="2" t="s">
        <v>16</v>
      </c>
      <c r="K107" s="2" t="s">
        <v>41</v>
      </c>
    </row>
    <row r="108" spans="1:11" x14ac:dyDescent="0.35">
      <c r="A108" s="2" t="s">
        <v>297</v>
      </c>
      <c r="B108" s="3">
        <v>45322</v>
      </c>
      <c r="C108" s="2" t="s">
        <v>298</v>
      </c>
      <c r="D108" s="2" t="s">
        <v>111</v>
      </c>
      <c r="E108" s="2" t="s">
        <v>272</v>
      </c>
      <c r="F108" s="4">
        <v>1</v>
      </c>
      <c r="G108" s="4">
        <v>1010</v>
      </c>
      <c r="H108" s="4">
        <v>19.5</v>
      </c>
      <c r="I108" s="4">
        <v>813.05</v>
      </c>
      <c r="J108" s="2" t="s">
        <v>69</v>
      </c>
      <c r="K108" s="2" t="s">
        <v>23</v>
      </c>
    </row>
    <row r="109" spans="1:11" x14ac:dyDescent="0.35">
      <c r="A109" s="2" t="s">
        <v>299</v>
      </c>
      <c r="B109" s="3">
        <v>45414</v>
      </c>
      <c r="C109" s="2" t="s">
        <v>300</v>
      </c>
      <c r="D109" s="2" t="s">
        <v>31</v>
      </c>
      <c r="E109" s="2" t="s">
        <v>40</v>
      </c>
      <c r="F109" s="4">
        <v>1</v>
      </c>
      <c r="G109" s="4">
        <v>3660</v>
      </c>
      <c r="H109" s="4">
        <v>1.3</v>
      </c>
      <c r="I109" s="4">
        <v>3612.42</v>
      </c>
      <c r="J109" s="2" t="s">
        <v>16</v>
      </c>
      <c r="K109" s="2" t="s">
        <v>41</v>
      </c>
    </row>
    <row r="110" spans="1:11" x14ac:dyDescent="0.35">
      <c r="A110" s="2" t="s">
        <v>301</v>
      </c>
      <c r="B110" s="3">
        <v>45592</v>
      </c>
      <c r="C110" s="2" t="s">
        <v>302</v>
      </c>
      <c r="D110" s="2" t="s">
        <v>193</v>
      </c>
      <c r="E110" s="2" t="s">
        <v>181</v>
      </c>
      <c r="F110" s="4">
        <v>2</v>
      </c>
      <c r="G110" s="4">
        <v>4070</v>
      </c>
      <c r="H110" s="4">
        <v>29</v>
      </c>
      <c r="I110" s="4">
        <v>5779.4</v>
      </c>
      <c r="J110" s="2" t="s">
        <v>69</v>
      </c>
      <c r="K110" s="2" t="s">
        <v>17</v>
      </c>
    </row>
    <row r="111" spans="1:11" x14ac:dyDescent="0.35">
      <c r="A111" s="2" t="s">
        <v>303</v>
      </c>
      <c r="B111" s="3">
        <v>45439</v>
      </c>
      <c r="C111" s="2" t="s">
        <v>119</v>
      </c>
      <c r="D111" s="2" t="s">
        <v>132</v>
      </c>
      <c r="E111" s="2" t="s">
        <v>158</v>
      </c>
      <c r="F111" s="4">
        <v>6</v>
      </c>
      <c r="G111" s="4">
        <v>660</v>
      </c>
      <c r="H111" s="4">
        <v>20.2</v>
      </c>
      <c r="I111" s="4">
        <v>3160.08</v>
      </c>
      <c r="J111" s="2" t="s">
        <v>22</v>
      </c>
      <c r="K111" s="2" t="s">
        <v>62</v>
      </c>
    </row>
    <row r="112" spans="1:11" x14ac:dyDescent="0.35">
      <c r="A112" s="2" t="s">
        <v>304</v>
      </c>
      <c r="B112" s="3">
        <v>45486</v>
      </c>
      <c r="C112" s="2" t="s">
        <v>305</v>
      </c>
      <c r="D112" s="2" t="s">
        <v>93</v>
      </c>
      <c r="E112" s="2" t="s">
        <v>45</v>
      </c>
      <c r="F112" s="4">
        <v>3</v>
      </c>
      <c r="G112" s="4">
        <v>1080</v>
      </c>
      <c r="H112" s="4">
        <v>29.7</v>
      </c>
      <c r="I112" s="4">
        <v>2277.7199999999998</v>
      </c>
      <c r="J112" s="2" t="s">
        <v>16</v>
      </c>
      <c r="K112" s="2" t="s">
        <v>46</v>
      </c>
    </row>
    <row r="113" spans="1:11" x14ac:dyDescent="0.35">
      <c r="A113" s="2" t="s">
        <v>306</v>
      </c>
      <c r="B113" s="3">
        <v>45629</v>
      </c>
      <c r="C113" s="2" t="s">
        <v>307</v>
      </c>
      <c r="D113" s="2" t="s">
        <v>20</v>
      </c>
      <c r="E113" s="2" t="s">
        <v>32</v>
      </c>
      <c r="F113" s="4">
        <v>7</v>
      </c>
      <c r="G113" s="4">
        <v>820</v>
      </c>
      <c r="H113" s="4">
        <v>13.5</v>
      </c>
      <c r="I113" s="4">
        <v>4965.1000000000004</v>
      </c>
      <c r="J113" s="2" t="s">
        <v>69</v>
      </c>
      <c r="K113" s="2" t="s">
        <v>23</v>
      </c>
    </row>
    <row r="114" spans="1:11" x14ac:dyDescent="0.35">
      <c r="A114" s="2" t="s">
        <v>308</v>
      </c>
      <c r="B114" s="3">
        <v>45394</v>
      </c>
      <c r="C114" s="2" t="s">
        <v>66</v>
      </c>
      <c r="D114" s="2" t="s">
        <v>309</v>
      </c>
      <c r="E114" s="2" t="s">
        <v>272</v>
      </c>
      <c r="F114" s="4">
        <v>4</v>
      </c>
      <c r="G114" s="4">
        <v>960</v>
      </c>
      <c r="H114" s="4">
        <v>26</v>
      </c>
      <c r="I114" s="4">
        <v>2841.6</v>
      </c>
      <c r="J114" s="2" t="s">
        <v>16</v>
      </c>
      <c r="K114" s="2" t="s">
        <v>28</v>
      </c>
    </row>
    <row r="115" spans="1:11" x14ac:dyDescent="0.35">
      <c r="A115" s="2" t="s">
        <v>310</v>
      </c>
      <c r="B115" s="3">
        <v>45453</v>
      </c>
      <c r="C115" s="2" t="s">
        <v>311</v>
      </c>
      <c r="D115" s="2" t="s">
        <v>67</v>
      </c>
      <c r="E115" s="2" t="s">
        <v>27</v>
      </c>
      <c r="F115" s="4">
        <v>3</v>
      </c>
      <c r="G115" s="4">
        <v>2600</v>
      </c>
      <c r="H115" s="4">
        <v>18.2</v>
      </c>
      <c r="I115" s="4">
        <v>6380.4</v>
      </c>
      <c r="J115" s="2" t="s">
        <v>16</v>
      </c>
      <c r="K115" s="2" t="s">
        <v>28</v>
      </c>
    </row>
    <row r="116" spans="1:11" x14ac:dyDescent="0.35">
      <c r="A116" s="2" t="s">
        <v>312</v>
      </c>
      <c r="B116" s="3">
        <v>45370</v>
      </c>
      <c r="C116" s="2" t="s">
        <v>79</v>
      </c>
      <c r="D116" s="2" t="s">
        <v>224</v>
      </c>
      <c r="E116" s="2" t="s">
        <v>158</v>
      </c>
      <c r="F116" s="4">
        <v>9</v>
      </c>
      <c r="G116" s="4">
        <v>2030</v>
      </c>
      <c r="H116" s="4">
        <v>26.1</v>
      </c>
      <c r="I116" s="4">
        <v>13501.53</v>
      </c>
      <c r="J116" s="2" t="s">
        <v>16</v>
      </c>
      <c r="K116" s="2" t="s">
        <v>17</v>
      </c>
    </row>
    <row r="117" spans="1:11" x14ac:dyDescent="0.35">
      <c r="A117" s="2" t="s">
        <v>313</v>
      </c>
      <c r="B117" s="3">
        <v>45597</v>
      </c>
      <c r="C117" s="2" t="s">
        <v>314</v>
      </c>
      <c r="D117" s="2" t="s">
        <v>315</v>
      </c>
      <c r="E117" s="2" t="s">
        <v>57</v>
      </c>
      <c r="F117" s="4">
        <v>8</v>
      </c>
      <c r="G117" s="4">
        <v>2290</v>
      </c>
      <c r="H117" s="4">
        <v>20.8</v>
      </c>
      <c r="I117" s="4">
        <v>14509.44</v>
      </c>
      <c r="J117" s="2" t="s">
        <v>16</v>
      </c>
      <c r="K117" s="2" t="s">
        <v>46</v>
      </c>
    </row>
    <row r="118" spans="1:11" x14ac:dyDescent="0.35">
      <c r="A118" s="2" t="s">
        <v>316</v>
      </c>
      <c r="B118" s="3">
        <v>45531</v>
      </c>
      <c r="C118" s="2" t="s">
        <v>317</v>
      </c>
      <c r="D118" s="2" t="s">
        <v>155</v>
      </c>
      <c r="E118" s="2" t="s">
        <v>158</v>
      </c>
      <c r="F118" s="4">
        <v>3</v>
      </c>
      <c r="G118" s="4">
        <v>3730</v>
      </c>
      <c r="H118" s="4">
        <v>7.9</v>
      </c>
      <c r="I118" s="4">
        <v>10305.99</v>
      </c>
      <c r="J118" s="2" t="s">
        <v>16</v>
      </c>
      <c r="K118" s="2" t="s">
        <v>62</v>
      </c>
    </row>
    <row r="119" spans="1:11" x14ac:dyDescent="0.35">
      <c r="A119" s="2" t="s">
        <v>318</v>
      </c>
      <c r="B119" s="3">
        <v>45596</v>
      </c>
      <c r="C119" s="2" t="s">
        <v>319</v>
      </c>
      <c r="D119" s="2" t="s">
        <v>211</v>
      </c>
      <c r="E119" s="2" t="s">
        <v>27</v>
      </c>
      <c r="F119" s="4">
        <v>1</v>
      </c>
      <c r="G119" s="4">
        <v>300</v>
      </c>
      <c r="H119" s="4">
        <v>16.899999999999999</v>
      </c>
      <c r="I119" s="4">
        <v>249.3</v>
      </c>
      <c r="J119" s="2" t="s">
        <v>22</v>
      </c>
      <c r="K119" s="2" t="s">
        <v>17</v>
      </c>
    </row>
    <row r="120" spans="1:11" x14ac:dyDescent="0.35">
      <c r="A120" s="2" t="s">
        <v>320</v>
      </c>
      <c r="B120" s="3">
        <v>45420</v>
      </c>
      <c r="C120" s="2" t="s">
        <v>321</v>
      </c>
      <c r="D120" s="2" t="s">
        <v>211</v>
      </c>
      <c r="E120" s="2" t="s">
        <v>254</v>
      </c>
      <c r="F120" s="4">
        <v>3</v>
      </c>
      <c r="G120" s="4">
        <v>300</v>
      </c>
      <c r="H120" s="4">
        <v>0.6</v>
      </c>
      <c r="I120" s="4">
        <v>894.6</v>
      </c>
      <c r="J120" s="2" t="s">
        <v>16</v>
      </c>
      <c r="K120" s="2" t="s">
        <v>41</v>
      </c>
    </row>
    <row r="121" spans="1:11" x14ac:dyDescent="0.35">
      <c r="A121" s="2" t="s">
        <v>322</v>
      </c>
      <c r="B121" s="3">
        <v>45329</v>
      </c>
      <c r="C121" s="2" t="s">
        <v>323</v>
      </c>
      <c r="D121" s="2" t="s">
        <v>108</v>
      </c>
      <c r="E121" s="2" t="s">
        <v>15</v>
      </c>
      <c r="F121" s="4">
        <v>6</v>
      </c>
      <c r="G121" s="4">
        <v>3350</v>
      </c>
      <c r="H121" s="4">
        <v>2.2999999999999998</v>
      </c>
      <c r="I121" s="4">
        <v>19637.7</v>
      </c>
      <c r="J121" s="2" t="s">
        <v>69</v>
      </c>
      <c r="K121" s="2" t="s">
        <v>46</v>
      </c>
    </row>
    <row r="122" spans="1:11" x14ac:dyDescent="0.35">
      <c r="A122" s="2" t="s">
        <v>324</v>
      </c>
      <c r="B122" s="3">
        <v>45416</v>
      </c>
      <c r="C122" s="2" t="s">
        <v>82</v>
      </c>
      <c r="D122" s="2" t="s">
        <v>293</v>
      </c>
      <c r="E122" s="2" t="s">
        <v>77</v>
      </c>
      <c r="F122" s="4">
        <v>4</v>
      </c>
      <c r="G122" s="4">
        <v>5330</v>
      </c>
      <c r="H122" s="4">
        <v>29.3</v>
      </c>
      <c r="I122" s="4">
        <v>15073.24</v>
      </c>
      <c r="J122" s="2" t="s">
        <v>16</v>
      </c>
      <c r="K122" s="2" t="s">
        <v>46</v>
      </c>
    </row>
    <row r="123" spans="1:11" x14ac:dyDescent="0.35">
      <c r="A123" s="2" t="s">
        <v>325</v>
      </c>
      <c r="B123" s="3">
        <v>45614</v>
      </c>
      <c r="C123" s="2" t="s">
        <v>326</v>
      </c>
      <c r="D123" s="2" t="s">
        <v>14</v>
      </c>
      <c r="E123" s="2" t="s">
        <v>226</v>
      </c>
      <c r="F123" s="4">
        <v>6</v>
      </c>
      <c r="G123" s="4">
        <v>3620</v>
      </c>
      <c r="H123" s="4">
        <v>10.8</v>
      </c>
      <c r="I123" s="4">
        <v>19374.240000000002</v>
      </c>
      <c r="J123" s="2" t="s">
        <v>16</v>
      </c>
      <c r="K123" s="2" t="s">
        <v>28</v>
      </c>
    </row>
    <row r="124" spans="1:11" x14ac:dyDescent="0.35">
      <c r="A124" s="2" t="s">
        <v>327</v>
      </c>
      <c r="B124" s="3">
        <v>45593</v>
      </c>
      <c r="C124" s="2" t="s">
        <v>328</v>
      </c>
      <c r="D124" s="2" t="s">
        <v>14</v>
      </c>
      <c r="E124" s="2" t="s">
        <v>21</v>
      </c>
      <c r="F124" s="4">
        <v>6</v>
      </c>
      <c r="G124" s="4">
        <v>3620</v>
      </c>
      <c r="H124" s="4">
        <v>21.7</v>
      </c>
      <c r="I124" s="4">
        <v>17006.759999999998</v>
      </c>
      <c r="J124" s="2" t="s">
        <v>16</v>
      </c>
      <c r="K124" s="2" t="s">
        <v>28</v>
      </c>
    </row>
    <row r="125" spans="1:11" x14ac:dyDescent="0.35">
      <c r="A125" s="2" t="s">
        <v>329</v>
      </c>
      <c r="B125" s="3">
        <v>45360</v>
      </c>
      <c r="C125" s="2" t="s">
        <v>330</v>
      </c>
      <c r="D125" s="2" t="s">
        <v>44</v>
      </c>
      <c r="E125" s="2" t="s">
        <v>36</v>
      </c>
      <c r="F125" s="4">
        <v>8</v>
      </c>
      <c r="G125" s="4">
        <v>960</v>
      </c>
      <c r="H125" s="4">
        <v>27.9</v>
      </c>
      <c r="I125" s="4">
        <v>5537.28</v>
      </c>
      <c r="J125" s="2" t="s">
        <v>16</v>
      </c>
      <c r="K125" s="2" t="s">
        <v>23</v>
      </c>
    </row>
    <row r="126" spans="1:11" x14ac:dyDescent="0.35">
      <c r="A126" s="2" t="s">
        <v>331</v>
      </c>
      <c r="B126" s="3">
        <v>45628</v>
      </c>
      <c r="C126" s="2" t="s">
        <v>332</v>
      </c>
      <c r="D126" s="2" t="s">
        <v>105</v>
      </c>
      <c r="E126" s="2" t="s">
        <v>40</v>
      </c>
      <c r="F126" s="4">
        <v>5</v>
      </c>
      <c r="G126" s="4">
        <v>1650</v>
      </c>
      <c r="H126" s="4">
        <v>4.9000000000000004</v>
      </c>
      <c r="I126" s="4">
        <v>7845.75</v>
      </c>
      <c r="J126" s="2" t="s">
        <v>16</v>
      </c>
      <c r="K126" s="2" t="s">
        <v>46</v>
      </c>
    </row>
    <row r="127" spans="1:11" x14ac:dyDescent="0.35">
      <c r="A127" s="2" t="s">
        <v>333</v>
      </c>
      <c r="B127" s="3">
        <v>45592</v>
      </c>
      <c r="C127" s="2" t="s">
        <v>334</v>
      </c>
      <c r="D127" s="2" t="s">
        <v>309</v>
      </c>
      <c r="E127" s="2" t="s">
        <v>61</v>
      </c>
      <c r="F127" s="4">
        <v>9</v>
      </c>
      <c r="G127" s="4">
        <v>960</v>
      </c>
      <c r="H127" s="4">
        <v>25.1</v>
      </c>
      <c r="I127" s="4">
        <v>6471.36</v>
      </c>
      <c r="J127" s="2" t="s">
        <v>73</v>
      </c>
      <c r="K127" s="2" t="s">
        <v>23</v>
      </c>
    </row>
    <row r="128" spans="1:11" x14ac:dyDescent="0.35">
      <c r="A128" s="2" t="s">
        <v>335</v>
      </c>
      <c r="B128" s="3">
        <v>45453</v>
      </c>
      <c r="C128" s="2" t="s">
        <v>336</v>
      </c>
      <c r="D128" s="2" t="s">
        <v>337</v>
      </c>
      <c r="E128" s="2" t="s">
        <v>77</v>
      </c>
      <c r="F128" s="4">
        <v>7</v>
      </c>
      <c r="G128" s="4">
        <v>3970</v>
      </c>
      <c r="H128" s="4">
        <v>13.8</v>
      </c>
      <c r="I128" s="4">
        <v>23954.98</v>
      </c>
      <c r="J128" s="2" t="s">
        <v>22</v>
      </c>
      <c r="K128" s="2" t="s">
        <v>17</v>
      </c>
    </row>
    <row r="129" spans="1:11" x14ac:dyDescent="0.35">
      <c r="A129" s="2" t="s">
        <v>338</v>
      </c>
      <c r="B129" s="3">
        <v>45612</v>
      </c>
      <c r="C129" s="2" t="s">
        <v>228</v>
      </c>
      <c r="D129" s="2" t="s">
        <v>56</v>
      </c>
      <c r="E129" s="2" t="s">
        <v>21</v>
      </c>
      <c r="F129" s="4">
        <v>7</v>
      </c>
      <c r="G129" s="4">
        <v>970</v>
      </c>
      <c r="H129" s="4">
        <v>21.6</v>
      </c>
      <c r="I129" s="4">
        <v>5323.36</v>
      </c>
      <c r="J129" s="2" t="s">
        <v>22</v>
      </c>
      <c r="K129" s="2" t="s">
        <v>62</v>
      </c>
    </row>
    <row r="130" spans="1:11" x14ac:dyDescent="0.35">
      <c r="A130" s="2" t="s">
        <v>339</v>
      </c>
      <c r="B130" s="3">
        <v>45541</v>
      </c>
      <c r="C130" s="2" t="s">
        <v>340</v>
      </c>
      <c r="D130" s="2" t="s">
        <v>224</v>
      </c>
      <c r="E130" s="2" t="s">
        <v>144</v>
      </c>
      <c r="F130" s="4">
        <v>10</v>
      </c>
      <c r="G130" s="4">
        <v>2030</v>
      </c>
      <c r="H130" s="4">
        <v>1.2</v>
      </c>
      <c r="I130" s="4">
        <v>20056.400000000001</v>
      </c>
      <c r="J130" s="2" t="s">
        <v>16</v>
      </c>
      <c r="K130" s="2" t="s">
        <v>41</v>
      </c>
    </row>
    <row r="131" spans="1:11" x14ac:dyDescent="0.35">
      <c r="A131" s="2" t="s">
        <v>341</v>
      </c>
      <c r="B131" s="3">
        <v>45640</v>
      </c>
      <c r="C131" s="2" t="s">
        <v>342</v>
      </c>
      <c r="D131" s="2" t="s">
        <v>60</v>
      </c>
      <c r="E131" s="2" t="s">
        <v>87</v>
      </c>
      <c r="F131" s="4">
        <v>9</v>
      </c>
      <c r="G131" s="4">
        <v>2270</v>
      </c>
      <c r="H131" s="4">
        <v>13.2</v>
      </c>
      <c r="I131" s="4">
        <v>17733.240000000002</v>
      </c>
      <c r="J131" s="2" t="s">
        <v>22</v>
      </c>
      <c r="K131" s="2" t="s">
        <v>17</v>
      </c>
    </row>
    <row r="132" spans="1:11" x14ac:dyDescent="0.35">
      <c r="A132" s="2" t="s">
        <v>343</v>
      </c>
      <c r="B132" s="3">
        <v>45524</v>
      </c>
      <c r="C132" s="2" t="s">
        <v>85</v>
      </c>
      <c r="D132" s="2" t="s">
        <v>113</v>
      </c>
      <c r="E132" s="2" t="s">
        <v>77</v>
      </c>
      <c r="F132" s="4">
        <v>8</v>
      </c>
      <c r="G132" s="4">
        <v>4880</v>
      </c>
      <c r="H132" s="4">
        <v>13.4</v>
      </c>
      <c r="I132" s="4">
        <v>33808.639999999999</v>
      </c>
      <c r="J132" s="2" t="s">
        <v>16</v>
      </c>
      <c r="K132" s="2" t="s">
        <v>62</v>
      </c>
    </row>
    <row r="133" spans="1:11" x14ac:dyDescent="0.35">
      <c r="A133" s="2" t="s">
        <v>344</v>
      </c>
      <c r="B133" s="3">
        <v>45344</v>
      </c>
      <c r="C133" s="2" t="s">
        <v>345</v>
      </c>
      <c r="D133" s="2" t="s">
        <v>177</v>
      </c>
      <c r="E133" s="2" t="s">
        <v>202</v>
      </c>
      <c r="F133" s="4">
        <v>10</v>
      </c>
      <c r="G133" s="4">
        <v>3870</v>
      </c>
      <c r="H133" s="4">
        <v>23.9</v>
      </c>
      <c r="I133" s="4">
        <v>29450.7</v>
      </c>
      <c r="J133" s="2" t="s">
        <v>16</v>
      </c>
      <c r="K133" s="2" t="s">
        <v>46</v>
      </c>
    </row>
    <row r="134" spans="1:11" x14ac:dyDescent="0.35">
      <c r="A134" s="2" t="s">
        <v>346</v>
      </c>
      <c r="B134" s="3">
        <v>45463</v>
      </c>
      <c r="C134" s="2" t="s">
        <v>347</v>
      </c>
      <c r="D134" s="2" t="s">
        <v>315</v>
      </c>
      <c r="E134" s="2" t="s">
        <v>226</v>
      </c>
      <c r="F134" s="4">
        <v>4</v>
      </c>
      <c r="G134" s="4">
        <v>2290</v>
      </c>
      <c r="H134" s="4">
        <v>15.2</v>
      </c>
      <c r="I134" s="4">
        <v>7767.68</v>
      </c>
      <c r="J134" s="2" t="s">
        <v>16</v>
      </c>
      <c r="K134" s="2" t="s">
        <v>62</v>
      </c>
    </row>
    <row r="135" spans="1:11" x14ac:dyDescent="0.35">
      <c r="A135" s="2" t="s">
        <v>348</v>
      </c>
      <c r="B135" s="3">
        <v>45443</v>
      </c>
      <c r="C135" s="2" t="s">
        <v>349</v>
      </c>
      <c r="D135" s="2" t="s">
        <v>296</v>
      </c>
      <c r="E135" s="2" t="s">
        <v>121</v>
      </c>
      <c r="F135" s="4">
        <v>8</v>
      </c>
      <c r="G135" s="4">
        <v>2380</v>
      </c>
      <c r="H135" s="4">
        <v>4.2</v>
      </c>
      <c r="I135" s="4">
        <v>18240.32</v>
      </c>
      <c r="J135" s="2" t="s">
        <v>16</v>
      </c>
      <c r="K135" s="2" t="s">
        <v>28</v>
      </c>
    </row>
    <row r="136" spans="1:11" x14ac:dyDescent="0.35">
      <c r="A136" s="2" t="s">
        <v>350</v>
      </c>
      <c r="B136" s="3">
        <v>45301</v>
      </c>
      <c r="C136" s="2" t="s">
        <v>351</v>
      </c>
      <c r="D136" s="2" t="s">
        <v>267</v>
      </c>
      <c r="E136" s="2" t="s">
        <v>181</v>
      </c>
      <c r="F136" s="4">
        <v>8</v>
      </c>
      <c r="G136" s="4">
        <v>2210</v>
      </c>
      <c r="H136" s="4">
        <v>11.5</v>
      </c>
      <c r="I136" s="4">
        <v>15646.8</v>
      </c>
      <c r="J136" s="2" t="s">
        <v>16</v>
      </c>
      <c r="K136" s="2" t="s">
        <v>23</v>
      </c>
    </row>
    <row r="137" spans="1:11" x14ac:dyDescent="0.35">
      <c r="A137" s="2" t="s">
        <v>352</v>
      </c>
      <c r="B137" s="3">
        <v>45360</v>
      </c>
      <c r="C137" s="2" t="s">
        <v>162</v>
      </c>
      <c r="D137" s="2" t="s">
        <v>293</v>
      </c>
      <c r="E137" s="2" t="s">
        <v>214</v>
      </c>
      <c r="F137" s="4">
        <v>4</v>
      </c>
      <c r="G137" s="4">
        <v>5330</v>
      </c>
      <c r="H137" s="4">
        <v>22.6</v>
      </c>
      <c r="I137" s="4">
        <v>16501.68</v>
      </c>
      <c r="J137" s="2" t="s">
        <v>22</v>
      </c>
      <c r="K137" s="2" t="s">
        <v>17</v>
      </c>
    </row>
    <row r="138" spans="1:11" x14ac:dyDescent="0.35">
      <c r="A138" s="2" t="s">
        <v>353</v>
      </c>
      <c r="B138" s="3">
        <v>45559</v>
      </c>
      <c r="C138" s="2" t="s">
        <v>354</v>
      </c>
      <c r="D138" s="2" t="s">
        <v>337</v>
      </c>
      <c r="E138" s="2" t="s">
        <v>214</v>
      </c>
      <c r="F138" s="4">
        <v>8</v>
      </c>
      <c r="G138" s="4">
        <v>3970</v>
      </c>
      <c r="H138" s="4">
        <v>21.8</v>
      </c>
      <c r="I138" s="4">
        <v>24836.32</v>
      </c>
      <c r="J138" s="2" t="s">
        <v>16</v>
      </c>
      <c r="K138" s="2" t="s">
        <v>23</v>
      </c>
    </row>
    <row r="139" spans="1:11" x14ac:dyDescent="0.35">
      <c r="A139" s="2" t="s">
        <v>355</v>
      </c>
      <c r="B139" s="3">
        <v>45546</v>
      </c>
      <c r="C139" s="2" t="s">
        <v>356</v>
      </c>
      <c r="D139" s="2" t="s">
        <v>35</v>
      </c>
      <c r="E139" s="2" t="s">
        <v>121</v>
      </c>
      <c r="F139" s="4">
        <v>10</v>
      </c>
      <c r="G139" s="4">
        <v>3160</v>
      </c>
      <c r="H139" s="4">
        <v>16.100000000000001</v>
      </c>
      <c r="I139" s="4">
        <v>26512.400000000001</v>
      </c>
      <c r="J139" s="2" t="s">
        <v>69</v>
      </c>
      <c r="K139" s="2" t="s">
        <v>17</v>
      </c>
    </row>
    <row r="140" spans="1:11" x14ac:dyDescent="0.35">
      <c r="A140" s="2" t="s">
        <v>357</v>
      </c>
      <c r="B140" s="3">
        <v>45425</v>
      </c>
      <c r="C140" s="2" t="s">
        <v>358</v>
      </c>
      <c r="D140" s="2" t="s">
        <v>76</v>
      </c>
      <c r="E140" s="2" t="s">
        <v>133</v>
      </c>
      <c r="F140" s="4">
        <v>5</v>
      </c>
      <c r="G140" s="4">
        <v>190</v>
      </c>
      <c r="H140" s="4">
        <v>14.8</v>
      </c>
      <c r="I140" s="4">
        <v>809.4</v>
      </c>
      <c r="J140" s="2" t="s">
        <v>16</v>
      </c>
      <c r="K140" s="2" t="s">
        <v>46</v>
      </c>
    </row>
    <row r="141" spans="1:11" x14ac:dyDescent="0.35">
      <c r="A141" s="2" t="s">
        <v>359</v>
      </c>
      <c r="B141" s="3">
        <v>45351</v>
      </c>
      <c r="C141" s="2" t="s">
        <v>251</v>
      </c>
      <c r="D141" s="2" t="s">
        <v>129</v>
      </c>
      <c r="E141" s="2" t="s">
        <v>15</v>
      </c>
      <c r="F141" s="4">
        <v>6</v>
      </c>
      <c r="G141" s="4">
        <v>2760</v>
      </c>
      <c r="H141" s="4">
        <v>19.8</v>
      </c>
      <c r="I141" s="4">
        <v>13281.12</v>
      </c>
      <c r="J141" s="2" t="s">
        <v>16</v>
      </c>
      <c r="K141" s="2" t="s">
        <v>28</v>
      </c>
    </row>
    <row r="142" spans="1:11" x14ac:dyDescent="0.35">
      <c r="A142" s="2" t="s">
        <v>360</v>
      </c>
      <c r="B142" s="3">
        <v>45604</v>
      </c>
      <c r="C142" s="2" t="s">
        <v>300</v>
      </c>
      <c r="D142" s="2" t="s">
        <v>174</v>
      </c>
      <c r="E142" s="2" t="s">
        <v>50</v>
      </c>
      <c r="F142" s="4">
        <v>9</v>
      </c>
      <c r="G142" s="4">
        <v>2270</v>
      </c>
      <c r="H142" s="4">
        <v>20.8</v>
      </c>
      <c r="I142" s="4">
        <v>16180.56</v>
      </c>
      <c r="J142" s="2" t="s">
        <v>69</v>
      </c>
      <c r="K142" s="2" t="s">
        <v>41</v>
      </c>
    </row>
    <row r="143" spans="1:11" x14ac:dyDescent="0.35">
      <c r="A143" s="2" t="s">
        <v>361</v>
      </c>
      <c r="B143" s="3">
        <v>45328</v>
      </c>
      <c r="C143" s="2" t="s">
        <v>95</v>
      </c>
      <c r="D143" s="2" t="s">
        <v>289</v>
      </c>
      <c r="E143" s="2" t="s">
        <v>144</v>
      </c>
      <c r="F143" s="4">
        <v>8</v>
      </c>
      <c r="G143" s="4">
        <v>5410</v>
      </c>
      <c r="H143" s="4">
        <v>12.9</v>
      </c>
      <c r="I143" s="4">
        <v>37696.879999999997</v>
      </c>
      <c r="J143" s="2" t="s">
        <v>16</v>
      </c>
      <c r="K143" s="2" t="s">
        <v>62</v>
      </c>
    </row>
    <row r="144" spans="1:11" x14ac:dyDescent="0.35">
      <c r="A144" s="2" t="s">
        <v>362</v>
      </c>
      <c r="B144" s="3">
        <v>45508</v>
      </c>
      <c r="C144" s="2" t="s">
        <v>363</v>
      </c>
      <c r="D144" s="2" t="s">
        <v>60</v>
      </c>
      <c r="E144" s="2" t="s">
        <v>133</v>
      </c>
      <c r="F144" s="4">
        <v>9</v>
      </c>
      <c r="G144" s="4">
        <v>2270</v>
      </c>
      <c r="H144" s="4">
        <v>6.8</v>
      </c>
      <c r="I144" s="4">
        <v>19040.759999999998</v>
      </c>
      <c r="J144" s="2" t="s">
        <v>16</v>
      </c>
      <c r="K144" s="2" t="s">
        <v>28</v>
      </c>
    </row>
    <row r="145" spans="1:11" x14ac:dyDescent="0.35">
      <c r="A145" s="2" t="s">
        <v>364</v>
      </c>
      <c r="B145" s="3">
        <v>45309</v>
      </c>
      <c r="C145" s="2" t="s">
        <v>66</v>
      </c>
      <c r="D145" s="2" t="s">
        <v>35</v>
      </c>
      <c r="E145" s="2" t="s">
        <v>144</v>
      </c>
      <c r="F145" s="4">
        <v>3</v>
      </c>
      <c r="G145" s="4">
        <v>3160</v>
      </c>
      <c r="H145" s="4">
        <v>12.8</v>
      </c>
      <c r="I145" s="4">
        <v>8266.56</v>
      </c>
      <c r="J145" s="2" t="s">
        <v>16</v>
      </c>
      <c r="K145" s="2" t="s">
        <v>28</v>
      </c>
    </row>
    <row r="146" spans="1:11" x14ac:dyDescent="0.35">
      <c r="A146" s="2" t="s">
        <v>365</v>
      </c>
      <c r="B146" s="3">
        <v>45448</v>
      </c>
      <c r="C146" s="2" t="s">
        <v>162</v>
      </c>
      <c r="D146" s="2" t="s">
        <v>280</v>
      </c>
      <c r="E146" s="2" t="s">
        <v>57</v>
      </c>
      <c r="F146" s="4">
        <v>8</v>
      </c>
      <c r="G146" s="4">
        <v>4060</v>
      </c>
      <c r="H146" s="4">
        <v>20.9</v>
      </c>
      <c r="I146" s="4">
        <v>25691.68</v>
      </c>
      <c r="J146" s="2" t="s">
        <v>16</v>
      </c>
      <c r="K146" s="2" t="s">
        <v>17</v>
      </c>
    </row>
    <row r="147" spans="1:11" x14ac:dyDescent="0.35">
      <c r="A147" s="2" t="s">
        <v>366</v>
      </c>
      <c r="B147" s="3">
        <v>45449</v>
      </c>
      <c r="C147" s="2" t="s">
        <v>367</v>
      </c>
      <c r="D147" s="2" t="s">
        <v>20</v>
      </c>
      <c r="E147" s="2" t="s">
        <v>232</v>
      </c>
      <c r="F147" s="4">
        <v>5</v>
      </c>
      <c r="G147" s="4">
        <v>820</v>
      </c>
      <c r="H147" s="4">
        <v>9.1</v>
      </c>
      <c r="I147" s="4">
        <v>3726.9</v>
      </c>
      <c r="J147" s="2" t="s">
        <v>73</v>
      </c>
      <c r="K147" s="2" t="s">
        <v>17</v>
      </c>
    </row>
    <row r="148" spans="1:11" x14ac:dyDescent="0.35">
      <c r="A148" s="2" t="s">
        <v>368</v>
      </c>
      <c r="B148" s="3">
        <v>45555</v>
      </c>
      <c r="C148" s="2" t="s">
        <v>369</v>
      </c>
      <c r="D148" s="2" t="s">
        <v>39</v>
      </c>
      <c r="E148" s="2" t="s">
        <v>15</v>
      </c>
      <c r="F148" s="4">
        <v>5</v>
      </c>
      <c r="G148" s="4">
        <v>370</v>
      </c>
      <c r="H148" s="4">
        <v>11.5</v>
      </c>
      <c r="I148" s="4">
        <v>1637.25</v>
      </c>
      <c r="J148" s="2" t="s">
        <v>16</v>
      </c>
      <c r="K148" s="2" t="s">
        <v>17</v>
      </c>
    </row>
    <row r="149" spans="1:11" x14ac:dyDescent="0.35">
      <c r="A149" s="2" t="s">
        <v>370</v>
      </c>
      <c r="B149" s="3">
        <v>45341</v>
      </c>
      <c r="C149" s="2" t="s">
        <v>371</v>
      </c>
      <c r="D149" s="2" t="s">
        <v>372</v>
      </c>
      <c r="E149" s="2" t="s">
        <v>226</v>
      </c>
      <c r="F149" s="4">
        <v>9</v>
      </c>
      <c r="G149" s="4">
        <v>5080</v>
      </c>
      <c r="H149" s="4">
        <v>27.5</v>
      </c>
      <c r="I149" s="4">
        <v>33147</v>
      </c>
      <c r="J149" s="2" t="s">
        <v>16</v>
      </c>
      <c r="K149" s="2" t="s">
        <v>17</v>
      </c>
    </row>
    <row r="150" spans="1:11" x14ac:dyDescent="0.35">
      <c r="A150" s="2" t="s">
        <v>373</v>
      </c>
      <c r="B150" s="3">
        <v>45422</v>
      </c>
      <c r="C150" s="2" t="s">
        <v>237</v>
      </c>
      <c r="D150" s="2" t="s">
        <v>193</v>
      </c>
      <c r="E150" s="2" t="s">
        <v>254</v>
      </c>
      <c r="F150" s="4">
        <v>6</v>
      </c>
      <c r="G150" s="4">
        <v>4070</v>
      </c>
      <c r="H150" s="4">
        <v>12.5</v>
      </c>
      <c r="I150" s="4">
        <v>21367.5</v>
      </c>
      <c r="J150" s="2" t="s">
        <v>16</v>
      </c>
      <c r="K150" s="2" t="s">
        <v>17</v>
      </c>
    </row>
    <row r="151" spans="1:11" x14ac:dyDescent="0.35">
      <c r="A151" s="2" t="s">
        <v>374</v>
      </c>
      <c r="B151" s="3">
        <v>45346</v>
      </c>
      <c r="C151" s="2" t="s">
        <v>369</v>
      </c>
      <c r="D151" s="2" t="s">
        <v>211</v>
      </c>
      <c r="E151" s="2" t="s">
        <v>45</v>
      </c>
      <c r="F151" s="4">
        <v>5</v>
      </c>
      <c r="G151" s="4">
        <v>300</v>
      </c>
      <c r="H151" s="4">
        <v>25.8</v>
      </c>
      <c r="I151" s="4">
        <v>1113</v>
      </c>
      <c r="J151" s="2" t="s">
        <v>16</v>
      </c>
      <c r="K151" s="2" t="s">
        <v>17</v>
      </c>
    </row>
    <row r="152" spans="1:11" x14ac:dyDescent="0.35">
      <c r="A152" s="2" t="s">
        <v>375</v>
      </c>
      <c r="B152" s="3">
        <v>45318</v>
      </c>
      <c r="C152" s="2" t="s">
        <v>376</v>
      </c>
      <c r="D152" s="2" t="s">
        <v>120</v>
      </c>
      <c r="E152" s="2" t="s">
        <v>202</v>
      </c>
      <c r="F152" s="4">
        <v>7</v>
      </c>
      <c r="G152" s="4">
        <v>5100</v>
      </c>
      <c r="H152" s="4">
        <v>28.8</v>
      </c>
      <c r="I152" s="4">
        <v>25418.400000000001</v>
      </c>
      <c r="J152" s="2" t="s">
        <v>16</v>
      </c>
      <c r="K152" s="2" t="s">
        <v>377</v>
      </c>
    </row>
    <row r="153" spans="1:11" x14ac:dyDescent="0.35">
      <c r="A153" s="2" t="s">
        <v>378</v>
      </c>
      <c r="B153" s="3">
        <v>45521</v>
      </c>
      <c r="C153" s="2" t="s">
        <v>154</v>
      </c>
      <c r="D153" s="2" t="s">
        <v>53</v>
      </c>
      <c r="E153" s="2" t="s">
        <v>254</v>
      </c>
      <c r="F153" s="4">
        <v>2</v>
      </c>
      <c r="G153" s="4">
        <v>5490</v>
      </c>
      <c r="H153" s="4">
        <v>5.5</v>
      </c>
      <c r="I153" s="4">
        <v>10376.1</v>
      </c>
      <c r="J153" s="2" t="s">
        <v>16</v>
      </c>
      <c r="K153" s="2" t="s">
        <v>23</v>
      </c>
    </row>
    <row r="154" spans="1:11" x14ac:dyDescent="0.35">
      <c r="A154" s="2" t="s">
        <v>379</v>
      </c>
      <c r="B154" s="3">
        <v>45595</v>
      </c>
      <c r="C154" s="2" t="s">
        <v>380</v>
      </c>
      <c r="D154" s="2" t="s">
        <v>381</v>
      </c>
      <c r="E154" s="2" t="s">
        <v>117</v>
      </c>
      <c r="F154" s="4">
        <v>2</v>
      </c>
      <c r="G154" s="4">
        <v>3450</v>
      </c>
      <c r="H154" s="4">
        <v>1.2</v>
      </c>
      <c r="I154" s="4">
        <v>6817.2</v>
      </c>
      <c r="J154" s="2" t="s">
        <v>16</v>
      </c>
      <c r="K154" s="2" t="s">
        <v>28</v>
      </c>
    </row>
    <row r="155" spans="1:11" x14ac:dyDescent="0.35">
      <c r="A155" s="2" t="s">
        <v>382</v>
      </c>
      <c r="B155" s="3">
        <v>45530</v>
      </c>
      <c r="C155" s="2" t="s">
        <v>383</v>
      </c>
      <c r="D155" s="2" t="s">
        <v>267</v>
      </c>
      <c r="E155" s="2" t="s">
        <v>226</v>
      </c>
      <c r="F155" s="4">
        <v>10</v>
      </c>
      <c r="G155" s="4">
        <v>2210</v>
      </c>
      <c r="H155" s="4">
        <v>18.8</v>
      </c>
      <c r="I155" s="4">
        <v>17945.2</v>
      </c>
      <c r="J155" s="2" t="s">
        <v>16</v>
      </c>
      <c r="K155" s="2" t="s">
        <v>62</v>
      </c>
    </row>
    <row r="156" spans="1:11" x14ac:dyDescent="0.35">
      <c r="A156" s="2" t="s">
        <v>384</v>
      </c>
      <c r="B156" s="3">
        <v>45644</v>
      </c>
      <c r="C156" s="2" t="s">
        <v>249</v>
      </c>
      <c r="D156" s="2" t="s">
        <v>72</v>
      </c>
      <c r="E156" s="2" t="s">
        <v>181</v>
      </c>
      <c r="F156" s="4">
        <v>2</v>
      </c>
      <c r="G156" s="4">
        <v>3250</v>
      </c>
      <c r="H156" s="4">
        <v>26.2</v>
      </c>
      <c r="I156" s="4">
        <v>4797</v>
      </c>
      <c r="J156" s="2" t="s">
        <v>16</v>
      </c>
      <c r="K156" s="2" t="s">
        <v>62</v>
      </c>
    </row>
    <row r="157" spans="1:11" x14ac:dyDescent="0.35">
      <c r="A157" s="2" t="s">
        <v>385</v>
      </c>
      <c r="B157" s="3">
        <v>45298</v>
      </c>
      <c r="C157" s="2" t="s">
        <v>386</v>
      </c>
      <c r="D157" s="2" t="s">
        <v>35</v>
      </c>
      <c r="E157" s="2" t="s">
        <v>144</v>
      </c>
      <c r="F157" s="4">
        <v>5</v>
      </c>
      <c r="G157" s="4">
        <v>3160</v>
      </c>
      <c r="H157" s="4">
        <v>0.9</v>
      </c>
      <c r="I157" s="4">
        <v>15657.8</v>
      </c>
      <c r="J157" s="2" t="s">
        <v>16</v>
      </c>
      <c r="K157" s="2" t="s">
        <v>17</v>
      </c>
    </row>
    <row r="158" spans="1:11" x14ac:dyDescent="0.35">
      <c r="A158" s="2" t="s">
        <v>387</v>
      </c>
      <c r="B158" s="3">
        <v>45447</v>
      </c>
      <c r="C158" s="2" t="s">
        <v>336</v>
      </c>
      <c r="D158" s="2" t="s">
        <v>177</v>
      </c>
      <c r="E158" s="2" t="s">
        <v>99</v>
      </c>
      <c r="F158" s="4">
        <v>4</v>
      </c>
      <c r="G158" s="4">
        <v>3870</v>
      </c>
      <c r="H158" s="4">
        <v>29.6</v>
      </c>
      <c r="I158" s="4">
        <v>10897.92</v>
      </c>
      <c r="J158" s="2" t="s">
        <v>69</v>
      </c>
      <c r="K158" s="2" t="s">
        <v>17</v>
      </c>
    </row>
    <row r="159" spans="1:11" x14ac:dyDescent="0.35">
      <c r="A159" s="2" t="s">
        <v>388</v>
      </c>
      <c r="B159" s="3">
        <v>45601</v>
      </c>
      <c r="C159" s="2" t="s">
        <v>389</v>
      </c>
      <c r="D159" s="2" t="s">
        <v>390</v>
      </c>
      <c r="E159" s="2" t="s">
        <v>214</v>
      </c>
      <c r="F159" s="4">
        <v>4</v>
      </c>
      <c r="G159" s="4">
        <v>3780</v>
      </c>
      <c r="H159" s="4">
        <v>3.5</v>
      </c>
      <c r="I159" s="4">
        <v>14590.8</v>
      </c>
      <c r="J159" s="2" t="s">
        <v>69</v>
      </c>
      <c r="K159" s="2" t="s">
        <v>17</v>
      </c>
    </row>
    <row r="160" spans="1:11" x14ac:dyDescent="0.35">
      <c r="A160" s="2" t="s">
        <v>391</v>
      </c>
      <c r="B160" s="3">
        <v>45428</v>
      </c>
      <c r="C160" s="2" t="s">
        <v>392</v>
      </c>
      <c r="D160" s="2" t="s">
        <v>205</v>
      </c>
      <c r="E160" s="2" t="s">
        <v>87</v>
      </c>
      <c r="F160" s="4">
        <v>4</v>
      </c>
      <c r="G160" s="4">
        <v>3020</v>
      </c>
      <c r="H160" s="4">
        <v>18.899999999999999</v>
      </c>
      <c r="I160" s="4">
        <v>9796.8799999999992</v>
      </c>
      <c r="J160" s="2" t="s">
        <v>16</v>
      </c>
      <c r="K160" s="2" t="s">
        <v>46</v>
      </c>
    </row>
    <row r="161" spans="1:11" x14ac:dyDescent="0.35">
      <c r="A161" s="2" t="s">
        <v>393</v>
      </c>
      <c r="B161" s="3">
        <v>45409</v>
      </c>
      <c r="C161" s="2" t="s">
        <v>394</v>
      </c>
      <c r="D161" s="2" t="s">
        <v>155</v>
      </c>
      <c r="E161" s="2" t="s">
        <v>117</v>
      </c>
      <c r="F161" s="4">
        <v>1</v>
      </c>
      <c r="G161" s="4">
        <v>3730</v>
      </c>
      <c r="H161" s="4">
        <v>10.8</v>
      </c>
      <c r="I161" s="4">
        <v>3327.16</v>
      </c>
      <c r="J161" s="2" t="s">
        <v>73</v>
      </c>
      <c r="K161" s="2" t="s">
        <v>41</v>
      </c>
    </row>
    <row r="162" spans="1:11" x14ac:dyDescent="0.35">
      <c r="A162" s="2" t="s">
        <v>395</v>
      </c>
      <c r="B162" s="3">
        <v>45394</v>
      </c>
      <c r="C162" s="2" t="s">
        <v>262</v>
      </c>
      <c r="D162" s="2" t="s">
        <v>113</v>
      </c>
      <c r="E162" s="2" t="s">
        <v>232</v>
      </c>
      <c r="F162" s="4">
        <v>8</v>
      </c>
      <c r="G162" s="4">
        <v>4880</v>
      </c>
      <c r="H162" s="4">
        <v>20.3</v>
      </c>
      <c r="I162" s="4">
        <v>31114.880000000001</v>
      </c>
      <c r="J162" s="2" t="s">
        <v>16</v>
      </c>
      <c r="K162" s="2" t="s">
        <v>62</v>
      </c>
    </row>
    <row r="163" spans="1:11" x14ac:dyDescent="0.35">
      <c r="A163" s="2" t="s">
        <v>396</v>
      </c>
      <c r="B163" s="3">
        <v>45579</v>
      </c>
      <c r="C163" s="2" t="s">
        <v>79</v>
      </c>
      <c r="D163" s="2" t="s">
        <v>56</v>
      </c>
      <c r="E163" s="2" t="s">
        <v>130</v>
      </c>
      <c r="F163" s="4">
        <v>9</v>
      </c>
      <c r="G163" s="4">
        <v>970</v>
      </c>
      <c r="H163" s="4">
        <v>18.2</v>
      </c>
      <c r="I163" s="4">
        <v>7141.14</v>
      </c>
      <c r="J163" s="2" t="s">
        <v>16</v>
      </c>
      <c r="K163" s="2" t="s">
        <v>17</v>
      </c>
    </row>
    <row r="164" spans="1:11" x14ac:dyDescent="0.35">
      <c r="A164" s="2" t="s">
        <v>397</v>
      </c>
      <c r="B164" s="3">
        <v>45442</v>
      </c>
      <c r="C164" s="2" t="s">
        <v>398</v>
      </c>
      <c r="D164" s="2" t="s">
        <v>208</v>
      </c>
      <c r="E164" s="2" t="s">
        <v>167</v>
      </c>
      <c r="F164" s="4">
        <v>8</v>
      </c>
      <c r="G164" s="4">
        <v>2660</v>
      </c>
      <c r="H164" s="4">
        <v>17.600000000000001</v>
      </c>
      <c r="I164" s="4">
        <v>17534.72</v>
      </c>
      <c r="J164" s="2" t="s">
        <v>16</v>
      </c>
      <c r="K164" s="2" t="s">
        <v>46</v>
      </c>
    </row>
    <row r="165" spans="1:11" x14ac:dyDescent="0.35">
      <c r="A165" s="2" t="s">
        <v>399</v>
      </c>
      <c r="B165" s="3">
        <v>45414</v>
      </c>
      <c r="C165" s="2" t="s">
        <v>66</v>
      </c>
      <c r="D165" s="2" t="s">
        <v>20</v>
      </c>
      <c r="E165" s="2" t="s">
        <v>117</v>
      </c>
      <c r="F165" s="4">
        <v>2</v>
      </c>
      <c r="G165" s="4">
        <v>820</v>
      </c>
      <c r="H165" s="4">
        <v>18.100000000000001</v>
      </c>
      <c r="I165" s="4">
        <v>1343.16</v>
      </c>
      <c r="J165" s="2" t="s">
        <v>69</v>
      </c>
      <c r="K165" s="2" t="s">
        <v>28</v>
      </c>
    </row>
    <row r="166" spans="1:11" x14ac:dyDescent="0.35">
      <c r="A166" s="2" t="s">
        <v>400</v>
      </c>
      <c r="B166" s="3">
        <v>45349</v>
      </c>
      <c r="C166" s="2" t="s">
        <v>401</v>
      </c>
      <c r="D166" s="2" t="s">
        <v>224</v>
      </c>
      <c r="E166" s="2" t="s">
        <v>133</v>
      </c>
      <c r="F166" s="4">
        <v>7</v>
      </c>
      <c r="G166" s="4">
        <v>2030</v>
      </c>
      <c r="H166" s="4">
        <v>23.7</v>
      </c>
      <c r="I166" s="4">
        <v>10842.23</v>
      </c>
      <c r="J166" s="2" t="s">
        <v>22</v>
      </c>
      <c r="K166" s="2" t="s">
        <v>23</v>
      </c>
    </row>
    <row r="167" spans="1:11" x14ac:dyDescent="0.35">
      <c r="A167" s="2" t="s">
        <v>402</v>
      </c>
      <c r="B167" s="3">
        <v>45533</v>
      </c>
      <c r="C167" s="2" t="s">
        <v>403</v>
      </c>
      <c r="D167" s="2" t="s">
        <v>221</v>
      </c>
      <c r="E167" s="2" t="s">
        <v>133</v>
      </c>
      <c r="F167" s="4">
        <v>5</v>
      </c>
      <c r="G167" s="4">
        <v>620</v>
      </c>
      <c r="H167" s="4">
        <v>13.8</v>
      </c>
      <c r="I167" s="4">
        <v>2672.2</v>
      </c>
      <c r="J167" s="2" t="s">
        <v>16</v>
      </c>
      <c r="K167" s="2" t="s">
        <v>28</v>
      </c>
    </row>
    <row r="168" spans="1:11" x14ac:dyDescent="0.35">
      <c r="A168" s="2" t="s">
        <v>404</v>
      </c>
      <c r="B168" s="3">
        <v>45489</v>
      </c>
      <c r="C168" s="2" t="s">
        <v>380</v>
      </c>
      <c r="D168" s="2" t="s">
        <v>174</v>
      </c>
      <c r="E168" s="2" t="s">
        <v>214</v>
      </c>
      <c r="F168" s="4">
        <v>7</v>
      </c>
      <c r="G168" s="4">
        <v>2270</v>
      </c>
      <c r="H168" s="4">
        <v>5.5</v>
      </c>
      <c r="I168" s="4">
        <v>15016.05</v>
      </c>
      <c r="J168" s="2" t="s">
        <v>16</v>
      </c>
      <c r="K168" s="2" t="s">
        <v>28</v>
      </c>
    </row>
    <row r="169" spans="1:11" x14ac:dyDescent="0.35">
      <c r="A169" s="2" t="s">
        <v>405</v>
      </c>
      <c r="B169" s="3">
        <v>45457</v>
      </c>
      <c r="C169" s="2" t="s">
        <v>104</v>
      </c>
      <c r="D169" s="2" t="s">
        <v>26</v>
      </c>
      <c r="E169" s="2" t="s">
        <v>275</v>
      </c>
      <c r="F169" s="4">
        <v>1</v>
      </c>
      <c r="G169" s="4">
        <v>470</v>
      </c>
      <c r="H169" s="4">
        <v>13.7</v>
      </c>
      <c r="I169" s="4">
        <v>405.61</v>
      </c>
      <c r="J169" s="2" t="s">
        <v>22</v>
      </c>
      <c r="K169" s="2" t="s">
        <v>62</v>
      </c>
    </row>
    <row r="170" spans="1:11" x14ac:dyDescent="0.35">
      <c r="A170" s="2" t="s">
        <v>406</v>
      </c>
      <c r="B170" s="3">
        <v>45601</v>
      </c>
      <c r="C170" s="2" t="s">
        <v>79</v>
      </c>
      <c r="D170" s="2" t="s">
        <v>293</v>
      </c>
      <c r="E170" s="2" t="s">
        <v>15</v>
      </c>
      <c r="F170" s="4">
        <v>6</v>
      </c>
      <c r="G170" s="4">
        <v>5330</v>
      </c>
      <c r="H170" s="4">
        <v>17.899999999999999</v>
      </c>
      <c r="I170" s="4">
        <v>26255.58</v>
      </c>
      <c r="J170" s="2" t="s">
        <v>16</v>
      </c>
      <c r="K170" s="2" t="s">
        <v>17</v>
      </c>
    </row>
    <row r="171" spans="1:11" x14ac:dyDescent="0.35">
      <c r="A171" s="2" t="s">
        <v>407</v>
      </c>
      <c r="B171" s="3">
        <v>45294</v>
      </c>
      <c r="C171" s="2" t="s">
        <v>408</v>
      </c>
      <c r="D171" s="2" t="s">
        <v>170</v>
      </c>
      <c r="E171" s="2" t="s">
        <v>226</v>
      </c>
      <c r="F171" s="4">
        <v>1</v>
      </c>
      <c r="G171" s="4">
        <v>6080</v>
      </c>
      <c r="H171" s="4">
        <v>25.5</v>
      </c>
      <c r="I171" s="4">
        <v>4529.6000000000004</v>
      </c>
      <c r="J171" s="2" t="s">
        <v>16</v>
      </c>
      <c r="K171" s="2" t="s">
        <v>17</v>
      </c>
    </row>
    <row r="172" spans="1:11" x14ac:dyDescent="0.35">
      <c r="A172" s="2" t="s">
        <v>409</v>
      </c>
      <c r="B172" s="3">
        <v>45345</v>
      </c>
      <c r="C172" s="2" t="s">
        <v>190</v>
      </c>
      <c r="D172" s="2" t="s">
        <v>163</v>
      </c>
      <c r="E172" s="2" t="s">
        <v>214</v>
      </c>
      <c r="F172" s="4">
        <v>5</v>
      </c>
      <c r="G172" s="4">
        <v>3780</v>
      </c>
      <c r="H172" s="4">
        <v>28.6</v>
      </c>
      <c r="I172" s="4">
        <v>13494.6</v>
      </c>
      <c r="J172" s="2" t="s">
        <v>16</v>
      </c>
      <c r="K172" s="2" t="s">
        <v>28</v>
      </c>
    </row>
    <row r="173" spans="1:11" x14ac:dyDescent="0.35">
      <c r="A173" s="2" t="s">
        <v>410</v>
      </c>
      <c r="B173" s="3">
        <v>45391</v>
      </c>
      <c r="C173" s="2" t="s">
        <v>411</v>
      </c>
      <c r="D173" s="2" t="s">
        <v>221</v>
      </c>
      <c r="E173" s="2" t="s">
        <v>61</v>
      </c>
      <c r="F173" s="4">
        <v>5</v>
      </c>
      <c r="G173" s="4">
        <v>620</v>
      </c>
      <c r="H173" s="4">
        <v>6.9</v>
      </c>
      <c r="I173" s="4">
        <v>2886.1</v>
      </c>
      <c r="J173" s="2" t="s">
        <v>69</v>
      </c>
      <c r="K173" s="2" t="s">
        <v>62</v>
      </c>
    </row>
    <row r="174" spans="1:11" x14ac:dyDescent="0.35">
      <c r="A174" s="2" t="s">
        <v>412</v>
      </c>
      <c r="B174" s="3">
        <v>45419</v>
      </c>
      <c r="C174" s="2" t="s">
        <v>356</v>
      </c>
      <c r="D174" s="2" t="s">
        <v>284</v>
      </c>
      <c r="E174" s="2" t="s">
        <v>272</v>
      </c>
      <c r="F174" s="4">
        <v>8</v>
      </c>
      <c r="G174" s="4">
        <v>2510</v>
      </c>
      <c r="H174" s="4">
        <v>0.7</v>
      </c>
      <c r="I174" s="4">
        <v>19939.439999999999</v>
      </c>
      <c r="J174" s="2" t="s">
        <v>16</v>
      </c>
      <c r="K174" s="2" t="s">
        <v>17</v>
      </c>
    </row>
    <row r="175" spans="1:11" x14ac:dyDescent="0.35">
      <c r="A175" s="2" t="s">
        <v>413</v>
      </c>
      <c r="B175" s="3">
        <v>45306</v>
      </c>
      <c r="C175" s="2" t="s">
        <v>414</v>
      </c>
      <c r="D175" s="2" t="s">
        <v>102</v>
      </c>
      <c r="E175" s="2" t="s">
        <v>121</v>
      </c>
      <c r="F175" s="4">
        <v>1</v>
      </c>
      <c r="G175" s="4">
        <v>2720</v>
      </c>
      <c r="H175" s="4">
        <v>13.7</v>
      </c>
      <c r="I175" s="4">
        <v>2347.36</v>
      </c>
      <c r="J175" s="2" t="s">
        <v>16</v>
      </c>
      <c r="K175" s="2" t="s">
        <v>17</v>
      </c>
    </row>
    <row r="176" spans="1:11" x14ac:dyDescent="0.35">
      <c r="A176" s="2" t="s">
        <v>415</v>
      </c>
      <c r="B176" s="3">
        <v>45546</v>
      </c>
      <c r="C176" s="2" t="s">
        <v>416</v>
      </c>
      <c r="D176" s="2" t="s">
        <v>26</v>
      </c>
      <c r="E176" s="2" t="s">
        <v>232</v>
      </c>
      <c r="F176" s="4">
        <v>9</v>
      </c>
      <c r="G176" s="4">
        <v>470</v>
      </c>
      <c r="H176" s="4">
        <v>23.6</v>
      </c>
      <c r="I176" s="4">
        <v>3231.72</v>
      </c>
      <c r="J176" s="2" t="s">
        <v>16</v>
      </c>
      <c r="K176" s="2" t="s">
        <v>17</v>
      </c>
    </row>
    <row r="177" spans="1:11" x14ac:dyDescent="0.35">
      <c r="A177" s="2" t="s">
        <v>417</v>
      </c>
      <c r="B177" s="3">
        <v>45633</v>
      </c>
      <c r="C177" s="2" t="s">
        <v>241</v>
      </c>
      <c r="D177" s="2" t="s">
        <v>72</v>
      </c>
      <c r="E177" s="2" t="s">
        <v>232</v>
      </c>
      <c r="F177" s="4">
        <v>10</v>
      </c>
      <c r="G177" s="4">
        <v>3250</v>
      </c>
      <c r="H177" s="4">
        <v>21</v>
      </c>
      <c r="I177" s="4">
        <v>25675</v>
      </c>
      <c r="J177" s="2" t="s">
        <v>69</v>
      </c>
      <c r="K177" s="2" t="s">
        <v>62</v>
      </c>
    </row>
    <row r="178" spans="1:11" x14ac:dyDescent="0.35">
      <c r="A178" s="2" t="s">
        <v>418</v>
      </c>
      <c r="B178" s="3">
        <v>45649</v>
      </c>
      <c r="C178" s="2" t="s">
        <v>419</v>
      </c>
      <c r="D178" s="2" t="s">
        <v>372</v>
      </c>
      <c r="E178" s="2" t="s">
        <v>57</v>
      </c>
      <c r="F178" s="4">
        <v>6</v>
      </c>
      <c r="G178" s="4">
        <v>5080</v>
      </c>
      <c r="H178" s="4">
        <v>16.8</v>
      </c>
      <c r="I178" s="4">
        <v>25359.360000000001</v>
      </c>
      <c r="J178" s="2" t="s">
        <v>22</v>
      </c>
      <c r="K178" s="2" t="s">
        <v>28</v>
      </c>
    </row>
    <row r="179" spans="1:11" x14ac:dyDescent="0.35">
      <c r="A179" s="2" t="s">
        <v>420</v>
      </c>
      <c r="B179" s="3">
        <v>45312</v>
      </c>
      <c r="C179" s="2" t="s">
        <v>371</v>
      </c>
      <c r="D179" s="2" t="s">
        <v>116</v>
      </c>
      <c r="E179" s="2" t="s">
        <v>254</v>
      </c>
      <c r="F179" s="4">
        <v>2</v>
      </c>
      <c r="G179" s="4">
        <v>3570</v>
      </c>
      <c r="H179" s="4">
        <v>6.7</v>
      </c>
      <c r="I179" s="4">
        <v>6661.62</v>
      </c>
      <c r="J179" s="2" t="s">
        <v>69</v>
      </c>
      <c r="K179" s="2" t="s">
        <v>17</v>
      </c>
    </row>
    <row r="180" spans="1:11" x14ac:dyDescent="0.35">
      <c r="A180" s="2" t="s">
        <v>421</v>
      </c>
      <c r="B180" s="3">
        <v>45382</v>
      </c>
      <c r="C180" s="2" t="s">
        <v>422</v>
      </c>
      <c r="D180" s="2" t="s">
        <v>166</v>
      </c>
      <c r="E180" s="2" t="s">
        <v>254</v>
      </c>
      <c r="F180" s="4">
        <v>4</v>
      </c>
      <c r="G180" s="4">
        <v>3640</v>
      </c>
      <c r="H180" s="4">
        <v>18.399999999999999</v>
      </c>
      <c r="I180" s="4">
        <v>11880.96</v>
      </c>
      <c r="J180" s="2" t="s">
        <v>16</v>
      </c>
      <c r="K180" s="2" t="s">
        <v>17</v>
      </c>
    </row>
    <row r="181" spans="1:11" x14ac:dyDescent="0.35">
      <c r="A181" s="2" t="s">
        <v>423</v>
      </c>
      <c r="B181" s="3">
        <v>45524</v>
      </c>
      <c r="C181" s="2" t="s">
        <v>79</v>
      </c>
      <c r="D181" s="2" t="s">
        <v>193</v>
      </c>
      <c r="E181" s="2" t="s">
        <v>144</v>
      </c>
      <c r="F181" s="4">
        <v>8</v>
      </c>
      <c r="G181" s="4">
        <v>4070</v>
      </c>
      <c r="H181" s="4">
        <v>6.6</v>
      </c>
      <c r="I181" s="4">
        <v>30411.040000000001</v>
      </c>
      <c r="J181" s="2" t="s">
        <v>16</v>
      </c>
      <c r="K181" s="2" t="s">
        <v>17</v>
      </c>
    </row>
    <row r="182" spans="1:11" x14ac:dyDescent="0.35">
      <c r="A182" s="2" t="s">
        <v>424</v>
      </c>
      <c r="B182" s="3">
        <v>45392</v>
      </c>
      <c r="C182" s="2" t="s">
        <v>98</v>
      </c>
      <c r="D182" s="2" t="s">
        <v>381</v>
      </c>
      <c r="E182" s="2" t="s">
        <v>254</v>
      </c>
      <c r="F182" s="4">
        <v>6</v>
      </c>
      <c r="G182" s="4">
        <v>3450</v>
      </c>
      <c r="H182" s="4">
        <v>14.4</v>
      </c>
      <c r="I182" s="4">
        <v>17719.2</v>
      </c>
      <c r="J182" s="2" t="s">
        <v>22</v>
      </c>
      <c r="K182" s="2" t="s">
        <v>41</v>
      </c>
    </row>
    <row r="183" spans="1:11" x14ac:dyDescent="0.35">
      <c r="A183" s="2" t="s">
        <v>425</v>
      </c>
      <c r="B183" s="3">
        <v>45443</v>
      </c>
      <c r="C183" s="2" t="s">
        <v>59</v>
      </c>
      <c r="D183" s="2" t="s">
        <v>372</v>
      </c>
      <c r="E183" s="2" t="s">
        <v>158</v>
      </c>
      <c r="F183" s="4">
        <v>7</v>
      </c>
      <c r="G183" s="4">
        <v>5080</v>
      </c>
      <c r="H183" s="4">
        <v>25.4</v>
      </c>
      <c r="I183" s="4">
        <v>26527.759999999998</v>
      </c>
      <c r="J183" s="2" t="s">
        <v>22</v>
      </c>
      <c r="K183" s="2" t="s">
        <v>62</v>
      </c>
    </row>
    <row r="184" spans="1:11" x14ac:dyDescent="0.35">
      <c r="A184" s="2" t="s">
        <v>426</v>
      </c>
      <c r="B184" s="3">
        <v>45333</v>
      </c>
      <c r="C184" s="2" t="s">
        <v>253</v>
      </c>
      <c r="D184" s="2" t="s">
        <v>129</v>
      </c>
      <c r="E184" s="2" t="s">
        <v>57</v>
      </c>
      <c r="F184" s="4">
        <v>10</v>
      </c>
      <c r="G184" s="4">
        <v>2760</v>
      </c>
      <c r="H184" s="4">
        <v>20.100000000000001</v>
      </c>
      <c r="I184" s="4">
        <v>22052.400000000001</v>
      </c>
      <c r="J184" s="2" t="s">
        <v>16</v>
      </c>
      <c r="K184" s="2" t="s">
        <v>62</v>
      </c>
    </row>
    <row r="185" spans="1:11" x14ac:dyDescent="0.35">
      <c r="A185" s="2" t="s">
        <v>427</v>
      </c>
      <c r="B185" s="3">
        <v>45456</v>
      </c>
      <c r="C185" s="2" t="s">
        <v>340</v>
      </c>
      <c r="D185" s="2" t="s">
        <v>105</v>
      </c>
      <c r="E185" s="2" t="s">
        <v>275</v>
      </c>
      <c r="F185" s="4">
        <v>6</v>
      </c>
      <c r="G185" s="4">
        <v>1650</v>
      </c>
      <c r="H185" s="4">
        <v>11.3</v>
      </c>
      <c r="I185" s="4">
        <v>8781.2999999999993</v>
      </c>
      <c r="J185" s="2" t="s">
        <v>22</v>
      </c>
      <c r="K185" s="2" t="s">
        <v>41</v>
      </c>
    </row>
    <row r="186" spans="1:11" x14ac:dyDescent="0.35">
      <c r="A186" s="2" t="s">
        <v>428</v>
      </c>
      <c r="B186" s="3">
        <v>45295</v>
      </c>
      <c r="C186" s="2" t="s">
        <v>223</v>
      </c>
      <c r="D186" s="2" t="s">
        <v>177</v>
      </c>
      <c r="E186" s="2" t="s">
        <v>15</v>
      </c>
      <c r="F186" s="4">
        <v>9</v>
      </c>
      <c r="G186" s="4">
        <v>3870</v>
      </c>
      <c r="H186" s="4">
        <v>27.5</v>
      </c>
      <c r="I186" s="4">
        <v>25251.75</v>
      </c>
      <c r="J186" s="2" t="s">
        <v>16</v>
      </c>
      <c r="K186" s="2" t="s">
        <v>62</v>
      </c>
    </row>
    <row r="187" spans="1:11" x14ac:dyDescent="0.35">
      <c r="A187" s="2" t="s">
        <v>429</v>
      </c>
      <c r="B187" s="3">
        <v>45532</v>
      </c>
      <c r="C187" s="2" t="s">
        <v>430</v>
      </c>
      <c r="D187" s="2" t="s">
        <v>431</v>
      </c>
      <c r="E187" s="2" t="s">
        <v>214</v>
      </c>
      <c r="F187" s="4">
        <v>2</v>
      </c>
      <c r="G187" s="4">
        <v>1090</v>
      </c>
      <c r="H187" s="4">
        <v>18.7</v>
      </c>
      <c r="I187" s="4">
        <v>1772.34</v>
      </c>
      <c r="J187" s="2" t="s">
        <v>73</v>
      </c>
      <c r="K187" s="2" t="s">
        <v>62</v>
      </c>
    </row>
    <row r="188" spans="1:11" x14ac:dyDescent="0.35">
      <c r="A188" s="2" t="s">
        <v>432</v>
      </c>
      <c r="B188" s="3">
        <v>45564</v>
      </c>
      <c r="C188" s="2" t="s">
        <v>433</v>
      </c>
      <c r="D188" s="2" t="s">
        <v>309</v>
      </c>
      <c r="E188" s="2" t="s">
        <v>40</v>
      </c>
      <c r="F188" s="4">
        <v>4</v>
      </c>
      <c r="G188" s="4">
        <v>960</v>
      </c>
      <c r="H188" s="4">
        <v>23.4</v>
      </c>
      <c r="I188" s="4">
        <v>2941.44</v>
      </c>
      <c r="J188" s="2" t="s">
        <v>16</v>
      </c>
      <c r="K188" s="2" t="s">
        <v>46</v>
      </c>
    </row>
    <row r="189" spans="1:11" x14ac:dyDescent="0.35">
      <c r="A189" s="2" t="s">
        <v>434</v>
      </c>
      <c r="B189" s="3">
        <v>45539</v>
      </c>
      <c r="C189" s="2" t="s">
        <v>176</v>
      </c>
      <c r="D189" s="2" t="s">
        <v>108</v>
      </c>
      <c r="E189" s="2" t="s">
        <v>87</v>
      </c>
      <c r="F189" s="4">
        <v>3</v>
      </c>
      <c r="G189" s="4">
        <v>3350</v>
      </c>
      <c r="H189" s="4">
        <v>17.899999999999999</v>
      </c>
      <c r="I189" s="4">
        <v>8251.0499999999993</v>
      </c>
      <c r="J189" s="2" t="s">
        <v>16</v>
      </c>
      <c r="K189" s="2" t="s">
        <v>46</v>
      </c>
    </row>
    <row r="190" spans="1:11" x14ac:dyDescent="0.35">
      <c r="A190" s="2" t="s">
        <v>435</v>
      </c>
      <c r="B190" s="3">
        <v>45605</v>
      </c>
      <c r="C190" s="2" t="s">
        <v>436</v>
      </c>
      <c r="D190" s="2" t="s">
        <v>174</v>
      </c>
      <c r="E190" s="2" t="s">
        <v>21</v>
      </c>
      <c r="F190" s="4">
        <v>4</v>
      </c>
      <c r="G190" s="4">
        <v>2270</v>
      </c>
      <c r="H190" s="4">
        <v>29</v>
      </c>
      <c r="I190" s="4">
        <v>6446.8</v>
      </c>
      <c r="J190" s="2" t="s">
        <v>16</v>
      </c>
      <c r="K190" s="2" t="s">
        <v>17</v>
      </c>
    </row>
    <row r="191" spans="1:11" x14ac:dyDescent="0.35">
      <c r="A191" s="2" t="s">
        <v>437</v>
      </c>
      <c r="B191" s="3">
        <v>45460</v>
      </c>
      <c r="C191" s="2" t="s">
        <v>358</v>
      </c>
      <c r="D191" s="2" t="s">
        <v>199</v>
      </c>
      <c r="E191" s="2" t="s">
        <v>83</v>
      </c>
      <c r="F191" s="4">
        <v>9</v>
      </c>
      <c r="G191" s="4">
        <v>4610</v>
      </c>
      <c r="H191" s="4">
        <v>28.3</v>
      </c>
      <c r="I191" s="4">
        <v>29748.33</v>
      </c>
      <c r="J191" s="2" t="s">
        <v>22</v>
      </c>
      <c r="K191" s="2" t="s">
        <v>46</v>
      </c>
    </row>
    <row r="192" spans="1:11" x14ac:dyDescent="0.35">
      <c r="A192" s="2" t="s">
        <v>438</v>
      </c>
      <c r="B192" s="3">
        <v>45538</v>
      </c>
      <c r="C192" s="2" t="s">
        <v>439</v>
      </c>
      <c r="D192" s="2" t="s">
        <v>35</v>
      </c>
      <c r="E192" s="2" t="s">
        <v>133</v>
      </c>
      <c r="F192" s="4">
        <v>3</v>
      </c>
      <c r="G192" s="4">
        <v>3160</v>
      </c>
      <c r="H192" s="4">
        <v>7.3</v>
      </c>
      <c r="I192" s="4">
        <v>8787.9599999999991</v>
      </c>
      <c r="J192" s="2" t="s">
        <v>16</v>
      </c>
      <c r="K192" s="2" t="s">
        <v>46</v>
      </c>
    </row>
    <row r="193" spans="1:11" x14ac:dyDescent="0.35">
      <c r="A193" s="2" t="s">
        <v>440</v>
      </c>
      <c r="B193" s="3">
        <v>45573</v>
      </c>
      <c r="C193" s="2" t="s">
        <v>441</v>
      </c>
      <c r="D193" s="2" t="s">
        <v>174</v>
      </c>
      <c r="E193" s="2" t="s">
        <v>68</v>
      </c>
      <c r="F193" s="4">
        <v>8</v>
      </c>
      <c r="G193" s="4">
        <v>2270</v>
      </c>
      <c r="H193" s="4">
        <v>15.6</v>
      </c>
      <c r="I193" s="4">
        <v>15327.04</v>
      </c>
      <c r="J193" s="2" t="s">
        <v>16</v>
      </c>
      <c r="K193" s="2" t="s">
        <v>62</v>
      </c>
    </row>
    <row r="194" spans="1:11" x14ac:dyDescent="0.35">
      <c r="A194" s="2" t="s">
        <v>442</v>
      </c>
      <c r="B194" s="3">
        <v>45483</v>
      </c>
      <c r="C194" s="2" t="s">
        <v>55</v>
      </c>
      <c r="D194" s="2" t="s">
        <v>205</v>
      </c>
      <c r="E194" s="2" t="s">
        <v>57</v>
      </c>
      <c r="F194" s="4">
        <v>8</v>
      </c>
      <c r="G194" s="4">
        <v>3020</v>
      </c>
      <c r="H194" s="4">
        <v>16.3</v>
      </c>
      <c r="I194" s="4">
        <v>20221.919999999998</v>
      </c>
      <c r="J194" s="2" t="s">
        <v>69</v>
      </c>
      <c r="K194" s="2" t="s">
        <v>17</v>
      </c>
    </row>
    <row r="195" spans="1:11" x14ac:dyDescent="0.35">
      <c r="A195" s="2" t="s">
        <v>443</v>
      </c>
      <c r="B195" s="3">
        <v>45617</v>
      </c>
      <c r="C195" s="2" t="s">
        <v>82</v>
      </c>
      <c r="D195" s="2" t="s">
        <v>444</v>
      </c>
      <c r="E195" s="2" t="s">
        <v>99</v>
      </c>
      <c r="F195" s="4">
        <v>7</v>
      </c>
      <c r="G195" s="4">
        <v>6940</v>
      </c>
      <c r="H195" s="4">
        <v>8.5</v>
      </c>
      <c r="I195" s="4">
        <v>44450.7</v>
      </c>
      <c r="J195" s="2" t="s">
        <v>16</v>
      </c>
      <c r="K195" s="2" t="s">
        <v>46</v>
      </c>
    </row>
    <row r="196" spans="1:11" x14ac:dyDescent="0.35">
      <c r="A196" s="2" t="s">
        <v>445</v>
      </c>
      <c r="B196" s="3">
        <v>45546</v>
      </c>
      <c r="C196" s="2" t="s">
        <v>416</v>
      </c>
      <c r="D196" s="2" t="s">
        <v>188</v>
      </c>
      <c r="E196" s="2" t="s">
        <v>254</v>
      </c>
      <c r="F196" s="4">
        <v>8</v>
      </c>
      <c r="G196" s="4">
        <v>1540</v>
      </c>
      <c r="H196" s="4">
        <v>21</v>
      </c>
      <c r="I196" s="4">
        <v>9732.7999999999993</v>
      </c>
      <c r="J196" s="2" t="s">
        <v>16</v>
      </c>
      <c r="K196" s="2" t="s">
        <v>17</v>
      </c>
    </row>
    <row r="197" spans="1:11" x14ac:dyDescent="0.35">
      <c r="A197" s="2" t="s">
        <v>446</v>
      </c>
      <c r="B197" s="3">
        <v>45380</v>
      </c>
      <c r="C197" s="2" t="s">
        <v>447</v>
      </c>
      <c r="D197" s="2" t="s">
        <v>96</v>
      </c>
      <c r="E197" s="2" t="s">
        <v>158</v>
      </c>
      <c r="F197" s="4">
        <v>6</v>
      </c>
      <c r="G197" s="4">
        <v>2480</v>
      </c>
      <c r="H197" s="4">
        <v>27.9</v>
      </c>
      <c r="I197" s="4">
        <v>10728.48</v>
      </c>
      <c r="J197" s="2" t="s">
        <v>16</v>
      </c>
      <c r="K197" s="2" t="s">
        <v>17</v>
      </c>
    </row>
    <row r="198" spans="1:11" x14ac:dyDescent="0.35">
      <c r="A198" s="2" t="s">
        <v>448</v>
      </c>
      <c r="B198" s="3">
        <v>45320</v>
      </c>
      <c r="C198" s="2" t="s">
        <v>449</v>
      </c>
      <c r="D198" s="2" t="s">
        <v>76</v>
      </c>
      <c r="E198" s="2" t="s">
        <v>214</v>
      </c>
      <c r="F198" s="4">
        <v>4</v>
      </c>
      <c r="G198" s="4">
        <v>190</v>
      </c>
      <c r="H198" s="4">
        <v>21.5</v>
      </c>
      <c r="I198" s="4">
        <v>596.6</v>
      </c>
      <c r="J198" s="2" t="s">
        <v>16</v>
      </c>
      <c r="K198" s="2" t="s">
        <v>41</v>
      </c>
    </row>
    <row r="199" spans="1:11" x14ac:dyDescent="0.35">
      <c r="A199" s="2" t="s">
        <v>450</v>
      </c>
      <c r="B199" s="3">
        <v>45355</v>
      </c>
      <c r="C199" s="2" t="s">
        <v>451</v>
      </c>
      <c r="D199" s="2" t="s">
        <v>124</v>
      </c>
      <c r="E199" s="2" t="s">
        <v>27</v>
      </c>
      <c r="F199" s="4">
        <v>1</v>
      </c>
      <c r="G199" s="4">
        <v>2860</v>
      </c>
      <c r="H199" s="4">
        <v>15.3</v>
      </c>
      <c r="I199" s="4">
        <v>2422.42</v>
      </c>
      <c r="J199" s="2" t="s">
        <v>16</v>
      </c>
      <c r="K199" s="2" t="s">
        <v>28</v>
      </c>
    </row>
    <row r="200" spans="1:11" x14ac:dyDescent="0.35">
      <c r="A200" s="2" t="s">
        <v>452</v>
      </c>
      <c r="B200" s="3">
        <v>45350</v>
      </c>
      <c r="C200" s="2" t="s">
        <v>453</v>
      </c>
      <c r="D200" s="2" t="s">
        <v>284</v>
      </c>
      <c r="E200" s="2" t="s">
        <v>117</v>
      </c>
      <c r="F200" s="4">
        <v>4</v>
      </c>
      <c r="G200" s="4">
        <v>2510</v>
      </c>
      <c r="H200" s="4">
        <v>10.1</v>
      </c>
      <c r="I200" s="4">
        <v>9025.9599999999991</v>
      </c>
      <c r="J200" s="2" t="s">
        <v>73</v>
      </c>
      <c r="K200" s="2" t="s">
        <v>41</v>
      </c>
    </row>
    <row r="201" spans="1:11" x14ac:dyDescent="0.35">
      <c r="A201" s="2" t="s">
        <v>454</v>
      </c>
      <c r="B201" s="3">
        <v>45587</v>
      </c>
      <c r="C201" s="2" t="s">
        <v>314</v>
      </c>
      <c r="D201" s="2" t="s">
        <v>116</v>
      </c>
      <c r="E201" s="2" t="s">
        <v>77</v>
      </c>
      <c r="F201" s="4">
        <v>2</v>
      </c>
      <c r="G201" s="4">
        <v>3570</v>
      </c>
      <c r="H201" s="4">
        <v>11.6</v>
      </c>
      <c r="I201" s="4">
        <v>6311.76</v>
      </c>
      <c r="J201" s="2" t="s">
        <v>22</v>
      </c>
      <c r="K201" s="2" t="s">
        <v>46</v>
      </c>
    </row>
    <row r="202" spans="1:11" x14ac:dyDescent="0.35">
      <c r="A202" s="2" t="s">
        <v>455</v>
      </c>
      <c r="B202" s="3">
        <v>45344</v>
      </c>
      <c r="C202" s="2" t="s">
        <v>419</v>
      </c>
      <c r="D202" s="2" t="s">
        <v>155</v>
      </c>
      <c r="E202" s="2" t="s">
        <v>275</v>
      </c>
      <c r="F202" s="4">
        <v>7</v>
      </c>
      <c r="G202" s="4">
        <v>3730</v>
      </c>
      <c r="H202" s="4">
        <v>2.5</v>
      </c>
      <c r="I202" s="4">
        <v>25457.25</v>
      </c>
      <c r="J202" s="2" t="s">
        <v>69</v>
      </c>
      <c r="K202" s="2" t="s">
        <v>28</v>
      </c>
    </row>
    <row r="203" spans="1:11" x14ac:dyDescent="0.35">
      <c r="A203" s="2" t="s">
        <v>456</v>
      </c>
      <c r="B203" s="3">
        <v>45492</v>
      </c>
      <c r="C203" s="2" t="s">
        <v>457</v>
      </c>
      <c r="D203" s="2" t="s">
        <v>39</v>
      </c>
      <c r="E203" s="2" t="s">
        <v>99</v>
      </c>
      <c r="F203" s="4">
        <v>6</v>
      </c>
      <c r="G203" s="4">
        <v>370</v>
      </c>
      <c r="H203" s="4">
        <v>9.9</v>
      </c>
      <c r="I203" s="4">
        <v>2000.22</v>
      </c>
      <c r="J203" s="2" t="s">
        <v>16</v>
      </c>
      <c r="K203" s="2" t="s">
        <v>41</v>
      </c>
    </row>
    <row r="204" spans="1:11" x14ac:dyDescent="0.35">
      <c r="A204" s="2" t="s">
        <v>458</v>
      </c>
      <c r="B204" s="3">
        <v>45490</v>
      </c>
      <c r="C204" s="2" t="s">
        <v>459</v>
      </c>
      <c r="D204" s="2" t="s">
        <v>208</v>
      </c>
      <c r="E204" s="2" t="s">
        <v>27</v>
      </c>
      <c r="F204" s="4">
        <v>4</v>
      </c>
      <c r="G204" s="4">
        <v>2660</v>
      </c>
      <c r="H204" s="4">
        <v>29.7</v>
      </c>
      <c r="I204" s="4">
        <v>7479.92</v>
      </c>
      <c r="J204" s="2" t="s">
        <v>16</v>
      </c>
      <c r="K204" s="2" t="s">
        <v>28</v>
      </c>
    </row>
    <row r="205" spans="1:11" x14ac:dyDescent="0.35">
      <c r="A205" s="2" t="s">
        <v>460</v>
      </c>
      <c r="B205" s="3">
        <v>45538</v>
      </c>
      <c r="C205" s="2" t="s">
        <v>314</v>
      </c>
      <c r="D205" s="2" t="s">
        <v>129</v>
      </c>
      <c r="E205" s="2" t="s">
        <v>117</v>
      </c>
      <c r="F205" s="4">
        <v>6</v>
      </c>
      <c r="G205" s="4">
        <v>2760</v>
      </c>
      <c r="H205" s="4">
        <v>0.9</v>
      </c>
      <c r="I205" s="4">
        <v>16410.96</v>
      </c>
      <c r="J205" s="2" t="s">
        <v>16</v>
      </c>
      <c r="K205" s="2" t="s">
        <v>46</v>
      </c>
    </row>
    <row r="206" spans="1:11" x14ac:dyDescent="0.35">
      <c r="A206" s="2" t="s">
        <v>461</v>
      </c>
      <c r="B206" s="3">
        <v>45591</v>
      </c>
      <c r="C206" s="2" t="s">
        <v>462</v>
      </c>
      <c r="D206" s="2" t="s">
        <v>108</v>
      </c>
      <c r="E206" s="2" t="s">
        <v>133</v>
      </c>
      <c r="F206" s="4">
        <v>6</v>
      </c>
      <c r="G206" s="4">
        <v>3350</v>
      </c>
      <c r="H206" s="4">
        <v>17.899999999999999</v>
      </c>
      <c r="I206" s="4">
        <v>16502.099999999999</v>
      </c>
      <c r="J206" s="2" t="s">
        <v>16</v>
      </c>
      <c r="K206" s="2" t="s">
        <v>28</v>
      </c>
    </row>
    <row r="207" spans="1:11" x14ac:dyDescent="0.35">
      <c r="A207" s="2" t="s">
        <v>463</v>
      </c>
      <c r="B207" s="3">
        <v>45319</v>
      </c>
      <c r="C207" s="2" t="s">
        <v>369</v>
      </c>
      <c r="D207" s="2" t="s">
        <v>211</v>
      </c>
      <c r="E207" s="2" t="s">
        <v>167</v>
      </c>
      <c r="F207" s="4">
        <v>8</v>
      </c>
      <c r="G207" s="4">
        <v>300</v>
      </c>
      <c r="H207" s="4">
        <v>20.6</v>
      </c>
      <c r="I207" s="4">
        <v>1905.6</v>
      </c>
      <c r="J207" s="2" t="s">
        <v>73</v>
      </c>
      <c r="K207" s="2" t="s">
        <v>17</v>
      </c>
    </row>
    <row r="208" spans="1:11" x14ac:dyDescent="0.35">
      <c r="A208" s="2" t="s">
        <v>464</v>
      </c>
      <c r="B208" s="3">
        <v>45527</v>
      </c>
      <c r="C208" s="2" t="s">
        <v>457</v>
      </c>
      <c r="D208" s="2" t="s">
        <v>102</v>
      </c>
      <c r="E208" s="2" t="s">
        <v>226</v>
      </c>
      <c r="F208" s="4">
        <v>5</v>
      </c>
      <c r="G208" s="4">
        <v>2720</v>
      </c>
      <c r="H208" s="4">
        <v>17.100000000000001</v>
      </c>
      <c r="I208" s="4">
        <v>11274.4</v>
      </c>
      <c r="J208" s="2" t="s">
        <v>22</v>
      </c>
      <c r="K208" s="2" t="s">
        <v>41</v>
      </c>
    </row>
    <row r="209" spans="1:11" x14ac:dyDescent="0.35">
      <c r="A209" s="2" t="s">
        <v>465</v>
      </c>
      <c r="B209" s="3">
        <v>45572</v>
      </c>
      <c r="C209" s="2" t="s">
        <v>466</v>
      </c>
      <c r="D209" s="2" t="s">
        <v>177</v>
      </c>
      <c r="E209" s="2" t="s">
        <v>117</v>
      </c>
      <c r="F209" s="4">
        <v>1</v>
      </c>
      <c r="G209" s="4">
        <v>3870</v>
      </c>
      <c r="H209" s="4">
        <v>23.5</v>
      </c>
      <c r="I209" s="4">
        <v>2960.55</v>
      </c>
      <c r="J209" s="2" t="s">
        <v>22</v>
      </c>
      <c r="K209" s="2" t="s">
        <v>62</v>
      </c>
    </row>
    <row r="210" spans="1:11" x14ac:dyDescent="0.35">
      <c r="A210" s="2" t="s">
        <v>467</v>
      </c>
      <c r="B210" s="3">
        <v>45637</v>
      </c>
      <c r="C210" s="2" t="s">
        <v>468</v>
      </c>
      <c r="D210" s="2" t="s">
        <v>155</v>
      </c>
      <c r="E210" s="2" t="s">
        <v>254</v>
      </c>
      <c r="F210" s="4">
        <v>3</v>
      </c>
      <c r="G210" s="4">
        <v>3730</v>
      </c>
      <c r="H210" s="4">
        <v>0.7</v>
      </c>
      <c r="I210" s="4">
        <v>11111.67</v>
      </c>
      <c r="J210" s="2" t="s">
        <v>22</v>
      </c>
      <c r="K210" s="2" t="s">
        <v>62</v>
      </c>
    </row>
    <row r="211" spans="1:11" x14ac:dyDescent="0.35">
      <c r="A211" s="2" t="s">
        <v>469</v>
      </c>
      <c r="B211" s="3">
        <v>45315</v>
      </c>
      <c r="C211" s="2" t="s">
        <v>470</v>
      </c>
      <c r="D211" s="2" t="s">
        <v>96</v>
      </c>
      <c r="E211" s="2" t="s">
        <v>254</v>
      </c>
      <c r="F211" s="4">
        <v>8</v>
      </c>
      <c r="G211" s="4">
        <v>2480</v>
      </c>
      <c r="H211" s="4">
        <v>18.2</v>
      </c>
      <c r="I211" s="4">
        <v>16229.12</v>
      </c>
      <c r="J211" s="2" t="s">
        <v>69</v>
      </c>
      <c r="K211" s="2" t="s">
        <v>23</v>
      </c>
    </row>
    <row r="212" spans="1:11" x14ac:dyDescent="0.35">
      <c r="A212" s="2" t="s">
        <v>471</v>
      </c>
      <c r="B212" s="3">
        <v>45374</v>
      </c>
      <c r="C212" s="2" t="s">
        <v>317</v>
      </c>
      <c r="D212" s="2" t="s">
        <v>44</v>
      </c>
      <c r="E212" s="2" t="s">
        <v>50</v>
      </c>
      <c r="F212" s="4">
        <v>2</v>
      </c>
      <c r="G212" s="4">
        <v>960</v>
      </c>
      <c r="H212" s="4">
        <v>2.2000000000000002</v>
      </c>
      <c r="I212" s="4">
        <v>1877.76</v>
      </c>
      <c r="J212" s="2" t="s">
        <v>16</v>
      </c>
      <c r="K212" s="2" t="s">
        <v>62</v>
      </c>
    </row>
    <row r="213" spans="1:11" x14ac:dyDescent="0.35">
      <c r="A213" s="2" t="s">
        <v>472</v>
      </c>
      <c r="B213" s="3">
        <v>45335</v>
      </c>
      <c r="C213" s="2" t="s">
        <v>473</v>
      </c>
      <c r="D213" s="2" t="s">
        <v>113</v>
      </c>
      <c r="E213" s="2" t="s">
        <v>232</v>
      </c>
      <c r="F213" s="4">
        <v>8</v>
      </c>
      <c r="G213" s="4">
        <v>4880</v>
      </c>
      <c r="H213" s="4">
        <v>11.9</v>
      </c>
      <c r="I213" s="4">
        <v>34394.239999999998</v>
      </c>
      <c r="J213" s="2" t="s">
        <v>16</v>
      </c>
      <c r="K213" s="2" t="s">
        <v>62</v>
      </c>
    </row>
    <row r="214" spans="1:11" x14ac:dyDescent="0.35">
      <c r="A214" s="2" t="s">
        <v>474</v>
      </c>
      <c r="B214" s="3">
        <v>45656</v>
      </c>
      <c r="C214" s="2" t="s">
        <v>475</v>
      </c>
      <c r="D214" s="2" t="s">
        <v>14</v>
      </c>
      <c r="E214" s="2" t="s">
        <v>99</v>
      </c>
      <c r="F214" s="4">
        <v>2</v>
      </c>
      <c r="G214" s="4">
        <v>3620</v>
      </c>
      <c r="H214" s="4">
        <v>1.1000000000000001</v>
      </c>
      <c r="I214" s="4">
        <v>7160.36</v>
      </c>
      <c r="J214" s="2" t="s">
        <v>22</v>
      </c>
      <c r="K214" s="2" t="s">
        <v>28</v>
      </c>
    </row>
    <row r="215" spans="1:11" x14ac:dyDescent="0.35">
      <c r="A215" s="2" t="s">
        <v>476</v>
      </c>
      <c r="B215" s="3">
        <v>45573</v>
      </c>
      <c r="C215" s="2" t="s">
        <v>220</v>
      </c>
      <c r="D215" s="2" t="s">
        <v>337</v>
      </c>
      <c r="E215" s="2" t="s">
        <v>36</v>
      </c>
      <c r="F215" s="4">
        <v>8</v>
      </c>
      <c r="G215" s="4">
        <v>3970</v>
      </c>
      <c r="H215" s="4">
        <v>18.100000000000001</v>
      </c>
      <c r="I215" s="4">
        <v>26011.439999999999</v>
      </c>
      <c r="J215" s="2" t="s">
        <v>16</v>
      </c>
      <c r="K215" s="2" t="s">
        <v>28</v>
      </c>
    </row>
    <row r="216" spans="1:11" x14ac:dyDescent="0.35">
      <c r="A216" s="2" t="s">
        <v>477</v>
      </c>
      <c r="B216" s="3">
        <v>45534</v>
      </c>
      <c r="C216" s="2" t="s">
        <v>95</v>
      </c>
      <c r="D216" s="2" t="s">
        <v>174</v>
      </c>
      <c r="E216" s="2" t="s">
        <v>130</v>
      </c>
      <c r="F216" s="4">
        <v>8</v>
      </c>
      <c r="G216" s="4">
        <v>2270</v>
      </c>
      <c r="H216" s="4">
        <v>19.600000000000001</v>
      </c>
      <c r="I216" s="4">
        <v>14600.64</v>
      </c>
      <c r="J216" s="2" t="s">
        <v>16</v>
      </c>
      <c r="K216" s="2" t="s">
        <v>62</v>
      </c>
    </row>
    <row r="217" spans="1:11" x14ac:dyDescent="0.35">
      <c r="A217" s="2" t="s">
        <v>478</v>
      </c>
      <c r="B217" s="3">
        <v>45639</v>
      </c>
      <c r="C217" s="2" t="s">
        <v>195</v>
      </c>
      <c r="D217" s="2" t="s">
        <v>163</v>
      </c>
      <c r="E217" s="2" t="s">
        <v>181</v>
      </c>
      <c r="F217" s="4">
        <v>1</v>
      </c>
      <c r="G217" s="4">
        <v>3780</v>
      </c>
      <c r="H217" s="4">
        <v>22.6</v>
      </c>
      <c r="I217" s="4">
        <v>2925.72</v>
      </c>
      <c r="J217" s="2" t="s">
        <v>16</v>
      </c>
      <c r="K217" s="2" t="s">
        <v>28</v>
      </c>
    </row>
    <row r="218" spans="1:11" x14ac:dyDescent="0.35">
      <c r="A218" s="2" t="s">
        <v>479</v>
      </c>
      <c r="B218" s="3">
        <v>45653</v>
      </c>
      <c r="C218" s="2" t="s">
        <v>480</v>
      </c>
      <c r="D218" s="2" t="s">
        <v>193</v>
      </c>
      <c r="E218" s="2" t="s">
        <v>214</v>
      </c>
      <c r="F218" s="4">
        <v>9</v>
      </c>
      <c r="G218" s="4">
        <v>4070</v>
      </c>
      <c r="H218" s="4">
        <v>28.2</v>
      </c>
      <c r="I218" s="4">
        <v>26300.34</v>
      </c>
      <c r="J218" s="2" t="s">
        <v>16</v>
      </c>
      <c r="K218" s="2" t="s">
        <v>41</v>
      </c>
    </row>
    <row r="219" spans="1:11" x14ac:dyDescent="0.35">
      <c r="A219" s="2" t="s">
        <v>481</v>
      </c>
      <c r="B219" s="3">
        <v>45424</v>
      </c>
      <c r="C219" s="2" t="s">
        <v>482</v>
      </c>
      <c r="D219" s="2" t="s">
        <v>208</v>
      </c>
      <c r="E219" s="2" t="s">
        <v>32</v>
      </c>
      <c r="F219" s="4">
        <v>9</v>
      </c>
      <c r="G219" s="4">
        <v>2660</v>
      </c>
      <c r="H219" s="4">
        <v>13.1</v>
      </c>
      <c r="I219" s="4">
        <v>20803.86</v>
      </c>
      <c r="J219" s="2" t="s">
        <v>22</v>
      </c>
      <c r="K219" s="2" t="s">
        <v>41</v>
      </c>
    </row>
    <row r="220" spans="1:11" x14ac:dyDescent="0.35">
      <c r="A220" s="2" t="s">
        <v>483</v>
      </c>
      <c r="B220" s="3">
        <v>45400</v>
      </c>
      <c r="C220" s="2" t="s">
        <v>484</v>
      </c>
      <c r="D220" s="2" t="s">
        <v>116</v>
      </c>
      <c r="E220" s="2" t="s">
        <v>68</v>
      </c>
      <c r="F220" s="4">
        <v>4</v>
      </c>
      <c r="G220" s="4">
        <v>3570</v>
      </c>
      <c r="H220" s="4">
        <v>1.5</v>
      </c>
      <c r="I220" s="4">
        <v>14065.8</v>
      </c>
      <c r="J220" s="2" t="s">
        <v>69</v>
      </c>
      <c r="K220" s="2" t="s">
        <v>41</v>
      </c>
    </row>
    <row r="221" spans="1:11" x14ac:dyDescent="0.35">
      <c r="A221" s="2" t="s">
        <v>485</v>
      </c>
      <c r="B221" s="3">
        <v>45531</v>
      </c>
      <c r="C221" s="2" t="s">
        <v>486</v>
      </c>
      <c r="D221" s="2" t="s">
        <v>309</v>
      </c>
      <c r="E221" s="2" t="s">
        <v>144</v>
      </c>
      <c r="F221" s="4">
        <v>2</v>
      </c>
      <c r="G221" s="4">
        <v>960</v>
      </c>
      <c r="H221" s="4">
        <v>18.600000000000001</v>
      </c>
      <c r="I221" s="4">
        <v>1562.88</v>
      </c>
      <c r="J221" s="2" t="s">
        <v>16</v>
      </c>
      <c r="K221" s="2" t="s">
        <v>41</v>
      </c>
    </row>
    <row r="222" spans="1:11" x14ac:dyDescent="0.35">
      <c r="A222" s="2" t="s">
        <v>487</v>
      </c>
      <c r="B222" s="3">
        <v>45546</v>
      </c>
      <c r="C222" s="2" t="s">
        <v>488</v>
      </c>
      <c r="D222" s="2" t="s">
        <v>86</v>
      </c>
      <c r="E222" s="2" t="s">
        <v>232</v>
      </c>
      <c r="F222" s="4">
        <v>2</v>
      </c>
      <c r="G222" s="4">
        <v>3450</v>
      </c>
      <c r="H222" s="4">
        <v>3.7</v>
      </c>
      <c r="I222" s="4">
        <v>6644.7</v>
      </c>
      <c r="J222" s="2" t="s">
        <v>16</v>
      </c>
      <c r="K222" s="2" t="s">
        <v>17</v>
      </c>
    </row>
    <row r="223" spans="1:11" x14ac:dyDescent="0.35">
      <c r="A223" s="2" t="s">
        <v>489</v>
      </c>
      <c r="B223" s="3">
        <v>45608</v>
      </c>
      <c r="C223" s="2" t="s">
        <v>490</v>
      </c>
      <c r="D223" s="2" t="s">
        <v>120</v>
      </c>
      <c r="E223" s="2" t="s">
        <v>15</v>
      </c>
      <c r="F223" s="4">
        <v>6</v>
      </c>
      <c r="G223" s="4">
        <v>5100</v>
      </c>
      <c r="H223" s="4">
        <v>1.2</v>
      </c>
      <c r="I223" s="4">
        <v>30232.799999999999</v>
      </c>
      <c r="J223" s="2" t="s">
        <v>16</v>
      </c>
      <c r="K223" s="2" t="s">
        <v>62</v>
      </c>
    </row>
    <row r="224" spans="1:11" x14ac:dyDescent="0.35">
      <c r="A224" s="2" t="s">
        <v>491</v>
      </c>
      <c r="B224" s="3">
        <v>45614</v>
      </c>
      <c r="C224" s="2" t="s">
        <v>492</v>
      </c>
      <c r="D224" s="2" t="s">
        <v>211</v>
      </c>
      <c r="E224" s="2" t="s">
        <v>21</v>
      </c>
      <c r="F224" s="4">
        <v>9</v>
      </c>
      <c r="G224" s="4">
        <v>300</v>
      </c>
      <c r="H224" s="4">
        <v>25.4</v>
      </c>
      <c r="I224" s="4">
        <v>2014.2</v>
      </c>
      <c r="J224" s="2" t="s">
        <v>69</v>
      </c>
      <c r="K224" s="2" t="s">
        <v>17</v>
      </c>
    </row>
    <row r="225" spans="1:11" x14ac:dyDescent="0.35">
      <c r="A225" s="2" t="s">
        <v>493</v>
      </c>
      <c r="B225" s="3">
        <v>45405</v>
      </c>
      <c r="C225" s="2" t="s">
        <v>494</v>
      </c>
      <c r="D225" s="2" t="s">
        <v>113</v>
      </c>
      <c r="E225" s="2" t="s">
        <v>121</v>
      </c>
      <c r="F225" s="4">
        <v>7</v>
      </c>
      <c r="G225" s="4">
        <v>4880</v>
      </c>
      <c r="H225" s="4">
        <v>16.899999999999999</v>
      </c>
      <c r="I225" s="4">
        <v>28386.959999999999</v>
      </c>
      <c r="J225" s="2" t="s">
        <v>22</v>
      </c>
      <c r="K225" s="2" t="s">
        <v>41</v>
      </c>
    </row>
    <row r="226" spans="1:11" x14ac:dyDescent="0.35">
      <c r="A226" s="2" t="s">
        <v>495</v>
      </c>
      <c r="B226" s="3">
        <v>45504</v>
      </c>
      <c r="C226" s="2" t="s">
        <v>496</v>
      </c>
      <c r="D226" s="2" t="s">
        <v>72</v>
      </c>
      <c r="E226" s="2" t="s">
        <v>83</v>
      </c>
      <c r="F226" s="4">
        <v>9</v>
      </c>
      <c r="G226" s="4">
        <v>3250</v>
      </c>
      <c r="H226" s="4">
        <v>10.8</v>
      </c>
      <c r="I226" s="4">
        <v>26091</v>
      </c>
      <c r="J226" s="2" t="s">
        <v>69</v>
      </c>
      <c r="K226" s="2" t="s">
        <v>46</v>
      </c>
    </row>
    <row r="227" spans="1:11" x14ac:dyDescent="0.35">
      <c r="A227" s="2" t="s">
        <v>497</v>
      </c>
      <c r="B227" s="3">
        <v>45298</v>
      </c>
      <c r="C227" s="2" t="s">
        <v>371</v>
      </c>
      <c r="D227" s="2" t="s">
        <v>86</v>
      </c>
      <c r="E227" s="2" t="s">
        <v>32</v>
      </c>
      <c r="F227" s="4">
        <v>3</v>
      </c>
      <c r="G227" s="4">
        <v>3450</v>
      </c>
      <c r="H227" s="4">
        <v>5.4</v>
      </c>
      <c r="I227" s="4">
        <v>9791.1</v>
      </c>
      <c r="J227" s="2" t="s">
        <v>22</v>
      </c>
      <c r="K227" s="2" t="s">
        <v>17</v>
      </c>
    </row>
    <row r="228" spans="1:11" x14ac:dyDescent="0.35">
      <c r="A228" s="2" t="s">
        <v>498</v>
      </c>
      <c r="B228" s="3">
        <v>45346</v>
      </c>
      <c r="C228" s="2" t="s">
        <v>499</v>
      </c>
      <c r="D228" s="2" t="s">
        <v>170</v>
      </c>
      <c r="E228" s="2" t="s">
        <v>87</v>
      </c>
      <c r="F228" s="4">
        <v>5</v>
      </c>
      <c r="G228" s="4">
        <v>6080</v>
      </c>
      <c r="H228" s="4">
        <v>18</v>
      </c>
      <c r="I228" s="4">
        <v>24928</v>
      </c>
      <c r="J228" s="2" t="s">
        <v>16</v>
      </c>
      <c r="K228" s="2" t="s">
        <v>28</v>
      </c>
    </row>
    <row r="229" spans="1:11" x14ac:dyDescent="0.35">
      <c r="A229" s="2" t="s">
        <v>500</v>
      </c>
      <c r="B229" s="3">
        <v>45487</v>
      </c>
      <c r="C229" s="2" t="s">
        <v>369</v>
      </c>
      <c r="D229" s="2" t="s">
        <v>170</v>
      </c>
      <c r="E229" s="2" t="s">
        <v>214</v>
      </c>
      <c r="F229" s="4">
        <v>7</v>
      </c>
      <c r="G229" s="4">
        <v>6080</v>
      </c>
      <c r="H229" s="4">
        <v>9.1999999999999993</v>
      </c>
      <c r="I229" s="4">
        <v>38644.480000000003</v>
      </c>
      <c r="J229" s="2" t="s">
        <v>16</v>
      </c>
      <c r="K229" s="2" t="s">
        <v>17</v>
      </c>
    </row>
    <row r="230" spans="1:11" x14ac:dyDescent="0.35">
      <c r="A230" s="2" t="s">
        <v>501</v>
      </c>
      <c r="B230" s="3">
        <v>45585</v>
      </c>
      <c r="C230" s="2" t="s">
        <v>468</v>
      </c>
      <c r="D230" s="2" t="s">
        <v>60</v>
      </c>
      <c r="E230" s="2" t="s">
        <v>27</v>
      </c>
      <c r="F230" s="4">
        <v>5</v>
      </c>
      <c r="G230" s="4">
        <v>2270</v>
      </c>
      <c r="H230" s="4">
        <v>0.4</v>
      </c>
      <c r="I230" s="4">
        <v>11304.6</v>
      </c>
      <c r="J230" s="2" t="s">
        <v>69</v>
      </c>
      <c r="K230" s="2" t="s">
        <v>62</v>
      </c>
    </row>
    <row r="231" spans="1:11" x14ac:dyDescent="0.35">
      <c r="A231" s="2" t="s">
        <v>502</v>
      </c>
      <c r="B231" s="3">
        <v>45373</v>
      </c>
      <c r="C231" s="2" t="s">
        <v>300</v>
      </c>
      <c r="D231" s="2" t="s">
        <v>113</v>
      </c>
      <c r="E231" s="2" t="s">
        <v>275</v>
      </c>
      <c r="F231" s="4">
        <v>10</v>
      </c>
      <c r="G231" s="4">
        <v>4880</v>
      </c>
      <c r="H231" s="4">
        <v>24.5</v>
      </c>
      <c r="I231" s="4">
        <v>36844</v>
      </c>
      <c r="J231" s="2" t="s">
        <v>73</v>
      </c>
      <c r="K231" s="2" t="s">
        <v>41</v>
      </c>
    </row>
    <row r="232" spans="1:11" x14ac:dyDescent="0.35">
      <c r="A232" s="2" t="s">
        <v>503</v>
      </c>
      <c r="B232" s="3">
        <v>45293</v>
      </c>
      <c r="C232" s="2" t="s">
        <v>107</v>
      </c>
      <c r="D232" s="2" t="s">
        <v>296</v>
      </c>
      <c r="E232" s="2" t="s">
        <v>226</v>
      </c>
      <c r="F232" s="4">
        <v>2</v>
      </c>
      <c r="G232" s="4">
        <v>2380</v>
      </c>
      <c r="H232" s="4">
        <v>2.2999999999999998</v>
      </c>
      <c r="I232" s="4">
        <v>4650.5200000000004</v>
      </c>
      <c r="J232" s="2" t="s">
        <v>16</v>
      </c>
      <c r="K232" s="2" t="s">
        <v>23</v>
      </c>
    </row>
    <row r="233" spans="1:11" x14ac:dyDescent="0.35">
      <c r="A233" s="2" t="s">
        <v>504</v>
      </c>
      <c r="B233" s="3">
        <v>45498</v>
      </c>
      <c r="C233" s="2" t="s">
        <v>218</v>
      </c>
      <c r="D233" s="2" t="s">
        <v>111</v>
      </c>
      <c r="E233" s="2" t="s">
        <v>40</v>
      </c>
      <c r="F233" s="4">
        <v>1</v>
      </c>
      <c r="G233" s="4">
        <v>1010</v>
      </c>
      <c r="H233" s="4">
        <v>29.9</v>
      </c>
      <c r="I233" s="4">
        <v>708.01</v>
      </c>
      <c r="J233" s="2" t="s">
        <v>16</v>
      </c>
      <c r="K233" s="2" t="s">
        <v>23</v>
      </c>
    </row>
    <row r="234" spans="1:11" x14ac:dyDescent="0.35">
      <c r="A234" s="2" t="s">
        <v>505</v>
      </c>
      <c r="B234" s="3">
        <v>45643</v>
      </c>
      <c r="C234" s="2" t="s">
        <v>241</v>
      </c>
      <c r="D234" s="2" t="s">
        <v>444</v>
      </c>
      <c r="E234" s="2" t="s">
        <v>158</v>
      </c>
      <c r="F234" s="4">
        <v>7</v>
      </c>
      <c r="G234" s="4">
        <v>6940</v>
      </c>
      <c r="H234" s="4">
        <v>25.8</v>
      </c>
      <c r="I234" s="4">
        <v>36046.36</v>
      </c>
      <c r="J234" s="2" t="s">
        <v>16</v>
      </c>
      <c r="K234" s="2" t="s">
        <v>62</v>
      </c>
    </row>
    <row r="235" spans="1:11" x14ac:dyDescent="0.35">
      <c r="A235" s="2" t="s">
        <v>506</v>
      </c>
      <c r="B235" s="3">
        <v>45542</v>
      </c>
      <c r="C235" s="2" t="s">
        <v>482</v>
      </c>
      <c r="D235" s="2" t="s">
        <v>315</v>
      </c>
      <c r="E235" s="2" t="s">
        <v>45</v>
      </c>
      <c r="F235" s="4">
        <v>6</v>
      </c>
      <c r="G235" s="4">
        <v>2290</v>
      </c>
      <c r="H235" s="4">
        <v>25.9</v>
      </c>
      <c r="I235" s="4">
        <v>10181.34</v>
      </c>
      <c r="J235" s="2" t="s">
        <v>22</v>
      </c>
      <c r="K235" s="2" t="s">
        <v>41</v>
      </c>
    </row>
    <row r="236" spans="1:11" x14ac:dyDescent="0.35">
      <c r="A236" s="2" t="s">
        <v>507</v>
      </c>
      <c r="B236" s="3">
        <v>45508</v>
      </c>
      <c r="C236" s="2" t="s">
        <v>66</v>
      </c>
      <c r="D236" s="2" t="s">
        <v>39</v>
      </c>
      <c r="E236" s="2" t="s">
        <v>27</v>
      </c>
      <c r="F236" s="4">
        <v>2</v>
      </c>
      <c r="G236" s="4">
        <v>370</v>
      </c>
      <c r="H236" s="4">
        <v>3.9</v>
      </c>
      <c r="I236" s="4">
        <v>711.14</v>
      </c>
      <c r="J236" s="2" t="s">
        <v>16</v>
      </c>
      <c r="K236" s="2" t="s">
        <v>28</v>
      </c>
    </row>
    <row r="237" spans="1:11" x14ac:dyDescent="0.35">
      <c r="A237" s="2" t="s">
        <v>508</v>
      </c>
      <c r="B237" s="3">
        <v>45353</v>
      </c>
      <c r="C237" s="2" t="s">
        <v>509</v>
      </c>
      <c r="D237" s="2" t="s">
        <v>174</v>
      </c>
      <c r="E237" s="2" t="s">
        <v>121</v>
      </c>
      <c r="F237" s="4">
        <v>1</v>
      </c>
      <c r="G237" s="4">
        <v>2270</v>
      </c>
      <c r="H237" s="4">
        <v>25.3</v>
      </c>
      <c r="I237" s="4">
        <v>1695.69</v>
      </c>
      <c r="J237" s="2" t="s">
        <v>16</v>
      </c>
      <c r="K237" s="2" t="s">
        <v>17</v>
      </c>
    </row>
    <row r="238" spans="1:11" x14ac:dyDescent="0.35">
      <c r="A238" s="2" t="s">
        <v>510</v>
      </c>
      <c r="B238" s="3">
        <v>45344</v>
      </c>
      <c r="C238" s="2" t="s">
        <v>511</v>
      </c>
      <c r="D238" s="2" t="s">
        <v>170</v>
      </c>
      <c r="E238" s="2" t="s">
        <v>226</v>
      </c>
      <c r="F238" s="4">
        <v>4</v>
      </c>
      <c r="G238" s="4">
        <v>6080</v>
      </c>
      <c r="H238" s="4">
        <v>28.8</v>
      </c>
      <c r="I238" s="4">
        <v>17315.84</v>
      </c>
      <c r="J238" s="2" t="s">
        <v>22</v>
      </c>
      <c r="K238" s="2" t="s">
        <v>23</v>
      </c>
    </row>
    <row r="239" spans="1:11" x14ac:dyDescent="0.35">
      <c r="A239" s="2" t="s">
        <v>512</v>
      </c>
      <c r="B239" s="3">
        <v>45389</v>
      </c>
      <c r="C239" s="2" t="s">
        <v>176</v>
      </c>
      <c r="D239" s="2" t="s">
        <v>293</v>
      </c>
      <c r="E239" s="2" t="s">
        <v>232</v>
      </c>
      <c r="F239" s="4">
        <v>2</v>
      </c>
      <c r="G239" s="4">
        <v>5330</v>
      </c>
      <c r="H239" s="4">
        <v>23.8</v>
      </c>
      <c r="I239" s="4">
        <v>8122.92</v>
      </c>
      <c r="J239" s="2" t="s">
        <v>22</v>
      </c>
      <c r="K239" s="2" t="s">
        <v>46</v>
      </c>
    </row>
    <row r="240" spans="1:11" x14ac:dyDescent="0.35">
      <c r="A240" s="2" t="s">
        <v>513</v>
      </c>
      <c r="B240" s="3">
        <v>45344</v>
      </c>
      <c r="C240" s="2" t="s">
        <v>514</v>
      </c>
      <c r="D240" s="2" t="s">
        <v>193</v>
      </c>
      <c r="E240" s="2" t="s">
        <v>45</v>
      </c>
      <c r="F240" s="4">
        <v>2</v>
      </c>
      <c r="G240" s="4">
        <v>4070</v>
      </c>
      <c r="H240" s="4">
        <v>4.3</v>
      </c>
      <c r="I240" s="4">
        <v>7789.98</v>
      </c>
      <c r="J240" s="2" t="s">
        <v>16</v>
      </c>
      <c r="K240" s="2" t="s">
        <v>23</v>
      </c>
    </row>
    <row r="241" spans="1:11" x14ac:dyDescent="0.35">
      <c r="A241" s="2" t="s">
        <v>515</v>
      </c>
      <c r="B241" s="3">
        <v>45480</v>
      </c>
      <c r="C241" s="2" t="s">
        <v>389</v>
      </c>
      <c r="D241" s="2" t="s">
        <v>211</v>
      </c>
      <c r="E241" s="2" t="s">
        <v>68</v>
      </c>
      <c r="F241" s="4">
        <v>6</v>
      </c>
      <c r="G241" s="4">
        <v>300</v>
      </c>
      <c r="H241" s="4">
        <v>17.399999999999999</v>
      </c>
      <c r="I241" s="4">
        <v>1486.8</v>
      </c>
      <c r="J241" s="2" t="s">
        <v>69</v>
      </c>
      <c r="K241" s="2" t="s">
        <v>17</v>
      </c>
    </row>
    <row r="242" spans="1:11" x14ac:dyDescent="0.35">
      <c r="A242" s="2" t="s">
        <v>516</v>
      </c>
      <c r="B242" s="3">
        <v>45488</v>
      </c>
      <c r="C242" s="2" t="s">
        <v>55</v>
      </c>
      <c r="D242" s="2" t="s">
        <v>113</v>
      </c>
      <c r="E242" s="2" t="s">
        <v>27</v>
      </c>
      <c r="F242" s="4">
        <v>1</v>
      </c>
      <c r="G242" s="4">
        <v>4880</v>
      </c>
      <c r="H242" s="4">
        <v>17.5</v>
      </c>
      <c r="I242" s="4">
        <v>4026</v>
      </c>
      <c r="J242" s="2" t="s">
        <v>16</v>
      </c>
      <c r="K242" s="2" t="s">
        <v>17</v>
      </c>
    </row>
    <row r="243" spans="1:11" x14ac:dyDescent="0.35">
      <c r="A243" s="2" t="s">
        <v>517</v>
      </c>
      <c r="B243" s="3">
        <v>45326</v>
      </c>
      <c r="C243" s="2" t="s">
        <v>518</v>
      </c>
      <c r="D243" s="2" t="s">
        <v>124</v>
      </c>
      <c r="E243" s="2" t="s">
        <v>272</v>
      </c>
      <c r="F243" s="4">
        <v>3</v>
      </c>
      <c r="G243" s="4">
        <v>2860</v>
      </c>
      <c r="H243" s="4">
        <v>20.100000000000001</v>
      </c>
      <c r="I243" s="4">
        <v>6855.42</v>
      </c>
      <c r="J243" s="2" t="s">
        <v>16</v>
      </c>
      <c r="K243" s="2" t="s">
        <v>23</v>
      </c>
    </row>
    <row r="244" spans="1:11" x14ac:dyDescent="0.35">
      <c r="A244" s="2" t="s">
        <v>519</v>
      </c>
      <c r="B244" s="3">
        <v>45627</v>
      </c>
      <c r="C244" s="2" t="s">
        <v>237</v>
      </c>
      <c r="D244" s="2" t="s">
        <v>188</v>
      </c>
      <c r="E244" s="2" t="s">
        <v>226</v>
      </c>
      <c r="F244" s="4">
        <v>3</v>
      </c>
      <c r="G244" s="4">
        <v>1540</v>
      </c>
      <c r="H244" s="4">
        <v>20.9</v>
      </c>
      <c r="I244" s="4">
        <v>3654.42</v>
      </c>
      <c r="J244" s="2" t="s">
        <v>16</v>
      </c>
      <c r="K244" s="2" t="s">
        <v>17</v>
      </c>
    </row>
    <row r="245" spans="1:11" x14ac:dyDescent="0.35">
      <c r="A245" s="2" t="s">
        <v>520</v>
      </c>
      <c r="B245" s="3">
        <v>45576</v>
      </c>
      <c r="C245" s="2" t="s">
        <v>521</v>
      </c>
      <c r="D245" s="2" t="s">
        <v>64</v>
      </c>
      <c r="E245" s="2" t="s">
        <v>61</v>
      </c>
      <c r="F245" s="4">
        <v>10</v>
      </c>
      <c r="G245" s="4">
        <v>2640</v>
      </c>
      <c r="H245" s="4">
        <v>11.2</v>
      </c>
      <c r="I245" s="4">
        <v>23443.200000000001</v>
      </c>
      <c r="J245" s="2" t="s">
        <v>22</v>
      </c>
      <c r="K245" s="2" t="s">
        <v>62</v>
      </c>
    </row>
    <row r="246" spans="1:11" x14ac:dyDescent="0.35">
      <c r="A246" s="2" t="s">
        <v>522</v>
      </c>
      <c r="B246" s="3">
        <v>45317</v>
      </c>
      <c r="C246" s="2" t="s">
        <v>345</v>
      </c>
      <c r="D246" s="2" t="s">
        <v>35</v>
      </c>
      <c r="E246" s="2" t="s">
        <v>181</v>
      </c>
      <c r="F246" s="4">
        <v>1</v>
      </c>
      <c r="G246" s="4">
        <v>3160</v>
      </c>
      <c r="H246" s="4">
        <v>11.5</v>
      </c>
      <c r="I246" s="4">
        <v>2796.6</v>
      </c>
      <c r="J246" s="2" t="s">
        <v>16</v>
      </c>
      <c r="K246" s="2" t="s">
        <v>46</v>
      </c>
    </row>
    <row r="247" spans="1:11" x14ac:dyDescent="0.35">
      <c r="A247" s="2" t="s">
        <v>523</v>
      </c>
      <c r="B247" s="3">
        <v>45650</v>
      </c>
      <c r="C247" s="2" t="s">
        <v>524</v>
      </c>
      <c r="D247" s="2" t="s">
        <v>93</v>
      </c>
      <c r="E247" s="2" t="s">
        <v>15</v>
      </c>
      <c r="F247" s="4">
        <v>4</v>
      </c>
      <c r="G247" s="4">
        <v>1080</v>
      </c>
      <c r="H247" s="4">
        <v>20.7</v>
      </c>
      <c r="I247" s="4">
        <v>3425.76</v>
      </c>
      <c r="J247" s="2" t="s">
        <v>22</v>
      </c>
      <c r="K247" s="2" t="s">
        <v>28</v>
      </c>
    </row>
    <row r="248" spans="1:11" x14ac:dyDescent="0.35">
      <c r="A248" s="2" t="s">
        <v>525</v>
      </c>
      <c r="B248" s="3">
        <v>45585</v>
      </c>
      <c r="C248" s="2" t="s">
        <v>526</v>
      </c>
      <c r="D248" s="2" t="s">
        <v>111</v>
      </c>
      <c r="E248" s="2" t="s">
        <v>181</v>
      </c>
      <c r="F248" s="4">
        <v>4</v>
      </c>
      <c r="G248" s="4">
        <v>1010</v>
      </c>
      <c r="H248" s="4">
        <v>29.5</v>
      </c>
      <c r="I248" s="4">
        <v>2848.2</v>
      </c>
      <c r="J248" s="2" t="s">
        <v>22</v>
      </c>
      <c r="K248" s="2" t="s">
        <v>41</v>
      </c>
    </row>
    <row r="249" spans="1:11" x14ac:dyDescent="0.35">
      <c r="A249" s="2" t="s">
        <v>527</v>
      </c>
      <c r="B249" s="3">
        <v>45545</v>
      </c>
      <c r="C249" s="2" t="s">
        <v>528</v>
      </c>
      <c r="D249" s="2" t="s">
        <v>67</v>
      </c>
      <c r="E249" s="2" t="s">
        <v>272</v>
      </c>
      <c r="F249" s="4">
        <v>7</v>
      </c>
      <c r="G249" s="4">
        <v>2600</v>
      </c>
      <c r="H249" s="4">
        <v>6.6</v>
      </c>
      <c r="I249" s="4">
        <v>16998.8</v>
      </c>
      <c r="J249" s="2" t="s">
        <v>16</v>
      </c>
      <c r="K249" s="2" t="s">
        <v>46</v>
      </c>
    </row>
    <row r="250" spans="1:11" x14ac:dyDescent="0.35">
      <c r="A250" s="2" t="s">
        <v>529</v>
      </c>
      <c r="B250" s="3">
        <v>45395</v>
      </c>
      <c r="C250" s="2" t="s">
        <v>187</v>
      </c>
      <c r="D250" s="2" t="s">
        <v>284</v>
      </c>
      <c r="E250" s="2" t="s">
        <v>133</v>
      </c>
      <c r="F250" s="4">
        <v>4</v>
      </c>
      <c r="G250" s="4">
        <v>2510</v>
      </c>
      <c r="H250" s="4">
        <v>1</v>
      </c>
      <c r="I250" s="4">
        <v>9939.6</v>
      </c>
      <c r="J250" s="2" t="s">
        <v>16</v>
      </c>
      <c r="K250" s="2" t="s">
        <v>28</v>
      </c>
    </row>
    <row r="251" spans="1:11" x14ac:dyDescent="0.35">
      <c r="A251" s="2" t="s">
        <v>530</v>
      </c>
      <c r="B251" s="3">
        <v>45636</v>
      </c>
      <c r="C251" s="2" t="s">
        <v>531</v>
      </c>
      <c r="D251" s="2" t="s">
        <v>193</v>
      </c>
      <c r="E251" s="2" t="s">
        <v>214</v>
      </c>
      <c r="F251" s="4">
        <v>9</v>
      </c>
      <c r="G251" s="4">
        <v>4070</v>
      </c>
      <c r="H251" s="4">
        <v>6.7</v>
      </c>
      <c r="I251" s="4">
        <v>34175.79</v>
      </c>
      <c r="J251" s="2" t="s">
        <v>69</v>
      </c>
      <c r="K251" s="2" t="s">
        <v>23</v>
      </c>
    </row>
    <row r="252" spans="1:11" x14ac:dyDescent="0.35">
      <c r="A252" s="2" t="s">
        <v>532</v>
      </c>
      <c r="B252" s="3">
        <v>45612</v>
      </c>
      <c r="C252" s="2" t="s">
        <v>533</v>
      </c>
      <c r="D252" s="2" t="s">
        <v>20</v>
      </c>
      <c r="E252" s="2" t="s">
        <v>61</v>
      </c>
      <c r="F252" s="4">
        <v>6</v>
      </c>
      <c r="G252" s="4">
        <v>820</v>
      </c>
      <c r="H252" s="4">
        <v>14</v>
      </c>
      <c r="I252" s="4">
        <v>4231.2</v>
      </c>
      <c r="J252" s="2" t="s">
        <v>16</v>
      </c>
      <c r="K252" s="2" t="s">
        <v>46</v>
      </c>
    </row>
    <row r="253" spans="1:11" x14ac:dyDescent="0.35">
      <c r="A253" s="2" t="s">
        <v>534</v>
      </c>
      <c r="B253" s="3">
        <v>45495</v>
      </c>
      <c r="C253" s="2" t="s">
        <v>535</v>
      </c>
      <c r="D253" s="2" t="s">
        <v>56</v>
      </c>
      <c r="E253" s="2" t="s">
        <v>21</v>
      </c>
      <c r="F253" s="4">
        <v>2</v>
      </c>
      <c r="G253" s="4">
        <v>970</v>
      </c>
      <c r="H253" s="4">
        <v>23.8</v>
      </c>
      <c r="I253" s="4">
        <v>1478.28</v>
      </c>
      <c r="J253" s="2" t="s">
        <v>16</v>
      </c>
      <c r="K253" s="2" t="s">
        <v>41</v>
      </c>
    </row>
    <row r="254" spans="1:11" x14ac:dyDescent="0.35">
      <c r="A254" s="2" t="s">
        <v>536</v>
      </c>
      <c r="B254" s="3">
        <v>45337</v>
      </c>
      <c r="C254" s="2" t="s">
        <v>537</v>
      </c>
      <c r="D254" s="2" t="s">
        <v>193</v>
      </c>
      <c r="E254" s="2" t="s">
        <v>254</v>
      </c>
      <c r="F254" s="4">
        <v>4</v>
      </c>
      <c r="G254" s="4">
        <v>4070</v>
      </c>
      <c r="H254" s="4">
        <v>19</v>
      </c>
      <c r="I254" s="4">
        <v>13186.8</v>
      </c>
      <c r="J254" s="2" t="s">
        <v>22</v>
      </c>
      <c r="K254" s="2" t="s">
        <v>17</v>
      </c>
    </row>
    <row r="255" spans="1:11" x14ac:dyDescent="0.35">
      <c r="A255" s="2" t="s">
        <v>538</v>
      </c>
      <c r="B255" s="3">
        <v>45333</v>
      </c>
      <c r="C255" s="2" t="s">
        <v>539</v>
      </c>
      <c r="D255" s="2" t="s">
        <v>86</v>
      </c>
      <c r="E255" s="2" t="s">
        <v>167</v>
      </c>
      <c r="F255" s="4">
        <v>3</v>
      </c>
      <c r="G255" s="4">
        <v>3450</v>
      </c>
      <c r="H255" s="4">
        <v>4.4000000000000004</v>
      </c>
      <c r="I255" s="4">
        <v>9894.6</v>
      </c>
      <c r="J255" s="2" t="s">
        <v>69</v>
      </c>
      <c r="K255" s="2" t="s">
        <v>46</v>
      </c>
    </row>
    <row r="256" spans="1:11" x14ac:dyDescent="0.35">
      <c r="A256" s="2" t="s">
        <v>540</v>
      </c>
      <c r="B256" s="3">
        <v>45511</v>
      </c>
      <c r="C256" s="2" t="s">
        <v>265</v>
      </c>
      <c r="D256" s="2" t="s">
        <v>163</v>
      </c>
      <c r="E256" s="2" t="s">
        <v>61</v>
      </c>
      <c r="F256" s="4">
        <v>5</v>
      </c>
      <c r="G256" s="4">
        <v>3780</v>
      </c>
      <c r="H256" s="4">
        <v>13.5</v>
      </c>
      <c r="I256" s="4">
        <v>16348.5</v>
      </c>
      <c r="J256" s="2" t="s">
        <v>16</v>
      </c>
      <c r="K256" s="2" t="s">
        <v>41</v>
      </c>
    </row>
    <row r="257" spans="1:11" x14ac:dyDescent="0.35">
      <c r="A257" s="2" t="s">
        <v>541</v>
      </c>
      <c r="B257" s="3">
        <v>45595</v>
      </c>
      <c r="C257" s="2" t="s">
        <v>542</v>
      </c>
      <c r="D257" s="2" t="s">
        <v>44</v>
      </c>
      <c r="E257" s="2" t="s">
        <v>68</v>
      </c>
      <c r="F257" s="4">
        <v>1</v>
      </c>
      <c r="G257" s="4">
        <v>960</v>
      </c>
      <c r="H257" s="4">
        <v>29.2</v>
      </c>
      <c r="I257" s="4">
        <v>679.68</v>
      </c>
      <c r="J257" s="2" t="s">
        <v>16</v>
      </c>
      <c r="K257" s="2" t="s">
        <v>41</v>
      </c>
    </row>
    <row r="258" spans="1:11" x14ac:dyDescent="0.35">
      <c r="A258" s="2" t="s">
        <v>543</v>
      </c>
      <c r="B258" s="3">
        <v>45321</v>
      </c>
      <c r="C258" s="2" t="s">
        <v>544</v>
      </c>
      <c r="D258" s="2" t="s">
        <v>116</v>
      </c>
      <c r="E258" s="2" t="s">
        <v>214</v>
      </c>
      <c r="F258" s="4">
        <v>10</v>
      </c>
      <c r="G258" s="4">
        <v>3570</v>
      </c>
      <c r="H258" s="4">
        <v>10.7</v>
      </c>
      <c r="I258" s="4">
        <v>31880.1</v>
      </c>
      <c r="J258" s="2" t="s">
        <v>16</v>
      </c>
      <c r="K258" s="2" t="s">
        <v>41</v>
      </c>
    </row>
    <row r="259" spans="1:11" x14ac:dyDescent="0.35">
      <c r="A259" s="2" t="s">
        <v>545</v>
      </c>
      <c r="B259" s="3">
        <v>45511</v>
      </c>
      <c r="C259" s="2" t="s">
        <v>546</v>
      </c>
      <c r="D259" s="2" t="s">
        <v>116</v>
      </c>
      <c r="E259" s="2" t="s">
        <v>45</v>
      </c>
      <c r="F259" s="4">
        <v>7</v>
      </c>
      <c r="G259" s="4">
        <v>3570</v>
      </c>
      <c r="H259" s="4">
        <v>12.2</v>
      </c>
      <c r="I259" s="4">
        <v>21941.22</v>
      </c>
      <c r="J259" s="2" t="s">
        <v>16</v>
      </c>
      <c r="K259" s="2" t="s">
        <v>41</v>
      </c>
    </row>
    <row r="260" spans="1:11" x14ac:dyDescent="0.35">
      <c r="A260" s="2" t="s">
        <v>547</v>
      </c>
      <c r="B260" s="3">
        <v>45575</v>
      </c>
      <c r="C260" s="2" t="s">
        <v>439</v>
      </c>
      <c r="D260" s="2" t="s">
        <v>93</v>
      </c>
      <c r="E260" s="2" t="s">
        <v>27</v>
      </c>
      <c r="F260" s="4">
        <v>6</v>
      </c>
      <c r="G260" s="4">
        <v>1080</v>
      </c>
      <c r="H260" s="4">
        <v>19.8</v>
      </c>
      <c r="I260" s="4">
        <v>5196.96</v>
      </c>
      <c r="J260" s="2" t="s">
        <v>16</v>
      </c>
      <c r="K260" s="2" t="s">
        <v>46</v>
      </c>
    </row>
    <row r="261" spans="1:11" x14ac:dyDescent="0.35">
      <c r="A261" s="2" t="s">
        <v>548</v>
      </c>
      <c r="B261" s="3">
        <v>45649</v>
      </c>
      <c r="C261" s="2" t="s">
        <v>104</v>
      </c>
      <c r="D261" s="2" t="s">
        <v>381</v>
      </c>
      <c r="E261" s="2" t="s">
        <v>61</v>
      </c>
      <c r="F261" s="4">
        <v>8</v>
      </c>
      <c r="G261" s="4">
        <v>3450</v>
      </c>
      <c r="H261" s="4">
        <v>19</v>
      </c>
      <c r="I261" s="4">
        <v>22356</v>
      </c>
      <c r="J261" s="2" t="s">
        <v>16</v>
      </c>
      <c r="K261" s="2" t="s">
        <v>62</v>
      </c>
    </row>
    <row r="262" spans="1:11" x14ac:dyDescent="0.35">
      <c r="A262" s="2" t="s">
        <v>549</v>
      </c>
      <c r="B262" s="3">
        <v>45371</v>
      </c>
      <c r="C262" s="2" t="s">
        <v>550</v>
      </c>
      <c r="D262" s="2" t="s">
        <v>208</v>
      </c>
      <c r="E262" s="2" t="s">
        <v>83</v>
      </c>
      <c r="F262" s="4">
        <v>4</v>
      </c>
      <c r="G262" s="4">
        <v>2660</v>
      </c>
      <c r="H262" s="4">
        <v>18.8</v>
      </c>
      <c r="I262" s="4">
        <v>8639.68</v>
      </c>
      <c r="J262" s="2" t="s">
        <v>22</v>
      </c>
      <c r="K262" s="2" t="s">
        <v>23</v>
      </c>
    </row>
    <row r="263" spans="1:11" x14ac:dyDescent="0.35">
      <c r="A263" s="2" t="s">
        <v>551</v>
      </c>
      <c r="B263" s="3">
        <v>45522</v>
      </c>
      <c r="C263" s="2" t="s">
        <v>234</v>
      </c>
      <c r="D263" s="2" t="s">
        <v>80</v>
      </c>
      <c r="E263" s="2" t="s">
        <v>133</v>
      </c>
      <c r="F263" s="4">
        <v>4</v>
      </c>
      <c r="G263" s="4">
        <v>2400</v>
      </c>
      <c r="H263" s="4">
        <v>5.6</v>
      </c>
      <c r="I263" s="4">
        <v>9062.4</v>
      </c>
      <c r="J263" s="2" t="s">
        <v>16</v>
      </c>
      <c r="K263" s="2" t="s">
        <v>62</v>
      </c>
    </row>
    <row r="264" spans="1:11" x14ac:dyDescent="0.35">
      <c r="A264" s="2" t="s">
        <v>552</v>
      </c>
      <c r="B264" s="3">
        <v>45513</v>
      </c>
      <c r="C264" s="2" t="s">
        <v>553</v>
      </c>
      <c r="D264" s="2" t="s">
        <v>67</v>
      </c>
      <c r="E264" s="2" t="s">
        <v>77</v>
      </c>
      <c r="F264" s="4">
        <v>10</v>
      </c>
      <c r="G264" s="4">
        <v>2600</v>
      </c>
      <c r="H264" s="4">
        <v>24.7</v>
      </c>
      <c r="I264" s="4">
        <v>19578</v>
      </c>
      <c r="J264" s="2" t="s">
        <v>16</v>
      </c>
      <c r="K264" s="2" t="s">
        <v>17</v>
      </c>
    </row>
    <row r="265" spans="1:11" x14ac:dyDescent="0.35">
      <c r="A265" s="2" t="s">
        <v>554</v>
      </c>
      <c r="B265" s="3">
        <v>45513</v>
      </c>
      <c r="C265" s="2" t="s">
        <v>555</v>
      </c>
      <c r="D265" s="2" t="s">
        <v>280</v>
      </c>
      <c r="E265" s="2" t="s">
        <v>68</v>
      </c>
      <c r="F265" s="4">
        <v>3</v>
      </c>
      <c r="G265" s="4">
        <v>4060</v>
      </c>
      <c r="H265" s="4">
        <v>6.9</v>
      </c>
      <c r="I265" s="4">
        <v>11339.58</v>
      </c>
      <c r="J265" s="2" t="s">
        <v>16</v>
      </c>
      <c r="K265" s="2" t="s">
        <v>28</v>
      </c>
    </row>
    <row r="266" spans="1:11" x14ac:dyDescent="0.35">
      <c r="A266" s="2" t="s">
        <v>556</v>
      </c>
      <c r="B266" s="3">
        <v>45465</v>
      </c>
      <c r="C266" s="2" t="s">
        <v>557</v>
      </c>
      <c r="D266" s="2" t="s">
        <v>53</v>
      </c>
      <c r="E266" s="2" t="s">
        <v>83</v>
      </c>
      <c r="F266" s="4">
        <v>6</v>
      </c>
      <c r="G266" s="4">
        <v>5490</v>
      </c>
      <c r="H266" s="4">
        <v>8.4</v>
      </c>
      <c r="I266" s="4">
        <v>30173.040000000001</v>
      </c>
      <c r="J266" s="2" t="s">
        <v>16</v>
      </c>
      <c r="K266" s="2" t="s">
        <v>62</v>
      </c>
    </row>
    <row r="267" spans="1:11" x14ac:dyDescent="0.35">
      <c r="A267" s="2" t="s">
        <v>558</v>
      </c>
      <c r="B267" s="3">
        <v>45407</v>
      </c>
      <c r="C267" s="2" t="s">
        <v>414</v>
      </c>
      <c r="D267" s="2" t="s">
        <v>39</v>
      </c>
      <c r="E267" s="2" t="s">
        <v>232</v>
      </c>
      <c r="F267" s="4">
        <v>6</v>
      </c>
      <c r="G267" s="4">
        <v>370</v>
      </c>
      <c r="H267" s="4">
        <v>15.1</v>
      </c>
      <c r="I267" s="4">
        <v>1884.78</v>
      </c>
      <c r="J267" s="2" t="s">
        <v>16</v>
      </c>
      <c r="K267" s="2" t="s">
        <v>17</v>
      </c>
    </row>
    <row r="268" spans="1:11" x14ac:dyDescent="0.35">
      <c r="A268" s="2" t="s">
        <v>559</v>
      </c>
      <c r="B268" s="3">
        <v>45405</v>
      </c>
      <c r="C268" s="2" t="s">
        <v>286</v>
      </c>
      <c r="D268" s="2" t="s">
        <v>221</v>
      </c>
      <c r="E268" s="2" t="s">
        <v>83</v>
      </c>
      <c r="F268" s="4">
        <v>5</v>
      </c>
      <c r="G268" s="4">
        <v>620</v>
      </c>
      <c r="H268" s="4">
        <v>13.1</v>
      </c>
      <c r="I268" s="4">
        <v>2693.9</v>
      </c>
      <c r="J268" s="2" t="s">
        <v>69</v>
      </c>
      <c r="K268" s="2" t="s">
        <v>28</v>
      </c>
    </row>
    <row r="269" spans="1:11" x14ac:dyDescent="0.35">
      <c r="A269" s="2" t="s">
        <v>560</v>
      </c>
      <c r="B269" s="3">
        <v>45332</v>
      </c>
      <c r="C269" s="2" t="s">
        <v>271</v>
      </c>
      <c r="D269" s="2" t="s">
        <v>72</v>
      </c>
      <c r="E269" s="2" t="s">
        <v>158</v>
      </c>
      <c r="F269" s="4">
        <v>9</v>
      </c>
      <c r="G269" s="4">
        <v>3250</v>
      </c>
      <c r="H269" s="4">
        <v>16.5</v>
      </c>
      <c r="I269" s="4">
        <v>24423.75</v>
      </c>
      <c r="J269" s="2" t="s">
        <v>16</v>
      </c>
      <c r="K269" s="2" t="s">
        <v>23</v>
      </c>
    </row>
    <row r="270" spans="1:11" x14ac:dyDescent="0.35">
      <c r="A270" s="2" t="s">
        <v>561</v>
      </c>
      <c r="B270" s="3">
        <v>45299</v>
      </c>
      <c r="C270" s="2" t="s">
        <v>157</v>
      </c>
      <c r="D270" s="2" t="s">
        <v>170</v>
      </c>
      <c r="E270" s="2" t="s">
        <v>202</v>
      </c>
      <c r="F270" s="4">
        <v>1</v>
      </c>
      <c r="G270" s="4">
        <v>6080</v>
      </c>
      <c r="H270" s="4">
        <v>0.1</v>
      </c>
      <c r="I270" s="4">
        <v>6073.92</v>
      </c>
      <c r="J270" s="2" t="s">
        <v>16</v>
      </c>
      <c r="K270" s="2" t="s">
        <v>41</v>
      </c>
    </row>
    <row r="271" spans="1:11" x14ac:dyDescent="0.35">
      <c r="A271" s="2" t="s">
        <v>562</v>
      </c>
      <c r="B271" s="3">
        <v>45386</v>
      </c>
      <c r="C271" s="2" t="s">
        <v>518</v>
      </c>
      <c r="D271" s="2" t="s">
        <v>166</v>
      </c>
      <c r="E271" s="2" t="s">
        <v>27</v>
      </c>
      <c r="F271" s="4">
        <v>8</v>
      </c>
      <c r="G271" s="4">
        <v>3640</v>
      </c>
      <c r="H271" s="4">
        <v>13.5</v>
      </c>
      <c r="I271" s="4">
        <v>25188.799999999999</v>
      </c>
      <c r="J271" s="2" t="s">
        <v>16</v>
      </c>
      <c r="K271" s="2" t="s">
        <v>23</v>
      </c>
    </row>
    <row r="272" spans="1:11" x14ac:dyDescent="0.35">
      <c r="A272" s="2" t="s">
        <v>563</v>
      </c>
      <c r="B272" s="3">
        <v>45472</v>
      </c>
      <c r="C272" s="2" t="s">
        <v>564</v>
      </c>
      <c r="D272" s="2" t="s">
        <v>35</v>
      </c>
      <c r="E272" s="2" t="s">
        <v>21</v>
      </c>
      <c r="F272" s="4">
        <v>9</v>
      </c>
      <c r="G272" s="4">
        <v>3160</v>
      </c>
      <c r="H272" s="4">
        <v>29.7</v>
      </c>
      <c r="I272" s="4">
        <v>19993.32</v>
      </c>
      <c r="J272" s="2" t="s">
        <v>16</v>
      </c>
      <c r="K272" s="2" t="s">
        <v>28</v>
      </c>
    </row>
    <row r="273" spans="1:11" x14ac:dyDescent="0.35">
      <c r="A273" s="2" t="s">
        <v>565</v>
      </c>
      <c r="B273" s="3">
        <v>45428</v>
      </c>
      <c r="C273" s="2" t="s">
        <v>490</v>
      </c>
      <c r="D273" s="2" t="s">
        <v>177</v>
      </c>
      <c r="E273" s="2" t="s">
        <v>15</v>
      </c>
      <c r="F273" s="4">
        <v>2</v>
      </c>
      <c r="G273" s="4">
        <v>3870</v>
      </c>
      <c r="H273" s="4">
        <v>18.100000000000001</v>
      </c>
      <c r="I273" s="4">
        <v>6339.06</v>
      </c>
      <c r="J273" s="2" t="s">
        <v>69</v>
      </c>
      <c r="K273" s="2" t="s">
        <v>62</v>
      </c>
    </row>
    <row r="274" spans="1:11" x14ac:dyDescent="0.35">
      <c r="A274" s="2" t="s">
        <v>566</v>
      </c>
      <c r="B274" s="3">
        <v>45430</v>
      </c>
      <c r="C274" s="2" t="s">
        <v>567</v>
      </c>
      <c r="D274" s="2" t="s">
        <v>132</v>
      </c>
      <c r="E274" s="2" t="s">
        <v>99</v>
      </c>
      <c r="F274" s="4">
        <v>3</v>
      </c>
      <c r="G274" s="4">
        <v>660</v>
      </c>
      <c r="H274" s="4">
        <v>9.1999999999999993</v>
      </c>
      <c r="I274" s="4">
        <v>1797.84</v>
      </c>
      <c r="J274" s="2" t="s">
        <v>16</v>
      </c>
      <c r="K274" s="2" t="s">
        <v>28</v>
      </c>
    </row>
    <row r="275" spans="1:11" x14ac:dyDescent="0.35">
      <c r="A275" s="2" t="s">
        <v>568</v>
      </c>
      <c r="B275" s="3">
        <v>45418</v>
      </c>
      <c r="C275" s="2" t="s">
        <v>334</v>
      </c>
      <c r="D275" s="2" t="s">
        <v>280</v>
      </c>
      <c r="E275" s="2" t="s">
        <v>181</v>
      </c>
      <c r="F275" s="4">
        <v>4</v>
      </c>
      <c r="G275" s="4">
        <v>4060</v>
      </c>
      <c r="H275" s="4">
        <v>28</v>
      </c>
      <c r="I275" s="4">
        <v>11692.8</v>
      </c>
      <c r="J275" s="2" t="s">
        <v>16</v>
      </c>
      <c r="K275" s="2" t="s">
        <v>23</v>
      </c>
    </row>
    <row r="276" spans="1:11" x14ac:dyDescent="0.35">
      <c r="A276" s="2" t="s">
        <v>569</v>
      </c>
      <c r="B276" s="3">
        <v>45360</v>
      </c>
      <c r="C276" s="2" t="s">
        <v>286</v>
      </c>
      <c r="D276" s="2" t="s">
        <v>372</v>
      </c>
      <c r="E276" s="2" t="s">
        <v>275</v>
      </c>
      <c r="F276" s="4">
        <v>2</v>
      </c>
      <c r="G276" s="4">
        <v>5080</v>
      </c>
      <c r="H276" s="4">
        <v>7.7</v>
      </c>
      <c r="I276" s="4">
        <v>9377.68</v>
      </c>
      <c r="J276" s="2" t="s">
        <v>73</v>
      </c>
      <c r="K276" s="2" t="s">
        <v>28</v>
      </c>
    </row>
    <row r="277" spans="1:11" x14ac:dyDescent="0.35">
      <c r="A277" s="2" t="s">
        <v>570</v>
      </c>
      <c r="B277" s="3">
        <v>45296</v>
      </c>
      <c r="C277" s="2" t="s">
        <v>241</v>
      </c>
      <c r="D277" s="2" t="s">
        <v>116</v>
      </c>
      <c r="E277" s="2" t="s">
        <v>21</v>
      </c>
      <c r="F277" s="4">
        <v>3</v>
      </c>
      <c r="G277" s="4">
        <v>3570</v>
      </c>
      <c r="H277" s="4">
        <v>9.5</v>
      </c>
      <c r="I277" s="4">
        <v>9692.5499999999993</v>
      </c>
      <c r="J277" s="2" t="s">
        <v>16</v>
      </c>
      <c r="K277" s="2" t="s">
        <v>62</v>
      </c>
    </row>
    <row r="278" spans="1:11" x14ac:dyDescent="0.35">
      <c r="A278" s="2" t="s">
        <v>571</v>
      </c>
      <c r="B278" s="3">
        <v>45460</v>
      </c>
      <c r="C278" s="2" t="s">
        <v>572</v>
      </c>
      <c r="D278" s="2" t="s">
        <v>221</v>
      </c>
      <c r="E278" s="2" t="s">
        <v>121</v>
      </c>
      <c r="F278" s="4">
        <v>2</v>
      </c>
      <c r="G278" s="4">
        <v>620</v>
      </c>
      <c r="H278" s="4">
        <v>29.5</v>
      </c>
      <c r="I278" s="4">
        <v>874.2</v>
      </c>
      <c r="J278" s="2" t="s">
        <v>16</v>
      </c>
      <c r="K278" s="2" t="s">
        <v>41</v>
      </c>
    </row>
    <row r="279" spans="1:11" x14ac:dyDescent="0.35">
      <c r="A279" s="2" t="s">
        <v>573</v>
      </c>
      <c r="B279" s="3">
        <v>45638</v>
      </c>
      <c r="C279" s="2" t="s">
        <v>332</v>
      </c>
      <c r="D279" s="2" t="s">
        <v>381</v>
      </c>
      <c r="E279" s="2" t="s">
        <v>181</v>
      </c>
      <c r="F279" s="4">
        <v>3</v>
      </c>
      <c r="G279" s="4">
        <v>3450</v>
      </c>
      <c r="H279" s="4">
        <v>3</v>
      </c>
      <c r="I279" s="4">
        <v>10039.5</v>
      </c>
      <c r="J279" s="2" t="s">
        <v>16</v>
      </c>
      <c r="K279" s="2" t="s">
        <v>46</v>
      </c>
    </row>
    <row r="280" spans="1:11" x14ac:dyDescent="0.35">
      <c r="A280" s="2" t="s">
        <v>574</v>
      </c>
      <c r="B280" s="3">
        <v>45408</v>
      </c>
      <c r="C280" s="2" t="s">
        <v>451</v>
      </c>
      <c r="D280" s="2" t="s">
        <v>120</v>
      </c>
      <c r="E280" s="2" t="s">
        <v>32</v>
      </c>
      <c r="F280" s="4">
        <v>7</v>
      </c>
      <c r="G280" s="4">
        <v>5100</v>
      </c>
      <c r="H280" s="4">
        <v>4.3</v>
      </c>
      <c r="I280" s="4">
        <v>34164.9</v>
      </c>
      <c r="J280" s="2" t="s">
        <v>16</v>
      </c>
      <c r="K280" s="2" t="s">
        <v>28</v>
      </c>
    </row>
    <row r="281" spans="1:11" x14ac:dyDescent="0.35">
      <c r="A281" s="2" t="s">
        <v>575</v>
      </c>
      <c r="B281" s="3">
        <v>45541</v>
      </c>
      <c r="C281" s="2" t="s">
        <v>358</v>
      </c>
      <c r="D281" s="2" t="s">
        <v>177</v>
      </c>
      <c r="E281" s="2" t="s">
        <v>77</v>
      </c>
      <c r="F281" s="4">
        <v>9</v>
      </c>
      <c r="G281" s="4">
        <v>3870</v>
      </c>
      <c r="H281" s="4">
        <v>4.8</v>
      </c>
      <c r="I281" s="4">
        <v>33158.160000000003</v>
      </c>
      <c r="J281" s="2" t="s">
        <v>16</v>
      </c>
      <c r="K281" s="2" t="s">
        <v>46</v>
      </c>
    </row>
    <row r="282" spans="1:11" x14ac:dyDescent="0.35">
      <c r="A282" s="2" t="s">
        <v>576</v>
      </c>
      <c r="B282" s="3">
        <v>45633</v>
      </c>
      <c r="C282" s="2" t="s">
        <v>537</v>
      </c>
      <c r="D282" s="2" t="s">
        <v>196</v>
      </c>
      <c r="E282" s="2" t="s">
        <v>158</v>
      </c>
      <c r="F282" s="4">
        <v>5</v>
      </c>
      <c r="G282" s="4">
        <v>1220</v>
      </c>
      <c r="H282" s="4">
        <v>4</v>
      </c>
      <c r="I282" s="4">
        <v>5856</v>
      </c>
      <c r="J282" s="2" t="s">
        <v>69</v>
      </c>
      <c r="K282" s="2" t="s">
        <v>17</v>
      </c>
    </row>
    <row r="283" spans="1:11" x14ac:dyDescent="0.35">
      <c r="A283" s="2" t="s">
        <v>577</v>
      </c>
      <c r="B283" s="3">
        <v>45338</v>
      </c>
      <c r="C283" s="2" t="s">
        <v>95</v>
      </c>
      <c r="D283" s="2" t="s">
        <v>53</v>
      </c>
      <c r="E283" s="2" t="s">
        <v>83</v>
      </c>
      <c r="F283" s="4">
        <v>5</v>
      </c>
      <c r="G283" s="4">
        <v>5490</v>
      </c>
      <c r="H283" s="4">
        <v>19.8</v>
      </c>
      <c r="I283" s="4">
        <v>22014.9</v>
      </c>
      <c r="J283" s="2" t="s">
        <v>16</v>
      </c>
      <c r="K283" s="2" t="s">
        <v>62</v>
      </c>
    </row>
    <row r="284" spans="1:11" x14ac:dyDescent="0.35">
      <c r="A284" s="2" t="s">
        <v>578</v>
      </c>
      <c r="B284" s="3">
        <v>45529</v>
      </c>
      <c r="C284" s="2" t="s">
        <v>314</v>
      </c>
      <c r="D284" s="2" t="s">
        <v>105</v>
      </c>
      <c r="E284" s="2" t="s">
        <v>144</v>
      </c>
      <c r="F284" s="4">
        <v>1</v>
      </c>
      <c r="G284" s="4">
        <v>1650</v>
      </c>
      <c r="H284" s="4">
        <v>26.2</v>
      </c>
      <c r="I284" s="4">
        <v>1217.7</v>
      </c>
      <c r="J284" s="2" t="s">
        <v>16</v>
      </c>
      <c r="K284" s="2" t="s">
        <v>46</v>
      </c>
    </row>
    <row r="285" spans="1:11" x14ac:dyDescent="0.35">
      <c r="A285" s="2" t="s">
        <v>579</v>
      </c>
      <c r="B285" s="3">
        <v>45460</v>
      </c>
      <c r="C285" s="2" t="s">
        <v>580</v>
      </c>
      <c r="D285" s="2" t="s">
        <v>208</v>
      </c>
      <c r="E285" s="2" t="s">
        <v>77</v>
      </c>
      <c r="F285" s="4">
        <v>1</v>
      </c>
      <c r="G285" s="4">
        <v>2660</v>
      </c>
      <c r="H285" s="4">
        <v>21</v>
      </c>
      <c r="I285" s="4">
        <v>2101.4</v>
      </c>
      <c r="J285" s="2" t="s">
        <v>16</v>
      </c>
      <c r="K285" s="2" t="s">
        <v>62</v>
      </c>
    </row>
    <row r="286" spans="1:11" x14ac:dyDescent="0.35">
      <c r="A286" s="2" t="s">
        <v>581</v>
      </c>
      <c r="B286" s="3">
        <v>45375</v>
      </c>
      <c r="C286" s="2" t="s">
        <v>260</v>
      </c>
      <c r="D286" s="2" t="s">
        <v>267</v>
      </c>
      <c r="E286" s="2" t="s">
        <v>77</v>
      </c>
      <c r="F286" s="4">
        <v>6</v>
      </c>
      <c r="G286" s="4">
        <v>2210</v>
      </c>
      <c r="H286" s="4">
        <v>9.8000000000000007</v>
      </c>
      <c r="I286" s="4">
        <v>11960.52</v>
      </c>
      <c r="J286" s="2" t="s">
        <v>22</v>
      </c>
      <c r="K286" s="2" t="s">
        <v>46</v>
      </c>
    </row>
    <row r="287" spans="1:11" x14ac:dyDescent="0.35">
      <c r="A287" s="2" t="s">
        <v>582</v>
      </c>
      <c r="B287" s="3">
        <v>45310</v>
      </c>
      <c r="C287" s="2" t="s">
        <v>451</v>
      </c>
      <c r="D287" s="2" t="s">
        <v>67</v>
      </c>
      <c r="E287" s="2" t="s">
        <v>144</v>
      </c>
      <c r="F287" s="4">
        <v>9</v>
      </c>
      <c r="G287" s="4">
        <v>2600</v>
      </c>
      <c r="H287" s="4">
        <v>15.7</v>
      </c>
      <c r="I287" s="4">
        <v>19726.2</v>
      </c>
      <c r="J287" s="2" t="s">
        <v>16</v>
      </c>
      <c r="K287" s="2" t="s">
        <v>28</v>
      </c>
    </row>
    <row r="288" spans="1:11" x14ac:dyDescent="0.35">
      <c r="A288" s="2" t="s">
        <v>583</v>
      </c>
      <c r="B288" s="3">
        <v>45314</v>
      </c>
      <c r="C288" s="2" t="s">
        <v>584</v>
      </c>
      <c r="D288" s="2" t="s">
        <v>205</v>
      </c>
      <c r="E288" s="2" t="s">
        <v>40</v>
      </c>
      <c r="F288" s="4">
        <v>3</v>
      </c>
      <c r="G288" s="4">
        <v>3020</v>
      </c>
      <c r="H288" s="4">
        <v>22.6</v>
      </c>
      <c r="I288" s="4">
        <v>7012.44</v>
      </c>
      <c r="J288" s="2" t="s">
        <v>16</v>
      </c>
      <c r="K288" s="2" t="s">
        <v>62</v>
      </c>
    </row>
    <row r="289" spans="1:11" x14ac:dyDescent="0.35">
      <c r="A289" s="2" t="s">
        <v>585</v>
      </c>
      <c r="B289" s="3">
        <v>45459</v>
      </c>
      <c r="C289" s="2" t="s">
        <v>243</v>
      </c>
      <c r="D289" s="2" t="s">
        <v>39</v>
      </c>
      <c r="E289" s="2" t="s">
        <v>21</v>
      </c>
      <c r="F289" s="4">
        <v>6</v>
      </c>
      <c r="G289" s="4">
        <v>370</v>
      </c>
      <c r="H289" s="4">
        <v>12.4</v>
      </c>
      <c r="I289" s="4">
        <v>1944.72</v>
      </c>
      <c r="J289" s="2" t="s">
        <v>16</v>
      </c>
      <c r="K289" s="2" t="s">
        <v>17</v>
      </c>
    </row>
    <row r="290" spans="1:11" x14ac:dyDescent="0.35">
      <c r="A290" s="2" t="s">
        <v>586</v>
      </c>
      <c r="B290" s="3">
        <v>45312</v>
      </c>
      <c r="C290" s="2" t="s">
        <v>544</v>
      </c>
      <c r="D290" s="2" t="s">
        <v>293</v>
      </c>
      <c r="E290" s="2" t="s">
        <v>32</v>
      </c>
      <c r="F290" s="4">
        <v>8</v>
      </c>
      <c r="G290" s="4">
        <v>5330</v>
      </c>
      <c r="H290" s="4">
        <v>16.2</v>
      </c>
      <c r="I290" s="4">
        <v>35732.32</v>
      </c>
      <c r="J290" s="2" t="s">
        <v>16</v>
      </c>
      <c r="K290" s="2" t="s">
        <v>41</v>
      </c>
    </row>
    <row r="291" spans="1:11" x14ac:dyDescent="0.35">
      <c r="A291" s="2" t="s">
        <v>587</v>
      </c>
      <c r="B291" s="3">
        <v>45500</v>
      </c>
      <c r="C291" s="2" t="s">
        <v>154</v>
      </c>
      <c r="D291" s="2" t="s">
        <v>588</v>
      </c>
      <c r="E291" s="2" t="s">
        <v>99</v>
      </c>
      <c r="F291" s="4">
        <v>4</v>
      </c>
      <c r="G291" s="4">
        <v>3560</v>
      </c>
      <c r="H291" s="4">
        <v>10.5</v>
      </c>
      <c r="I291" s="4">
        <v>12744.8</v>
      </c>
      <c r="J291" s="2" t="s">
        <v>16</v>
      </c>
      <c r="K291" s="2" t="s">
        <v>23</v>
      </c>
    </row>
    <row r="292" spans="1:11" x14ac:dyDescent="0.35">
      <c r="A292" s="2" t="s">
        <v>589</v>
      </c>
      <c r="B292" s="3">
        <v>45389</v>
      </c>
      <c r="C292" s="2" t="s">
        <v>533</v>
      </c>
      <c r="D292" s="2" t="s">
        <v>111</v>
      </c>
      <c r="E292" s="2" t="s">
        <v>99</v>
      </c>
      <c r="F292" s="4">
        <v>10</v>
      </c>
      <c r="G292" s="4">
        <v>1010</v>
      </c>
      <c r="H292" s="4">
        <v>10.8</v>
      </c>
      <c r="I292" s="4">
        <v>9009.2000000000007</v>
      </c>
      <c r="J292" s="2" t="s">
        <v>16</v>
      </c>
      <c r="K292" s="2" t="s">
        <v>46</v>
      </c>
    </row>
    <row r="293" spans="1:11" x14ac:dyDescent="0.35">
      <c r="A293" s="2" t="s">
        <v>590</v>
      </c>
      <c r="B293" s="3">
        <v>45619</v>
      </c>
      <c r="C293" s="2" t="s">
        <v>591</v>
      </c>
      <c r="D293" s="2" t="s">
        <v>444</v>
      </c>
      <c r="E293" s="2" t="s">
        <v>32</v>
      </c>
      <c r="F293" s="4">
        <v>8</v>
      </c>
      <c r="G293" s="4">
        <v>6940</v>
      </c>
      <c r="H293" s="4">
        <v>3.2</v>
      </c>
      <c r="I293" s="4">
        <v>53743.360000000001</v>
      </c>
      <c r="J293" s="2" t="s">
        <v>69</v>
      </c>
      <c r="K293" s="2" t="s">
        <v>23</v>
      </c>
    </row>
    <row r="294" spans="1:11" x14ac:dyDescent="0.35">
      <c r="A294" s="2" t="s">
        <v>592</v>
      </c>
      <c r="B294" s="3">
        <v>45617</v>
      </c>
      <c r="C294" s="2" t="s">
        <v>241</v>
      </c>
      <c r="D294" s="2" t="s">
        <v>35</v>
      </c>
      <c r="E294" s="2" t="s">
        <v>117</v>
      </c>
      <c r="F294" s="4">
        <v>7</v>
      </c>
      <c r="G294" s="4">
        <v>3160</v>
      </c>
      <c r="H294" s="4">
        <v>3.6</v>
      </c>
      <c r="I294" s="4">
        <v>21323.68</v>
      </c>
      <c r="J294" s="2" t="s">
        <v>16</v>
      </c>
      <c r="K294" s="2" t="s">
        <v>62</v>
      </c>
    </row>
    <row r="295" spans="1:11" x14ac:dyDescent="0.35">
      <c r="A295" s="2" t="s">
        <v>593</v>
      </c>
      <c r="B295" s="3">
        <v>45640</v>
      </c>
      <c r="C295" s="2" t="s">
        <v>414</v>
      </c>
      <c r="D295" s="2" t="s">
        <v>31</v>
      </c>
      <c r="E295" s="2" t="s">
        <v>36</v>
      </c>
      <c r="F295" s="4">
        <v>2</v>
      </c>
      <c r="G295" s="4">
        <v>3660</v>
      </c>
      <c r="H295" s="4">
        <v>30</v>
      </c>
      <c r="I295" s="4">
        <v>5124</v>
      </c>
      <c r="J295" s="2" t="s">
        <v>22</v>
      </c>
      <c r="K295" s="2" t="s">
        <v>17</v>
      </c>
    </row>
    <row r="296" spans="1:11" x14ac:dyDescent="0.35">
      <c r="A296" s="2" t="s">
        <v>594</v>
      </c>
      <c r="B296" s="3">
        <v>45401</v>
      </c>
      <c r="C296" s="2" t="s">
        <v>295</v>
      </c>
      <c r="D296" s="2" t="s">
        <v>60</v>
      </c>
      <c r="E296" s="2" t="s">
        <v>21</v>
      </c>
      <c r="F296" s="4">
        <v>1</v>
      </c>
      <c r="G296" s="4">
        <v>2270</v>
      </c>
      <c r="H296" s="4">
        <v>4.8</v>
      </c>
      <c r="I296" s="4">
        <v>2161.04</v>
      </c>
      <c r="J296" s="2" t="s">
        <v>69</v>
      </c>
      <c r="K296" s="2" t="s">
        <v>41</v>
      </c>
    </row>
    <row r="297" spans="1:11" x14ac:dyDescent="0.35">
      <c r="A297" s="2" t="s">
        <v>595</v>
      </c>
      <c r="B297" s="3">
        <v>45405</v>
      </c>
      <c r="C297" s="2" t="s">
        <v>152</v>
      </c>
      <c r="D297" s="2" t="s">
        <v>390</v>
      </c>
      <c r="E297" s="2" t="s">
        <v>40</v>
      </c>
      <c r="F297" s="4">
        <v>8</v>
      </c>
      <c r="G297" s="4">
        <v>3780</v>
      </c>
      <c r="H297" s="4">
        <v>13</v>
      </c>
      <c r="I297" s="4">
        <v>26308.799999999999</v>
      </c>
      <c r="J297" s="2" t="s">
        <v>16</v>
      </c>
      <c r="K297" s="2" t="s">
        <v>28</v>
      </c>
    </row>
    <row r="298" spans="1:11" x14ac:dyDescent="0.35">
      <c r="A298" s="2" t="s">
        <v>596</v>
      </c>
      <c r="B298" s="3">
        <v>45537</v>
      </c>
      <c r="C298" s="2" t="s">
        <v>546</v>
      </c>
      <c r="D298" s="2" t="s">
        <v>166</v>
      </c>
      <c r="E298" s="2" t="s">
        <v>254</v>
      </c>
      <c r="F298" s="4">
        <v>1</v>
      </c>
      <c r="G298" s="4">
        <v>3640</v>
      </c>
      <c r="H298" s="4">
        <v>15.3</v>
      </c>
      <c r="I298" s="4">
        <v>3083.08</v>
      </c>
      <c r="J298" s="2" t="s">
        <v>22</v>
      </c>
      <c r="K298" s="2" t="s">
        <v>41</v>
      </c>
    </row>
    <row r="299" spans="1:11" x14ac:dyDescent="0.35">
      <c r="A299" s="2" t="s">
        <v>597</v>
      </c>
      <c r="B299" s="3">
        <v>45475</v>
      </c>
      <c r="C299" s="2" t="s">
        <v>598</v>
      </c>
      <c r="D299" s="2" t="s">
        <v>196</v>
      </c>
      <c r="E299" s="2" t="s">
        <v>133</v>
      </c>
      <c r="F299" s="4">
        <v>8</v>
      </c>
      <c r="G299" s="4">
        <v>1220</v>
      </c>
      <c r="H299" s="4">
        <v>28.2</v>
      </c>
      <c r="I299" s="4">
        <v>7007.68</v>
      </c>
      <c r="J299" s="2" t="s">
        <v>16</v>
      </c>
      <c r="K299" s="2" t="s">
        <v>62</v>
      </c>
    </row>
    <row r="300" spans="1:11" x14ac:dyDescent="0.35">
      <c r="A300" s="2" t="s">
        <v>599</v>
      </c>
      <c r="B300" s="3">
        <v>45624</v>
      </c>
      <c r="C300" s="2" t="s">
        <v>198</v>
      </c>
      <c r="D300" s="2" t="s">
        <v>284</v>
      </c>
      <c r="E300" s="2" t="s">
        <v>99</v>
      </c>
      <c r="F300" s="4">
        <v>3</v>
      </c>
      <c r="G300" s="4">
        <v>2510</v>
      </c>
      <c r="H300" s="4">
        <v>17.399999999999999</v>
      </c>
      <c r="I300" s="4">
        <v>6219.78</v>
      </c>
      <c r="J300" s="2" t="s">
        <v>16</v>
      </c>
      <c r="K300" s="2" t="s">
        <v>41</v>
      </c>
    </row>
    <row r="301" spans="1:11" x14ac:dyDescent="0.35">
      <c r="A301" s="2" t="s">
        <v>600</v>
      </c>
      <c r="B301" s="3">
        <v>45635</v>
      </c>
      <c r="C301" s="2" t="s">
        <v>494</v>
      </c>
      <c r="D301" s="2" t="s">
        <v>93</v>
      </c>
      <c r="E301" s="2" t="s">
        <v>68</v>
      </c>
      <c r="F301" s="4">
        <v>1</v>
      </c>
      <c r="G301" s="4">
        <v>1080</v>
      </c>
      <c r="H301" s="4">
        <v>13.9</v>
      </c>
      <c r="I301" s="4">
        <v>929.88</v>
      </c>
      <c r="J301" s="2" t="s">
        <v>16</v>
      </c>
      <c r="K301" s="2" t="s">
        <v>41</v>
      </c>
    </row>
    <row r="302" spans="1:11" x14ac:dyDescent="0.35">
      <c r="A302" s="2" t="s">
        <v>601</v>
      </c>
      <c r="B302" s="3">
        <v>45395</v>
      </c>
      <c r="C302" s="2" t="s">
        <v>602</v>
      </c>
      <c r="D302" s="2" t="s">
        <v>224</v>
      </c>
      <c r="E302" s="2" t="s">
        <v>275</v>
      </c>
      <c r="F302" s="4">
        <v>7</v>
      </c>
      <c r="G302" s="4">
        <v>2030</v>
      </c>
      <c r="H302" s="4">
        <v>29.2</v>
      </c>
      <c r="I302" s="4">
        <v>10060.68</v>
      </c>
      <c r="J302" s="2" t="s">
        <v>16</v>
      </c>
      <c r="K302" s="2" t="s">
        <v>41</v>
      </c>
    </row>
    <row r="303" spans="1:11" x14ac:dyDescent="0.35">
      <c r="A303" s="2" t="s">
        <v>603</v>
      </c>
      <c r="B303" s="3">
        <v>45415</v>
      </c>
      <c r="C303" s="2" t="s">
        <v>98</v>
      </c>
      <c r="D303" s="2" t="s">
        <v>390</v>
      </c>
      <c r="E303" s="2" t="s">
        <v>121</v>
      </c>
      <c r="F303" s="4">
        <v>6</v>
      </c>
      <c r="G303" s="4">
        <v>3780</v>
      </c>
      <c r="H303" s="4">
        <v>20.9</v>
      </c>
      <c r="I303" s="4">
        <v>17939.88</v>
      </c>
      <c r="J303" s="2" t="s">
        <v>73</v>
      </c>
      <c r="K303" s="2" t="s">
        <v>41</v>
      </c>
    </row>
    <row r="304" spans="1:11" x14ac:dyDescent="0.35">
      <c r="A304" s="2" t="s">
        <v>604</v>
      </c>
      <c r="B304" s="3">
        <v>45653</v>
      </c>
      <c r="C304" s="2" t="s">
        <v>605</v>
      </c>
      <c r="D304" s="2" t="s">
        <v>35</v>
      </c>
      <c r="E304" s="2" t="s">
        <v>275</v>
      </c>
      <c r="F304" s="4">
        <v>1</v>
      </c>
      <c r="G304" s="4">
        <v>3160</v>
      </c>
      <c r="H304" s="4">
        <v>10.7</v>
      </c>
      <c r="I304" s="4">
        <v>2821.88</v>
      </c>
      <c r="J304" s="2" t="s">
        <v>16</v>
      </c>
      <c r="K304" s="2" t="s">
        <v>17</v>
      </c>
    </row>
    <row r="305" spans="1:11" x14ac:dyDescent="0.35">
      <c r="A305" s="2" t="s">
        <v>606</v>
      </c>
      <c r="B305" s="3">
        <v>45564</v>
      </c>
      <c r="C305" s="2" t="s">
        <v>223</v>
      </c>
      <c r="D305" s="2" t="s">
        <v>113</v>
      </c>
      <c r="E305" s="2" t="s">
        <v>61</v>
      </c>
      <c r="F305" s="4">
        <v>5</v>
      </c>
      <c r="G305" s="4">
        <v>4880</v>
      </c>
      <c r="H305" s="4">
        <v>11.4</v>
      </c>
      <c r="I305" s="4">
        <v>21618.400000000001</v>
      </c>
      <c r="J305" s="2" t="s">
        <v>16</v>
      </c>
      <c r="K305" s="2" t="s">
        <v>62</v>
      </c>
    </row>
    <row r="306" spans="1:11" x14ac:dyDescent="0.35">
      <c r="A306" s="2" t="s">
        <v>607</v>
      </c>
      <c r="B306" s="3">
        <v>45633</v>
      </c>
      <c r="C306" s="2" t="s">
        <v>567</v>
      </c>
      <c r="D306" s="2" t="s">
        <v>155</v>
      </c>
      <c r="E306" s="2" t="s">
        <v>133</v>
      </c>
      <c r="F306" s="4">
        <v>9</v>
      </c>
      <c r="G306" s="4">
        <v>3730</v>
      </c>
      <c r="H306" s="4">
        <v>10</v>
      </c>
      <c r="I306" s="4">
        <v>30213</v>
      </c>
      <c r="J306" s="2" t="s">
        <v>16</v>
      </c>
      <c r="K306" s="2" t="s">
        <v>28</v>
      </c>
    </row>
    <row r="307" spans="1:11" x14ac:dyDescent="0.35">
      <c r="A307" s="2" t="s">
        <v>608</v>
      </c>
      <c r="B307" s="3">
        <v>45309</v>
      </c>
      <c r="C307" s="2" t="s">
        <v>609</v>
      </c>
      <c r="D307" s="2" t="s">
        <v>372</v>
      </c>
      <c r="E307" s="2" t="s">
        <v>68</v>
      </c>
      <c r="F307" s="4">
        <v>5</v>
      </c>
      <c r="G307" s="4">
        <v>5080</v>
      </c>
      <c r="H307" s="4">
        <v>15.3</v>
      </c>
      <c r="I307" s="4">
        <v>21513.8</v>
      </c>
      <c r="J307" s="2" t="s">
        <v>16</v>
      </c>
      <c r="K307" s="2" t="s">
        <v>23</v>
      </c>
    </row>
    <row r="308" spans="1:11" x14ac:dyDescent="0.35">
      <c r="A308" s="2" t="s">
        <v>610</v>
      </c>
      <c r="B308" s="3">
        <v>45403</v>
      </c>
      <c r="C308" s="2" t="s">
        <v>89</v>
      </c>
      <c r="D308" s="2" t="s">
        <v>315</v>
      </c>
      <c r="E308" s="2" t="s">
        <v>181</v>
      </c>
      <c r="F308" s="4">
        <v>9</v>
      </c>
      <c r="G308" s="4">
        <v>2290</v>
      </c>
      <c r="H308" s="4">
        <v>3.3</v>
      </c>
      <c r="I308" s="4">
        <v>19929.87</v>
      </c>
      <c r="J308" s="2" t="s">
        <v>22</v>
      </c>
      <c r="K308" s="2" t="s">
        <v>41</v>
      </c>
    </row>
    <row r="309" spans="1:11" x14ac:dyDescent="0.35">
      <c r="A309" s="2" t="s">
        <v>611</v>
      </c>
      <c r="B309" s="3">
        <v>45554</v>
      </c>
      <c r="C309" s="2" t="s">
        <v>475</v>
      </c>
      <c r="D309" s="2" t="s">
        <v>208</v>
      </c>
      <c r="E309" s="2" t="s">
        <v>61</v>
      </c>
      <c r="F309" s="4">
        <v>5</v>
      </c>
      <c r="G309" s="4">
        <v>2660</v>
      </c>
      <c r="H309" s="4">
        <v>8.3000000000000007</v>
      </c>
      <c r="I309" s="4">
        <v>12196.1</v>
      </c>
      <c r="J309" s="2" t="s">
        <v>16</v>
      </c>
      <c r="K309" s="2" t="s">
        <v>28</v>
      </c>
    </row>
    <row r="310" spans="1:11" x14ac:dyDescent="0.35">
      <c r="A310" s="2" t="s">
        <v>612</v>
      </c>
      <c r="B310" s="3">
        <v>45529</v>
      </c>
      <c r="C310" s="2" t="s">
        <v>613</v>
      </c>
      <c r="D310" s="2" t="s">
        <v>163</v>
      </c>
      <c r="E310" s="2" t="s">
        <v>40</v>
      </c>
      <c r="F310" s="4">
        <v>6</v>
      </c>
      <c r="G310" s="4">
        <v>3780</v>
      </c>
      <c r="H310" s="4">
        <v>28.3</v>
      </c>
      <c r="I310" s="4">
        <v>16261.56</v>
      </c>
      <c r="J310" s="2" t="s">
        <v>16</v>
      </c>
      <c r="K310" s="2" t="s">
        <v>28</v>
      </c>
    </row>
    <row r="311" spans="1:11" x14ac:dyDescent="0.35">
      <c r="A311" s="2" t="s">
        <v>614</v>
      </c>
      <c r="B311" s="3">
        <v>45300</v>
      </c>
      <c r="C311" s="2" t="s">
        <v>615</v>
      </c>
      <c r="D311" s="2" t="s">
        <v>129</v>
      </c>
      <c r="E311" s="2" t="s">
        <v>57</v>
      </c>
      <c r="F311" s="4">
        <v>5</v>
      </c>
      <c r="G311" s="4">
        <v>2760</v>
      </c>
      <c r="H311" s="4">
        <v>4.9000000000000004</v>
      </c>
      <c r="I311" s="4">
        <v>13123.8</v>
      </c>
      <c r="J311" s="2" t="s">
        <v>16</v>
      </c>
      <c r="K311" s="2" t="s">
        <v>41</v>
      </c>
    </row>
    <row r="312" spans="1:11" x14ac:dyDescent="0.35">
      <c r="A312" s="2" t="s">
        <v>616</v>
      </c>
      <c r="B312" s="3">
        <v>45368</v>
      </c>
      <c r="C312" s="2" t="s">
        <v>262</v>
      </c>
      <c r="D312" s="2" t="s">
        <v>188</v>
      </c>
      <c r="E312" s="2" t="s">
        <v>32</v>
      </c>
      <c r="F312" s="4">
        <v>8</v>
      </c>
      <c r="G312" s="4">
        <v>1540</v>
      </c>
      <c r="H312" s="4">
        <v>29.4</v>
      </c>
      <c r="I312" s="4">
        <v>8697.92</v>
      </c>
      <c r="J312" s="2" t="s">
        <v>69</v>
      </c>
      <c r="K312" s="2" t="s">
        <v>62</v>
      </c>
    </row>
    <row r="313" spans="1:11" x14ac:dyDescent="0.35">
      <c r="A313" s="2" t="s">
        <v>617</v>
      </c>
      <c r="B313" s="3">
        <v>45374</v>
      </c>
      <c r="C313" s="2" t="s">
        <v>618</v>
      </c>
      <c r="D313" s="2" t="s">
        <v>113</v>
      </c>
      <c r="E313" s="2" t="s">
        <v>214</v>
      </c>
      <c r="F313" s="4">
        <v>1</v>
      </c>
      <c r="G313" s="4">
        <v>4880</v>
      </c>
      <c r="H313" s="4">
        <v>18.100000000000001</v>
      </c>
      <c r="I313" s="4">
        <v>3996.72</v>
      </c>
      <c r="J313" s="2" t="s">
        <v>16</v>
      </c>
      <c r="K313" s="2" t="s">
        <v>62</v>
      </c>
    </row>
    <row r="314" spans="1:11" x14ac:dyDescent="0.35">
      <c r="A314" s="2" t="s">
        <v>619</v>
      </c>
      <c r="B314" s="3">
        <v>45592</v>
      </c>
      <c r="C314" s="2" t="s">
        <v>411</v>
      </c>
      <c r="D314" s="2" t="s">
        <v>60</v>
      </c>
      <c r="E314" s="2" t="s">
        <v>117</v>
      </c>
      <c r="F314" s="4">
        <v>8</v>
      </c>
      <c r="G314" s="4">
        <v>2270</v>
      </c>
      <c r="H314" s="4">
        <v>19.8</v>
      </c>
      <c r="I314" s="4">
        <v>14564.32</v>
      </c>
      <c r="J314" s="2" t="s">
        <v>22</v>
      </c>
      <c r="K314" s="2" t="s">
        <v>62</v>
      </c>
    </row>
    <row r="315" spans="1:11" x14ac:dyDescent="0.35">
      <c r="A315" s="2" t="s">
        <v>620</v>
      </c>
      <c r="B315" s="3">
        <v>45508</v>
      </c>
      <c r="C315" s="2" t="s">
        <v>544</v>
      </c>
      <c r="D315" s="2" t="s">
        <v>96</v>
      </c>
      <c r="E315" s="2" t="s">
        <v>61</v>
      </c>
      <c r="F315" s="4">
        <v>10</v>
      </c>
      <c r="G315" s="4">
        <v>2480</v>
      </c>
      <c r="H315" s="4">
        <v>24.4</v>
      </c>
      <c r="I315" s="4">
        <v>18748.8</v>
      </c>
      <c r="J315" s="2" t="s">
        <v>22</v>
      </c>
      <c r="K315" s="2" t="s">
        <v>41</v>
      </c>
    </row>
    <row r="316" spans="1:11" x14ac:dyDescent="0.35">
      <c r="A316" s="2" t="s">
        <v>621</v>
      </c>
      <c r="B316" s="3">
        <v>45481</v>
      </c>
      <c r="C316" s="2" t="s">
        <v>59</v>
      </c>
      <c r="D316" s="2" t="s">
        <v>205</v>
      </c>
      <c r="E316" s="2" t="s">
        <v>27</v>
      </c>
      <c r="F316" s="4">
        <v>8</v>
      </c>
      <c r="G316" s="4">
        <v>3020</v>
      </c>
      <c r="H316" s="4">
        <v>15.2</v>
      </c>
      <c r="I316" s="4">
        <v>20487.68</v>
      </c>
      <c r="J316" s="2" t="s">
        <v>22</v>
      </c>
      <c r="K316" s="2" t="s">
        <v>62</v>
      </c>
    </row>
    <row r="317" spans="1:11" x14ac:dyDescent="0.35">
      <c r="A317" s="2" t="s">
        <v>622</v>
      </c>
      <c r="B317" s="3">
        <v>45517</v>
      </c>
      <c r="C317" s="2" t="s">
        <v>257</v>
      </c>
      <c r="D317" s="2" t="s">
        <v>188</v>
      </c>
      <c r="E317" s="2" t="s">
        <v>50</v>
      </c>
      <c r="F317" s="4">
        <v>10</v>
      </c>
      <c r="G317" s="4">
        <v>1540</v>
      </c>
      <c r="H317" s="4">
        <v>0.6</v>
      </c>
      <c r="I317" s="4">
        <v>15307.6</v>
      </c>
      <c r="J317" s="2" t="s">
        <v>16</v>
      </c>
      <c r="K317" s="2" t="s">
        <v>23</v>
      </c>
    </row>
    <row r="318" spans="1:11" x14ac:dyDescent="0.35">
      <c r="A318" s="2" t="s">
        <v>623</v>
      </c>
      <c r="B318" s="3">
        <v>45632</v>
      </c>
      <c r="C318" s="2" t="s">
        <v>419</v>
      </c>
      <c r="D318" s="2" t="s">
        <v>35</v>
      </c>
      <c r="E318" s="2" t="s">
        <v>144</v>
      </c>
      <c r="F318" s="4">
        <v>7</v>
      </c>
      <c r="G318" s="4">
        <v>3160</v>
      </c>
      <c r="H318" s="4">
        <v>8.9</v>
      </c>
      <c r="I318" s="4">
        <v>20151.32</v>
      </c>
      <c r="J318" s="2" t="s">
        <v>16</v>
      </c>
      <c r="K318" s="2" t="s">
        <v>28</v>
      </c>
    </row>
    <row r="319" spans="1:11" x14ac:dyDescent="0.35">
      <c r="A319" s="2" t="s">
        <v>624</v>
      </c>
      <c r="B319" s="3">
        <v>45592</v>
      </c>
      <c r="C319" s="2" t="s">
        <v>139</v>
      </c>
      <c r="D319" s="2" t="s">
        <v>111</v>
      </c>
      <c r="E319" s="2" t="s">
        <v>181</v>
      </c>
      <c r="F319" s="4">
        <v>6</v>
      </c>
      <c r="G319" s="4">
        <v>1010</v>
      </c>
      <c r="H319" s="4">
        <v>12.9</v>
      </c>
      <c r="I319" s="4">
        <v>5278.26</v>
      </c>
      <c r="J319" s="2" t="s">
        <v>16</v>
      </c>
      <c r="K319" s="2" t="s">
        <v>28</v>
      </c>
    </row>
    <row r="320" spans="1:11" x14ac:dyDescent="0.35">
      <c r="A320" s="2" t="s">
        <v>625</v>
      </c>
      <c r="B320" s="3">
        <v>45450</v>
      </c>
      <c r="C320" s="2" t="s">
        <v>626</v>
      </c>
      <c r="D320" s="2" t="s">
        <v>199</v>
      </c>
      <c r="E320" s="2" t="s">
        <v>121</v>
      </c>
      <c r="F320" s="4">
        <v>4</v>
      </c>
      <c r="G320" s="4">
        <v>4610</v>
      </c>
      <c r="H320" s="4">
        <v>18.2</v>
      </c>
      <c r="I320" s="4">
        <v>15083.92</v>
      </c>
      <c r="J320" s="2" t="s">
        <v>16</v>
      </c>
      <c r="K320" s="2" t="s">
        <v>62</v>
      </c>
    </row>
    <row r="321" spans="1:11" x14ac:dyDescent="0.35">
      <c r="A321" s="2" t="s">
        <v>627</v>
      </c>
      <c r="B321" s="3">
        <v>45343</v>
      </c>
      <c r="C321" s="2" t="s">
        <v>192</v>
      </c>
      <c r="D321" s="2" t="s">
        <v>280</v>
      </c>
      <c r="E321" s="2" t="s">
        <v>158</v>
      </c>
      <c r="F321" s="4">
        <v>6</v>
      </c>
      <c r="G321" s="4">
        <v>4060</v>
      </c>
      <c r="H321" s="4">
        <v>24.3</v>
      </c>
      <c r="I321" s="4">
        <v>18440.52</v>
      </c>
      <c r="J321" s="2" t="s">
        <v>16</v>
      </c>
      <c r="K321" s="2" t="s">
        <v>62</v>
      </c>
    </row>
    <row r="322" spans="1:11" x14ac:dyDescent="0.35">
      <c r="A322" s="2" t="s">
        <v>628</v>
      </c>
      <c r="B322" s="3">
        <v>45509</v>
      </c>
      <c r="C322" s="2" t="s">
        <v>629</v>
      </c>
      <c r="D322" s="2" t="s">
        <v>221</v>
      </c>
      <c r="E322" s="2" t="s">
        <v>144</v>
      </c>
      <c r="F322" s="4">
        <v>5</v>
      </c>
      <c r="G322" s="4">
        <v>620</v>
      </c>
      <c r="H322" s="4">
        <v>10.7</v>
      </c>
      <c r="I322" s="4">
        <v>2768.3</v>
      </c>
      <c r="J322" s="2" t="s">
        <v>73</v>
      </c>
      <c r="K322" s="2" t="s">
        <v>23</v>
      </c>
    </row>
    <row r="323" spans="1:11" x14ac:dyDescent="0.35">
      <c r="A323" s="2" t="s">
        <v>630</v>
      </c>
      <c r="B323" s="3">
        <v>45513</v>
      </c>
      <c r="C323" s="2" t="s">
        <v>383</v>
      </c>
      <c r="D323" s="2" t="s">
        <v>588</v>
      </c>
      <c r="E323" s="2" t="s">
        <v>77</v>
      </c>
      <c r="F323" s="4">
        <v>3</v>
      </c>
      <c r="G323" s="4">
        <v>3560</v>
      </c>
      <c r="H323" s="4">
        <v>4.0999999999999996</v>
      </c>
      <c r="I323" s="4">
        <v>10242.120000000001</v>
      </c>
      <c r="J323" s="2" t="s">
        <v>16</v>
      </c>
      <c r="K323" s="2" t="s">
        <v>62</v>
      </c>
    </row>
    <row r="324" spans="1:11" x14ac:dyDescent="0.35">
      <c r="A324" s="2" t="s">
        <v>631</v>
      </c>
      <c r="B324" s="3">
        <v>45500</v>
      </c>
      <c r="C324" s="2" t="s">
        <v>632</v>
      </c>
      <c r="D324" s="2" t="s">
        <v>80</v>
      </c>
      <c r="E324" s="2" t="s">
        <v>254</v>
      </c>
      <c r="F324" s="4">
        <v>2</v>
      </c>
      <c r="G324" s="4">
        <v>2400</v>
      </c>
      <c r="H324" s="4">
        <v>13</v>
      </c>
      <c r="I324" s="4">
        <v>4176</v>
      </c>
      <c r="J324" s="2" t="s">
        <v>16</v>
      </c>
      <c r="K324" s="2" t="s">
        <v>17</v>
      </c>
    </row>
    <row r="325" spans="1:11" x14ac:dyDescent="0.35">
      <c r="A325" s="2" t="s">
        <v>633</v>
      </c>
      <c r="B325" s="3">
        <v>45407</v>
      </c>
      <c r="C325" s="2" t="s">
        <v>634</v>
      </c>
      <c r="D325" s="2" t="s">
        <v>444</v>
      </c>
      <c r="E325" s="2" t="s">
        <v>32</v>
      </c>
      <c r="F325" s="4">
        <v>9</v>
      </c>
      <c r="G325" s="4">
        <v>6940</v>
      </c>
      <c r="H325" s="4">
        <v>26.2</v>
      </c>
      <c r="I325" s="4">
        <v>46095.48</v>
      </c>
      <c r="J325" s="2" t="s">
        <v>16</v>
      </c>
      <c r="K325" s="2" t="s">
        <v>28</v>
      </c>
    </row>
    <row r="326" spans="1:11" x14ac:dyDescent="0.35">
      <c r="A326" s="2" t="s">
        <v>635</v>
      </c>
      <c r="B326" s="3">
        <v>45385</v>
      </c>
      <c r="C326" s="2" t="s">
        <v>636</v>
      </c>
      <c r="D326" s="2" t="s">
        <v>296</v>
      </c>
      <c r="E326" s="2" t="s">
        <v>40</v>
      </c>
      <c r="F326" s="4">
        <v>9</v>
      </c>
      <c r="G326" s="4">
        <v>2380</v>
      </c>
      <c r="H326" s="4">
        <v>22.7</v>
      </c>
      <c r="I326" s="4">
        <v>16557.66</v>
      </c>
      <c r="J326" s="2" t="s">
        <v>16</v>
      </c>
      <c r="K326" s="2" t="s">
        <v>41</v>
      </c>
    </row>
    <row r="327" spans="1:11" x14ac:dyDescent="0.35">
      <c r="A327" s="2" t="s">
        <v>637</v>
      </c>
      <c r="B327" s="3">
        <v>45542</v>
      </c>
      <c r="C327" s="2" t="s">
        <v>195</v>
      </c>
      <c r="D327" s="2" t="s">
        <v>14</v>
      </c>
      <c r="E327" s="2" t="s">
        <v>57</v>
      </c>
      <c r="F327" s="4">
        <v>6</v>
      </c>
      <c r="G327" s="4">
        <v>3620</v>
      </c>
      <c r="H327" s="4">
        <v>9.1999999999999993</v>
      </c>
      <c r="I327" s="4">
        <v>19721.759999999998</v>
      </c>
      <c r="J327" s="2" t="s">
        <v>16</v>
      </c>
      <c r="K327" s="2" t="s">
        <v>28</v>
      </c>
    </row>
    <row r="328" spans="1:11" x14ac:dyDescent="0.35">
      <c r="A328" s="2" t="s">
        <v>638</v>
      </c>
      <c r="B328" s="3">
        <v>45422</v>
      </c>
      <c r="C328" s="2" t="s">
        <v>383</v>
      </c>
      <c r="D328" s="2" t="s">
        <v>170</v>
      </c>
      <c r="E328" s="2" t="s">
        <v>68</v>
      </c>
      <c r="F328" s="4">
        <v>1</v>
      </c>
      <c r="G328" s="4">
        <v>6080</v>
      </c>
      <c r="H328" s="4">
        <v>29.4</v>
      </c>
      <c r="I328" s="4">
        <v>4292.4799999999996</v>
      </c>
      <c r="J328" s="2" t="s">
        <v>69</v>
      </c>
      <c r="K328" s="2" t="s">
        <v>62</v>
      </c>
    </row>
    <row r="329" spans="1:11" x14ac:dyDescent="0.35">
      <c r="A329" s="2" t="s">
        <v>639</v>
      </c>
      <c r="B329" s="3">
        <v>45343</v>
      </c>
      <c r="C329" s="2" t="s">
        <v>609</v>
      </c>
      <c r="D329" s="2" t="s">
        <v>20</v>
      </c>
      <c r="E329" s="2" t="s">
        <v>232</v>
      </c>
      <c r="F329" s="4">
        <v>6</v>
      </c>
      <c r="G329" s="4">
        <v>820</v>
      </c>
      <c r="H329" s="4">
        <v>29.1</v>
      </c>
      <c r="I329" s="4">
        <v>3488.28</v>
      </c>
      <c r="J329" s="2" t="s">
        <v>16</v>
      </c>
      <c r="K329" s="2" t="s">
        <v>23</v>
      </c>
    </row>
    <row r="330" spans="1:11" x14ac:dyDescent="0.35">
      <c r="A330" s="2" t="s">
        <v>640</v>
      </c>
      <c r="B330" s="3">
        <v>45646</v>
      </c>
      <c r="C330" s="2" t="s">
        <v>641</v>
      </c>
      <c r="D330" s="2" t="s">
        <v>205</v>
      </c>
      <c r="E330" s="2" t="s">
        <v>45</v>
      </c>
      <c r="F330" s="4">
        <v>9</v>
      </c>
      <c r="G330" s="4">
        <v>3020</v>
      </c>
      <c r="H330" s="4">
        <v>7.9</v>
      </c>
      <c r="I330" s="4">
        <v>25032.78</v>
      </c>
      <c r="J330" s="2" t="s">
        <v>16</v>
      </c>
      <c r="K330" s="2" t="s">
        <v>41</v>
      </c>
    </row>
    <row r="331" spans="1:11" x14ac:dyDescent="0.35">
      <c r="A331" s="2" t="s">
        <v>642</v>
      </c>
      <c r="B331" s="3">
        <v>45645</v>
      </c>
      <c r="C331" s="2" t="s">
        <v>643</v>
      </c>
      <c r="D331" s="2" t="s">
        <v>177</v>
      </c>
      <c r="E331" s="2" t="s">
        <v>158</v>
      </c>
      <c r="F331" s="4">
        <v>8</v>
      </c>
      <c r="G331" s="4">
        <v>3870</v>
      </c>
      <c r="H331" s="4">
        <v>11.9</v>
      </c>
      <c r="I331" s="4">
        <v>27275.759999999998</v>
      </c>
      <c r="J331" s="2" t="s">
        <v>16</v>
      </c>
      <c r="K331" s="2" t="s">
        <v>28</v>
      </c>
    </row>
    <row r="332" spans="1:11" x14ac:dyDescent="0.35">
      <c r="A332" s="2" t="s">
        <v>644</v>
      </c>
      <c r="B332" s="3">
        <v>45528</v>
      </c>
      <c r="C332" s="2" t="s">
        <v>369</v>
      </c>
      <c r="D332" s="2" t="s">
        <v>86</v>
      </c>
      <c r="E332" s="2" t="s">
        <v>99</v>
      </c>
      <c r="F332" s="4">
        <v>6</v>
      </c>
      <c r="G332" s="4">
        <v>3450</v>
      </c>
      <c r="H332" s="4">
        <v>13.9</v>
      </c>
      <c r="I332" s="4">
        <v>17822.7</v>
      </c>
      <c r="J332" s="2" t="s">
        <v>16</v>
      </c>
      <c r="K332" s="2" t="s">
        <v>17</v>
      </c>
    </row>
    <row r="333" spans="1:11" x14ac:dyDescent="0.35">
      <c r="A333" s="2" t="s">
        <v>645</v>
      </c>
      <c r="B333" s="3">
        <v>45655</v>
      </c>
      <c r="C333" s="2" t="s">
        <v>646</v>
      </c>
      <c r="D333" s="2" t="s">
        <v>120</v>
      </c>
      <c r="E333" s="2" t="s">
        <v>36</v>
      </c>
      <c r="F333" s="4">
        <v>9</v>
      </c>
      <c r="G333" s="4">
        <v>5100</v>
      </c>
      <c r="H333" s="4">
        <v>2.1</v>
      </c>
      <c r="I333" s="4">
        <v>44936.1</v>
      </c>
      <c r="J333" s="2" t="s">
        <v>16</v>
      </c>
      <c r="K333" s="2" t="s">
        <v>23</v>
      </c>
    </row>
    <row r="334" spans="1:11" x14ac:dyDescent="0.35">
      <c r="A334" s="2" t="s">
        <v>647</v>
      </c>
      <c r="B334" s="3">
        <v>45518</v>
      </c>
      <c r="C334" s="2" t="s">
        <v>328</v>
      </c>
      <c r="D334" s="2" t="s">
        <v>193</v>
      </c>
      <c r="E334" s="2" t="s">
        <v>36</v>
      </c>
      <c r="F334" s="4">
        <v>2</v>
      </c>
      <c r="G334" s="4">
        <v>4070</v>
      </c>
      <c r="H334" s="4">
        <v>28.6</v>
      </c>
      <c r="I334" s="4">
        <v>5811.96</v>
      </c>
      <c r="J334" s="2" t="s">
        <v>16</v>
      </c>
      <c r="K334" s="2" t="s">
        <v>28</v>
      </c>
    </row>
    <row r="335" spans="1:11" x14ac:dyDescent="0.35">
      <c r="A335" s="2" t="s">
        <v>648</v>
      </c>
      <c r="B335" s="3">
        <v>45339</v>
      </c>
      <c r="C335" s="2" t="s">
        <v>605</v>
      </c>
      <c r="D335" s="2" t="s">
        <v>293</v>
      </c>
      <c r="E335" s="2" t="s">
        <v>15</v>
      </c>
      <c r="F335" s="4">
        <v>9</v>
      </c>
      <c r="G335" s="4">
        <v>5330</v>
      </c>
      <c r="H335" s="4">
        <v>6.2</v>
      </c>
      <c r="I335" s="4">
        <v>44995.86</v>
      </c>
      <c r="J335" s="2" t="s">
        <v>16</v>
      </c>
      <c r="K335" s="2" t="s">
        <v>17</v>
      </c>
    </row>
    <row r="336" spans="1:11" x14ac:dyDescent="0.35">
      <c r="A336" s="2" t="s">
        <v>592</v>
      </c>
      <c r="B336" s="3">
        <v>45319</v>
      </c>
      <c r="C336" s="2" t="s">
        <v>649</v>
      </c>
      <c r="D336" s="2" t="s">
        <v>60</v>
      </c>
      <c r="E336" s="2" t="s">
        <v>121</v>
      </c>
      <c r="F336" s="4">
        <v>6</v>
      </c>
      <c r="G336" s="4">
        <v>2270</v>
      </c>
      <c r="H336" s="4">
        <v>23.7</v>
      </c>
      <c r="I336" s="4">
        <v>10392.06</v>
      </c>
      <c r="J336" s="2" t="s">
        <v>16</v>
      </c>
      <c r="K336" s="2" t="s">
        <v>650</v>
      </c>
    </row>
    <row r="337" spans="1:11" x14ac:dyDescent="0.35">
      <c r="A337" s="2" t="s">
        <v>651</v>
      </c>
      <c r="B337" s="3">
        <v>45618</v>
      </c>
      <c r="C337" s="2" t="s">
        <v>71</v>
      </c>
      <c r="D337" s="2" t="s">
        <v>284</v>
      </c>
      <c r="E337" s="2" t="s">
        <v>45</v>
      </c>
      <c r="F337" s="4">
        <v>5</v>
      </c>
      <c r="G337" s="4">
        <v>2510</v>
      </c>
      <c r="H337" s="4">
        <v>25</v>
      </c>
      <c r="I337" s="4">
        <v>9412.5</v>
      </c>
      <c r="J337" s="2" t="s">
        <v>16</v>
      </c>
      <c r="K337" s="2" t="s">
        <v>17</v>
      </c>
    </row>
    <row r="338" spans="1:11" x14ac:dyDescent="0.35">
      <c r="A338" s="2" t="s">
        <v>652</v>
      </c>
      <c r="B338" s="3">
        <v>45335</v>
      </c>
      <c r="C338" s="2" t="s">
        <v>555</v>
      </c>
      <c r="D338" s="2" t="s">
        <v>296</v>
      </c>
      <c r="E338" s="2" t="s">
        <v>50</v>
      </c>
      <c r="F338" s="4">
        <v>9</v>
      </c>
      <c r="G338" s="4">
        <v>2380</v>
      </c>
      <c r="H338" s="4">
        <v>16.8</v>
      </c>
      <c r="I338" s="4">
        <v>17821.439999999999</v>
      </c>
      <c r="J338" s="2" t="s">
        <v>16</v>
      </c>
      <c r="K338" s="2" t="s">
        <v>28</v>
      </c>
    </row>
    <row r="339" spans="1:11" x14ac:dyDescent="0.35">
      <c r="A339" s="2" t="s">
        <v>653</v>
      </c>
      <c r="B339" s="3">
        <v>45420</v>
      </c>
      <c r="C339" s="2" t="s">
        <v>654</v>
      </c>
      <c r="D339" s="2" t="s">
        <v>381</v>
      </c>
      <c r="E339" s="2" t="s">
        <v>36</v>
      </c>
      <c r="F339" s="4">
        <v>1</v>
      </c>
      <c r="G339" s="4">
        <v>3450</v>
      </c>
      <c r="H339" s="4">
        <v>1.5</v>
      </c>
      <c r="I339" s="4">
        <v>3398.25</v>
      </c>
      <c r="J339" s="2" t="s">
        <v>73</v>
      </c>
      <c r="K339" s="2" t="s">
        <v>28</v>
      </c>
    </row>
    <row r="340" spans="1:11" x14ac:dyDescent="0.35">
      <c r="A340" s="2" t="s">
        <v>655</v>
      </c>
      <c r="B340" s="3">
        <v>45295</v>
      </c>
      <c r="C340" s="2" t="s">
        <v>48</v>
      </c>
      <c r="D340" s="2" t="s">
        <v>116</v>
      </c>
      <c r="E340" s="2" t="s">
        <v>226</v>
      </c>
      <c r="F340" s="4">
        <v>5</v>
      </c>
      <c r="G340" s="4">
        <v>3570</v>
      </c>
      <c r="H340" s="4">
        <v>12.8</v>
      </c>
      <c r="I340" s="4">
        <v>15565.2</v>
      </c>
      <c r="J340" s="2" t="s">
        <v>16</v>
      </c>
      <c r="K340" s="2" t="s">
        <v>46</v>
      </c>
    </row>
    <row r="341" spans="1:11" x14ac:dyDescent="0.35">
      <c r="A341" s="2" t="s">
        <v>656</v>
      </c>
      <c r="B341" s="3">
        <v>45590</v>
      </c>
      <c r="C341" s="2" t="s">
        <v>185</v>
      </c>
      <c r="D341" s="2" t="s">
        <v>293</v>
      </c>
      <c r="E341" s="2" t="s">
        <v>158</v>
      </c>
      <c r="F341" s="4">
        <v>3</v>
      </c>
      <c r="G341" s="4">
        <v>5330</v>
      </c>
      <c r="H341" s="4">
        <v>16.2</v>
      </c>
      <c r="I341" s="4">
        <v>13399.62</v>
      </c>
      <c r="J341" s="2" t="s">
        <v>16</v>
      </c>
      <c r="K341" s="2" t="s">
        <v>62</v>
      </c>
    </row>
    <row r="342" spans="1:11" x14ac:dyDescent="0.35">
      <c r="A342" s="2" t="s">
        <v>657</v>
      </c>
      <c r="B342" s="3">
        <v>45341</v>
      </c>
      <c r="C342" s="2" t="s">
        <v>658</v>
      </c>
      <c r="D342" s="2" t="s">
        <v>31</v>
      </c>
      <c r="E342" s="2" t="s">
        <v>272</v>
      </c>
      <c r="F342" s="4">
        <v>3</v>
      </c>
      <c r="G342" s="4">
        <v>3660</v>
      </c>
      <c r="H342" s="4">
        <v>25.3</v>
      </c>
      <c r="I342" s="4">
        <v>8202.06</v>
      </c>
      <c r="J342" s="2" t="s">
        <v>16</v>
      </c>
      <c r="K342" s="2" t="s">
        <v>41</v>
      </c>
    </row>
    <row r="343" spans="1:11" x14ac:dyDescent="0.35">
      <c r="A343" s="2" t="s">
        <v>659</v>
      </c>
      <c r="B343" s="3">
        <v>45600</v>
      </c>
      <c r="C343" s="2" t="s">
        <v>602</v>
      </c>
      <c r="D343" s="2" t="s">
        <v>111</v>
      </c>
      <c r="E343" s="2" t="s">
        <v>117</v>
      </c>
      <c r="F343" s="4">
        <v>2</v>
      </c>
      <c r="G343" s="4">
        <v>1010</v>
      </c>
      <c r="H343" s="4">
        <v>29.2</v>
      </c>
      <c r="I343" s="4">
        <v>1430.16</v>
      </c>
      <c r="J343" s="2" t="s">
        <v>16</v>
      </c>
      <c r="K343" s="2" t="s">
        <v>41</v>
      </c>
    </row>
    <row r="344" spans="1:11" x14ac:dyDescent="0.35">
      <c r="A344" s="2" t="s">
        <v>660</v>
      </c>
      <c r="B344" s="3">
        <v>45506</v>
      </c>
      <c r="C344" s="2" t="s">
        <v>524</v>
      </c>
      <c r="D344" s="2" t="s">
        <v>93</v>
      </c>
      <c r="E344" s="2" t="s">
        <v>117</v>
      </c>
      <c r="F344" s="4">
        <v>1</v>
      </c>
      <c r="G344" s="4">
        <v>1080</v>
      </c>
      <c r="H344" s="4">
        <v>1.8</v>
      </c>
      <c r="I344" s="4">
        <v>1060.56</v>
      </c>
      <c r="J344" s="2" t="s">
        <v>16</v>
      </c>
      <c r="K344" s="2" t="s">
        <v>28</v>
      </c>
    </row>
    <row r="345" spans="1:11" x14ac:dyDescent="0.35">
      <c r="A345" s="2" t="s">
        <v>661</v>
      </c>
      <c r="B345" s="3">
        <v>45414</v>
      </c>
      <c r="C345" s="2" t="s">
        <v>342</v>
      </c>
      <c r="D345" s="2" t="s">
        <v>90</v>
      </c>
      <c r="E345" s="2" t="s">
        <v>61</v>
      </c>
      <c r="F345" s="4">
        <v>8</v>
      </c>
      <c r="G345" s="4">
        <v>3450</v>
      </c>
      <c r="H345" s="4">
        <v>20.399999999999999</v>
      </c>
      <c r="I345" s="4">
        <v>21969.599999999999</v>
      </c>
      <c r="J345" s="2" t="s">
        <v>16</v>
      </c>
      <c r="K345" s="2" t="s">
        <v>17</v>
      </c>
    </row>
    <row r="346" spans="1:11" x14ac:dyDescent="0.35">
      <c r="A346" s="2" t="s">
        <v>662</v>
      </c>
      <c r="B346" s="3">
        <v>45553</v>
      </c>
      <c r="C346" s="2" t="s">
        <v>300</v>
      </c>
      <c r="D346" s="2" t="s">
        <v>444</v>
      </c>
      <c r="E346" s="2" t="s">
        <v>117</v>
      </c>
      <c r="F346" s="4">
        <v>8</v>
      </c>
      <c r="G346" s="4">
        <v>6940</v>
      </c>
      <c r="H346" s="4">
        <v>19.399999999999999</v>
      </c>
      <c r="I346" s="4">
        <v>44749.120000000003</v>
      </c>
      <c r="J346" s="2" t="s">
        <v>16</v>
      </c>
      <c r="K346" s="2" t="s">
        <v>41</v>
      </c>
    </row>
    <row r="347" spans="1:11" x14ac:dyDescent="0.35">
      <c r="A347" s="2" t="s">
        <v>663</v>
      </c>
      <c r="B347" s="3">
        <v>45434</v>
      </c>
      <c r="C347" s="2" t="s">
        <v>664</v>
      </c>
      <c r="D347" s="2" t="s">
        <v>188</v>
      </c>
      <c r="E347" s="2" t="s">
        <v>77</v>
      </c>
      <c r="F347" s="4">
        <v>2</v>
      </c>
      <c r="G347" s="4">
        <v>1540</v>
      </c>
      <c r="H347" s="4">
        <v>9.3000000000000007</v>
      </c>
      <c r="I347" s="4">
        <v>2793.56</v>
      </c>
      <c r="J347" s="2" t="s">
        <v>16</v>
      </c>
      <c r="K347" s="2" t="s">
        <v>17</v>
      </c>
    </row>
    <row r="348" spans="1:11" x14ac:dyDescent="0.35">
      <c r="A348" s="2" t="s">
        <v>665</v>
      </c>
      <c r="B348" s="3">
        <v>45446</v>
      </c>
      <c r="C348" s="2" t="s">
        <v>126</v>
      </c>
      <c r="D348" s="2" t="s">
        <v>64</v>
      </c>
      <c r="E348" s="2" t="s">
        <v>117</v>
      </c>
      <c r="F348" s="4">
        <v>4</v>
      </c>
      <c r="G348" s="4">
        <v>2640</v>
      </c>
      <c r="H348" s="4">
        <v>23.2</v>
      </c>
      <c r="I348" s="4">
        <v>8110.08</v>
      </c>
      <c r="J348" s="2" t="s">
        <v>73</v>
      </c>
      <c r="K348" s="2" t="s">
        <v>17</v>
      </c>
    </row>
    <row r="349" spans="1:11" x14ac:dyDescent="0.35">
      <c r="A349" s="2" t="s">
        <v>666</v>
      </c>
      <c r="B349" s="3">
        <v>45626</v>
      </c>
      <c r="C349" s="2" t="s">
        <v>667</v>
      </c>
      <c r="D349" s="2" t="s">
        <v>289</v>
      </c>
      <c r="E349" s="2" t="s">
        <v>45</v>
      </c>
      <c r="F349" s="4">
        <v>6</v>
      </c>
      <c r="G349" s="4">
        <v>5410</v>
      </c>
      <c r="H349" s="4">
        <v>29.4</v>
      </c>
      <c r="I349" s="4">
        <v>22916.76</v>
      </c>
      <c r="J349" s="2" t="s">
        <v>16</v>
      </c>
      <c r="K349" s="2" t="s">
        <v>17</v>
      </c>
    </row>
    <row r="350" spans="1:11" x14ac:dyDescent="0.35">
      <c r="A350" s="2" t="s">
        <v>668</v>
      </c>
      <c r="B350" s="3">
        <v>45459</v>
      </c>
      <c r="C350" s="2" t="s">
        <v>286</v>
      </c>
      <c r="D350" s="2" t="s">
        <v>116</v>
      </c>
      <c r="E350" s="2" t="s">
        <v>272</v>
      </c>
      <c r="F350" s="4">
        <v>1</v>
      </c>
      <c r="G350" s="4">
        <v>3570</v>
      </c>
      <c r="H350" s="4">
        <v>4.3</v>
      </c>
      <c r="I350" s="4">
        <v>3416.49</v>
      </c>
      <c r="J350" s="2" t="s">
        <v>16</v>
      </c>
      <c r="K350" s="2" t="s">
        <v>28</v>
      </c>
    </row>
    <row r="351" spans="1:11" x14ac:dyDescent="0.35">
      <c r="A351" s="2" t="s">
        <v>669</v>
      </c>
      <c r="B351" s="3">
        <v>45520</v>
      </c>
      <c r="C351" s="2" t="s">
        <v>670</v>
      </c>
      <c r="D351" s="2" t="s">
        <v>39</v>
      </c>
      <c r="E351" s="2" t="s">
        <v>57</v>
      </c>
      <c r="F351" s="4">
        <v>2</v>
      </c>
      <c r="G351" s="4">
        <v>370</v>
      </c>
      <c r="H351" s="4">
        <v>7.2</v>
      </c>
      <c r="I351" s="4">
        <v>686.72</v>
      </c>
      <c r="J351" s="2" t="s">
        <v>16</v>
      </c>
      <c r="K351" s="2" t="s">
        <v>62</v>
      </c>
    </row>
    <row r="352" spans="1:11" x14ac:dyDescent="0.35">
      <c r="A352" s="2" t="s">
        <v>671</v>
      </c>
      <c r="B352" s="3">
        <v>45314</v>
      </c>
      <c r="C352" s="2" t="s">
        <v>526</v>
      </c>
      <c r="D352" s="2" t="s">
        <v>284</v>
      </c>
      <c r="E352" s="2" t="s">
        <v>167</v>
      </c>
      <c r="F352" s="4">
        <v>1</v>
      </c>
      <c r="G352" s="4">
        <v>2510</v>
      </c>
      <c r="H352" s="4">
        <v>2.4</v>
      </c>
      <c r="I352" s="4">
        <v>2449.7600000000002</v>
      </c>
      <c r="J352" s="2" t="s">
        <v>16</v>
      </c>
      <c r="K352" s="2" t="s">
        <v>41</v>
      </c>
    </row>
    <row r="353" spans="1:11" x14ac:dyDescent="0.35">
      <c r="A353" s="2" t="s">
        <v>672</v>
      </c>
      <c r="B353" s="3">
        <v>45480</v>
      </c>
      <c r="C353" s="2" t="s">
        <v>673</v>
      </c>
      <c r="D353" s="2" t="s">
        <v>166</v>
      </c>
      <c r="E353" s="2" t="s">
        <v>214</v>
      </c>
      <c r="F353" s="4">
        <v>8</v>
      </c>
      <c r="G353" s="4">
        <v>3640</v>
      </c>
      <c r="H353" s="4">
        <v>28.7</v>
      </c>
      <c r="I353" s="4">
        <v>20762.560000000001</v>
      </c>
      <c r="J353" s="2" t="s">
        <v>22</v>
      </c>
      <c r="K353" s="2" t="s">
        <v>62</v>
      </c>
    </row>
    <row r="354" spans="1:11" x14ac:dyDescent="0.35">
      <c r="A354" s="2" t="s">
        <v>674</v>
      </c>
      <c r="B354" s="3">
        <v>45520</v>
      </c>
      <c r="C354" s="2" t="s">
        <v>115</v>
      </c>
      <c r="D354" s="2" t="s">
        <v>105</v>
      </c>
      <c r="E354" s="2" t="s">
        <v>158</v>
      </c>
      <c r="F354" s="4">
        <v>5</v>
      </c>
      <c r="G354" s="4">
        <v>1650</v>
      </c>
      <c r="H354" s="4">
        <v>13.4</v>
      </c>
      <c r="I354" s="4">
        <v>7144.5</v>
      </c>
      <c r="J354" s="2" t="s">
        <v>22</v>
      </c>
      <c r="K354" s="2" t="s">
        <v>23</v>
      </c>
    </row>
    <row r="355" spans="1:11" x14ac:dyDescent="0.35">
      <c r="A355" s="2" t="s">
        <v>675</v>
      </c>
      <c r="B355" s="3">
        <v>45360</v>
      </c>
      <c r="C355" s="2" t="s">
        <v>282</v>
      </c>
      <c r="D355" s="2" t="s">
        <v>309</v>
      </c>
      <c r="E355" s="2" t="s">
        <v>45</v>
      </c>
      <c r="F355" s="4">
        <v>9</v>
      </c>
      <c r="G355" s="4">
        <v>960</v>
      </c>
      <c r="H355" s="4">
        <v>28.6</v>
      </c>
      <c r="I355" s="4">
        <v>6168.96</v>
      </c>
      <c r="J355" s="2" t="s">
        <v>22</v>
      </c>
      <c r="K355" s="2" t="s">
        <v>23</v>
      </c>
    </row>
    <row r="356" spans="1:11" x14ac:dyDescent="0.35">
      <c r="A356" s="2" t="s">
        <v>676</v>
      </c>
      <c r="B356" s="3">
        <v>45486</v>
      </c>
      <c r="C356" s="2" t="s">
        <v>160</v>
      </c>
      <c r="D356" s="2" t="s">
        <v>163</v>
      </c>
      <c r="E356" s="2" t="s">
        <v>87</v>
      </c>
      <c r="F356" s="4">
        <v>4</v>
      </c>
      <c r="G356" s="4">
        <v>3780</v>
      </c>
      <c r="H356" s="4">
        <v>25.3</v>
      </c>
      <c r="I356" s="4">
        <v>11294.64</v>
      </c>
      <c r="J356" s="2" t="s">
        <v>16</v>
      </c>
      <c r="K356" s="2" t="s">
        <v>46</v>
      </c>
    </row>
    <row r="357" spans="1:11" x14ac:dyDescent="0.35">
      <c r="A357" s="2" t="s">
        <v>677</v>
      </c>
      <c r="B357" s="3">
        <v>45544</v>
      </c>
      <c r="C357" s="2" t="s">
        <v>115</v>
      </c>
      <c r="D357" s="2" t="s">
        <v>105</v>
      </c>
      <c r="E357" s="2" t="s">
        <v>27</v>
      </c>
      <c r="F357" s="4">
        <v>4</v>
      </c>
      <c r="G357" s="4">
        <v>1650</v>
      </c>
      <c r="H357" s="4">
        <v>13.7</v>
      </c>
      <c r="I357" s="4">
        <v>5695.8</v>
      </c>
      <c r="J357" s="2" t="s">
        <v>69</v>
      </c>
      <c r="K357" s="2" t="s">
        <v>23</v>
      </c>
    </row>
    <row r="358" spans="1:11" x14ac:dyDescent="0.35">
      <c r="A358" s="2" t="s">
        <v>678</v>
      </c>
      <c r="B358" s="3">
        <v>45580</v>
      </c>
      <c r="C358" s="2" t="s">
        <v>468</v>
      </c>
      <c r="D358" s="2" t="s">
        <v>14</v>
      </c>
      <c r="E358" s="2" t="s">
        <v>254</v>
      </c>
      <c r="F358" s="4">
        <v>6</v>
      </c>
      <c r="G358" s="4">
        <v>3620</v>
      </c>
      <c r="H358" s="4">
        <v>21.3</v>
      </c>
      <c r="I358" s="4">
        <v>17093.64</v>
      </c>
      <c r="J358" s="2" t="s">
        <v>22</v>
      </c>
      <c r="K358" s="2" t="s">
        <v>62</v>
      </c>
    </row>
    <row r="359" spans="1:11" x14ac:dyDescent="0.35">
      <c r="A359" s="2" t="s">
        <v>679</v>
      </c>
      <c r="B359" s="3">
        <v>45312</v>
      </c>
      <c r="C359" s="2" t="s">
        <v>403</v>
      </c>
      <c r="D359" s="2" t="s">
        <v>174</v>
      </c>
      <c r="E359" s="2" t="s">
        <v>99</v>
      </c>
      <c r="F359" s="4">
        <v>10</v>
      </c>
      <c r="G359" s="4">
        <v>2270</v>
      </c>
      <c r="H359" s="4">
        <v>17.7</v>
      </c>
      <c r="I359" s="4">
        <v>18682.099999999999</v>
      </c>
      <c r="J359" s="2" t="s">
        <v>16</v>
      </c>
      <c r="K359" s="2" t="s">
        <v>28</v>
      </c>
    </row>
    <row r="360" spans="1:11" x14ac:dyDescent="0.35">
      <c r="A360" s="2" t="s">
        <v>680</v>
      </c>
      <c r="B360" s="3">
        <v>45447</v>
      </c>
      <c r="C360" s="2" t="s">
        <v>681</v>
      </c>
      <c r="D360" s="2" t="s">
        <v>188</v>
      </c>
      <c r="E360" s="2" t="s">
        <v>181</v>
      </c>
      <c r="F360" s="4">
        <v>9</v>
      </c>
      <c r="G360" s="4">
        <v>1540</v>
      </c>
      <c r="H360" s="4">
        <v>10.7</v>
      </c>
      <c r="I360" s="4">
        <v>12376.98</v>
      </c>
      <c r="J360" s="2" t="s">
        <v>16</v>
      </c>
      <c r="K360" s="2" t="s">
        <v>46</v>
      </c>
    </row>
    <row r="361" spans="1:11" x14ac:dyDescent="0.35">
      <c r="A361" s="2" t="s">
        <v>682</v>
      </c>
      <c r="B361" s="3">
        <v>45607</v>
      </c>
      <c r="C361" s="2" t="s">
        <v>137</v>
      </c>
      <c r="D361" s="2" t="s">
        <v>124</v>
      </c>
      <c r="E361" s="2" t="s">
        <v>87</v>
      </c>
      <c r="F361" s="4">
        <v>9</v>
      </c>
      <c r="G361" s="4">
        <v>2860</v>
      </c>
      <c r="H361" s="4">
        <v>12.9</v>
      </c>
      <c r="I361" s="4">
        <v>22419.54</v>
      </c>
      <c r="J361" s="2" t="s">
        <v>16</v>
      </c>
      <c r="K361" s="2" t="s">
        <v>62</v>
      </c>
    </row>
    <row r="362" spans="1:11" x14ac:dyDescent="0.35">
      <c r="A362" s="2" t="s">
        <v>683</v>
      </c>
      <c r="B362" s="3">
        <v>45379</v>
      </c>
      <c r="C362" s="2" t="s">
        <v>629</v>
      </c>
      <c r="D362" s="2" t="s">
        <v>267</v>
      </c>
      <c r="E362" s="2" t="s">
        <v>275</v>
      </c>
      <c r="F362" s="4">
        <v>5</v>
      </c>
      <c r="G362" s="4">
        <v>2210</v>
      </c>
      <c r="H362" s="4">
        <v>5.0999999999999996</v>
      </c>
      <c r="I362" s="4">
        <v>10486.45</v>
      </c>
      <c r="J362" s="2" t="s">
        <v>16</v>
      </c>
      <c r="K362" s="2" t="s">
        <v>23</v>
      </c>
    </row>
    <row r="363" spans="1:11" x14ac:dyDescent="0.35">
      <c r="A363" s="2" t="s">
        <v>684</v>
      </c>
      <c r="B363" s="3">
        <v>45591</v>
      </c>
      <c r="C363" s="2" t="s">
        <v>307</v>
      </c>
      <c r="D363" s="2" t="s">
        <v>196</v>
      </c>
      <c r="E363" s="2" t="s">
        <v>158</v>
      </c>
      <c r="F363" s="4">
        <v>1</v>
      </c>
      <c r="G363" s="4">
        <v>1220</v>
      </c>
      <c r="H363" s="4">
        <v>16.100000000000001</v>
      </c>
      <c r="I363" s="4">
        <v>1023.58</v>
      </c>
      <c r="J363" s="2" t="s">
        <v>16</v>
      </c>
      <c r="K363" s="2" t="s">
        <v>23</v>
      </c>
    </row>
    <row r="364" spans="1:11" x14ac:dyDescent="0.35">
      <c r="A364" s="2" t="s">
        <v>685</v>
      </c>
      <c r="B364" s="3">
        <v>45561</v>
      </c>
      <c r="C364" s="2" t="s">
        <v>686</v>
      </c>
      <c r="D364" s="2" t="s">
        <v>116</v>
      </c>
      <c r="E364" s="2" t="s">
        <v>32</v>
      </c>
      <c r="F364" s="4">
        <v>2</v>
      </c>
      <c r="G364" s="4">
        <v>3570</v>
      </c>
      <c r="H364" s="4">
        <v>1.1000000000000001</v>
      </c>
      <c r="I364" s="4">
        <v>7061.46</v>
      </c>
      <c r="J364" s="2" t="s">
        <v>16</v>
      </c>
      <c r="K364" s="2" t="s">
        <v>46</v>
      </c>
    </row>
    <row r="365" spans="1:11" x14ac:dyDescent="0.35">
      <c r="A365" s="2" t="s">
        <v>687</v>
      </c>
      <c r="B365" s="3">
        <v>45308</v>
      </c>
      <c r="C365" s="2" t="s">
        <v>688</v>
      </c>
      <c r="D365" s="2" t="s">
        <v>381</v>
      </c>
      <c r="E365" s="2" t="s">
        <v>275</v>
      </c>
      <c r="F365" s="4">
        <v>10</v>
      </c>
      <c r="G365" s="4">
        <v>3450</v>
      </c>
      <c r="H365" s="4">
        <v>12.6</v>
      </c>
      <c r="I365" s="4">
        <v>30153</v>
      </c>
      <c r="J365" s="2" t="s">
        <v>16</v>
      </c>
      <c r="K365" s="2" t="s">
        <v>46</v>
      </c>
    </row>
    <row r="366" spans="1:11" x14ac:dyDescent="0.35">
      <c r="A366" s="2" t="s">
        <v>689</v>
      </c>
      <c r="B366" s="3">
        <v>45563</v>
      </c>
      <c r="C366" s="2" t="s">
        <v>667</v>
      </c>
      <c r="D366" s="2" t="s">
        <v>267</v>
      </c>
      <c r="E366" s="2" t="s">
        <v>87</v>
      </c>
      <c r="F366" s="4">
        <v>4</v>
      </c>
      <c r="G366" s="4">
        <v>2210</v>
      </c>
      <c r="H366" s="4">
        <v>5.4</v>
      </c>
      <c r="I366" s="4">
        <v>8362.64</v>
      </c>
      <c r="J366" s="2" t="s">
        <v>16</v>
      </c>
      <c r="K366" s="2" t="s">
        <v>17</v>
      </c>
    </row>
    <row r="367" spans="1:11" x14ac:dyDescent="0.35">
      <c r="A367" s="2" t="s">
        <v>690</v>
      </c>
      <c r="B367" s="3">
        <v>45476</v>
      </c>
      <c r="C367" s="2" t="s">
        <v>691</v>
      </c>
      <c r="D367" s="2" t="s">
        <v>431</v>
      </c>
      <c r="E367" s="2" t="s">
        <v>27</v>
      </c>
      <c r="F367" s="4">
        <v>6</v>
      </c>
      <c r="G367" s="4">
        <v>1090</v>
      </c>
      <c r="H367" s="4">
        <v>2.9</v>
      </c>
      <c r="I367" s="4">
        <v>6350.34</v>
      </c>
      <c r="J367" s="2" t="s">
        <v>69</v>
      </c>
      <c r="K367" s="2" t="s">
        <v>62</v>
      </c>
    </row>
    <row r="368" spans="1:11" x14ac:dyDescent="0.35">
      <c r="A368" s="2" t="s">
        <v>692</v>
      </c>
      <c r="B368" s="3">
        <v>45364</v>
      </c>
      <c r="C368" s="2" t="s">
        <v>693</v>
      </c>
      <c r="D368" s="2" t="s">
        <v>188</v>
      </c>
      <c r="E368" s="2" t="s">
        <v>167</v>
      </c>
      <c r="F368" s="4">
        <v>8</v>
      </c>
      <c r="G368" s="4">
        <v>1540</v>
      </c>
      <c r="H368" s="4">
        <v>17.899999999999999</v>
      </c>
      <c r="I368" s="4">
        <v>10114.719999999999</v>
      </c>
      <c r="J368" s="2" t="s">
        <v>22</v>
      </c>
      <c r="K368" s="2" t="s">
        <v>23</v>
      </c>
    </row>
    <row r="369" spans="1:11" x14ac:dyDescent="0.35">
      <c r="A369" s="2" t="s">
        <v>694</v>
      </c>
      <c r="B369" s="3">
        <v>45371</v>
      </c>
      <c r="C369" s="2" t="s">
        <v>414</v>
      </c>
      <c r="D369" s="2" t="s">
        <v>67</v>
      </c>
      <c r="E369" s="2" t="s">
        <v>57</v>
      </c>
      <c r="F369" s="4">
        <v>9</v>
      </c>
      <c r="G369" s="4">
        <v>2600</v>
      </c>
      <c r="H369" s="4">
        <v>4.0999999999999996</v>
      </c>
      <c r="I369" s="4">
        <v>22440.6</v>
      </c>
      <c r="J369" s="2" t="s">
        <v>16</v>
      </c>
      <c r="K369" s="2" t="s">
        <v>17</v>
      </c>
    </row>
    <row r="370" spans="1:11" x14ac:dyDescent="0.35">
      <c r="A370" s="2" t="s">
        <v>695</v>
      </c>
      <c r="B370" s="3">
        <v>45623</v>
      </c>
      <c r="C370" s="2" t="s">
        <v>609</v>
      </c>
      <c r="D370" s="2" t="s">
        <v>76</v>
      </c>
      <c r="E370" s="2" t="s">
        <v>15</v>
      </c>
      <c r="F370" s="4">
        <v>2</v>
      </c>
      <c r="G370" s="4">
        <v>190</v>
      </c>
      <c r="H370" s="4">
        <v>4.8</v>
      </c>
      <c r="I370" s="4">
        <v>361.76</v>
      </c>
      <c r="J370" s="2" t="s">
        <v>16</v>
      </c>
      <c r="K370" s="2" t="s">
        <v>23</v>
      </c>
    </row>
    <row r="371" spans="1:11" x14ac:dyDescent="0.35">
      <c r="A371" s="2" t="s">
        <v>696</v>
      </c>
      <c r="B371" s="3">
        <v>45441</v>
      </c>
      <c r="C371" s="2" t="s">
        <v>697</v>
      </c>
      <c r="D371" s="2" t="s">
        <v>96</v>
      </c>
      <c r="E371" s="2" t="s">
        <v>27</v>
      </c>
      <c r="F371" s="4">
        <v>9</v>
      </c>
      <c r="G371" s="4">
        <v>2480</v>
      </c>
      <c r="H371" s="4">
        <v>28.3</v>
      </c>
      <c r="I371" s="4">
        <v>16003.44</v>
      </c>
      <c r="J371" s="2" t="s">
        <v>16</v>
      </c>
      <c r="K371" s="2" t="s">
        <v>17</v>
      </c>
    </row>
    <row r="372" spans="1:11" x14ac:dyDescent="0.35">
      <c r="A372" s="2" t="s">
        <v>698</v>
      </c>
      <c r="B372" s="3">
        <v>45442</v>
      </c>
      <c r="C372" s="2" t="s">
        <v>699</v>
      </c>
      <c r="D372" s="2" t="s">
        <v>315</v>
      </c>
      <c r="E372" s="2" t="s">
        <v>32</v>
      </c>
      <c r="F372" s="4">
        <v>7</v>
      </c>
      <c r="G372" s="4">
        <v>2290</v>
      </c>
      <c r="H372" s="4">
        <v>25</v>
      </c>
      <c r="I372" s="4">
        <v>12022.5</v>
      </c>
      <c r="J372" s="2" t="s">
        <v>69</v>
      </c>
      <c r="K372" s="2" t="s">
        <v>17</v>
      </c>
    </row>
    <row r="373" spans="1:11" x14ac:dyDescent="0.35">
      <c r="A373" s="2" t="s">
        <v>700</v>
      </c>
      <c r="B373" s="3">
        <v>45567</v>
      </c>
      <c r="C373" s="2" t="s">
        <v>165</v>
      </c>
      <c r="D373" s="2" t="s">
        <v>188</v>
      </c>
      <c r="E373" s="2" t="s">
        <v>117</v>
      </c>
      <c r="F373" s="4">
        <v>9</v>
      </c>
      <c r="G373" s="4">
        <v>1540</v>
      </c>
      <c r="H373" s="4">
        <v>23.3</v>
      </c>
      <c r="I373" s="4">
        <v>10630.62</v>
      </c>
      <c r="J373" s="2" t="s">
        <v>16</v>
      </c>
      <c r="K373" s="2" t="s">
        <v>62</v>
      </c>
    </row>
    <row r="374" spans="1:11" x14ac:dyDescent="0.35">
      <c r="A374" s="2" t="s">
        <v>701</v>
      </c>
      <c r="B374" s="3">
        <v>45653</v>
      </c>
      <c r="C374" s="2" t="s">
        <v>288</v>
      </c>
      <c r="D374" s="2" t="s">
        <v>372</v>
      </c>
      <c r="E374" s="2" t="s">
        <v>40</v>
      </c>
      <c r="F374" s="4">
        <v>2</v>
      </c>
      <c r="G374" s="4">
        <v>5080</v>
      </c>
      <c r="H374" s="4">
        <v>2.5</v>
      </c>
      <c r="I374" s="4">
        <v>9906</v>
      </c>
      <c r="J374" s="2" t="s">
        <v>69</v>
      </c>
      <c r="K374" s="2" t="s">
        <v>28</v>
      </c>
    </row>
    <row r="375" spans="1:11" x14ac:dyDescent="0.35">
      <c r="A375" s="2" t="s">
        <v>702</v>
      </c>
      <c r="B375" s="3">
        <v>45331</v>
      </c>
      <c r="C375" s="2" t="s">
        <v>422</v>
      </c>
      <c r="D375" s="2" t="s">
        <v>284</v>
      </c>
      <c r="E375" s="2" t="s">
        <v>275</v>
      </c>
      <c r="F375" s="4">
        <v>4</v>
      </c>
      <c r="G375" s="4">
        <v>2510</v>
      </c>
      <c r="H375" s="4">
        <v>23.6</v>
      </c>
      <c r="I375" s="4">
        <v>7670.56</v>
      </c>
      <c r="J375" s="2" t="s">
        <v>16</v>
      </c>
      <c r="K375" s="2" t="s">
        <v>17</v>
      </c>
    </row>
    <row r="376" spans="1:11" x14ac:dyDescent="0.35">
      <c r="A376" s="2" t="s">
        <v>703</v>
      </c>
      <c r="B376" s="3">
        <v>45332</v>
      </c>
      <c r="C376" s="2" t="s">
        <v>288</v>
      </c>
      <c r="D376" s="2" t="s">
        <v>315</v>
      </c>
      <c r="E376" s="2" t="s">
        <v>202</v>
      </c>
      <c r="F376" s="4">
        <v>5</v>
      </c>
      <c r="G376" s="4">
        <v>2290</v>
      </c>
      <c r="H376" s="4">
        <v>17</v>
      </c>
      <c r="I376" s="4">
        <v>9503.5</v>
      </c>
      <c r="J376" s="2" t="s">
        <v>16</v>
      </c>
      <c r="K376" s="2" t="s">
        <v>28</v>
      </c>
    </row>
    <row r="377" spans="1:11" x14ac:dyDescent="0.35">
      <c r="A377" s="2" t="s">
        <v>704</v>
      </c>
      <c r="B377" s="3">
        <v>45340</v>
      </c>
      <c r="C377" s="2" t="s">
        <v>257</v>
      </c>
      <c r="D377" s="2" t="s">
        <v>26</v>
      </c>
      <c r="E377" s="2" t="s">
        <v>32</v>
      </c>
      <c r="F377" s="4">
        <v>8</v>
      </c>
      <c r="G377" s="4">
        <v>470</v>
      </c>
      <c r="H377" s="4">
        <v>9.3000000000000007</v>
      </c>
      <c r="I377" s="4">
        <v>3410.32</v>
      </c>
      <c r="J377" s="2" t="s">
        <v>16</v>
      </c>
      <c r="K377" s="2" t="s">
        <v>23</v>
      </c>
    </row>
    <row r="378" spans="1:11" x14ac:dyDescent="0.35">
      <c r="A378" s="2" t="s">
        <v>705</v>
      </c>
      <c r="B378" s="3">
        <v>45564</v>
      </c>
      <c r="C378" s="2" t="s">
        <v>249</v>
      </c>
      <c r="D378" s="2" t="s">
        <v>120</v>
      </c>
      <c r="E378" s="2" t="s">
        <v>133</v>
      </c>
      <c r="F378" s="4">
        <v>8</v>
      </c>
      <c r="G378" s="4">
        <v>5100</v>
      </c>
      <c r="H378" s="4">
        <v>4.5999999999999996</v>
      </c>
      <c r="I378" s="4">
        <v>38923.199999999997</v>
      </c>
      <c r="J378" s="2" t="s">
        <v>16</v>
      </c>
      <c r="K378" s="2" t="s">
        <v>62</v>
      </c>
    </row>
    <row r="379" spans="1:11" x14ac:dyDescent="0.35">
      <c r="A379" s="2" t="s">
        <v>706</v>
      </c>
      <c r="B379" s="3">
        <v>45296</v>
      </c>
      <c r="C379" s="2" t="s">
        <v>511</v>
      </c>
      <c r="D379" s="2" t="s">
        <v>293</v>
      </c>
      <c r="E379" s="2" t="s">
        <v>61</v>
      </c>
      <c r="F379" s="4">
        <v>7</v>
      </c>
      <c r="G379" s="4">
        <v>5330</v>
      </c>
      <c r="H379" s="4">
        <v>2.5</v>
      </c>
      <c r="I379" s="4">
        <v>36377.25</v>
      </c>
      <c r="J379" s="2" t="s">
        <v>16</v>
      </c>
      <c r="K379" s="2" t="s">
        <v>23</v>
      </c>
    </row>
    <row r="380" spans="1:11" x14ac:dyDescent="0.35">
      <c r="A380" s="2" t="s">
        <v>707</v>
      </c>
      <c r="B380" s="3">
        <v>45364</v>
      </c>
      <c r="C380" s="2" t="s">
        <v>708</v>
      </c>
      <c r="D380" s="2" t="s">
        <v>224</v>
      </c>
      <c r="E380" s="2" t="s">
        <v>57</v>
      </c>
      <c r="F380" s="4">
        <v>10</v>
      </c>
      <c r="G380" s="4">
        <v>2030</v>
      </c>
      <c r="H380" s="4">
        <v>8.5</v>
      </c>
      <c r="I380" s="4">
        <v>18574.5</v>
      </c>
      <c r="J380" s="2" t="s">
        <v>16</v>
      </c>
      <c r="K380" s="2" t="s">
        <v>46</v>
      </c>
    </row>
    <row r="381" spans="1:11" x14ac:dyDescent="0.35">
      <c r="A381" s="2" t="s">
        <v>709</v>
      </c>
      <c r="B381" s="3">
        <v>45560</v>
      </c>
      <c r="C381" s="2" t="s">
        <v>710</v>
      </c>
      <c r="D381" s="2" t="s">
        <v>372</v>
      </c>
      <c r="E381" s="2" t="s">
        <v>77</v>
      </c>
      <c r="F381" s="4">
        <v>8</v>
      </c>
      <c r="G381" s="4">
        <v>5080</v>
      </c>
      <c r="H381" s="4">
        <v>9.6</v>
      </c>
      <c r="I381" s="4">
        <v>36738.559999999998</v>
      </c>
      <c r="J381" s="2" t="s">
        <v>69</v>
      </c>
      <c r="K381" s="2" t="s">
        <v>28</v>
      </c>
    </row>
    <row r="382" spans="1:11" x14ac:dyDescent="0.35">
      <c r="A382" s="2" t="s">
        <v>711</v>
      </c>
      <c r="B382" s="3">
        <v>45378</v>
      </c>
      <c r="C382" s="2" t="s">
        <v>104</v>
      </c>
      <c r="D382" s="2" t="s">
        <v>296</v>
      </c>
      <c r="E382" s="2" t="s">
        <v>27</v>
      </c>
      <c r="F382" s="4">
        <v>1</v>
      </c>
      <c r="G382" s="4">
        <v>2380</v>
      </c>
      <c r="H382" s="4">
        <v>11.6</v>
      </c>
      <c r="I382" s="4">
        <v>2103.92</v>
      </c>
      <c r="J382" s="2" t="s">
        <v>22</v>
      </c>
      <c r="K382" s="2" t="s">
        <v>62</v>
      </c>
    </row>
    <row r="383" spans="1:11" x14ac:dyDescent="0.35">
      <c r="A383" s="2" t="s">
        <v>712</v>
      </c>
      <c r="B383" s="3">
        <v>45590</v>
      </c>
      <c r="C383" s="2" t="s">
        <v>201</v>
      </c>
      <c r="D383" s="2" t="s">
        <v>188</v>
      </c>
      <c r="E383" s="2" t="s">
        <v>272</v>
      </c>
      <c r="F383" s="4">
        <v>8</v>
      </c>
      <c r="G383" s="4">
        <v>1540</v>
      </c>
      <c r="H383" s="4">
        <v>27.8</v>
      </c>
      <c r="I383" s="4">
        <v>8895.0400000000009</v>
      </c>
      <c r="J383" s="2" t="s">
        <v>16</v>
      </c>
      <c r="K383" s="2" t="s">
        <v>23</v>
      </c>
    </row>
    <row r="384" spans="1:11" x14ac:dyDescent="0.35">
      <c r="A384" s="2" t="s">
        <v>713</v>
      </c>
      <c r="B384" s="3">
        <v>45591</v>
      </c>
      <c r="C384" s="2" t="s">
        <v>714</v>
      </c>
      <c r="D384" s="2" t="s">
        <v>60</v>
      </c>
      <c r="E384" s="2" t="s">
        <v>45</v>
      </c>
      <c r="F384" s="4">
        <v>1</v>
      </c>
      <c r="G384" s="4">
        <v>2270</v>
      </c>
      <c r="H384" s="4">
        <v>6.5</v>
      </c>
      <c r="I384" s="4">
        <v>2122.4499999999998</v>
      </c>
      <c r="J384" s="2" t="s">
        <v>22</v>
      </c>
      <c r="K384" s="2" t="s">
        <v>715</v>
      </c>
    </row>
    <row r="385" spans="1:11" x14ac:dyDescent="0.35">
      <c r="A385" s="2" t="s">
        <v>716</v>
      </c>
      <c r="B385" s="3">
        <v>45503</v>
      </c>
      <c r="C385" s="2" t="s">
        <v>245</v>
      </c>
      <c r="D385" s="2" t="s">
        <v>96</v>
      </c>
      <c r="E385" s="2" t="s">
        <v>57</v>
      </c>
      <c r="F385" s="4">
        <v>6</v>
      </c>
      <c r="G385" s="4">
        <v>2480</v>
      </c>
      <c r="H385" s="4">
        <v>25.9</v>
      </c>
      <c r="I385" s="4">
        <v>11026.08</v>
      </c>
      <c r="J385" s="2" t="s">
        <v>16</v>
      </c>
      <c r="K385" s="2" t="s">
        <v>17</v>
      </c>
    </row>
    <row r="386" spans="1:11" x14ac:dyDescent="0.35">
      <c r="A386" s="2" t="s">
        <v>717</v>
      </c>
      <c r="B386" s="3">
        <v>45608</v>
      </c>
      <c r="C386" s="2" t="s">
        <v>247</v>
      </c>
      <c r="D386" s="2" t="s">
        <v>588</v>
      </c>
      <c r="E386" s="2" t="s">
        <v>50</v>
      </c>
      <c r="F386" s="4">
        <v>3</v>
      </c>
      <c r="G386" s="4">
        <v>3560</v>
      </c>
      <c r="H386" s="4">
        <v>0.4</v>
      </c>
      <c r="I386" s="4">
        <v>10637.28</v>
      </c>
      <c r="J386" s="2" t="s">
        <v>73</v>
      </c>
      <c r="K386" s="2" t="s">
        <v>23</v>
      </c>
    </row>
    <row r="387" spans="1:11" x14ac:dyDescent="0.35">
      <c r="A387" s="2" t="s">
        <v>718</v>
      </c>
      <c r="B387" s="3">
        <v>45422</v>
      </c>
      <c r="C387" s="2" t="s">
        <v>580</v>
      </c>
      <c r="D387" s="2" t="s">
        <v>208</v>
      </c>
      <c r="E387" s="2" t="s">
        <v>32</v>
      </c>
      <c r="F387" s="4">
        <v>4</v>
      </c>
      <c r="G387" s="4">
        <v>2660</v>
      </c>
      <c r="H387" s="4">
        <v>19.7</v>
      </c>
      <c r="I387" s="4">
        <v>8543.92</v>
      </c>
      <c r="J387" s="2" t="s">
        <v>69</v>
      </c>
      <c r="K387" s="2" t="s">
        <v>62</v>
      </c>
    </row>
    <row r="388" spans="1:11" x14ac:dyDescent="0.35">
      <c r="A388" s="2" t="s">
        <v>719</v>
      </c>
      <c r="B388" s="3">
        <v>45386</v>
      </c>
      <c r="C388" s="2" t="s">
        <v>101</v>
      </c>
      <c r="D388" s="2" t="s">
        <v>196</v>
      </c>
      <c r="E388" s="2" t="s">
        <v>181</v>
      </c>
      <c r="F388" s="4">
        <v>10</v>
      </c>
      <c r="G388" s="4">
        <v>1220</v>
      </c>
      <c r="H388" s="4">
        <v>10.1</v>
      </c>
      <c r="I388" s="4">
        <v>10967.8</v>
      </c>
      <c r="J388" s="2" t="s">
        <v>69</v>
      </c>
      <c r="K388" s="2" t="s">
        <v>17</v>
      </c>
    </row>
    <row r="389" spans="1:11" x14ac:dyDescent="0.35">
      <c r="A389" s="2" t="s">
        <v>720</v>
      </c>
      <c r="B389" s="3">
        <v>45584</v>
      </c>
      <c r="C389" s="2" t="s">
        <v>605</v>
      </c>
      <c r="D389" s="2" t="s">
        <v>67</v>
      </c>
      <c r="E389" s="2" t="s">
        <v>27</v>
      </c>
      <c r="F389" s="4">
        <v>8</v>
      </c>
      <c r="G389" s="4">
        <v>2600</v>
      </c>
      <c r="H389" s="4">
        <v>26.7</v>
      </c>
      <c r="I389" s="4">
        <v>15246.4</v>
      </c>
      <c r="J389" s="2" t="s">
        <v>16</v>
      </c>
      <c r="K389" s="2" t="s">
        <v>17</v>
      </c>
    </row>
    <row r="390" spans="1:11" x14ac:dyDescent="0.35">
      <c r="A390" s="2" t="s">
        <v>721</v>
      </c>
      <c r="B390" s="3">
        <v>45440</v>
      </c>
      <c r="C390" s="2" t="s">
        <v>447</v>
      </c>
      <c r="D390" s="2" t="s">
        <v>381</v>
      </c>
      <c r="E390" s="2" t="s">
        <v>121</v>
      </c>
      <c r="F390" s="4">
        <v>10</v>
      </c>
      <c r="G390" s="4">
        <v>3450</v>
      </c>
      <c r="H390" s="4">
        <v>20.399999999999999</v>
      </c>
      <c r="I390" s="4">
        <v>27462</v>
      </c>
      <c r="J390" s="2" t="s">
        <v>16</v>
      </c>
      <c r="K390" s="2" t="s">
        <v>17</v>
      </c>
    </row>
    <row r="391" spans="1:11" x14ac:dyDescent="0.35">
      <c r="A391" s="2" t="s">
        <v>722</v>
      </c>
      <c r="B391" s="3">
        <v>45440</v>
      </c>
      <c r="C391" s="2" t="s">
        <v>137</v>
      </c>
      <c r="D391" s="2" t="s">
        <v>444</v>
      </c>
      <c r="E391" s="2" t="s">
        <v>50</v>
      </c>
      <c r="F391" s="4">
        <v>1</v>
      </c>
      <c r="G391" s="4">
        <v>6940</v>
      </c>
      <c r="H391" s="4">
        <v>9.6999999999999993</v>
      </c>
      <c r="I391" s="4">
        <v>6266.82</v>
      </c>
      <c r="J391" s="2" t="s">
        <v>16</v>
      </c>
      <c r="K391" s="2" t="s">
        <v>62</v>
      </c>
    </row>
    <row r="392" spans="1:11" x14ac:dyDescent="0.35">
      <c r="A392" s="2" t="s">
        <v>723</v>
      </c>
      <c r="B392" s="3">
        <v>45358</v>
      </c>
      <c r="C392" s="2" t="s">
        <v>724</v>
      </c>
      <c r="D392" s="2" t="s">
        <v>108</v>
      </c>
      <c r="E392" s="2" t="s">
        <v>32</v>
      </c>
      <c r="F392" s="4">
        <v>10</v>
      </c>
      <c r="G392" s="4">
        <v>3350</v>
      </c>
      <c r="H392" s="4">
        <v>3.2</v>
      </c>
      <c r="I392" s="4">
        <v>32428</v>
      </c>
      <c r="J392" s="2" t="s">
        <v>16</v>
      </c>
      <c r="K392" s="2" t="s">
        <v>23</v>
      </c>
    </row>
    <row r="393" spans="1:11" x14ac:dyDescent="0.35">
      <c r="A393" s="2" t="s">
        <v>725</v>
      </c>
      <c r="B393" s="3">
        <v>45387</v>
      </c>
      <c r="C393" s="2" t="s">
        <v>726</v>
      </c>
      <c r="D393" s="2" t="s">
        <v>188</v>
      </c>
      <c r="E393" s="2" t="s">
        <v>130</v>
      </c>
      <c r="F393" s="4">
        <v>7</v>
      </c>
      <c r="G393" s="4">
        <v>1540</v>
      </c>
      <c r="H393" s="4">
        <v>0.5</v>
      </c>
      <c r="I393" s="4">
        <v>10726.1</v>
      </c>
      <c r="J393" s="2" t="s">
        <v>16</v>
      </c>
      <c r="K393" s="2" t="s">
        <v>28</v>
      </c>
    </row>
    <row r="394" spans="1:11" x14ac:dyDescent="0.35">
      <c r="A394" s="2" t="s">
        <v>727</v>
      </c>
      <c r="B394" s="3">
        <v>45655</v>
      </c>
      <c r="C394" s="2" t="s">
        <v>728</v>
      </c>
      <c r="D394" s="2" t="s">
        <v>14</v>
      </c>
      <c r="E394" s="2" t="s">
        <v>130</v>
      </c>
      <c r="F394" s="4">
        <v>10</v>
      </c>
      <c r="G394" s="4">
        <v>3620</v>
      </c>
      <c r="H394" s="4">
        <v>22</v>
      </c>
      <c r="I394" s="4">
        <v>28236</v>
      </c>
      <c r="J394" s="2" t="s">
        <v>16</v>
      </c>
      <c r="K394" s="2" t="s">
        <v>17</v>
      </c>
    </row>
    <row r="395" spans="1:11" x14ac:dyDescent="0.35">
      <c r="A395" s="2" t="s">
        <v>729</v>
      </c>
      <c r="B395" s="3">
        <v>45629</v>
      </c>
      <c r="C395" s="2" t="s">
        <v>162</v>
      </c>
      <c r="D395" s="2" t="s">
        <v>26</v>
      </c>
      <c r="E395" s="2" t="s">
        <v>130</v>
      </c>
      <c r="F395" s="4">
        <v>2</v>
      </c>
      <c r="G395" s="4">
        <v>470</v>
      </c>
      <c r="H395" s="4">
        <v>26.5</v>
      </c>
      <c r="I395" s="4">
        <v>690.9</v>
      </c>
      <c r="J395" s="2" t="s">
        <v>22</v>
      </c>
      <c r="K395" s="2" t="s">
        <v>17</v>
      </c>
    </row>
    <row r="396" spans="1:11" x14ac:dyDescent="0.35">
      <c r="A396" s="2" t="s">
        <v>730</v>
      </c>
      <c r="B396" s="3">
        <v>45323</v>
      </c>
      <c r="C396" s="2" t="s">
        <v>731</v>
      </c>
      <c r="D396" s="2" t="s">
        <v>31</v>
      </c>
      <c r="E396" s="2" t="s">
        <v>61</v>
      </c>
      <c r="F396" s="4">
        <v>6</v>
      </c>
      <c r="G396" s="4">
        <v>3660</v>
      </c>
      <c r="H396" s="4">
        <v>1.5</v>
      </c>
      <c r="I396" s="4">
        <v>21630.6</v>
      </c>
      <c r="J396" s="2" t="s">
        <v>16</v>
      </c>
      <c r="K396" s="2" t="s">
        <v>23</v>
      </c>
    </row>
    <row r="397" spans="1:11" x14ac:dyDescent="0.35">
      <c r="A397" s="2" t="s">
        <v>732</v>
      </c>
      <c r="B397" s="3">
        <v>45432</v>
      </c>
      <c r="C397" s="2" t="s">
        <v>48</v>
      </c>
      <c r="D397" s="2" t="s">
        <v>444</v>
      </c>
      <c r="E397" s="2" t="s">
        <v>167</v>
      </c>
      <c r="F397" s="4">
        <v>10</v>
      </c>
      <c r="G397" s="4">
        <v>6940</v>
      </c>
      <c r="H397" s="4">
        <v>1.9</v>
      </c>
      <c r="I397" s="4">
        <v>68081.399999999994</v>
      </c>
      <c r="J397" s="2" t="s">
        <v>16</v>
      </c>
      <c r="K397" s="2" t="s">
        <v>46</v>
      </c>
    </row>
    <row r="398" spans="1:11" x14ac:dyDescent="0.35">
      <c r="A398" s="2" t="s">
        <v>733</v>
      </c>
      <c r="B398" s="3">
        <v>45397</v>
      </c>
      <c r="C398" s="2" t="s">
        <v>509</v>
      </c>
      <c r="D398" s="2" t="s">
        <v>315</v>
      </c>
      <c r="E398" s="2" t="s">
        <v>21</v>
      </c>
      <c r="F398" s="4">
        <v>8</v>
      </c>
      <c r="G398" s="4">
        <v>2290</v>
      </c>
      <c r="H398" s="4">
        <v>27.9</v>
      </c>
      <c r="I398" s="4">
        <v>13208.72</v>
      </c>
      <c r="J398" s="2" t="s">
        <v>16</v>
      </c>
      <c r="K398" s="2" t="s">
        <v>17</v>
      </c>
    </row>
    <row r="399" spans="1:11" x14ac:dyDescent="0.35">
      <c r="A399" s="2" t="s">
        <v>734</v>
      </c>
      <c r="B399" s="3">
        <v>45573</v>
      </c>
      <c r="C399" s="2" t="s">
        <v>441</v>
      </c>
      <c r="D399" s="2" t="s">
        <v>35</v>
      </c>
      <c r="E399" s="2" t="s">
        <v>45</v>
      </c>
      <c r="F399" s="4">
        <v>9</v>
      </c>
      <c r="G399" s="4">
        <v>3160</v>
      </c>
      <c r="H399" s="4">
        <v>10.199999999999999</v>
      </c>
      <c r="I399" s="4">
        <v>25539.119999999999</v>
      </c>
      <c r="J399" s="2" t="s">
        <v>16</v>
      </c>
      <c r="K399" s="2" t="s">
        <v>62</v>
      </c>
    </row>
    <row r="400" spans="1:11" x14ac:dyDescent="0.35">
      <c r="A400" s="2" t="s">
        <v>735</v>
      </c>
      <c r="B400" s="3">
        <v>45307</v>
      </c>
      <c r="C400" s="2" t="s">
        <v>736</v>
      </c>
      <c r="D400" s="2" t="s">
        <v>372</v>
      </c>
      <c r="E400" s="2" t="s">
        <v>57</v>
      </c>
      <c r="F400" s="4">
        <v>6</v>
      </c>
      <c r="G400" s="4">
        <v>5080</v>
      </c>
      <c r="H400" s="4">
        <v>25.4</v>
      </c>
      <c r="I400" s="4">
        <v>22738.080000000002</v>
      </c>
      <c r="J400" s="2" t="s">
        <v>16</v>
      </c>
      <c r="K400" s="2" t="s">
        <v>17</v>
      </c>
    </row>
    <row r="401" spans="1:11" x14ac:dyDescent="0.35">
      <c r="A401" s="2" t="s">
        <v>737</v>
      </c>
      <c r="B401" s="3">
        <v>45620</v>
      </c>
      <c r="C401" s="2" t="s">
        <v>673</v>
      </c>
      <c r="D401" s="2" t="s">
        <v>129</v>
      </c>
      <c r="E401" s="2" t="s">
        <v>254</v>
      </c>
      <c r="F401" s="4">
        <v>6</v>
      </c>
      <c r="G401" s="4">
        <v>2760</v>
      </c>
      <c r="H401" s="4">
        <v>21.3</v>
      </c>
      <c r="I401" s="4">
        <v>13032.72</v>
      </c>
      <c r="J401" s="2" t="s">
        <v>16</v>
      </c>
      <c r="K401" s="2" t="s">
        <v>62</v>
      </c>
    </row>
    <row r="402" spans="1:11" x14ac:dyDescent="0.35">
      <c r="A402" s="2" t="s">
        <v>738</v>
      </c>
      <c r="B402" s="3">
        <v>45462</v>
      </c>
      <c r="C402" s="2" t="s">
        <v>739</v>
      </c>
      <c r="D402" s="2" t="s">
        <v>196</v>
      </c>
      <c r="E402" s="2" t="s">
        <v>254</v>
      </c>
      <c r="F402" s="4">
        <v>5</v>
      </c>
      <c r="G402" s="4">
        <v>1220</v>
      </c>
      <c r="H402" s="4">
        <v>7.6</v>
      </c>
      <c r="I402" s="4">
        <v>5636.4</v>
      </c>
      <c r="J402" s="2" t="s">
        <v>16</v>
      </c>
      <c r="K402" s="2" t="s">
        <v>41</v>
      </c>
    </row>
    <row r="403" spans="1:11" x14ac:dyDescent="0.35">
      <c r="A403" s="2" t="s">
        <v>740</v>
      </c>
      <c r="B403" s="3">
        <v>45622</v>
      </c>
      <c r="C403" s="2" t="s">
        <v>230</v>
      </c>
      <c r="D403" s="2" t="s">
        <v>113</v>
      </c>
      <c r="E403" s="2" t="s">
        <v>57</v>
      </c>
      <c r="F403" s="4">
        <v>5</v>
      </c>
      <c r="G403" s="4">
        <v>4880</v>
      </c>
      <c r="H403" s="4">
        <v>8.5</v>
      </c>
      <c r="I403" s="4">
        <v>22326</v>
      </c>
      <c r="J403" s="2" t="s">
        <v>16</v>
      </c>
      <c r="K403" s="2" t="s">
        <v>23</v>
      </c>
    </row>
    <row r="404" spans="1:11" x14ac:dyDescent="0.35">
      <c r="A404" s="2" t="s">
        <v>741</v>
      </c>
      <c r="B404" s="3">
        <v>45596</v>
      </c>
      <c r="C404" s="2" t="s">
        <v>160</v>
      </c>
      <c r="D404" s="2" t="s">
        <v>193</v>
      </c>
      <c r="E404" s="2" t="s">
        <v>214</v>
      </c>
      <c r="F404" s="4">
        <v>7</v>
      </c>
      <c r="G404" s="4">
        <v>4070</v>
      </c>
      <c r="H404" s="4">
        <v>28</v>
      </c>
      <c r="I404" s="4">
        <v>20512.8</v>
      </c>
      <c r="J404" s="2" t="s">
        <v>16</v>
      </c>
      <c r="K404" s="2" t="s">
        <v>46</v>
      </c>
    </row>
    <row r="405" spans="1:11" x14ac:dyDescent="0.35">
      <c r="A405" s="2" t="s">
        <v>742</v>
      </c>
      <c r="B405" s="3">
        <v>45506</v>
      </c>
      <c r="C405" s="2" t="s">
        <v>430</v>
      </c>
      <c r="D405" s="2" t="s">
        <v>337</v>
      </c>
      <c r="E405" s="2" t="s">
        <v>57</v>
      </c>
      <c r="F405" s="4">
        <v>2</v>
      </c>
      <c r="G405" s="4">
        <v>3970</v>
      </c>
      <c r="H405" s="4">
        <v>14</v>
      </c>
      <c r="I405" s="4">
        <v>6828.4</v>
      </c>
      <c r="J405" s="2" t="s">
        <v>16</v>
      </c>
      <c r="K405" s="2" t="s">
        <v>62</v>
      </c>
    </row>
    <row r="406" spans="1:11" x14ac:dyDescent="0.35">
      <c r="A406" s="2" t="s">
        <v>743</v>
      </c>
      <c r="B406" s="3">
        <v>45349</v>
      </c>
      <c r="C406" s="2" t="s">
        <v>195</v>
      </c>
      <c r="D406" s="2" t="s">
        <v>208</v>
      </c>
      <c r="E406" s="2" t="s">
        <v>232</v>
      </c>
      <c r="F406" s="4">
        <v>9</v>
      </c>
      <c r="G406" s="4">
        <v>2660</v>
      </c>
      <c r="H406" s="4">
        <v>10.1</v>
      </c>
      <c r="I406" s="4">
        <v>21522.06</v>
      </c>
      <c r="J406" s="2" t="s">
        <v>16</v>
      </c>
      <c r="K406" s="2" t="s">
        <v>28</v>
      </c>
    </row>
    <row r="407" spans="1:11" x14ac:dyDescent="0.35">
      <c r="A407" s="2" t="s">
        <v>744</v>
      </c>
      <c r="B407" s="3">
        <v>45407</v>
      </c>
      <c r="C407" s="2" t="s">
        <v>745</v>
      </c>
      <c r="D407" s="2" t="s">
        <v>124</v>
      </c>
      <c r="E407" s="2" t="s">
        <v>214</v>
      </c>
      <c r="F407" s="4">
        <v>9</v>
      </c>
      <c r="G407" s="4">
        <v>2860</v>
      </c>
      <c r="H407" s="4">
        <v>10.1</v>
      </c>
      <c r="I407" s="4">
        <v>23140.26</v>
      </c>
      <c r="J407" s="2" t="s">
        <v>73</v>
      </c>
      <c r="K407" s="2" t="s">
        <v>17</v>
      </c>
    </row>
    <row r="408" spans="1:11" x14ac:dyDescent="0.35">
      <c r="A408" s="2" t="s">
        <v>746</v>
      </c>
      <c r="B408" s="3">
        <v>45591</v>
      </c>
      <c r="C408" s="2" t="s">
        <v>220</v>
      </c>
      <c r="D408" s="2" t="s">
        <v>196</v>
      </c>
      <c r="E408" s="2" t="s">
        <v>15</v>
      </c>
      <c r="F408" s="4">
        <v>7</v>
      </c>
      <c r="G408" s="4">
        <v>1220</v>
      </c>
      <c r="H408" s="4">
        <v>23.5</v>
      </c>
      <c r="I408" s="4">
        <v>6533.1</v>
      </c>
      <c r="J408" s="2" t="s">
        <v>73</v>
      </c>
      <c r="K408" s="2" t="s">
        <v>28</v>
      </c>
    </row>
    <row r="409" spans="1:11" x14ac:dyDescent="0.35">
      <c r="A409" s="2" t="s">
        <v>747</v>
      </c>
      <c r="B409" s="3">
        <v>45584</v>
      </c>
      <c r="C409" s="2" t="s">
        <v>363</v>
      </c>
      <c r="D409" s="2" t="s">
        <v>174</v>
      </c>
      <c r="E409" s="2" t="s">
        <v>130</v>
      </c>
      <c r="F409" s="4">
        <v>1</v>
      </c>
      <c r="G409" s="4">
        <v>2270</v>
      </c>
      <c r="H409" s="4">
        <v>5.8</v>
      </c>
      <c r="I409" s="4">
        <v>2138.34</v>
      </c>
      <c r="J409" s="2" t="s">
        <v>69</v>
      </c>
      <c r="K409" s="2" t="s">
        <v>28</v>
      </c>
    </row>
    <row r="410" spans="1:11" x14ac:dyDescent="0.35">
      <c r="A410" s="2" t="s">
        <v>748</v>
      </c>
      <c r="B410" s="3">
        <v>45581</v>
      </c>
      <c r="C410" s="2" t="s">
        <v>546</v>
      </c>
      <c r="D410" s="2" t="s">
        <v>132</v>
      </c>
      <c r="E410" s="2" t="s">
        <v>226</v>
      </c>
      <c r="F410" s="4">
        <v>2</v>
      </c>
      <c r="G410" s="4">
        <v>660</v>
      </c>
      <c r="H410" s="4">
        <v>2.2999999999999998</v>
      </c>
      <c r="I410" s="4">
        <v>1289.6400000000001</v>
      </c>
      <c r="J410" s="2" t="s">
        <v>16</v>
      </c>
      <c r="K410" s="2" t="s">
        <v>41</v>
      </c>
    </row>
    <row r="411" spans="1:11" x14ac:dyDescent="0.35">
      <c r="A411" s="2" t="s">
        <v>749</v>
      </c>
      <c r="B411" s="3">
        <v>45441</v>
      </c>
      <c r="C411" s="2" t="s">
        <v>274</v>
      </c>
      <c r="D411" s="2" t="s">
        <v>35</v>
      </c>
      <c r="E411" s="2" t="s">
        <v>27</v>
      </c>
      <c r="F411" s="4">
        <v>1</v>
      </c>
      <c r="G411" s="4">
        <v>3160</v>
      </c>
      <c r="H411" s="4">
        <v>5.6</v>
      </c>
      <c r="I411" s="4">
        <v>2983.04</v>
      </c>
      <c r="J411" s="2" t="s">
        <v>16</v>
      </c>
      <c r="K411" s="2" t="s">
        <v>23</v>
      </c>
    </row>
    <row r="412" spans="1:11" x14ac:dyDescent="0.35">
      <c r="A412" s="2" t="s">
        <v>750</v>
      </c>
      <c r="B412" s="3">
        <v>45408</v>
      </c>
      <c r="C412" s="2" t="s">
        <v>34</v>
      </c>
      <c r="D412" s="2" t="s">
        <v>67</v>
      </c>
      <c r="E412" s="2" t="s">
        <v>181</v>
      </c>
      <c r="F412" s="4">
        <v>1</v>
      </c>
      <c r="G412" s="4">
        <v>2600</v>
      </c>
      <c r="H412" s="4">
        <v>1</v>
      </c>
      <c r="I412" s="4">
        <v>2574</v>
      </c>
      <c r="J412" s="2" t="s">
        <v>16</v>
      </c>
      <c r="K412" s="2" t="s">
        <v>23</v>
      </c>
    </row>
    <row r="413" spans="1:11" x14ac:dyDescent="0.35">
      <c r="A413" s="2" t="s">
        <v>751</v>
      </c>
      <c r="B413" s="3">
        <v>45515</v>
      </c>
      <c r="C413" s="2" t="s">
        <v>752</v>
      </c>
      <c r="D413" s="2" t="s">
        <v>199</v>
      </c>
      <c r="E413" s="2" t="s">
        <v>27</v>
      </c>
      <c r="F413" s="4">
        <v>4</v>
      </c>
      <c r="G413" s="4">
        <v>4610</v>
      </c>
      <c r="H413" s="4">
        <v>18.7</v>
      </c>
      <c r="I413" s="4">
        <v>14991.72</v>
      </c>
      <c r="J413" s="2" t="s">
        <v>16</v>
      </c>
      <c r="K413" s="2" t="s">
        <v>23</v>
      </c>
    </row>
    <row r="414" spans="1:11" x14ac:dyDescent="0.35">
      <c r="A414" s="2" t="s">
        <v>753</v>
      </c>
      <c r="B414" s="3">
        <v>45412</v>
      </c>
      <c r="C414" s="2" t="s">
        <v>488</v>
      </c>
      <c r="D414" s="2" t="s">
        <v>166</v>
      </c>
      <c r="E414" s="2" t="s">
        <v>232</v>
      </c>
      <c r="F414" s="4">
        <v>3</v>
      </c>
      <c r="G414" s="4">
        <v>3640</v>
      </c>
      <c r="H414" s="4">
        <v>9.6999999999999993</v>
      </c>
      <c r="I414" s="4">
        <v>9860.76</v>
      </c>
      <c r="J414" s="2" t="s">
        <v>69</v>
      </c>
      <c r="K414" s="2" t="s">
        <v>17</v>
      </c>
    </row>
    <row r="415" spans="1:11" x14ac:dyDescent="0.35">
      <c r="A415" s="2" t="s">
        <v>754</v>
      </c>
      <c r="B415" s="3">
        <v>45448</v>
      </c>
      <c r="C415" s="2" t="s">
        <v>475</v>
      </c>
      <c r="D415" s="2" t="s">
        <v>102</v>
      </c>
      <c r="E415" s="2" t="s">
        <v>68</v>
      </c>
      <c r="F415" s="4">
        <v>6</v>
      </c>
      <c r="G415" s="4">
        <v>2720</v>
      </c>
      <c r="H415" s="4">
        <v>13</v>
      </c>
      <c r="I415" s="4">
        <v>14198.4</v>
      </c>
      <c r="J415" s="2" t="s">
        <v>22</v>
      </c>
      <c r="K415" s="2" t="s">
        <v>28</v>
      </c>
    </row>
    <row r="416" spans="1:11" x14ac:dyDescent="0.35">
      <c r="A416" s="2" t="s">
        <v>755</v>
      </c>
      <c r="B416" s="3">
        <v>45644</v>
      </c>
      <c r="C416" s="2" t="s">
        <v>459</v>
      </c>
      <c r="D416" s="2" t="s">
        <v>390</v>
      </c>
      <c r="E416" s="2" t="s">
        <v>36</v>
      </c>
      <c r="F416" s="4">
        <v>5</v>
      </c>
      <c r="G416" s="4">
        <v>3780</v>
      </c>
      <c r="H416" s="4">
        <v>15.2</v>
      </c>
      <c r="I416" s="4">
        <v>16027.2</v>
      </c>
      <c r="J416" s="2" t="s">
        <v>16</v>
      </c>
      <c r="K416" s="2" t="s">
        <v>28</v>
      </c>
    </row>
    <row r="417" spans="1:11" x14ac:dyDescent="0.35">
      <c r="A417" s="2" t="s">
        <v>756</v>
      </c>
      <c r="B417" s="3">
        <v>45407</v>
      </c>
      <c r="C417" s="2" t="s">
        <v>757</v>
      </c>
      <c r="D417" s="2" t="s">
        <v>431</v>
      </c>
      <c r="E417" s="2" t="s">
        <v>99</v>
      </c>
      <c r="F417" s="4">
        <v>9</v>
      </c>
      <c r="G417" s="4">
        <v>1090</v>
      </c>
      <c r="H417" s="4">
        <v>28.5</v>
      </c>
      <c r="I417" s="4">
        <v>7014.15</v>
      </c>
      <c r="J417" s="2" t="s">
        <v>16</v>
      </c>
      <c r="K417" s="2" t="s">
        <v>62</v>
      </c>
    </row>
    <row r="418" spans="1:11" x14ac:dyDescent="0.35">
      <c r="A418" s="2" t="s">
        <v>758</v>
      </c>
      <c r="B418" s="3">
        <v>45581</v>
      </c>
      <c r="C418" s="2" t="s">
        <v>514</v>
      </c>
      <c r="D418" s="2" t="s">
        <v>431</v>
      </c>
      <c r="E418" s="2" t="s">
        <v>57</v>
      </c>
      <c r="F418" s="4">
        <v>6</v>
      </c>
      <c r="G418" s="4">
        <v>1090</v>
      </c>
      <c r="H418" s="4">
        <v>28.7</v>
      </c>
      <c r="I418" s="4">
        <v>4663.0200000000004</v>
      </c>
      <c r="J418" s="2" t="s">
        <v>16</v>
      </c>
      <c r="K418" s="2" t="s">
        <v>23</v>
      </c>
    </row>
    <row r="419" spans="1:11" x14ac:dyDescent="0.35">
      <c r="A419" s="2" t="s">
        <v>759</v>
      </c>
      <c r="B419" s="3">
        <v>45366</v>
      </c>
      <c r="C419" s="2" t="s">
        <v>542</v>
      </c>
      <c r="D419" s="2" t="s">
        <v>284</v>
      </c>
      <c r="E419" s="2" t="s">
        <v>99</v>
      </c>
      <c r="F419" s="4">
        <v>5</v>
      </c>
      <c r="G419" s="4">
        <v>2510</v>
      </c>
      <c r="H419" s="4">
        <v>25</v>
      </c>
      <c r="I419" s="4">
        <v>9412.5</v>
      </c>
      <c r="J419" s="2" t="s">
        <v>16</v>
      </c>
      <c r="K419" s="2" t="s">
        <v>41</v>
      </c>
    </row>
    <row r="420" spans="1:11" x14ac:dyDescent="0.35">
      <c r="A420" s="2" t="s">
        <v>760</v>
      </c>
      <c r="B420" s="3">
        <v>45577</v>
      </c>
      <c r="C420" s="2" t="s">
        <v>302</v>
      </c>
      <c r="D420" s="2" t="s">
        <v>337</v>
      </c>
      <c r="E420" s="2" t="s">
        <v>61</v>
      </c>
      <c r="F420" s="4">
        <v>5</v>
      </c>
      <c r="G420" s="4">
        <v>3970</v>
      </c>
      <c r="H420" s="4">
        <v>26</v>
      </c>
      <c r="I420" s="4">
        <v>14689</v>
      </c>
      <c r="J420" s="2" t="s">
        <v>16</v>
      </c>
      <c r="K420" s="2" t="s">
        <v>17</v>
      </c>
    </row>
    <row r="421" spans="1:11" x14ac:dyDescent="0.35">
      <c r="A421" s="2" t="s">
        <v>761</v>
      </c>
      <c r="B421" s="3">
        <v>45333</v>
      </c>
      <c r="C421" s="2" t="s">
        <v>457</v>
      </c>
      <c r="D421" s="2" t="s">
        <v>193</v>
      </c>
      <c r="E421" s="2" t="s">
        <v>144</v>
      </c>
      <c r="F421" s="4">
        <v>9</v>
      </c>
      <c r="G421" s="4">
        <v>4070</v>
      </c>
      <c r="H421" s="4">
        <v>15.7</v>
      </c>
      <c r="I421" s="4">
        <v>30879.09</v>
      </c>
      <c r="J421" s="2" t="s">
        <v>16</v>
      </c>
      <c r="K421" s="2" t="s">
        <v>41</v>
      </c>
    </row>
    <row r="422" spans="1:11" x14ac:dyDescent="0.35">
      <c r="A422" s="2" t="s">
        <v>762</v>
      </c>
      <c r="B422" s="3">
        <v>45418</v>
      </c>
      <c r="C422" s="2" t="s">
        <v>183</v>
      </c>
      <c r="D422" s="2" t="s">
        <v>53</v>
      </c>
      <c r="E422" s="2" t="s">
        <v>68</v>
      </c>
      <c r="F422" s="4">
        <v>6</v>
      </c>
      <c r="G422" s="4">
        <v>5490</v>
      </c>
      <c r="H422" s="4">
        <v>8.5</v>
      </c>
      <c r="I422" s="4">
        <v>30140.1</v>
      </c>
      <c r="J422" s="2" t="s">
        <v>73</v>
      </c>
      <c r="K422" s="2" t="s">
        <v>23</v>
      </c>
    </row>
    <row r="423" spans="1:11" x14ac:dyDescent="0.35">
      <c r="A423" s="2" t="s">
        <v>763</v>
      </c>
      <c r="B423" s="3">
        <v>45615</v>
      </c>
      <c r="C423" s="2" t="s">
        <v>764</v>
      </c>
      <c r="D423" s="2" t="s">
        <v>111</v>
      </c>
      <c r="E423" s="2" t="s">
        <v>214</v>
      </c>
      <c r="F423" s="4">
        <v>9</v>
      </c>
      <c r="G423" s="4">
        <v>1010</v>
      </c>
      <c r="H423" s="4">
        <v>3.6</v>
      </c>
      <c r="I423" s="4">
        <v>8762.76</v>
      </c>
      <c r="J423" s="2" t="s">
        <v>16</v>
      </c>
      <c r="K423" s="2" t="s">
        <v>46</v>
      </c>
    </row>
    <row r="424" spans="1:11" x14ac:dyDescent="0.35">
      <c r="A424" s="2" t="s">
        <v>765</v>
      </c>
      <c r="B424" s="3">
        <v>45631</v>
      </c>
      <c r="C424" s="2" t="s">
        <v>766</v>
      </c>
      <c r="D424" s="2" t="s">
        <v>31</v>
      </c>
      <c r="E424" s="2" t="s">
        <v>36</v>
      </c>
      <c r="F424" s="4">
        <v>6</v>
      </c>
      <c r="G424" s="4">
        <v>3660</v>
      </c>
      <c r="H424" s="4">
        <v>10.8</v>
      </c>
      <c r="I424" s="4">
        <v>19588.32</v>
      </c>
      <c r="J424" s="2" t="s">
        <v>16</v>
      </c>
      <c r="K424" s="2" t="s">
        <v>46</v>
      </c>
    </row>
    <row r="425" spans="1:11" x14ac:dyDescent="0.35">
      <c r="A425" s="2" t="s">
        <v>767</v>
      </c>
      <c r="B425" s="3">
        <v>45524</v>
      </c>
      <c r="C425" s="2" t="s">
        <v>342</v>
      </c>
      <c r="D425" s="2" t="s">
        <v>86</v>
      </c>
      <c r="E425" s="2" t="s">
        <v>275</v>
      </c>
      <c r="F425" s="4">
        <v>6</v>
      </c>
      <c r="G425" s="4">
        <v>3450</v>
      </c>
      <c r="H425" s="4">
        <v>10.7</v>
      </c>
      <c r="I425" s="4">
        <v>18485.099999999999</v>
      </c>
      <c r="J425" s="2" t="s">
        <v>16</v>
      </c>
      <c r="K425" s="2" t="s">
        <v>17</v>
      </c>
    </row>
    <row r="426" spans="1:11" x14ac:dyDescent="0.35">
      <c r="A426" s="2" t="s">
        <v>768</v>
      </c>
      <c r="B426" s="3">
        <v>45379</v>
      </c>
      <c r="C426" s="2" t="s">
        <v>154</v>
      </c>
      <c r="D426" s="2" t="s">
        <v>193</v>
      </c>
      <c r="E426" s="2" t="s">
        <v>202</v>
      </c>
      <c r="F426" s="4">
        <v>10</v>
      </c>
      <c r="G426" s="4">
        <v>4070</v>
      </c>
      <c r="H426" s="4">
        <v>23.4</v>
      </c>
      <c r="I426" s="4">
        <v>31176.2</v>
      </c>
      <c r="J426" s="2" t="s">
        <v>73</v>
      </c>
      <c r="K426" s="2" t="s">
        <v>23</v>
      </c>
    </row>
    <row r="427" spans="1:11" x14ac:dyDescent="0.35">
      <c r="A427" s="2" t="s">
        <v>769</v>
      </c>
      <c r="B427" s="3">
        <v>45454</v>
      </c>
      <c r="C427" s="2" t="s">
        <v>770</v>
      </c>
      <c r="D427" s="2" t="s">
        <v>116</v>
      </c>
      <c r="E427" s="2" t="s">
        <v>40</v>
      </c>
      <c r="F427" s="4">
        <v>9</v>
      </c>
      <c r="G427" s="4">
        <v>3570</v>
      </c>
      <c r="H427" s="4">
        <v>15.2</v>
      </c>
      <c r="I427" s="4">
        <v>27246.240000000002</v>
      </c>
      <c r="J427" s="2" t="s">
        <v>16</v>
      </c>
      <c r="K427" s="2" t="s">
        <v>46</v>
      </c>
    </row>
    <row r="428" spans="1:11" x14ac:dyDescent="0.35">
      <c r="A428" s="2" t="s">
        <v>771</v>
      </c>
      <c r="B428" s="3">
        <v>45562</v>
      </c>
      <c r="C428" s="2" t="s">
        <v>48</v>
      </c>
      <c r="D428" s="2" t="s">
        <v>444</v>
      </c>
      <c r="E428" s="2" t="s">
        <v>21</v>
      </c>
      <c r="F428" s="4">
        <v>10</v>
      </c>
      <c r="G428" s="4">
        <v>6940</v>
      </c>
      <c r="H428" s="4">
        <v>21.8</v>
      </c>
      <c r="I428" s="4">
        <v>54270.8</v>
      </c>
      <c r="J428" s="2" t="s">
        <v>22</v>
      </c>
      <c r="K428" s="2" t="s">
        <v>46</v>
      </c>
    </row>
    <row r="429" spans="1:11" x14ac:dyDescent="0.35">
      <c r="A429" s="2" t="s">
        <v>772</v>
      </c>
      <c r="B429" s="3">
        <v>45489</v>
      </c>
      <c r="C429" s="2" t="s">
        <v>245</v>
      </c>
      <c r="D429" s="2" t="s">
        <v>105</v>
      </c>
      <c r="E429" s="2" t="s">
        <v>27</v>
      </c>
      <c r="F429" s="4">
        <v>9</v>
      </c>
      <c r="G429" s="4">
        <v>1650</v>
      </c>
      <c r="H429" s="4">
        <v>24.3</v>
      </c>
      <c r="I429" s="4">
        <v>11241.45</v>
      </c>
      <c r="J429" s="2" t="s">
        <v>16</v>
      </c>
      <c r="K429" s="2" t="s">
        <v>17</v>
      </c>
    </row>
    <row r="430" spans="1:11" x14ac:dyDescent="0.35">
      <c r="A430" s="2" t="s">
        <v>773</v>
      </c>
      <c r="B430" s="3">
        <v>45624</v>
      </c>
      <c r="C430" s="2" t="s">
        <v>496</v>
      </c>
      <c r="D430" s="2" t="s">
        <v>49</v>
      </c>
      <c r="E430" s="2" t="s">
        <v>27</v>
      </c>
      <c r="F430" s="4">
        <v>10</v>
      </c>
      <c r="G430" s="4">
        <v>1430</v>
      </c>
      <c r="H430" s="4">
        <v>25.2</v>
      </c>
      <c r="I430" s="4">
        <v>10696.4</v>
      </c>
      <c r="J430" s="2" t="s">
        <v>16</v>
      </c>
      <c r="K430" s="2" t="s">
        <v>46</v>
      </c>
    </row>
    <row r="431" spans="1:11" x14ac:dyDescent="0.35">
      <c r="A431" s="2" t="s">
        <v>774</v>
      </c>
      <c r="B431" s="3">
        <v>45480</v>
      </c>
      <c r="C431" s="2" t="s">
        <v>553</v>
      </c>
      <c r="D431" s="2" t="s">
        <v>280</v>
      </c>
      <c r="E431" s="2" t="s">
        <v>61</v>
      </c>
      <c r="F431" s="4">
        <v>4</v>
      </c>
      <c r="G431" s="4">
        <v>4060</v>
      </c>
      <c r="H431" s="4">
        <v>1.6</v>
      </c>
      <c r="I431" s="4">
        <v>15980.16</v>
      </c>
      <c r="J431" s="2" t="s">
        <v>16</v>
      </c>
      <c r="K431" s="2" t="s">
        <v>17</v>
      </c>
    </row>
    <row r="432" spans="1:11" x14ac:dyDescent="0.35">
      <c r="A432" s="2" t="s">
        <v>775</v>
      </c>
      <c r="B432" s="3">
        <v>45420</v>
      </c>
      <c r="C432" s="2" t="s">
        <v>535</v>
      </c>
      <c r="D432" s="2" t="s">
        <v>39</v>
      </c>
      <c r="E432" s="2" t="s">
        <v>21</v>
      </c>
      <c r="F432" s="4">
        <v>9</v>
      </c>
      <c r="G432" s="4">
        <v>370</v>
      </c>
      <c r="H432" s="4">
        <v>17</v>
      </c>
      <c r="I432" s="4">
        <v>2763.9</v>
      </c>
      <c r="J432" s="2" t="s">
        <v>16</v>
      </c>
      <c r="K432" s="2" t="s">
        <v>41</v>
      </c>
    </row>
    <row r="433" spans="1:11" x14ac:dyDescent="0.35">
      <c r="A433" s="2" t="s">
        <v>776</v>
      </c>
      <c r="B433" s="3">
        <v>45322</v>
      </c>
      <c r="C433" s="2" t="s">
        <v>632</v>
      </c>
      <c r="D433" s="2" t="s">
        <v>188</v>
      </c>
      <c r="E433" s="2" t="s">
        <v>61</v>
      </c>
      <c r="F433" s="4">
        <v>1</v>
      </c>
      <c r="G433" s="4">
        <v>1540</v>
      </c>
      <c r="H433" s="4">
        <v>24</v>
      </c>
      <c r="I433" s="4">
        <v>1170.4000000000001</v>
      </c>
      <c r="J433" s="2" t="s">
        <v>69</v>
      </c>
      <c r="K433" s="2" t="s">
        <v>17</v>
      </c>
    </row>
    <row r="434" spans="1:11" x14ac:dyDescent="0.35">
      <c r="A434" s="2" t="s">
        <v>777</v>
      </c>
      <c r="B434" s="3">
        <v>45382</v>
      </c>
      <c r="C434" s="2" t="s">
        <v>492</v>
      </c>
      <c r="D434" s="2" t="s">
        <v>67</v>
      </c>
      <c r="E434" s="2" t="s">
        <v>40</v>
      </c>
      <c r="F434" s="4">
        <v>9</v>
      </c>
      <c r="G434" s="4">
        <v>2600</v>
      </c>
      <c r="H434" s="4">
        <v>7.7</v>
      </c>
      <c r="I434" s="4">
        <v>21598.2</v>
      </c>
      <c r="J434" s="2" t="s">
        <v>16</v>
      </c>
      <c r="K434" s="2" t="s">
        <v>17</v>
      </c>
    </row>
    <row r="435" spans="1:11" x14ac:dyDescent="0.35">
      <c r="A435" s="2" t="s">
        <v>778</v>
      </c>
      <c r="B435" s="3">
        <v>45497</v>
      </c>
      <c r="C435" s="2" t="s">
        <v>779</v>
      </c>
      <c r="D435" s="2" t="s">
        <v>284</v>
      </c>
      <c r="E435" s="2" t="s">
        <v>117</v>
      </c>
      <c r="F435" s="4">
        <v>8</v>
      </c>
      <c r="G435" s="4">
        <v>2510</v>
      </c>
      <c r="H435" s="4">
        <v>3.7</v>
      </c>
      <c r="I435" s="4">
        <v>19337.04</v>
      </c>
      <c r="J435" s="2" t="s">
        <v>16</v>
      </c>
      <c r="K435" s="2" t="s">
        <v>23</v>
      </c>
    </row>
    <row r="436" spans="1:11" x14ac:dyDescent="0.35">
      <c r="A436" s="2" t="s">
        <v>780</v>
      </c>
      <c r="B436" s="3">
        <v>45510</v>
      </c>
      <c r="C436" s="2" t="s">
        <v>553</v>
      </c>
      <c r="D436" s="2" t="s">
        <v>293</v>
      </c>
      <c r="E436" s="2" t="s">
        <v>77</v>
      </c>
      <c r="F436" s="4">
        <v>6</v>
      </c>
      <c r="G436" s="4">
        <v>5330</v>
      </c>
      <c r="H436" s="4">
        <v>8.4</v>
      </c>
      <c r="I436" s="4">
        <v>29293.68</v>
      </c>
      <c r="J436" s="2" t="s">
        <v>16</v>
      </c>
      <c r="K436" s="2" t="s">
        <v>17</v>
      </c>
    </row>
    <row r="437" spans="1:11" x14ac:dyDescent="0.35">
      <c r="A437" s="2" t="s">
        <v>781</v>
      </c>
      <c r="B437" s="3">
        <v>45522</v>
      </c>
      <c r="C437" s="2" t="s">
        <v>358</v>
      </c>
      <c r="D437" s="2" t="s">
        <v>372</v>
      </c>
      <c r="E437" s="2" t="s">
        <v>27</v>
      </c>
      <c r="F437" s="4">
        <v>5</v>
      </c>
      <c r="G437" s="4">
        <v>5080</v>
      </c>
      <c r="H437" s="4">
        <v>10.3</v>
      </c>
      <c r="I437" s="4">
        <v>22783.8</v>
      </c>
      <c r="J437" s="2" t="s">
        <v>16</v>
      </c>
      <c r="K437" s="2" t="s">
        <v>46</v>
      </c>
    </row>
    <row r="438" spans="1:11" x14ac:dyDescent="0.35">
      <c r="A438" s="2" t="s">
        <v>782</v>
      </c>
      <c r="B438" s="3">
        <v>45381</v>
      </c>
      <c r="C438" s="2" t="s">
        <v>539</v>
      </c>
      <c r="D438" s="2" t="s">
        <v>193</v>
      </c>
      <c r="E438" s="2" t="s">
        <v>40</v>
      </c>
      <c r="F438" s="4">
        <v>3</v>
      </c>
      <c r="G438" s="4">
        <v>4070</v>
      </c>
      <c r="H438" s="4">
        <v>23.7</v>
      </c>
      <c r="I438" s="4">
        <v>9316.23</v>
      </c>
      <c r="J438" s="2" t="s">
        <v>16</v>
      </c>
      <c r="K438" s="2" t="s">
        <v>46</v>
      </c>
    </row>
    <row r="439" spans="1:11" x14ac:dyDescent="0.35">
      <c r="A439" s="2" t="s">
        <v>783</v>
      </c>
      <c r="B439" s="3">
        <v>45511</v>
      </c>
      <c r="C439" s="2" t="s">
        <v>119</v>
      </c>
      <c r="D439" s="2" t="s">
        <v>221</v>
      </c>
      <c r="E439" s="2" t="s">
        <v>181</v>
      </c>
      <c r="F439" s="4">
        <v>4</v>
      </c>
      <c r="G439" s="4">
        <v>620</v>
      </c>
      <c r="H439" s="4">
        <v>18.8</v>
      </c>
      <c r="I439" s="4">
        <v>2013.76</v>
      </c>
      <c r="J439" s="2" t="s">
        <v>16</v>
      </c>
      <c r="K439" s="2" t="s">
        <v>62</v>
      </c>
    </row>
    <row r="440" spans="1:11" x14ac:dyDescent="0.35">
      <c r="A440" s="2" t="s">
        <v>784</v>
      </c>
      <c r="B440" s="3">
        <v>45628</v>
      </c>
      <c r="C440" s="2" t="s">
        <v>785</v>
      </c>
      <c r="D440" s="2" t="s">
        <v>64</v>
      </c>
      <c r="E440" s="2" t="s">
        <v>167</v>
      </c>
      <c r="F440" s="4">
        <v>10</v>
      </c>
      <c r="G440" s="4">
        <v>2640</v>
      </c>
      <c r="H440" s="4">
        <v>12.7</v>
      </c>
      <c r="I440" s="4">
        <v>23047.200000000001</v>
      </c>
      <c r="J440" s="2" t="s">
        <v>16</v>
      </c>
      <c r="K440" s="2" t="s">
        <v>17</v>
      </c>
    </row>
    <row r="441" spans="1:11" x14ac:dyDescent="0.35">
      <c r="A441" s="2" t="s">
        <v>786</v>
      </c>
      <c r="B441" s="3">
        <v>45326</v>
      </c>
      <c r="C441" s="2" t="s">
        <v>398</v>
      </c>
      <c r="D441" s="2" t="s">
        <v>193</v>
      </c>
      <c r="E441" s="2" t="s">
        <v>99</v>
      </c>
      <c r="F441" s="4">
        <v>2</v>
      </c>
      <c r="G441" s="4">
        <v>4070</v>
      </c>
      <c r="H441" s="4">
        <v>29</v>
      </c>
      <c r="I441" s="4">
        <v>5779.4</v>
      </c>
      <c r="J441" s="2" t="s">
        <v>16</v>
      </c>
      <c r="K441" s="2" t="s">
        <v>46</v>
      </c>
    </row>
    <row r="442" spans="1:11" x14ac:dyDescent="0.35">
      <c r="A442" s="2" t="s">
        <v>787</v>
      </c>
      <c r="B442" s="3">
        <v>45561</v>
      </c>
      <c r="C442" s="2" t="s">
        <v>591</v>
      </c>
      <c r="D442" s="2" t="s">
        <v>111</v>
      </c>
      <c r="E442" s="2" t="s">
        <v>15</v>
      </c>
      <c r="F442" s="4">
        <v>8</v>
      </c>
      <c r="G442" s="4">
        <v>1010</v>
      </c>
      <c r="H442" s="4">
        <v>25.4</v>
      </c>
      <c r="I442" s="4">
        <v>6027.68</v>
      </c>
      <c r="J442" s="2" t="s">
        <v>16</v>
      </c>
      <c r="K442" s="2" t="s">
        <v>23</v>
      </c>
    </row>
    <row r="443" spans="1:11" x14ac:dyDescent="0.35">
      <c r="A443" s="2" t="s">
        <v>788</v>
      </c>
      <c r="B443" s="3">
        <v>45629</v>
      </c>
      <c r="C443" s="2" t="s">
        <v>416</v>
      </c>
      <c r="D443" s="2" t="s">
        <v>72</v>
      </c>
      <c r="E443" s="2" t="s">
        <v>21</v>
      </c>
      <c r="F443" s="4">
        <v>8</v>
      </c>
      <c r="G443" s="4">
        <v>3250</v>
      </c>
      <c r="H443" s="4">
        <v>5.4</v>
      </c>
      <c r="I443" s="4">
        <v>24596</v>
      </c>
      <c r="J443" s="2" t="s">
        <v>16</v>
      </c>
      <c r="K443" s="2" t="s">
        <v>17</v>
      </c>
    </row>
    <row r="444" spans="1:11" x14ac:dyDescent="0.35">
      <c r="A444" s="2" t="s">
        <v>789</v>
      </c>
      <c r="B444" s="3">
        <v>45460</v>
      </c>
      <c r="C444" s="2" t="s">
        <v>356</v>
      </c>
      <c r="D444" s="2" t="s">
        <v>49</v>
      </c>
      <c r="E444" s="2" t="s">
        <v>133</v>
      </c>
      <c r="F444" s="4">
        <v>7</v>
      </c>
      <c r="G444" s="4">
        <v>1430</v>
      </c>
      <c r="H444" s="4">
        <v>19.3</v>
      </c>
      <c r="I444" s="4">
        <v>8078.07</v>
      </c>
      <c r="J444" s="2" t="s">
        <v>16</v>
      </c>
      <c r="K444" s="2" t="s">
        <v>17</v>
      </c>
    </row>
    <row r="445" spans="1:11" x14ac:dyDescent="0.35">
      <c r="A445" s="2" t="s">
        <v>790</v>
      </c>
      <c r="B445" s="3">
        <v>45597</v>
      </c>
      <c r="C445" s="2" t="s">
        <v>305</v>
      </c>
      <c r="D445" s="2" t="s">
        <v>205</v>
      </c>
      <c r="E445" s="2" t="s">
        <v>232</v>
      </c>
      <c r="F445" s="4">
        <v>9</v>
      </c>
      <c r="G445" s="4">
        <v>3020</v>
      </c>
      <c r="H445" s="4">
        <v>15</v>
      </c>
      <c r="I445" s="4">
        <v>23103</v>
      </c>
      <c r="J445" s="2" t="s">
        <v>16</v>
      </c>
      <c r="K445" s="2" t="s">
        <v>46</v>
      </c>
    </row>
    <row r="446" spans="1:11" x14ac:dyDescent="0.35">
      <c r="A446" s="2" t="s">
        <v>791</v>
      </c>
      <c r="B446" s="3">
        <v>45324</v>
      </c>
      <c r="C446" s="2" t="s">
        <v>792</v>
      </c>
      <c r="D446" s="2" t="s">
        <v>208</v>
      </c>
      <c r="E446" s="2" t="s">
        <v>226</v>
      </c>
      <c r="F446" s="4">
        <v>2</v>
      </c>
      <c r="G446" s="4">
        <v>2660</v>
      </c>
      <c r="H446" s="4">
        <v>21.4</v>
      </c>
      <c r="I446" s="4">
        <v>4181.5200000000004</v>
      </c>
      <c r="J446" s="2" t="s">
        <v>16</v>
      </c>
      <c r="K446" s="2" t="s">
        <v>23</v>
      </c>
    </row>
    <row r="447" spans="1:11" x14ac:dyDescent="0.35">
      <c r="A447" s="2" t="s">
        <v>793</v>
      </c>
      <c r="B447" s="3">
        <v>45490</v>
      </c>
      <c r="C447" s="2" t="s">
        <v>110</v>
      </c>
      <c r="D447" s="2" t="s">
        <v>116</v>
      </c>
      <c r="E447" s="2" t="s">
        <v>50</v>
      </c>
      <c r="F447" s="4">
        <v>10</v>
      </c>
      <c r="G447" s="4">
        <v>3570</v>
      </c>
      <c r="H447" s="4">
        <v>20.3</v>
      </c>
      <c r="I447" s="4">
        <v>28452.9</v>
      </c>
      <c r="J447" s="2" t="s">
        <v>16</v>
      </c>
      <c r="K447" s="2" t="s">
        <v>28</v>
      </c>
    </row>
    <row r="448" spans="1:11" x14ac:dyDescent="0.35">
      <c r="A448" s="2" t="s">
        <v>794</v>
      </c>
      <c r="B448" s="3">
        <v>45330</v>
      </c>
      <c r="C448" s="2" t="s">
        <v>126</v>
      </c>
      <c r="D448" s="2" t="s">
        <v>108</v>
      </c>
      <c r="E448" s="2" t="s">
        <v>61</v>
      </c>
      <c r="F448" s="4">
        <v>4</v>
      </c>
      <c r="G448" s="4">
        <v>3350</v>
      </c>
      <c r="H448" s="4">
        <v>28.1</v>
      </c>
      <c r="I448" s="4">
        <v>9634.6</v>
      </c>
      <c r="J448" s="2" t="s">
        <v>16</v>
      </c>
      <c r="K448" s="2" t="s">
        <v>17</v>
      </c>
    </row>
    <row r="449" spans="1:11" x14ac:dyDescent="0.35">
      <c r="A449" s="2" t="s">
        <v>795</v>
      </c>
      <c r="B449" s="3">
        <v>45336</v>
      </c>
      <c r="C449" s="2" t="s">
        <v>30</v>
      </c>
      <c r="D449" s="2" t="s">
        <v>96</v>
      </c>
      <c r="E449" s="2" t="s">
        <v>87</v>
      </c>
      <c r="F449" s="4">
        <v>1</v>
      </c>
      <c r="G449" s="4">
        <v>2480</v>
      </c>
      <c r="H449" s="4">
        <v>13.5</v>
      </c>
      <c r="I449" s="4">
        <v>2145.1999999999998</v>
      </c>
      <c r="J449" s="2" t="s">
        <v>16</v>
      </c>
      <c r="K449" s="2" t="s">
        <v>28</v>
      </c>
    </row>
    <row r="450" spans="1:11" x14ac:dyDescent="0.35">
      <c r="A450" s="2" t="s">
        <v>796</v>
      </c>
      <c r="B450" s="3">
        <v>45649</v>
      </c>
      <c r="C450" s="2" t="s">
        <v>797</v>
      </c>
      <c r="D450" s="2" t="s">
        <v>289</v>
      </c>
      <c r="E450" s="2" t="s">
        <v>117</v>
      </c>
      <c r="F450" s="4">
        <v>10</v>
      </c>
      <c r="G450" s="4">
        <v>5410</v>
      </c>
      <c r="H450" s="4">
        <v>26.1</v>
      </c>
      <c r="I450" s="4">
        <v>39979.9</v>
      </c>
      <c r="J450" s="2" t="s">
        <v>16</v>
      </c>
      <c r="K450" s="2" t="s">
        <v>28</v>
      </c>
    </row>
    <row r="451" spans="1:11" x14ac:dyDescent="0.35">
      <c r="A451" s="2" t="s">
        <v>798</v>
      </c>
      <c r="B451" s="3">
        <v>45586</v>
      </c>
      <c r="C451" s="2" t="s">
        <v>799</v>
      </c>
      <c r="D451" s="2" t="s">
        <v>132</v>
      </c>
      <c r="E451" s="2" t="s">
        <v>83</v>
      </c>
      <c r="F451" s="4">
        <v>2</v>
      </c>
      <c r="G451" s="4">
        <v>660</v>
      </c>
      <c r="H451" s="4">
        <v>5</v>
      </c>
      <c r="I451" s="4">
        <v>1254</v>
      </c>
      <c r="J451" s="2" t="s">
        <v>16</v>
      </c>
      <c r="K451" s="2" t="s">
        <v>46</v>
      </c>
    </row>
    <row r="452" spans="1:11" x14ac:dyDescent="0.35">
      <c r="A452" s="2" t="s">
        <v>800</v>
      </c>
      <c r="B452" s="3">
        <v>45647</v>
      </c>
      <c r="C452" s="2" t="s">
        <v>801</v>
      </c>
      <c r="D452" s="2" t="s">
        <v>111</v>
      </c>
      <c r="E452" s="2" t="s">
        <v>15</v>
      </c>
      <c r="F452" s="4">
        <v>10</v>
      </c>
      <c r="G452" s="4">
        <v>1010</v>
      </c>
      <c r="H452" s="4">
        <v>10</v>
      </c>
      <c r="I452" s="4">
        <v>9090</v>
      </c>
      <c r="J452" s="2" t="s">
        <v>16</v>
      </c>
      <c r="K452" s="2" t="s">
        <v>41</v>
      </c>
    </row>
    <row r="453" spans="1:11" x14ac:dyDescent="0.35">
      <c r="A453" s="2" t="s">
        <v>802</v>
      </c>
      <c r="B453" s="3">
        <v>45496</v>
      </c>
      <c r="C453" s="2" t="s">
        <v>803</v>
      </c>
      <c r="D453" s="2" t="s">
        <v>315</v>
      </c>
      <c r="E453" s="2" t="s">
        <v>144</v>
      </c>
      <c r="F453" s="4">
        <v>3</v>
      </c>
      <c r="G453" s="4">
        <v>2290</v>
      </c>
      <c r="H453" s="4">
        <v>8.9</v>
      </c>
      <c r="I453" s="4">
        <v>6258.57</v>
      </c>
      <c r="J453" s="2" t="s">
        <v>16</v>
      </c>
      <c r="K453" s="2" t="s">
        <v>41</v>
      </c>
    </row>
    <row r="454" spans="1:11" x14ac:dyDescent="0.35">
      <c r="A454" s="2" t="s">
        <v>804</v>
      </c>
      <c r="B454" s="3">
        <v>45369</v>
      </c>
      <c r="C454" s="2" t="s">
        <v>643</v>
      </c>
      <c r="D454" s="2" t="s">
        <v>86</v>
      </c>
      <c r="E454" s="2" t="s">
        <v>144</v>
      </c>
      <c r="F454" s="4">
        <v>9</v>
      </c>
      <c r="G454" s="4">
        <v>3450</v>
      </c>
      <c r="H454" s="4">
        <v>24.3</v>
      </c>
      <c r="I454" s="4">
        <v>23504.85</v>
      </c>
      <c r="J454" s="2" t="s">
        <v>16</v>
      </c>
      <c r="K454" s="2" t="s">
        <v>28</v>
      </c>
    </row>
    <row r="455" spans="1:11" x14ac:dyDescent="0.35">
      <c r="A455" s="2" t="s">
        <v>805</v>
      </c>
      <c r="B455" s="3">
        <v>45389</v>
      </c>
      <c r="C455" s="2" t="s">
        <v>218</v>
      </c>
      <c r="D455" s="2" t="s">
        <v>166</v>
      </c>
      <c r="E455" s="2" t="s">
        <v>77</v>
      </c>
      <c r="F455" s="4">
        <v>10</v>
      </c>
      <c r="G455" s="4">
        <v>3640</v>
      </c>
      <c r="H455" s="4">
        <v>21.4</v>
      </c>
      <c r="I455" s="4">
        <v>28610.400000000001</v>
      </c>
      <c r="J455" s="2" t="s">
        <v>69</v>
      </c>
      <c r="K455" s="2" t="s">
        <v>23</v>
      </c>
    </row>
    <row r="456" spans="1:11" x14ac:dyDescent="0.35">
      <c r="A456" s="2" t="s">
        <v>806</v>
      </c>
      <c r="B456" s="3">
        <v>45336</v>
      </c>
      <c r="C456" s="2" t="s">
        <v>807</v>
      </c>
      <c r="D456" s="2" t="s">
        <v>296</v>
      </c>
      <c r="E456" s="2" t="s">
        <v>117</v>
      </c>
      <c r="F456" s="4">
        <v>5</v>
      </c>
      <c r="G456" s="4">
        <v>2380</v>
      </c>
      <c r="H456" s="4">
        <v>12.2</v>
      </c>
      <c r="I456" s="4">
        <v>10448.200000000001</v>
      </c>
      <c r="J456" s="2" t="s">
        <v>16</v>
      </c>
      <c r="K456" s="2" t="s">
        <v>41</v>
      </c>
    </row>
    <row r="457" spans="1:11" x14ac:dyDescent="0.35">
      <c r="A457" s="2" t="s">
        <v>808</v>
      </c>
      <c r="B457" s="3">
        <v>45505</v>
      </c>
      <c r="C457" s="2" t="s">
        <v>468</v>
      </c>
      <c r="D457" s="2" t="s">
        <v>289</v>
      </c>
      <c r="E457" s="2" t="s">
        <v>167</v>
      </c>
      <c r="F457" s="4">
        <v>10</v>
      </c>
      <c r="G457" s="4">
        <v>5410</v>
      </c>
      <c r="H457" s="4">
        <v>29.8</v>
      </c>
      <c r="I457" s="4">
        <v>37978.199999999997</v>
      </c>
      <c r="J457" s="2" t="s">
        <v>16</v>
      </c>
      <c r="K457" s="2" t="s">
        <v>62</v>
      </c>
    </row>
    <row r="458" spans="1:11" x14ac:dyDescent="0.35">
      <c r="A458" s="2" t="s">
        <v>809</v>
      </c>
      <c r="B458" s="3">
        <v>45375</v>
      </c>
      <c r="C458" s="2" t="s">
        <v>801</v>
      </c>
      <c r="D458" s="2" t="s">
        <v>105</v>
      </c>
      <c r="E458" s="2" t="s">
        <v>87</v>
      </c>
      <c r="F458" s="4">
        <v>3</v>
      </c>
      <c r="G458" s="4">
        <v>1650</v>
      </c>
      <c r="H458" s="4">
        <v>9.4</v>
      </c>
      <c r="I458" s="4">
        <v>4484.7</v>
      </c>
      <c r="J458" s="2" t="s">
        <v>69</v>
      </c>
      <c r="K458" s="2" t="s">
        <v>41</v>
      </c>
    </row>
    <row r="459" spans="1:11" x14ac:dyDescent="0.35">
      <c r="A459" s="2" t="s">
        <v>810</v>
      </c>
      <c r="B459" s="3">
        <v>45383</v>
      </c>
      <c r="C459" s="2" t="s">
        <v>811</v>
      </c>
      <c r="D459" s="2" t="s">
        <v>67</v>
      </c>
      <c r="E459" s="2" t="s">
        <v>214</v>
      </c>
      <c r="F459" s="4">
        <v>7</v>
      </c>
      <c r="G459" s="4">
        <v>2600</v>
      </c>
      <c r="H459" s="4">
        <v>19.899999999999999</v>
      </c>
      <c r="I459" s="4">
        <v>14578.2</v>
      </c>
      <c r="J459" s="2" t="s">
        <v>22</v>
      </c>
      <c r="K459" s="2" t="s">
        <v>41</v>
      </c>
    </row>
    <row r="460" spans="1:11" x14ac:dyDescent="0.35">
      <c r="A460" s="2" t="s">
        <v>350</v>
      </c>
      <c r="B460" s="3">
        <v>45474</v>
      </c>
      <c r="C460" s="2" t="s">
        <v>812</v>
      </c>
      <c r="D460" s="2" t="s">
        <v>199</v>
      </c>
      <c r="E460" s="2" t="s">
        <v>226</v>
      </c>
      <c r="F460" s="4">
        <v>4</v>
      </c>
      <c r="G460" s="4">
        <v>4610</v>
      </c>
      <c r="H460" s="4">
        <v>13.2</v>
      </c>
      <c r="I460" s="4">
        <v>16005.92</v>
      </c>
      <c r="J460" s="2" t="s">
        <v>16</v>
      </c>
      <c r="K460" s="2" t="s">
        <v>62</v>
      </c>
    </row>
    <row r="461" spans="1:11" x14ac:dyDescent="0.35">
      <c r="A461" s="2" t="s">
        <v>813</v>
      </c>
      <c r="B461" s="3">
        <v>45361</v>
      </c>
      <c r="C461" s="2" t="s">
        <v>192</v>
      </c>
      <c r="D461" s="2" t="s">
        <v>199</v>
      </c>
      <c r="E461" s="2" t="s">
        <v>87</v>
      </c>
      <c r="F461" s="4">
        <v>9</v>
      </c>
      <c r="G461" s="4">
        <v>4610</v>
      </c>
      <c r="H461" s="4">
        <v>25.8</v>
      </c>
      <c r="I461" s="4">
        <v>30785.58</v>
      </c>
      <c r="J461" s="2" t="s">
        <v>16</v>
      </c>
      <c r="K461" s="2" t="s">
        <v>62</v>
      </c>
    </row>
    <row r="462" spans="1:11" x14ac:dyDescent="0.35">
      <c r="A462" s="2" t="s">
        <v>814</v>
      </c>
      <c r="B462" s="3">
        <v>45550</v>
      </c>
      <c r="C462" s="2" t="s">
        <v>815</v>
      </c>
      <c r="D462" s="2" t="s">
        <v>211</v>
      </c>
      <c r="E462" s="2" t="s">
        <v>27</v>
      </c>
      <c r="F462" s="4">
        <v>5</v>
      </c>
      <c r="G462" s="4">
        <v>300</v>
      </c>
      <c r="H462" s="4">
        <v>11.8</v>
      </c>
      <c r="I462" s="4">
        <v>1323</v>
      </c>
      <c r="J462" s="2" t="s">
        <v>16</v>
      </c>
      <c r="K462" s="2" t="s">
        <v>23</v>
      </c>
    </row>
    <row r="463" spans="1:11" x14ac:dyDescent="0.35">
      <c r="A463" s="2" t="s">
        <v>816</v>
      </c>
      <c r="B463" s="3">
        <v>45485</v>
      </c>
      <c r="C463" s="2" t="s">
        <v>724</v>
      </c>
      <c r="D463" s="2" t="s">
        <v>381</v>
      </c>
      <c r="E463" s="2" t="s">
        <v>121</v>
      </c>
      <c r="F463" s="4">
        <v>3</v>
      </c>
      <c r="G463" s="4">
        <v>3450</v>
      </c>
      <c r="H463" s="4">
        <v>14.2</v>
      </c>
      <c r="I463" s="4">
        <v>8880.2999999999993</v>
      </c>
      <c r="J463" s="2" t="s">
        <v>16</v>
      </c>
      <c r="K463" s="2" t="s">
        <v>23</v>
      </c>
    </row>
    <row r="464" spans="1:11" x14ac:dyDescent="0.35">
      <c r="A464" s="2" t="s">
        <v>817</v>
      </c>
      <c r="B464" s="3">
        <v>45523</v>
      </c>
      <c r="C464" s="2" t="s">
        <v>518</v>
      </c>
      <c r="D464" s="2" t="s">
        <v>102</v>
      </c>
      <c r="E464" s="2" t="s">
        <v>57</v>
      </c>
      <c r="F464" s="4">
        <v>2</v>
      </c>
      <c r="G464" s="4">
        <v>2720</v>
      </c>
      <c r="H464" s="4">
        <v>14.6</v>
      </c>
      <c r="I464" s="4">
        <v>4645.76</v>
      </c>
      <c r="J464" s="2" t="s">
        <v>69</v>
      </c>
      <c r="K464" s="2" t="s">
        <v>23</v>
      </c>
    </row>
    <row r="465" spans="1:11" x14ac:dyDescent="0.35">
      <c r="A465" s="2" t="s">
        <v>818</v>
      </c>
      <c r="B465" s="3">
        <v>45626</v>
      </c>
      <c r="C465" s="2" t="s">
        <v>598</v>
      </c>
      <c r="D465" s="2" t="s">
        <v>208</v>
      </c>
      <c r="E465" s="2" t="s">
        <v>167</v>
      </c>
      <c r="F465" s="4">
        <v>7</v>
      </c>
      <c r="G465" s="4">
        <v>2660</v>
      </c>
      <c r="H465" s="4">
        <v>27.4</v>
      </c>
      <c r="I465" s="4">
        <v>13518.12</v>
      </c>
      <c r="J465" s="2" t="s">
        <v>69</v>
      </c>
      <c r="K465" s="2" t="s">
        <v>62</v>
      </c>
    </row>
    <row r="466" spans="1:11" x14ac:dyDescent="0.35">
      <c r="A466" s="2" t="s">
        <v>819</v>
      </c>
      <c r="B466" s="3">
        <v>45302</v>
      </c>
      <c r="C466" s="2" t="s">
        <v>544</v>
      </c>
      <c r="D466" s="2" t="s">
        <v>90</v>
      </c>
      <c r="E466" s="2" t="s">
        <v>21</v>
      </c>
      <c r="F466" s="4">
        <v>8</v>
      </c>
      <c r="G466" s="4">
        <v>3450</v>
      </c>
      <c r="H466" s="4">
        <v>20.399999999999999</v>
      </c>
      <c r="I466" s="4">
        <v>21969.599999999999</v>
      </c>
      <c r="J466" s="2" t="s">
        <v>16</v>
      </c>
      <c r="K466" s="2" t="s">
        <v>41</v>
      </c>
    </row>
    <row r="467" spans="1:11" x14ac:dyDescent="0.35">
      <c r="A467" s="2" t="s">
        <v>820</v>
      </c>
      <c r="B467" s="3">
        <v>45427</v>
      </c>
      <c r="C467" s="2" t="s">
        <v>411</v>
      </c>
      <c r="D467" s="2" t="s">
        <v>289</v>
      </c>
      <c r="E467" s="2" t="s">
        <v>275</v>
      </c>
      <c r="F467" s="4">
        <v>2</v>
      </c>
      <c r="G467" s="4">
        <v>5410</v>
      </c>
      <c r="H467" s="4">
        <v>7.2</v>
      </c>
      <c r="I467" s="4">
        <v>10040.959999999999</v>
      </c>
      <c r="J467" s="2" t="s">
        <v>16</v>
      </c>
      <c r="K467" s="2" t="s">
        <v>62</v>
      </c>
    </row>
    <row r="468" spans="1:11" x14ac:dyDescent="0.35">
      <c r="A468" s="2" t="s">
        <v>821</v>
      </c>
      <c r="B468" s="3">
        <v>45315</v>
      </c>
      <c r="C468" s="2" t="s">
        <v>518</v>
      </c>
      <c r="D468" s="2" t="s">
        <v>177</v>
      </c>
      <c r="E468" s="2" t="s">
        <v>181</v>
      </c>
      <c r="F468" s="4">
        <v>3</v>
      </c>
      <c r="G468" s="4">
        <v>3870</v>
      </c>
      <c r="H468" s="4">
        <v>4.2</v>
      </c>
      <c r="I468" s="4">
        <v>11122.38</v>
      </c>
      <c r="J468" s="2" t="s">
        <v>16</v>
      </c>
      <c r="K468" s="2" t="s">
        <v>23</v>
      </c>
    </row>
    <row r="469" spans="1:11" x14ac:dyDescent="0.35">
      <c r="A469" s="2" t="s">
        <v>822</v>
      </c>
      <c r="B469" s="3">
        <v>45328</v>
      </c>
      <c r="C469" s="2" t="s">
        <v>245</v>
      </c>
      <c r="D469" s="2" t="s">
        <v>60</v>
      </c>
      <c r="E469" s="2" t="s">
        <v>21</v>
      </c>
      <c r="F469" s="4">
        <v>10</v>
      </c>
      <c r="G469" s="4">
        <v>2270</v>
      </c>
      <c r="H469" s="4">
        <v>17.3</v>
      </c>
      <c r="I469" s="4">
        <v>18772.900000000001</v>
      </c>
      <c r="J469" s="2" t="s">
        <v>16</v>
      </c>
      <c r="K469" s="2" t="s">
        <v>17</v>
      </c>
    </row>
    <row r="470" spans="1:11" x14ac:dyDescent="0.35">
      <c r="A470" s="2" t="s">
        <v>823</v>
      </c>
      <c r="B470" s="3">
        <v>45394</v>
      </c>
      <c r="C470" s="2" t="s">
        <v>824</v>
      </c>
      <c r="D470" s="2" t="s">
        <v>293</v>
      </c>
      <c r="E470" s="2" t="s">
        <v>40</v>
      </c>
      <c r="F470" s="4">
        <v>1</v>
      </c>
      <c r="G470" s="4">
        <v>5330</v>
      </c>
      <c r="H470" s="4">
        <v>24.2</v>
      </c>
      <c r="I470" s="4">
        <v>4040.14</v>
      </c>
      <c r="J470" s="2" t="s">
        <v>16</v>
      </c>
      <c r="K470" s="2" t="s">
        <v>46</v>
      </c>
    </row>
    <row r="471" spans="1:11" x14ac:dyDescent="0.35">
      <c r="A471" s="2" t="s">
        <v>825</v>
      </c>
      <c r="B471" s="3">
        <v>45414</v>
      </c>
      <c r="C471" s="2" t="s">
        <v>48</v>
      </c>
      <c r="D471" s="2" t="s">
        <v>108</v>
      </c>
      <c r="E471" s="2" t="s">
        <v>117</v>
      </c>
      <c r="F471" s="4">
        <v>2</v>
      </c>
      <c r="G471" s="4">
        <v>3350</v>
      </c>
      <c r="H471" s="4">
        <v>23.4</v>
      </c>
      <c r="I471" s="4">
        <v>5132.2</v>
      </c>
      <c r="J471" s="2" t="s">
        <v>16</v>
      </c>
      <c r="K471" s="2" t="s">
        <v>46</v>
      </c>
    </row>
    <row r="472" spans="1:11" x14ac:dyDescent="0.35">
      <c r="A472" s="2" t="s">
        <v>826</v>
      </c>
      <c r="B472" s="3">
        <v>45393</v>
      </c>
      <c r="C472" s="2" t="s">
        <v>752</v>
      </c>
      <c r="D472" s="2" t="s">
        <v>205</v>
      </c>
      <c r="E472" s="2" t="s">
        <v>32</v>
      </c>
      <c r="F472" s="4">
        <v>7</v>
      </c>
      <c r="G472" s="4">
        <v>3020</v>
      </c>
      <c r="H472" s="4">
        <v>23.7</v>
      </c>
      <c r="I472" s="4">
        <v>16129.82</v>
      </c>
      <c r="J472" s="2" t="s">
        <v>16</v>
      </c>
      <c r="K472" s="2" t="s">
        <v>23</v>
      </c>
    </row>
    <row r="473" spans="1:11" x14ac:dyDescent="0.35">
      <c r="A473" s="2" t="s">
        <v>827</v>
      </c>
      <c r="B473" s="3">
        <v>45535</v>
      </c>
      <c r="C473" s="2" t="s">
        <v>494</v>
      </c>
      <c r="D473" s="2" t="s">
        <v>35</v>
      </c>
      <c r="E473" s="2" t="s">
        <v>121</v>
      </c>
      <c r="F473" s="4">
        <v>7</v>
      </c>
      <c r="G473" s="4">
        <v>3160</v>
      </c>
      <c r="H473" s="4">
        <v>22.8</v>
      </c>
      <c r="I473" s="4">
        <v>17076.64</v>
      </c>
      <c r="J473" s="2" t="s">
        <v>16</v>
      </c>
      <c r="K473" s="2" t="s">
        <v>41</v>
      </c>
    </row>
    <row r="474" spans="1:11" x14ac:dyDescent="0.35">
      <c r="A474" s="2" t="s">
        <v>828</v>
      </c>
      <c r="B474" s="3">
        <v>45541</v>
      </c>
      <c r="C474" s="2" t="s">
        <v>829</v>
      </c>
      <c r="D474" s="2" t="s">
        <v>26</v>
      </c>
      <c r="E474" s="2" t="s">
        <v>121</v>
      </c>
      <c r="F474" s="4">
        <v>2</v>
      </c>
      <c r="G474" s="4">
        <v>470</v>
      </c>
      <c r="H474" s="4">
        <v>28.8</v>
      </c>
      <c r="I474" s="4">
        <v>669.28</v>
      </c>
      <c r="J474" s="2" t="s">
        <v>69</v>
      </c>
      <c r="K474" s="2" t="s">
        <v>46</v>
      </c>
    </row>
    <row r="475" spans="1:11" x14ac:dyDescent="0.35">
      <c r="A475" s="2" t="s">
        <v>830</v>
      </c>
      <c r="B475" s="3">
        <v>45454</v>
      </c>
      <c r="C475" s="2" t="s">
        <v>831</v>
      </c>
      <c r="D475" s="2" t="s">
        <v>72</v>
      </c>
      <c r="E475" s="2" t="s">
        <v>87</v>
      </c>
      <c r="F475" s="4">
        <v>2</v>
      </c>
      <c r="G475" s="4">
        <v>3250</v>
      </c>
      <c r="H475" s="4">
        <v>24.7</v>
      </c>
      <c r="I475" s="4">
        <v>4894.5</v>
      </c>
      <c r="J475" s="2" t="s">
        <v>16</v>
      </c>
      <c r="K475" s="2" t="s">
        <v>41</v>
      </c>
    </row>
    <row r="476" spans="1:11" x14ac:dyDescent="0.35">
      <c r="A476" s="2" t="s">
        <v>832</v>
      </c>
      <c r="B476" s="3">
        <v>45631</v>
      </c>
      <c r="C476" s="2" t="s">
        <v>319</v>
      </c>
      <c r="D476" s="2" t="s">
        <v>111</v>
      </c>
      <c r="E476" s="2" t="s">
        <v>83</v>
      </c>
      <c r="F476" s="4">
        <v>2</v>
      </c>
      <c r="G476" s="4">
        <v>1010</v>
      </c>
      <c r="H476" s="4">
        <v>5.2</v>
      </c>
      <c r="I476" s="4">
        <v>1914.96</v>
      </c>
      <c r="J476" s="2" t="s">
        <v>69</v>
      </c>
      <c r="K476" s="2" t="s">
        <v>17</v>
      </c>
    </row>
    <row r="477" spans="1:11" x14ac:dyDescent="0.35">
      <c r="A477" s="2" t="s">
        <v>833</v>
      </c>
      <c r="B477" s="3">
        <v>45588</v>
      </c>
      <c r="C477" s="2" t="s">
        <v>834</v>
      </c>
      <c r="D477" s="2" t="s">
        <v>211</v>
      </c>
      <c r="E477" s="2" t="s">
        <v>144</v>
      </c>
      <c r="F477" s="4">
        <v>9</v>
      </c>
      <c r="G477" s="4">
        <v>300</v>
      </c>
      <c r="H477" s="4">
        <v>7.9</v>
      </c>
      <c r="I477" s="4">
        <v>2486.6999999999998</v>
      </c>
      <c r="J477" s="2" t="s">
        <v>16</v>
      </c>
      <c r="K477" s="2" t="s">
        <v>41</v>
      </c>
    </row>
    <row r="478" spans="1:11" x14ac:dyDescent="0.35">
      <c r="A478" s="2" t="s">
        <v>835</v>
      </c>
      <c r="B478" s="3">
        <v>45469</v>
      </c>
      <c r="C478" s="2" t="s">
        <v>632</v>
      </c>
      <c r="D478" s="2" t="s">
        <v>120</v>
      </c>
      <c r="E478" s="2" t="s">
        <v>32</v>
      </c>
      <c r="F478" s="4">
        <v>10</v>
      </c>
      <c r="G478" s="4">
        <v>5100</v>
      </c>
      <c r="H478" s="4">
        <v>26.3</v>
      </c>
      <c r="I478" s="4">
        <v>37587</v>
      </c>
      <c r="J478" s="2" t="s">
        <v>22</v>
      </c>
      <c r="K478" s="2" t="s">
        <v>17</v>
      </c>
    </row>
    <row r="479" spans="1:11" x14ac:dyDescent="0.35">
      <c r="A479" s="2" t="s">
        <v>836</v>
      </c>
      <c r="B479" s="3">
        <v>45552</v>
      </c>
      <c r="C479" s="2" t="s">
        <v>837</v>
      </c>
      <c r="D479" s="2" t="s">
        <v>108</v>
      </c>
      <c r="E479" s="2" t="s">
        <v>57</v>
      </c>
      <c r="F479" s="4">
        <v>1</v>
      </c>
      <c r="G479" s="4">
        <v>3350</v>
      </c>
      <c r="H479" s="4">
        <v>8.5</v>
      </c>
      <c r="I479" s="4">
        <v>3065.25</v>
      </c>
      <c r="J479" s="2" t="s">
        <v>69</v>
      </c>
      <c r="K479" s="2" t="s">
        <v>62</v>
      </c>
    </row>
    <row r="480" spans="1:11" x14ac:dyDescent="0.35">
      <c r="A480" s="2" t="s">
        <v>838</v>
      </c>
      <c r="B480" s="3">
        <v>45554</v>
      </c>
      <c r="C480" s="2" t="s">
        <v>839</v>
      </c>
      <c r="D480" s="2" t="s">
        <v>72</v>
      </c>
      <c r="E480" s="2" t="s">
        <v>214</v>
      </c>
      <c r="F480" s="4">
        <v>2</v>
      </c>
      <c r="G480" s="4">
        <v>3250</v>
      </c>
      <c r="H480" s="4">
        <v>25.7</v>
      </c>
      <c r="I480" s="4">
        <v>4829.5</v>
      </c>
      <c r="J480" s="2" t="s">
        <v>73</v>
      </c>
      <c r="K480" s="2" t="s">
        <v>28</v>
      </c>
    </row>
    <row r="481" spans="1:11" x14ac:dyDescent="0.35">
      <c r="A481" s="2" t="s">
        <v>840</v>
      </c>
      <c r="B481" s="3">
        <v>45352</v>
      </c>
      <c r="C481" s="2" t="s">
        <v>75</v>
      </c>
      <c r="D481" s="2" t="s">
        <v>31</v>
      </c>
      <c r="E481" s="2" t="s">
        <v>36</v>
      </c>
      <c r="F481" s="4">
        <v>10</v>
      </c>
      <c r="G481" s="4">
        <v>3660</v>
      </c>
      <c r="H481" s="4">
        <v>12</v>
      </c>
      <c r="I481" s="4">
        <v>32208</v>
      </c>
      <c r="J481" s="2" t="s">
        <v>16</v>
      </c>
      <c r="K481" s="2" t="s">
        <v>17</v>
      </c>
    </row>
    <row r="482" spans="1:11" x14ac:dyDescent="0.35">
      <c r="A482" s="2" t="s">
        <v>841</v>
      </c>
      <c r="B482" s="3">
        <v>45521</v>
      </c>
      <c r="C482" s="2" t="s">
        <v>146</v>
      </c>
      <c r="D482" s="2" t="s">
        <v>80</v>
      </c>
      <c r="E482" s="2" t="s">
        <v>133</v>
      </c>
      <c r="F482" s="4">
        <v>1</v>
      </c>
      <c r="G482" s="4">
        <v>2400</v>
      </c>
      <c r="H482" s="4">
        <v>24.5</v>
      </c>
      <c r="I482" s="4">
        <v>1812</v>
      </c>
      <c r="J482" s="2" t="s">
        <v>16</v>
      </c>
      <c r="K482" s="2" t="s">
        <v>23</v>
      </c>
    </row>
    <row r="483" spans="1:11" x14ac:dyDescent="0.35">
      <c r="A483" s="2" t="s">
        <v>842</v>
      </c>
      <c r="B483" s="3">
        <v>45496</v>
      </c>
      <c r="C483" s="2" t="s">
        <v>363</v>
      </c>
      <c r="D483" s="2" t="s">
        <v>431</v>
      </c>
      <c r="E483" s="2" t="s">
        <v>61</v>
      </c>
      <c r="F483" s="4">
        <v>1</v>
      </c>
      <c r="G483" s="4">
        <v>1090</v>
      </c>
      <c r="H483" s="4">
        <v>18.399999999999999</v>
      </c>
      <c r="I483" s="4">
        <v>889.44</v>
      </c>
      <c r="J483" s="2" t="s">
        <v>16</v>
      </c>
      <c r="K483" s="2" t="s">
        <v>28</v>
      </c>
    </row>
    <row r="484" spans="1:11" x14ac:dyDescent="0.35">
      <c r="A484" s="2" t="s">
        <v>843</v>
      </c>
      <c r="B484" s="3">
        <v>45404</v>
      </c>
      <c r="C484" s="2" t="s">
        <v>724</v>
      </c>
      <c r="D484" s="2" t="s">
        <v>390</v>
      </c>
      <c r="E484" s="2" t="s">
        <v>117</v>
      </c>
      <c r="F484" s="4">
        <v>6</v>
      </c>
      <c r="G484" s="4">
        <v>3780</v>
      </c>
      <c r="H484" s="4">
        <v>15.9</v>
      </c>
      <c r="I484" s="4">
        <v>19073.88</v>
      </c>
      <c r="J484" s="2" t="s">
        <v>16</v>
      </c>
      <c r="K484" s="2" t="s">
        <v>23</v>
      </c>
    </row>
    <row r="485" spans="1:11" x14ac:dyDescent="0.35">
      <c r="A485" s="2" t="s">
        <v>844</v>
      </c>
      <c r="B485" s="3">
        <v>45330</v>
      </c>
      <c r="C485" s="2" t="s">
        <v>408</v>
      </c>
      <c r="D485" s="2" t="s">
        <v>108</v>
      </c>
      <c r="E485" s="2" t="s">
        <v>50</v>
      </c>
      <c r="F485" s="4">
        <v>3</v>
      </c>
      <c r="G485" s="4">
        <v>3350</v>
      </c>
      <c r="H485" s="4">
        <v>18.8</v>
      </c>
      <c r="I485" s="4">
        <v>8160.6</v>
      </c>
      <c r="J485" s="2" t="s">
        <v>73</v>
      </c>
      <c r="K485" s="2" t="s">
        <v>17</v>
      </c>
    </row>
    <row r="486" spans="1:11" x14ac:dyDescent="0.35">
      <c r="A486" s="2" t="s">
        <v>845</v>
      </c>
      <c r="B486" s="3">
        <v>45323</v>
      </c>
      <c r="C486" s="2" t="s">
        <v>48</v>
      </c>
      <c r="D486" s="2" t="s">
        <v>93</v>
      </c>
      <c r="E486" s="2" t="s">
        <v>99</v>
      </c>
      <c r="F486" s="4">
        <v>3</v>
      </c>
      <c r="G486" s="4">
        <v>1080</v>
      </c>
      <c r="H486" s="4">
        <v>3.4</v>
      </c>
      <c r="I486" s="4">
        <v>3129.84</v>
      </c>
      <c r="J486" s="2" t="s">
        <v>16</v>
      </c>
      <c r="K486" s="2" t="s">
        <v>46</v>
      </c>
    </row>
    <row r="487" spans="1:11" x14ac:dyDescent="0.35">
      <c r="A487" s="2" t="s">
        <v>846</v>
      </c>
      <c r="B487" s="3">
        <v>45519</v>
      </c>
      <c r="C487" s="2" t="s">
        <v>247</v>
      </c>
      <c r="D487" s="2" t="s">
        <v>193</v>
      </c>
      <c r="E487" s="2" t="s">
        <v>214</v>
      </c>
      <c r="F487" s="4">
        <v>6</v>
      </c>
      <c r="G487" s="4">
        <v>4070</v>
      </c>
      <c r="H487" s="4">
        <v>27.7</v>
      </c>
      <c r="I487" s="4">
        <v>17655.66</v>
      </c>
      <c r="J487" s="2" t="s">
        <v>22</v>
      </c>
      <c r="K487" s="2" t="s">
        <v>23</v>
      </c>
    </row>
    <row r="488" spans="1:11" x14ac:dyDescent="0.35">
      <c r="A488" s="2" t="s">
        <v>847</v>
      </c>
      <c r="B488" s="3">
        <v>45514</v>
      </c>
      <c r="C488" s="2" t="s">
        <v>724</v>
      </c>
      <c r="D488" s="2" t="s">
        <v>188</v>
      </c>
      <c r="E488" s="2" t="s">
        <v>130</v>
      </c>
      <c r="F488" s="4">
        <v>5</v>
      </c>
      <c r="G488" s="4">
        <v>1540</v>
      </c>
      <c r="H488" s="4">
        <v>24.9</v>
      </c>
      <c r="I488" s="4">
        <v>5782.7</v>
      </c>
      <c r="J488" s="2" t="s">
        <v>16</v>
      </c>
      <c r="K488" s="2" t="s">
        <v>23</v>
      </c>
    </row>
    <row r="489" spans="1:11" x14ac:dyDescent="0.35">
      <c r="A489" s="2" t="s">
        <v>848</v>
      </c>
      <c r="B489" s="3">
        <v>45497</v>
      </c>
      <c r="C489" s="2" t="s">
        <v>323</v>
      </c>
      <c r="D489" s="2" t="s">
        <v>129</v>
      </c>
      <c r="E489" s="2" t="s">
        <v>57</v>
      </c>
      <c r="F489" s="4">
        <v>6</v>
      </c>
      <c r="G489" s="4">
        <v>2760</v>
      </c>
      <c r="H489" s="4">
        <v>29.9</v>
      </c>
      <c r="I489" s="4">
        <v>11608.56</v>
      </c>
      <c r="J489" s="2" t="s">
        <v>16</v>
      </c>
      <c r="K489" s="2" t="s">
        <v>46</v>
      </c>
    </row>
    <row r="490" spans="1:11" x14ac:dyDescent="0.35">
      <c r="A490" s="2" t="s">
        <v>849</v>
      </c>
      <c r="B490" s="3">
        <v>45639</v>
      </c>
      <c r="C490" s="2" t="s">
        <v>850</v>
      </c>
      <c r="D490" s="2" t="s">
        <v>337</v>
      </c>
      <c r="E490" s="2" t="s">
        <v>214</v>
      </c>
      <c r="F490" s="4">
        <v>8</v>
      </c>
      <c r="G490" s="4">
        <v>3970</v>
      </c>
      <c r="H490" s="4">
        <v>23.7</v>
      </c>
      <c r="I490" s="4">
        <v>24232.880000000001</v>
      </c>
      <c r="J490" s="2" t="s">
        <v>16</v>
      </c>
      <c r="K490" s="2" t="s">
        <v>46</v>
      </c>
    </row>
    <row r="491" spans="1:11" x14ac:dyDescent="0.35">
      <c r="A491" s="2" t="s">
        <v>851</v>
      </c>
      <c r="B491" s="3">
        <v>45562</v>
      </c>
      <c r="C491" s="2" t="s">
        <v>831</v>
      </c>
      <c r="D491" s="2" t="s">
        <v>381</v>
      </c>
      <c r="E491" s="2" t="s">
        <v>87</v>
      </c>
      <c r="F491" s="4">
        <v>1</v>
      </c>
      <c r="G491" s="4">
        <v>3450</v>
      </c>
      <c r="H491" s="4">
        <v>7.4</v>
      </c>
      <c r="I491" s="4">
        <v>3194.7</v>
      </c>
      <c r="J491" s="2" t="s">
        <v>16</v>
      </c>
      <c r="K491" s="2" t="s">
        <v>41</v>
      </c>
    </row>
    <row r="492" spans="1:11" x14ac:dyDescent="0.35">
      <c r="A492" s="2" t="s">
        <v>852</v>
      </c>
      <c r="B492" s="3">
        <v>45308</v>
      </c>
      <c r="C492" s="2" t="s">
        <v>433</v>
      </c>
      <c r="D492" s="2" t="s">
        <v>588</v>
      </c>
      <c r="E492" s="2" t="s">
        <v>21</v>
      </c>
      <c r="F492" s="4">
        <v>3</v>
      </c>
      <c r="G492" s="4">
        <v>3560</v>
      </c>
      <c r="H492" s="4">
        <v>15.2</v>
      </c>
      <c r="I492" s="4">
        <v>9056.64</v>
      </c>
      <c r="J492" s="2" t="s">
        <v>16</v>
      </c>
      <c r="K492" s="2" t="s">
        <v>46</v>
      </c>
    </row>
    <row r="493" spans="1:11" x14ac:dyDescent="0.35">
      <c r="A493" s="2" t="s">
        <v>853</v>
      </c>
      <c r="B493" s="3">
        <v>45428</v>
      </c>
      <c r="C493" s="2" t="s">
        <v>416</v>
      </c>
      <c r="D493" s="2" t="s">
        <v>116</v>
      </c>
      <c r="E493" s="2" t="s">
        <v>99</v>
      </c>
      <c r="F493" s="4">
        <v>4</v>
      </c>
      <c r="G493" s="4">
        <v>3570</v>
      </c>
      <c r="H493" s="4">
        <v>18.899999999999999</v>
      </c>
      <c r="I493" s="4">
        <v>11581.08</v>
      </c>
      <c r="J493" s="2" t="s">
        <v>16</v>
      </c>
      <c r="K493" s="2" t="s">
        <v>17</v>
      </c>
    </row>
    <row r="494" spans="1:11" x14ac:dyDescent="0.35">
      <c r="A494" s="2" t="s">
        <v>854</v>
      </c>
      <c r="B494" s="3">
        <v>45472</v>
      </c>
      <c r="C494" s="2" t="s">
        <v>436</v>
      </c>
      <c r="D494" s="2" t="s">
        <v>44</v>
      </c>
      <c r="E494" s="2" t="s">
        <v>40</v>
      </c>
      <c r="F494" s="4">
        <v>9</v>
      </c>
      <c r="G494" s="4">
        <v>960</v>
      </c>
      <c r="H494" s="4">
        <v>14</v>
      </c>
      <c r="I494" s="4">
        <v>7430.4</v>
      </c>
      <c r="J494" s="2" t="s">
        <v>73</v>
      </c>
      <c r="K494" s="2" t="s">
        <v>17</v>
      </c>
    </row>
    <row r="495" spans="1:11" x14ac:dyDescent="0.35">
      <c r="A495" s="2" t="s">
        <v>855</v>
      </c>
      <c r="B495" s="3">
        <v>45406</v>
      </c>
      <c r="C495" s="2" t="s">
        <v>632</v>
      </c>
      <c r="D495" s="2" t="s">
        <v>86</v>
      </c>
      <c r="E495" s="2" t="s">
        <v>275</v>
      </c>
      <c r="F495" s="4">
        <v>9</v>
      </c>
      <c r="G495" s="4">
        <v>3450</v>
      </c>
      <c r="H495" s="4">
        <v>6</v>
      </c>
      <c r="I495" s="4">
        <v>29187</v>
      </c>
      <c r="J495" s="2" t="s">
        <v>69</v>
      </c>
      <c r="K495" s="2" t="s">
        <v>17</v>
      </c>
    </row>
    <row r="496" spans="1:11" x14ac:dyDescent="0.35">
      <c r="A496" s="2" t="s">
        <v>856</v>
      </c>
      <c r="B496" s="3">
        <v>45457</v>
      </c>
      <c r="C496" s="2" t="s">
        <v>332</v>
      </c>
      <c r="D496" s="2" t="s">
        <v>108</v>
      </c>
      <c r="E496" s="2" t="s">
        <v>254</v>
      </c>
      <c r="F496" s="4">
        <v>7</v>
      </c>
      <c r="G496" s="4">
        <v>3350</v>
      </c>
      <c r="H496" s="4">
        <v>14</v>
      </c>
      <c r="I496" s="4">
        <v>20167</v>
      </c>
      <c r="J496" s="2" t="s">
        <v>69</v>
      </c>
      <c r="K496" s="2" t="s">
        <v>46</v>
      </c>
    </row>
    <row r="497" spans="1:11" x14ac:dyDescent="0.35">
      <c r="A497" s="2" t="s">
        <v>857</v>
      </c>
      <c r="B497" s="3">
        <v>45298</v>
      </c>
      <c r="C497" s="2" t="s">
        <v>220</v>
      </c>
      <c r="D497" s="2" t="s">
        <v>309</v>
      </c>
      <c r="E497" s="2" t="s">
        <v>68</v>
      </c>
      <c r="F497" s="4">
        <v>6</v>
      </c>
      <c r="G497" s="4">
        <v>960</v>
      </c>
      <c r="H497" s="4">
        <v>10.1</v>
      </c>
      <c r="I497" s="4">
        <v>5178.24</v>
      </c>
      <c r="J497" s="2" t="s">
        <v>16</v>
      </c>
      <c r="K497" s="2" t="s">
        <v>28</v>
      </c>
    </row>
    <row r="498" spans="1:11" x14ac:dyDescent="0.35">
      <c r="A498" s="2" t="s">
        <v>858</v>
      </c>
      <c r="B498" s="3">
        <v>45337</v>
      </c>
      <c r="C498" s="2" t="s">
        <v>66</v>
      </c>
      <c r="D498" s="2" t="s">
        <v>211</v>
      </c>
      <c r="E498" s="2" t="s">
        <v>275</v>
      </c>
      <c r="F498" s="4">
        <v>7</v>
      </c>
      <c r="G498" s="4">
        <v>300</v>
      </c>
      <c r="H498" s="4">
        <v>21.9</v>
      </c>
      <c r="I498" s="4">
        <v>1640.1</v>
      </c>
      <c r="J498" s="2" t="s">
        <v>16</v>
      </c>
      <c r="K498" s="2" t="s">
        <v>28</v>
      </c>
    </row>
    <row r="499" spans="1:11" x14ac:dyDescent="0.35">
      <c r="A499" s="2" t="s">
        <v>859</v>
      </c>
      <c r="B499" s="3">
        <v>45389</v>
      </c>
      <c r="C499" s="2" t="s">
        <v>468</v>
      </c>
      <c r="D499" s="2" t="s">
        <v>296</v>
      </c>
      <c r="E499" s="2" t="s">
        <v>50</v>
      </c>
      <c r="F499" s="4">
        <v>2</v>
      </c>
      <c r="G499" s="4">
        <v>2380</v>
      </c>
      <c r="H499" s="4">
        <v>6.8</v>
      </c>
      <c r="I499" s="4">
        <v>4436.32</v>
      </c>
      <c r="J499" s="2" t="s">
        <v>16</v>
      </c>
      <c r="K499" s="2" t="s">
        <v>62</v>
      </c>
    </row>
    <row r="500" spans="1:11" x14ac:dyDescent="0.35">
      <c r="A500" s="2" t="s">
        <v>860</v>
      </c>
      <c r="B500" s="3">
        <v>45298</v>
      </c>
      <c r="C500" s="2" t="s">
        <v>688</v>
      </c>
      <c r="D500" s="2" t="s">
        <v>44</v>
      </c>
      <c r="E500" s="2" t="s">
        <v>45</v>
      </c>
      <c r="F500" s="4">
        <v>5</v>
      </c>
      <c r="G500" s="4">
        <v>960</v>
      </c>
      <c r="H500" s="4">
        <v>15</v>
      </c>
      <c r="I500" s="4">
        <v>4080</v>
      </c>
      <c r="J500" s="2" t="s">
        <v>69</v>
      </c>
      <c r="K500" s="2" t="s">
        <v>46</v>
      </c>
    </row>
    <row r="501" spans="1:11" x14ac:dyDescent="0.35">
      <c r="A501" s="2" t="s">
        <v>861</v>
      </c>
      <c r="B501" s="3">
        <v>45577</v>
      </c>
      <c r="C501" s="2" t="s">
        <v>201</v>
      </c>
      <c r="D501" s="2" t="s">
        <v>390</v>
      </c>
      <c r="E501" s="2" t="s">
        <v>254</v>
      </c>
      <c r="F501" s="4">
        <v>10</v>
      </c>
      <c r="G501" s="4">
        <v>3780</v>
      </c>
      <c r="H501" s="4">
        <v>24.1</v>
      </c>
      <c r="I501" s="4">
        <v>28690.2</v>
      </c>
      <c r="J501" s="2" t="s">
        <v>73</v>
      </c>
      <c r="K501" s="2" t="s">
        <v>23</v>
      </c>
    </row>
    <row r="502" spans="1:11" x14ac:dyDescent="0.35">
      <c r="A502" s="2" t="s">
        <v>862</v>
      </c>
      <c r="B502" s="3">
        <v>45355</v>
      </c>
      <c r="C502" s="2" t="s">
        <v>146</v>
      </c>
      <c r="D502" s="2" t="s">
        <v>188</v>
      </c>
      <c r="E502" s="2" t="s">
        <v>121</v>
      </c>
      <c r="F502" s="4">
        <v>4</v>
      </c>
      <c r="G502" s="4">
        <v>1540</v>
      </c>
      <c r="H502" s="4">
        <v>14.2</v>
      </c>
      <c r="I502" s="4">
        <v>5285.28</v>
      </c>
      <c r="J502" s="2" t="s">
        <v>69</v>
      </c>
      <c r="K502" s="2" t="s">
        <v>23</v>
      </c>
    </row>
    <row r="503" spans="1:11" x14ac:dyDescent="0.35">
      <c r="A503" s="2" t="s">
        <v>863</v>
      </c>
      <c r="B503" s="3">
        <v>45463</v>
      </c>
      <c r="C503" s="2" t="s">
        <v>764</v>
      </c>
      <c r="D503" s="2" t="s">
        <v>284</v>
      </c>
      <c r="E503" s="2" t="s">
        <v>21</v>
      </c>
      <c r="F503" s="4">
        <v>10</v>
      </c>
      <c r="G503" s="4">
        <v>2510</v>
      </c>
      <c r="H503" s="4">
        <v>20.8</v>
      </c>
      <c r="I503" s="4">
        <v>19879.2</v>
      </c>
      <c r="J503" s="2" t="s">
        <v>16</v>
      </c>
      <c r="K503" s="2" t="s">
        <v>46</v>
      </c>
    </row>
    <row r="504" spans="1:11" x14ac:dyDescent="0.35">
      <c r="A504" s="2" t="s">
        <v>864</v>
      </c>
      <c r="B504" s="3">
        <v>45374</v>
      </c>
      <c r="C504" s="2" t="s">
        <v>317</v>
      </c>
      <c r="D504" s="2" t="s">
        <v>280</v>
      </c>
      <c r="E504" s="2" t="s">
        <v>27</v>
      </c>
      <c r="F504" s="4">
        <v>9</v>
      </c>
      <c r="G504" s="4">
        <v>4060</v>
      </c>
      <c r="H504" s="4">
        <v>27.1</v>
      </c>
      <c r="I504" s="4">
        <v>26637.66</v>
      </c>
      <c r="J504" s="2" t="s">
        <v>16</v>
      </c>
      <c r="K504" s="2" t="s">
        <v>62</v>
      </c>
    </row>
    <row r="505" spans="1:11" x14ac:dyDescent="0.35">
      <c r="A505" s="2" t="s">
        <v>865</v>
      </c>
      <c r="B505" s="3">
        <v>45638</v>
      </c>
      <c r="C505" s="2" t="s">
        <v>288</v>
      </c>
      <c r="D505" s="2" t="s">
        <v>80</v>
      </c>
      <c r="E505" s="2" t="s">
        <v>40</v>
      </c>
      <c r="F505" s="4">
        <v>4</v>
      </c>
      <c r="G505" s="4">
        <v>2400</v>
      </c>
      <c r="H505" s="4">
        <v>19.100000000000001</v>
      </c>
      <c r="I505" s="4">
        <v>7766.4</v>
      </c>
      <c r="J505" s="2" t="s">
        <v>16</v>
      </c>
      <c r="K505" s="2" t="s">
        <v>28</v>
      </c>
    </row>
    <row r="506" spans="1:11" x14ac:dyDescent="0.35">
      <c r="A506" s="2" t="s">
        <v>866</v>
      </c>
      <c r="B506" s="3">
        <v>45525</v>
      </c>
      <c r="C506" s="2" t="s">
        <v>30</v>
      </c>
      <c r="D506" s="2" t="s">
        <v>113</v>
      </c>
      <c r="E506" s="2" t="s">
        <v>214</v>
      </c>
      <c r="F506" s="4">
        <v>8</v>
      </c>
      <c r="G506" s="4">
        <v>4880</v>
      </c>
      <c r="H506" s="4">
        <v>9.1999999999999993</v>
      </c>
      <c r="I506" s="4">
        <v>35448.32</v>
      </c>
      <c r="J506" s="2" t="s">
        <v>69</v>
      </c>
      <c r="K506" s="2" t="s">
        <v>28</v>
      </c>
    </row>
    <row r="507" spans="1:11" x14ac:dyDescent="0.35">
      <c r="A507" s="2" t="s">
        <v>867</v>
      </c>
      <c r="B507" s="3">
        <v>45586</v>
      </c>
      <c r="C507" s="2" t="s">
        <v>542</v>
      </c>
      <c r="D507" s="2" t="s">
        <v>120</v>
      </c>
      <c r="E507" s="2" t="s">
        <v>50</v>
      </c>
      <c r="F507" s="4">
        <v>9</v>
      </c>
      <c r="G507" s="4">
        <v>5100</v>
      </c>
      <c r="H507" s="4">
        <v>11.1</v>
      </c>
      <c r="I507" s="4">
        <v>40805.1</v>
      </c>
      <c r="J507" s="2" t="s">
        <v>69</v>
      </c>
      <c r="K507" s="2" t="s">
        <v>41</v>
      </c>
    </row>
    <row r="508" spans="1:11" x14ac:dyDescent="0.35">
      <c r="A508" s="2" t="s">
        <v>868</v>
      </c>
      <c r="B508" s="3">
        <v>45637</v>
      </c>
      <c r="C508" s="2" t="s">
        <v>286</v>
      </c>
      <c r="D508" s="2" t="s">
        <v>211</v>
      </c>
      <c r="E508" s="2" t="s">
        <v>57</v>
      </c>
      <c r="F508" s="4">
        <v>4</v>
      </c>
      <c r="G508" s="4">
        <v>300</v>
      </c>
      <c r="H508" s="4">
        <v>16.7</v>
      </c>
      <c r="I508" s="4">
        <v>999.6</v>
      </c>
      <c r="J508" s="2" t="s">
        <v>16</v>
      </c>
      <c r="K508" s="2" t="s">
        <v>28</v>
      </c>
    </row>
    <row r="509" spans="1:11" x14ac:dyDescent="0.35">
      <c r="A509" s="2" t="s">
        <v>869</v>
      </c>
      <c r="B509" s="3">
        <v>45443</v>
      </c>
      <c r="C509" s="2" t="s">
        <v>514</v>
      </c>
      <c r="D509" s="2" t="s">
        <v>96</v>
      </c>
      <c r="E509" s="2" t="s">
        <v>27</v>
      </c>
      <c r="F509" s="4">
        <v>6</v>
      </c>
      <c r="G509" s="4">
        <v>2480</v>
      </c>
      <c r="H509" s="4">
        <v>3.3</v>
      </c>
      <c r="I509" s="4">
        <v>14388.96</v>
      </c>
      <c r="J509" s="2" t="s">
        <v>16</v>
      </c>
      <c r="K509" s="2" t="s">
        <v>23</v>
      </c>
    </row>
    <row r="510" spans="1:11" x14ac:dyDescent="0.35">
      <c r="A510" s="2" t="s">
        <v>870</v>
      </c>
      <c r="B510" s="3">
        <v>45569</v>
      </c>
      <c r="C510" s="2" t="s">
        <v>34</v>
      </c>
      <c r="D510" s="2" t="s">
        <v>105</v>
      </c>
      <c r="E510" s="2" t="s">
        <v>83</v>
      </c>
      <c r="F510" s="4">
        <v>10</v>
      </c>
      <c r="G510" s="4">
        <v>1650</v>
      </c>
      <c r="H510" s="4">
        <v>22.9</v>
      </c>
      <c r="I510" s="4">
        <v>12721.5</v>
      </c>
      <c r="J510" s="2" t="s">
        <v>73</v>
      </c>
      <c r="K510" s="2" t="s">
        <v>23</v>
      </c>
    </row>
    <row r="511" spans="1:11" x14ac:dyDescent="0.35">
      <c r="A511" s="2" t="s">
        <v>871</v>
      </c>
      <c r="B511" s="3">
        <v>45319</v>
      </c>
      <c r="C511" s="2" t="s">
        <v>872</v>
      </c>
      <c r="D511" s="2" t="s">
        <v>267</v>
      </c>
      <c r="E511" s="2" t="s">
        <v>254</v>
      </c>
      <c r="F511" s="4">
        <v>3</v>
      </c>
      <c r="G511" s="4">
        <v>2210</v>
      </c>
      <c r="H511" s="4">
        <v>11.1</v>
      </c>
      <c r="I511" s="4">
        <v>5894.07</v>
      </c>
      <c r="J511" s="2" t="s">
        <v>16</v>
      </c>
      <c r="K511" s="2" t="s">
        <v>62</v>
      </c>
    </row>
    <row r="512" spans="1:11" x14ac:dyDescent="0.35">
      <c r="A512" s="2" t="s">
        <v>873</v>
      </c>
      <c r="B512" s="3">
        <v>45406</v>
      </c>
      <c r="C512" s="2" t="s">
        <v>874</v>
      </c>
      <c r="D512" s="2" t="s">
        <v>96</v>
      </c>
      <c r="E512" s="2" t="s">
        <v>21</v>
      </c>
      <c r="F512" s="4">
        <v>10</v>
      </c>
      <c r="G512" s="4">
        <v>2480</v>
      </c>
      <c r="H512" s="4">
        <v>13</v>
      </c>
      <c r="I512" s="4">
        <v>21576</v>
      </c>
      <c r="J512" s="2" t="s">
        <v>22</v>
      </c>
      <c r="K512" s="2" t="s">
        <v>17</v>
      </c>
    </row>
    <row r="513" spans="1:11" x14ac:dyDescent="0.35">
      <c r="A513" s="2" t="s">
        <v>875</v>
      </c>
      <c r="B513" s="3">
        <v>45629</v>
      </c>
      <c r="C513" s="2" t="s">
        <v>30</v>
      </c>
      <c r="D513" s="2" t="s">
        <v>293</v>
      </c>
      <c r="E513" s="2" t="s">
        <v>83</v>
      </c>
      <c r="F513" s="4">
        <v>10</v>
      </c>
      <c r="G513" s="4">
        <v>5330</v>
      </c>
      <c r="H513" s="4">
        <v>0.7</v>
      </c>
      <c r="I513" s="4">
        <v>52926.9</v>
      </c>
      <c r="J513" s="2" t="s">
        <v>16</v>
      </c>
      <c r="K513" s="2" t="s">
        <v>28</v>
      </c>
    </row>
    <row r="514" spans="1:11" x14ac:dyDescent="0.35">
      <c r="A514" s="2" t="s">
        <v>876</v>
      </c>
      <c r="B514" s="3">
        <v>45612</v>
      </c>
      <c r="C514" s="2" t="s">
        <v>877</v>
      </c>
      <c r="D514" s="2" t="s">
        <v>193</v>
      </c>
      <c r="E514" s="2" t="s">
        <v>254</v>
      </c>
      <c r="F514" s="4">
        <v>9</v>
      </c>
      <c r="G514" s="4">
        <v>4070</v>
      </c>
      <c r="H514" s="4">
        <v>15.6</v>
      </c>
      <c r="I514" s="4">
        <v>30915.72</v>
      </c>
      <c r="J514" s="2" t="s">
        <v>16</v>
      </c>
      <c r="K514" s="2" t="s">
        <v>17</v>
      </c>
    </row>
    <row r="515" spans="1:11" x14ac:dyDescent="0.35">
      <c r="A515" s="2" t="s">
        <v>878</v>
      </c>
      <c r="B515" s="3">
        <v>45613</v>
      </c>
      <c r="C515" s="2" t="s">
        <v>752</v>
      </c>
      <c r="D515" s="2" t="s">
        <v>102</v>
      </c>
      <c r="E515" s="2" t="s">
        <v>144</v>
      </c>
      <c r="F515" s="4">
        <v>5</v>
      </c>
      <c r="G515" s="4">
        <v>2720</v>
      </c>
      <c r="H515" s="4">
        <v>10.3</v>
      </c>
      <c r="I515" s="4">
        <v>12199.2</v>
      </c>
      <c r="J515" s="2" t="s">
        <v>69</v>
      </c>
      <c r="K515" s="2" t="s">
        <v>23</v>
      </c>
    </row>
    <row r="516" spans="1:11" x14ac:dyDescent="0.35">
      <c r="A516" s="2" t="s">
        <v>879</v>
      </c>
      <c r="B516" s="3">
        <v>45484</v>
      </c>
      <c r="C516" s="2" t="s">
        <v>686</v>
      </c>
      <c r="D516" s="2" t="s">
        <v>124</v>
      </c>
      <c r="E516" s="2" t="s">
        <v>158</v>
      </c>
      <c r="F516" s="4">
        <v>6</v>
      </c>
      <c r="G516" s="4">
        <v>2860</v>
      </c>
      <c r="H516" s="4">
        <v>28.9</v>
      </c>
      <c r="I516" s="4">
        <v>12200.76</v>
      </c>
      <c r="J516" s="2" t="s">
        <v>16</v>
      </c>
      <c r="K516" s="2" t="s">
        <v>46</v>
      </c>
    </row>
    <row r="517" spans="1:11" x14ac:dyDescent="0.35">
      <c r="A517" s="2" t="s">
        <v>880</v>
      </c>
      <c r="B517" s="3">
        <v>45656</v>
      </c>
      <c r="C517" s="2" t="s">
        <v>881</v>
      </c>
      <c r="D517" s="2" t="s">
        <v>14</v>
      </c>
      <c r="E517" s="2" t="s">
        <v>254</v>
      </c>
      <c r="F517" s="4">
        <v>5</v>
      </c>
      <c r="G517" s="4">
        <v>3620</v>
      </c>
      <c r="H517" s="4">
        <v>18.2</v>
      </c>
      <c r="I517" s="4">
        <v>14805.8</v>
      </c>
      <c r="J517" s="2" t="s">
        <v>16</v>
      </c>
      <c r="K517" s="2" t="s">
        <v>62</v>
      </c>
    </row>
    <row r="518" spans="1:11" x14ac:dyDescent="0.35">
      <c r="A518" s="2" t="s">
        <v>882</v>
      </c>
      <c r="B518" s="3">
        <v>45432</v>
      </c>
      <c r="C518" s="2" t="s">
        <v>82</v>
      </c>
      <c r="D518" s="2" t="s">
        <v>105</v>
      </c>
      <c r="E518" s="2" t="s">
        <v>232</v>
      </c>
      <c r="F518" s="4">
        <v>3</v>
      </c>
      <c r="G518" s="4">
        <v>1650</v>
      </c>
      <c r="H518" s="4">
        <v>10.7</v>
      </c>
      <c r="I518" s="4">
        <v>4420.3500000000004</v>
      </c>
      <c r="J518" s="2" t="s">
        <v>16</v>
      </c>
      <c r="K518" s="2" t="s">
        <v>46</v>
      </c>
    </row>
    <row r="519" spans="1:11" x14ac:dyDescent="0.35">
      <c r="A519" s="2" t="s">
        <v>883</v>
      </c>
      <c r="B519" s="3">
        <v>45495</v>
      </c>
      <c r="C519" s="2" t="s">
        <v>473</v>
      </c>
      <c r="D519" s="2" t="s">
        <v>76</v>
      </c>
      <c r="E519" s="2" t="s">
        <v>158</v>
      </c>
      <c r="F519" s="4">
        <v>8</v>
      </c>
      <c r="G519" s="4">
        <v>190</v>
      </c>
      <c r="H519" s="4">
        <v>18</v>
      </c>
      <c r="I519" s="4">
        <v>1246.4000000000001</v>
      </c>
      <c r="J519" s="2" t="s">
        <v>22</v>
      </c>
      <c r="K519" s="2" t="s">
        <v>62</v>
      </c>
    </row>
    <row r="520" spans="1:11" x14ac:dyDescent="0.35">
      <c r="A520" s="2" t="s">
        <v>884</v>
      </c>
      <c r="B520" s="3">
        <v>45443</v>
      </c>
      <c r="C520" s="2" t="s">
        <v>885</v>
      </c>
      <c r="D520" s="2" t="s">
        <v>315</v>
      </c>
      <c r="E520" s="2" t="s">
        <v>158</v>
      </c>
      <c r="F520" s="4">
        <v>7</v>
      </c>
      <c r="G520" s="4">
        <v>2290</v>
      </c>
      <c r="H520" s="4">
        <v>12.5</v>
      </c>
      <c r="I520" s="4">
        <v>14026.25</v>
      </c>
      <c r="J520" s="2" t="s">
        <v>16</v>
      </c>
      <c r="K520" s="2" t="s">
        <v>41</v>
      </c>
    </row>
    <row r="521" spans="1:11" x14ac:dyDescent="0.35">
      <c r="A521" s="2" t="s">
        <v>886</v>
      </c>
      <c r="B521" s="3">
        <v>45638</v>
      </c>
      <c r="C521" s="2" t="s">
        <v>115</v>
      </c>
      <c r="D521" s="2" t="s">
        <v>293</v>
      </c>
      <c r="E521" s="2" t="s">
        <v>167</v>
      </c>
      <c r="F521" s="4">
        <v>2</v>
      </c>
      <c r="G521" s="4">
        <v>5330</v>
      </c>
      <c r="H521" s="4">
        <v>26.5</v>
      </c>
      <c r="I521" s="4">
        <v>7835.1</v>
      </c>
      <c r="J521" s="2" t="s">
        <v>16</v>
      </c>
      <c r="K521" s="2" t="s">
        <v>23</v>
      </c>
    </row>
    <row r="522" spans="1:11" x14ac:dyDescent="0.35">
      <c r="A522" s="2" t="s">
        <v>887</v>
      </c>
      <c r="B522" s="3">
        <v>45476</v>
      </c>
      <c r="C522" s="2" t="s">
        <v>888</v>
      </c>
      <c r="D522" s="2" t="s">
        <v>293</v>
      </c>
      <c r="E522" s="2" t="s">
        <v>117</v>
      </c>
      <c r="F522" s="4">
        <v>4</v>
      </c>
      <c r="G522" s="4">
        <v>5330</v>
      </c>
      <c r="H522" s="4">
        <v>25.6</v>
      </c>
      <c r="I522" s="4">
        <v>15862.08</v>
      </c>
      <c r="J522" s="2" t="s">
        <v>16</v>
      </c>
      <c r="K522" s="2" t="s">
        <v>41</v>
      </c>
    </row>
    <row r="523" spans="1:11" x14ac:dyDescent="0.35">
      <c r="A523" s="2" t="s">
        <v>889</v>
      </c>
      <c r="B523" s="3">
        <v>45566</v>
      </c>
      <c r="C523" s="2" t="s">
        <v>218</v>
      </c>
      <c r="D523" s="2" t="s">
        <v>372</v>
      </c>
      <c r="E523" s="2" t="s">
        <v>32</v>
      </c>
      <c r="F523" s="4">
        <v>4</v>
      </c>
      <c r="G523" s="4">
        <v>5080</v>
      </c>
      <c r="H523" s="4">
        <v>28.6</v>
      </c>
      <c r="I523" s="4">
        <v>14508.48</v>
      </c>
      <c r="J523" s="2" t="s">
        <v>16</v>
      </c>
      <c r="K523" s="2" t="s">
        <v>23</v>
      </c>
    </row>
    <row r="524" spans="1:11" x14ac:dyDescent="0.35">
      <c r="A524" s="2" t="s">
        <v>890</v>
      </c>
      <c r="B524" s="3">
        <v>45392</v>
      </c>
      <c r="C524" s="2" t="s">
        <v>408</v>
      </c>
      <c r="D524" s="2" t="s">
        <v>39</v>
      </c>
      <c r="E524" s="2" t="s">
        <v>226</v>
      </c>
      <c r="F524" s="4">
        <v>4</v>
      </c>
      <c r="G524" s="4">
        <v>370</v>
      </c>
      <c r="H524" s="4">
        <v>12.6</v>
      </c>
      <c r="I524" s="4">
        <v>1293.52</v>
      </c>
      <c r="J524" s="2" t="s">
        <v>22</v>
      </c>
      <c r="K524" s="2" t="s">
        <v>17</v>
      </c>
    </row>
    <row r="525" spans="1:11" x14ac:dyDescent="0.35">
      <c r="A525" s="2" t="s">
        <v>891</v>
      </c>
      <c r="B525" s="3">
        <v>45561</v>
      </c>
      <c r="C525" s="2" t="s">
        <v>892</v>
      </c>
      <c r="D525" s="2" t="s">
        <v>26</v>
      </c>
      <c r="E525" s="2" t="s">
        <v>181</v>
      </c>
      <c r="F525" s="4">
        <v>9</v>
      </c>
      <c r="G525" s="4">
        <v>470</v>
      </c>
      <c r="H525" s="4">
        <v>3.6</v>
      </c>
      <c r="I525" s="4">
        <v>4077.72</v>
      </c>
      <c r="J525" s="2" t="s">
        <v>16</v>
      </c>
      <c r="K525" s="2" t="s">
        <v>23</v>
      </c>
    </row>
    <row r="526" spans="1:11" x14ac:dyDescent="0.35">
      <c r="A526" s="2" t="s">
        <v>893</v>
      </c>
      <c r="B526" s="3">
        <v>45634</v>
      </c>
      <c r="C526" s="2" t="s">
        <v>572</v>
      </c>
      <c r="D526" s="2" t="s">
        <v>289</v>
      </c>
      <c r="E526" s="2" t="s">
        <v>272</v>
      </c>
      <c r="F526" s="4">
        <v>4</v>
      </c>
      <c r="G526" s="4">
        <v>5410</v>
      </c>
      <c r="H526" s="4">
        <v>11.3</v>
      </c>
      <c r="I526" s="4">
        <v>19194.68</v>
      </c>
      <c r="J526" s="2" t="s">
        <v>73</v>
      </c>
      <c r="K526" s="2" t="s">
        <v>41</v>
      </c>
    </row>
    <row r="527" spans="1:11" x14ac:dyDescent="0.35">
      <c r="A527" s="2" t="s">
        <v>894</v>
      </c>
      <c r="B527" s="3">
        <v>45311</v>
      </c>
      <c r="C527" s="2" t="s">
        <v>895</v>
      </c>
      <c r="D527" s="2" t="s">
        <v>14</v>
      </c>
      <c r="E527" s="2" t="s">
        <v>15</v>
      </c>
      <c r="F527" s="4">
        <v>10</v>
      </c>
      <c r="G527" s="4">
        <v>3620</v>
      </c>
      <c r="H527" s="4">
        <v>2.5</v>
      </c>
      <c r="I527" s="4">
        <v>35295</v>
      </c>
      <c r="J527" s="2" t="s">
        <v>16</v>
      </c>
      <c r="K527" s="2" t="s">
        <v>62</v>
      </c>
    </row>
    <row r="528" spans="1:11" x14ac:dyDescent="0.35">
      <c r="A528" s="2" t="s">
        <v>896</v>
      </c>
      <c r="B528" s="3">
        <v>45380</v>
      </c>
      <c r="C528" s="2" t="s">
        <v>897</v>
      </c>
      <c r="D528" s="2" t="s">
        <v>129</v>
      </c>
      <c r="E528" s="2" t="s">
        <v>99</v>
      </c>
      <c r="F528" s="4">
        <v>1</v>
      </c>
      <c r="G528" s="4">
        <v>2760</v>
      </c>
      <c r="H528" s="4">
        <v>22.2</v>
      </c>
      <c r="I528" s="4">
        <v>2147.2800000000002</v>
      </c>
      <c r="J528" s="2" t="s">
        <v>16</v>
      </c>
      <c r="K528" s="2" t="s">
        <v>28</v>
      </c>
    </row>
    <row r="529" spans="1:11" x14ac:dyDescent="0.35">
      <c r="A529" s="2" t="s">
        <v>898</v>
      </c>
      <c r="B529" s="3">
        <v>45549</v>
      </c>
      <c r="C529" s="2" t="s">
        <v>899</v>
      </c>
      <c r="D529" s="2" t="s">
        <v>86</v>
      </c>
      <c r="E529" s="2" t="s">
        <v>144</v>
      </c>
      <c r="F529" s="4">
        <v>7</v>
      </c>
      <c r="G529" s="4">
        <v>3450</v>
      </c>
      <c r="H529" s="4">
        <v>8.6</v>
      </c>
      <c r="I529" s="4">
        <v>22073.1</v>
      </c>
      <c r="J529" s="2" t="s">
        <v>16</v>
      </c>
      <c r="K529" s="2" t="s">
        <v>41</v>
      </c>
    </row>
    <row r="530" spans="1:11" x14ac:dyDescent="0.35">
      <c r="A530" s="2" t="s">
        <v>900</v>
      </c>
      <c r="B530" s="3">
        <v>45418</v>
      </c>
      <c r="C530" s="2" t="s">
        <v>475</v>
      </c>
      <c r="D530" s="2" t="s">
        <v>31</v>
      </c>
      <c r="E530" s="2" t="s">
        <v>57</v>
      </c>
      <c r="F530" s="4">
        <v>6</v>
      </c>
      <c r="G530" s="4">
        <v>3660</v>
      </c>
      <c r="H530" s="4">
        <v>10.6</v>
      </c>
      <c r="I530" s="4">
        <v>19632.240000000002</v>
      </c>
      <c r="J530" s="2" t="s">
        <v>16</v>
      </c>
      <c r="K530" s="2" t="s">
        <v>28</v>
      </c>
    </row>
    <row r="531" spans="1:11" x14ac:dyDescent="0.35">
      <c r="A531" s="2" t="s">
        <v>901</v>
      </c>
      <c r="B531" s="3">
        <v>45532</v>
      </c>
      <c r="C531" s="2" t="s">
        <v>453</v>
      </c>
      <c r="D531" s="2" t="s">
        <v>116</v>
      </c>
      <c r="E531" s="2" t="s">
        <v>57</v>
      </c>
      <c r="F531" s="4">
        <v>10</v>
      </c>
      <c r="G531" s="4">
        <v>3570</v>
      </c>
      <c r="H531" s="4">
        <v>1.2</v>
      </c>
      <c r="I531" s="4">
        <v>35271.599999999999</v>
      </c>
      <c r="J531" s="2" t="s">
        <v>16</v>
      </c>
      <c r="K531" s="2" t="s">
        <v>41</v>
      </c>
    </row>
    <row r="532" spans="1:11" x14ac:dyDescent="0.35">
      <c r="A532" s="2" t="s">
        <v>902</v>
      </c>
      <c r="B532" s="3">
        <v>45542</v>
      </c>
      <c r="C532" s="2" t="s">
        <v>349</v>
      </c>
      <c r="D532" s="2" t="s">
        <v>431</v>
      </c>
      <c r="E532" s="2" t="s">
        <v>133</v>
      </c>
      <c r="F532" s="4">
        <v>8</v>
      </c>
      <c r="G532" s="4">
        <v>1090</v>
      </c>
      <c r="H532" s="4">
        <v>13.2</v>
      </c>
      <c r="I532" s="4">
        <v>7568.96</v>
      </c>
      <c r="J532" s="2" t="s">
        <v>73</v>
      </c>
      <c r="K532" s="2" t="s">
        <v>28</v>
      </c>
    </row>
    <row r="533" spans="1:11" x14ac:dyDescent="0.35">
      <c r="A533" s="2" t="s">
        <v>903</v>
      </c>
      <c r="B533" s="3">
        <v>45320</v>
      </c>
      <c r="C533" s="2" t="s">
        <v>386</v>
      </c>
      <c r="D533" s="2" t="s">
        <v>14</v>
      </c>
      <c r="E533" s="2" t="s">
        <v>232</v>
      </c>
      <c r="F533" s="4">
        <v>8</v>
      </c>
      <c r="G533" s="4">
        <v>3620</v>
      </c>
      <c r="H533" s="4">
        <v>29</v>
      </c>
      <c r="I533" s="4">
        <v>20561.599999999999</v>
      </c>
      <c r="J533" s="2" t="s">
        <v>16</v>
      </c>
      <c r="K533" s="2" t="s">
        <v>17</v>
      </c>
    </row>
    <row r="534" spans="1:11" x14ac:dyDescent="0.35">
      <c r="A534" s="2" t="s">
        <v>904</v>
      </c>
      <c r="B534" s="3">
        <v>45548</v>
      </c>
      <c r="C534" s="2" t="s">
        <v>220</v>
      </c>
      <c r="D534" s="2" t="s">
        <v>113</v>
      </c>
      <c r="E534" s="2" t="s">
        <v>61</v>
      </c>
      <c r="F534" s="4">
        <v>7</v>
      </c>
      <c r="G534" s="4">
        <v>4880</v>
      </c>
      <c r="H534" s="4">
        <v>25.6</v>
      </c>
      <c r="I534" s="4">
        <v>25415.040000000001</v>
      </c>
      <c r="J534" s="2" t="s">
        <v>73</v>
      </c>
      <c r="K534" s="2" t="s">
        <v>28</v>
      </c>
    </row>
    <row r="535" spans="1:11" x14ac:dyDescent="0.35">
      <c r="A535" s="2" t="s">
        <v>905</v>
      </c>
      <c r="B535" s="3">
        <v>45434</v>
      </c>
      <c r="C535" s="2" t="s">
        <v>906</v>
      </c>
      <c r="D535" s="2" t="s">
        <v>26</v>
      </c>
      <c r="E535" s="2" t="s">
        <v>57</v>
      </c>
      <c r="F535" s="4">
        <v>2</v>
      </c>
      <c r="G535" s="4">
        <v>470</v>
      </c>
      <c r="H535" s="4">
        <v>9.6999999999999993</v>
      </c>
      <c r="I535" s="4">
        <v>848.82</v>
      </c>
      <c r="J535" s="2" t="s">
        <v>16</v>
      </c>
      <c r="K535" s="2" t="s">
        <v>17</v>
      </c>
    </row>
    <row r="536" spans="1:11" x14ac:dyDescent="0.35">
      <c r="A536" s="2" t="s">
        <v>907</v>
      </c>
      <c r="B536" s="3">
        <v>45539</v>
      </c>
      <c r="C536" s="2" t="s">
        <v>764</v>
      </c>
      <c r="D536" s="2" t="s">
        <v>315</v>
      </c>
      <c r="E536" s="2" t="s">
        <v>214</v>
      </c>
      <c r="F536" s="4">
        <v>6</v>
      </c>
      <c r="G536" s="4">
        <v>2290</v>
      </c>
      <c r="H536" s="4">
        <v>8.9</v>
      </c>
      <c r="I536" s="4">
        <v>12517.14</v>
      </c>
      <c r="J536" s="2" t="s">
        <v>16</v>
      </c>
      <c r="K536" s="2" t="s">
        <v>46</v>
      </c>
    </row>
    <row r="537" spans="1:11" x14ac:dyDescent="0.35">
      <c r="A537" s="2" t="s">
        <v>908</v>
      </c>
      <c r="B537" s="3">
        <v>45468</v>
      </c>
      <c r="C537" s="2" t="s">
        <v>389</v>
      </c>
      <c r="D537" s="2" t="s">
        <v>296</v>
      </c>
      <c r="E537" s="2" t="s">
        <v>61</v>
      </c>
      <c r="F537" s="4">
        <v>3</v>
      </c>
      <c r="G537" s="4">
        <v>2380</v>
      </c>
      <c r="H537" s="4">
        <v>2.7</v>
      </c>
      <c r="I537" s="4">
        <v>6947.22</v>
      </c>
      <c r="J537" s="2" t="s">
        <v>22</v>
      </c>
      <c r="K537" s="2" t="s">
        <v>17</v>
      </c>
    </row>
    <row r="538" spans="1:11" x14ac:dyDescent="0.35">
      <c r="A538" s="2" t="s">
        <v>909</v>
      </c>
      <c r="B538" s="3">
        <v>45485</v>
      </c>
      <c r="C538" s="2" t="s">
        <v>658</v>
      </c>
      <c r="D538" s="2" t="s">
        <v>296</v>
      </c>
      <c r="E538" s="2" t="s">
        <v>36</v>
      </c>
      <c r="F538" s="4">
        <v>9</v>
      </c>
      <c r="G538" s="4">
        <v>2380</v>
      </c>
      <c r="H538" s="4">
        <v>20.100000000000001</v>
      </c>
      <c r="I538" s="4">
        <v>17114.580000000002</v>
      </c>
      <c r="J538" s="2" t="s">
        <v>16</v>
      </c>
      <c r="K538" s="2" t="s">
        <v>41</v>
      </c>
    </row>
    <row r="539" spans="1:11" x14ac:dyDescent="0.35">
      <c r="A539" s="2" t="s">
        <v>910</v>
      </c>
      <c r="B539" s="3">
        <v>45303</v>
      </c>
      <c r="C539" s="2" t="s">
        <v>496</v>
      </c>
      <c r="D539" s="2" t="s">
        <v>289</v>
      </c>
      <c r="E539" s="2" t="s">
        <v>27</v>
      </c>
      <c r="F539" s="4">
        <v>8</v>
      </c>
      <c r="G539" s="4">
        <v>5410</v>
      </c>
      <c r="H539" s="4">
        <v>11.2</v>
      </c>
      <c r="I539" s="4">
        <v>38432.639999999999</v>
      </c>
      <c r="J539" s="2" t="s">
        <v>16</v>
      </c>
      <c r="K539" s="2" t="s">
        <v>46</v>
      </c>
    </row>
    <row r="540" spans="1:11" x14ac:dyDescent="0.35">
      <c r="A540" s="2" t="s">
        <v>911</v>
      </c>
      <c r="B540" s="3">
        <v>45605</v>
      </c>
      <c r="C540" s="2" t="s">
        <v>912</v>
      </c>
      <c r="D540" s="2" t="s">
        <v>49</v>
      </c>
      <c r="E540" s="2" t="s">
        <v>36</v>
      </c>
      <c r="F540" s="4">
        <v>1</v>
      </c>
      <c r="G540" s="4">
        <v>1430</v>
      </c>
      <c r="H540" s="4">
        <v>19.600000000000001</v>
      </c>
      <c r="I540" s="4">
        <v>1149.72</v>
      </c>
      <c r="J540" s="2" t="s">
        <v>16</v>
      </c>
      <c r="K540" s="2" t="s">
        <v>46</v>
      </c>
    </row>
    <row r="541" spans="1:11" x14ac:dyDescent="0.35">
      <c r="A541" s="2" t="s">
        <v>913</v>
      </c>
      <c r="B541" s="3">
        <v>45421</v>
      </c>
      <c r="C541" s="2" t="s">
        <v>799</v>
      </c>
      <c r="D541" s="2" t="s">
        <v>80</v>
      </c>
      <c r="E541" s="2" t="s">
        <v>272</v>
      </c>
      <c r="F541" s="4">
        <v>9</v>
      </c>
      <c r="G541" s="4">
        <v>2400</v>
      </c>
      <c r="H541" s="4">
        <v>5</v>
      </c>
      <c r="I541" s="4">
        <v>20520</v>
      </c>
      <c r="J541" s="2" t="s">
        <v>16</v>
      </c>
      <c r="K541" s="2" t="s">
        <v>46</v>
      </c>
    </row>
    <row r="542" spans="1:11" x14ac:dyDescent="0.35">
      <c r="A542" s="2" t="s">
        <v>914</v>
      </c>
      <c r="B542" s="3">
        <v>45493</v>
      </c>
      <c r="C542" s="2" t="s">
        <v>915</v>
      </c>
      <c r="D542" s="2" t="s">
        <v>163</v>
      </c>
      <c r="E542" s="2" t="s">
        <v>144</v>
      </c>
      <c r="F542" s="4">
        <v>1</v>
      </c>
      <c r="G542" s="4">
        <v>3780</v>
      </c>
      <c r="H542" s="4">
        <v>4.7</v>
      </c>
      <c r="I542" s="4">
        <v>3602.34</v>
      </c>
      <c r="J542" s="2" t="s">
        <v>16</v>
      </c>
      <c r="K542" s="2" t="s">
        <v>23</v>
      </c>
    </row>
    <row r="543" spans="1:11" x14ac:dyDescent="0.35">
      <c r="A543" s="2" t="s">
        <v>916</v>
      </c>
      <c r="B543" s="3">
        <v>45592</v>
      </c>
      <c r="C543" s="2" t="s">
        <v>807</v>
      </c>
      <c r="D543" s="2" t="s">
        <v>221</v>
      </c>
      <c r="E543" s="2" t="s">
        <v>50</v>
      </c>
      <c r="F543" s="4">
        <v>2</v>
      </c>
      <c r="G543" s="4">
        <v>620</v>
      </c>
      <c r="H543" s="4">
        <v>8</v>
      </c>
      <c r="I543" s="4">
        <v>1140.8</v>
      </c>
      <c r="J543" s="2" t="s">
        <v>16</v>
      </c>
      <c r="K543" s="2" t="s">
        <v>41</v>
      </c>
    </row>
    <row r="544" spans="1:11" x14ac:dyDescent="0.35">
      <c r="A544" s="2" t="s">
        <v>917</v>
      </c>
      <c r="B544" s="3">
        <v>45379</v>
      </c>
      <c r="C544" s="2" t="s">
        <v>567</v>
      </c>
      <c r="D544" s="2" t="s">
        <v>76</v>
      </c>
      <c r="E544" s="2" t="s">
        <v>15</v>
      </c>
      <c r="F544" s="4">
        <v>3</v>
      </c>
      <c r="G544" s="4">
        <v>190</v>
      </c>
      <c r="H544" s="4">
        <v>17.899999999999999</v>
      </c>
      <c r="I544" s="4">
        <v>467.97</v>
      </c>
      <c r="J544" s="2" t="s">
        <v>22</v>
      </c>
      <c r="K544" s="2" t="s">
        <v>28</v>
      </c>
    </row>
    <row r="545" spans="1:11" x14ac:dyDescent="0.35">
      <c r="A545" s="2" t="s">
        <v>918</v>
      </c>
      <c r="B545" s="3">
        <v>45332</v>
      </c>
      <c r="C545" s="2" t="s">
        <v>919</v>
      </c>
      <c r="D545" s="2" t="s">
        <v>14</v>
      </c>
      <c r="E545" s="2" t="s">
        <v>50</v>
      </c>
      <c r="F545" s="4">
        <v>2</v>
      </c>
      <c r="G545" s="4">
        <v>3620</v>
      </c>
      <c r="H545" s="4">
        <v>15.5</v>
      </c>
      <c r="I545" s="4">
        <v>6117.8</v>
      </c>
      <c r="J545" s="2" t="s">
        <v>16</v>
      </c>
      <c r="K545" s="2" t="s">
        <v>46</v>
      </c>
    </row>
    <row r="546" spans="1:11" x14ac:dyDescent="0.35">
      <c r="A546" s="2" t="s">
        <v>920</v>
      </c>
      <c r="B546" s="3">
        <v>45610</v>
      </c>
      <c r="C546" s="2" t="s">
        <v>119</v>
      </c>
      <c r="D546" s="2" t="s">
        <v>124</v>
      </c>
      <c r="E546" s="2" t="s">
        <v>232</v>
      </c>
      <c r="F546" s="4">
        <v>5</v>
      </c>
      <c r="G546" s="4">
        <v>2860</v>
      </c>
      <c r="H546" s="4">
        <v>26.8</v>
      </c>
      <c r="I546" s="4">
        <v>10467.6</v>
      </c>
      <c r="J546" s="2" t="s">
        <v>16</v>
      </c>
      <c r="K546" s="2" t="s">
        <v>62</v>
      </c>
    </row>
    <row r="547" spans="1:11" x14ac:dyDescent="0.35">
      <c r="A547" s="2" t="s">
        <v>921</v>
      </c>
      <c r="B547" s="3">
        <v>45638</v>
      </c>
      <c r="C547" s="2" t="s">
        <v>839</v>
      </c>
      <c r="D547" s="2" t="s">
        <v>80</v>
      </c>
      <c r="E547" s="2" t="s">
        <v>83</v>
      </c>
      <c r="F547" s="4">
        <v>6</v>
      </c>
      <c r="G547" s="4">
        <v>2400</v>
      </c>
      <c r="H547" s="4">
        <v>19.2</v>
      </c>
      <c r="I547" s="4">
        <v>11635.2</v>
      </c>
      <c r="J547" s="2" t="s">
        <v>69</v>
      </c>
      <c r="K547" s="2" t="s">
        <v>28</v>
      </c>
    </row>
    <row r="548" spans="1:11" x14ac:dyDescent="0.35">
      <c r="A548" s="2" t="s">
        <v>922</v>
      </c>
      <c r="B548" s="3">
        <v>45546</v>
      </c>
      <c r="C548" s="2" t="s">
        <v>539</v>
      </c>
      <c r="D548" s="2" t="s">
        <v>372</v>
      </c>
      <c r="E548" s="2" t="s">
        <v>133</v>
      </c>
      <c r="F548" s="4">
        <v>7</v>
      </c>
      <c r="G548" s="4">
        <v>5080</v>
      </c>
      <c r="H548" s="4">
        <v>16.600000000000001</v>
      </c>
      <c r="I548" s="4">
        <v>29657.040000000001</v>
      </c>
      <c r="J548" s="2" t="s">
        <v>22</v>
      </c>
      <c r="K548" s="2" t="s">
        <v>46</v>
      </c>
    </row>
    <row r="549" spans="1:11" x14ac:dyDescent="0.35">
      <c r="A549" s="2" t="s">
        <v>923</v>
      </c>
      <c r="B549" s="3">
        <v>45436</v>
      </c>
      <c r="C549" s="2" t="s">
        <v>85</v>
      </c>
      <c r="D549" s="2" t="s">
        <v>372</v>
      </c>
      <c r="E549" s="2" t="s">
        <v>117</v>
      </c>
      <c r="F549" s="4">
        <v>10</v>
      </c>
      <c r="G549" s="4">
        <v>5080</v>
      </c>
      <c r="H549" s="4">
        <v>24.6</v>
      </c>
      <c r="I549" s="4">
        <v>38303.199999999997</v>
      </c>
      <c r="J549" s="2" t="s">
        <v>16</v>
      </c>
      <c r="K549" s="2" t="s">
        <v>62</v>
      </c>
    </row>
    <row r="550" spans="1:11" x14ac:dyDescent="0.35">
      <c r="A550" s="2" t="s">
        <v>924</v>
      </c>
      <c r="B550" s="3">
        <v>45532</v>
      </c>
      <c r="C550" s="2" t="s">
        <v>888</v>
      </c>
      <c r="D550" s="2" t="s">
        <v>44</v>
      </c>
      <c r="E550" s="2" t="s">
        <v>36</v>
      </c>
      <c r="F550" s="4">
        <v>7</v>
      </c>
      <c r="G550" s="4">
        <v>960</v>
      </c>
      <c r="H550" s="4">
        <v>16.600000000000001</v>
      </c>
      <c r="I550" s="4">
        <v>5604.48</v>
      </c>
      <c r="J550" s="2" t="s">
        <v>16</v>
      </c>
      <c r="K550" s="2" t="s">
        <v>41</v>
      </c>
    </row>
    <row r="551" spans="1:11" x14ac:dyDescent="0.35">
      <c r="A551" s="2" t="s">
        <v>925</v>
      </c>
      <c r="B551" s="3">
        <v>45568</v>
      </c>
      <c r="C551" s="2" t="s">
        <v>195</v>
      </c>
      <c r="D551" s="2" t="s">
        <v>31</v>
      </c>
      <c r="E551" s="2" t="s">
        <v>57</v>
      </c>
      <c r="F551" s="4">
        <v>3</v>
      </c>
      <c r="G551" s="4">
        <v>3660</v>
      </c>
      <c r="H551" s="4">
        <v>3.2</v>
      </c>
      <c r="I551" s="4">
        <v>10628.64</v>
      </c>
      <c r="J551" s="2" t="s">
        <v>22</v>
      </c>
      <c r="K551" s="2" t="s">
        <v>28</v>
      </c>
    </row>
    <row r="552" spans="1:11" x14ac:dyDescent="0.35">
      <c r="A552" s="2" t="s">
        <v>926</v>
      </c>
      <c r="B552" s="3">
        <v>45572</v>
      </c>
      <c r="C552" s="2" t="s">
        <v>126</v>
      </c>
      <c r="D552" s="2" t="s">
        <v>64</v>
      </c>
      <c r="E552" s="2" t="s">
        <v>133</v>
      </c>
      <c r="F552" s="4">
        <v>6</v>
      </c>
      <c r="G552" s="4">
        <v>2640</v>
      </c>
      <c r="H552" s="4">
        <v>26.3</v>
      </c>
      <c r="I552" s="4">
        <v>11674.08</v>
      </c>
      <c r="J552" s="2" t="s">
        <v>16</v>
      </c>
      <c r="K552" s="2" t="s">
        <v>17</v>
      </c>
    </row>
    <row r="553" spans="1:11" x14ac:dyDescent="0.35">
      <c r="A553" s="2" t="s">
        <v>927</v>
      </c>
      <c r="B553" s="3">
        <v>45562</v>
      </c>
      <c r="C553" s="2" t="s">
        <v>354</v>
      </c>
      <c r="D553" s="2" t="s">
        <v>196</v>
      </c>
      <c r="E553" s="2" t="s">
        <v>133</v>
      </c>
      <c r="F553" s="4">
        <v>6</v>
      </c>
      <c r="G553" s="4">
        <v>1220</v>
      </c>
      <c r="H553" s="4">
        <v>22.3</v>
      </c>
      <c r="I553" s="4">
        <v>5687.64</v>
      </c>
      <c r="J553" s="2" t="s">
        <v>69</v>
      </c>
      <c r="K553" s="2" t="s">
        <v>23</v>
      </c>
    </row>
    <row r="554" spans="1:11" x14ac:dyDescent="0.35">
      <c r="A554" s="2" t="s">
        <v>928</v>
      </c>
      <c r="B554" s="3">
        <v>45345</v>
      </c>
      <c r="C554" s="2" t="s">
        <v>929</v>
      </c>
      <c r="D554" s="2" t="s">
        <v>211</v>
      </c>
      <c r="E554" s="2" t="s">
        <v>181</v>
      </c>
      <c r="F554" s="4">
        <v>1</v>
      </c>
      <c r="G554" s="4">
        <v>300</v>
      </c>
      <c r="H554" s="4">
        <v>0.7</v>
      </c>
      <c r="I554" s="4">
        <v>297.89999999999998</v>
      </c>
      <c r="J554" s="2" t="s">
        <v>16</v>
      </c>
      <c r="K554" s="2" t="s">
        <v>46</v>
      </c>
    </row>
    <row r="555" spans="1:11" x14ac:dyDescent="0.35">
      <c r="A555" s="2" t="s">
        <v>930</v>
      </c>
      <c r="B555" s="3">
        <v>45370</v>
      </c>
      <c r="C555" s="2" t="s">
        <v>626</v>
      </c>
      <c r="D555" s="2" t="s">
        <v>111</v>
      </c>
      <c r="E555" s="2" t="s">
        <v>121</v>
      </c>
      <c r="F555" s="4">
        <v>2</v>
      </c>
      <c r="G555" s="4">
        <v>1010</v>
      </c>
      <c r="H555" s="4">
        <v>28</v>
      </c>
      <c r="I555" s="4">
        <v>1454.4</v>
      </c>
      <c r="J555" s="2" t="s">
        <v>16</v>
      </c>
      <c r="K555" s="2" t="s">
        <v>62</v>
      </c>
    </row>
    <row r="556" spans="1:11" x14ac:dyDescent="0.35">
      <c r="A556" s="2" t="s">
        <v>931</v>
      </c>
      <c r="B556" s="3">
        <v>45407</v>
      </c>
      <c r="C556" s="2" t="s">
        <v>932</v>
      </c>
      <c r="D556" s="2" t="s">
        <v>67</v>
      </c>
      <c r="E556" s="2" t="s">
        <v>202</v>
      </c>
      <c r="F556" s="4">
        <v>5</v>
      </c>
      <c r="G556" s="4">
        <v>2600</v>
      </c>
      <c r="H556" s="4">
        <v>0.8</v>
      </c>
      <c r="I556" s="4">
        <v>12896</v>
      </c>
      <c r="J556" s="2" t="s">
        <v>69</v>
      </c>
      <c r="K556" s="2" t="s">
        <v>28</v>
      </c>
    </row>
    <row r="557" spans="1:11" x14ac:dyDescent="0.35">
      <c r="A557" s="2" t="s">
        <v>933</v>
      </c>
      <c r="B557" s="3">
        <v>45337</v>
      </c>
      <c r="C557" s="2" t="s">
        <v>484</v>
      </c>
      <c r="D557" s="2" t="s">
        <v>444</v>
      </c>
      <c r="E557" s="2" t="s">
        <v>130</v>
      </c>
      <c r="F557" s="4">
        <v>3</v>
      </c>
      <c r="G557" s="4">
        <v>6940</v>
      </c>
      <c r="H557" s="4">
        <v>10.7</v>
      </c>
      <c r="I557" s="4">
        <v>18592.259999999998</v>
      </c>
      <c r="J557" s="2" t="s">
        <v>69</v>
      </c>
      <c r="K557" s="2" t="s">
        <v>41</v>
      </c>
    </row>
    <row r="558" spans="1:11" x14ac:dyDescent="0.35">
      <c r="A558" s="2" t="s">
        <v>934</v>
      </c>
      <c r="B558" s="3">
        <v>45571</v>
      </c>
      <c r="C558" s="2" t="s">
        <v>935</v>
      </c>
      <c r="D558" s="2" t="s">
        <v>39</v>
      </c>
      <c r="E558" s="2" t="s">
        <v>202</v>
      </c>
      <c r="F558" s="4">
        <v>1</v>
      </c>
      <c r="G558" s="4">
        <v>370</v>
      </c>
      <c r="H558" s="4">
        <v>10.3</v>
      </c>
      <c r="I558" s="4">
        <v>331.89</v>
      </c>
      <c r="J558" s="2" t="s">
        <v>73</v>
      </c>
      <c r="K558" s="2" t="s">
        <v>46</v>
      </c>
    </row>
    <row r="559" spans="1:11" x14ac:dyDescent="0.35">
      <c r="A559" s="2" t="s">
        <v>936</v>
      </c>
      <c r="B559" s="3">
        <v>45357</v>
      </c>
      <c r="C559" s="2" t="s">
        <v>526</v>
      </c>
      <c r="D559" s="2" t="s">
        <v>163</v>
      </c>
      <c r="E559" s="2" t="s">
        <v>158</v>
      </c>
      <c r="F559" s="4">
        <v>2</v>
      </c>
      <c r="G559" s="4">
        <v>3780</v>
      </c>
      <c r="H559" s="4">
        <v>29.4</v>
      </c>
      <c r="I559" s="4">
        <v>5337.36</v>
      </c>
      <c r="J559" s="2" t="s">
        <v>16</v>
      </c>
      <c r="K559" s="2" t="s">
        <v>41</v>
      </c>
    </row>
    <row r="560" spans="1:11" x14ac:dyDescent="0.35">
      <c r="A560" s="2" t="s">
        <v>937</v>
      </c>
      <c r="B560" s="3">
        <v>45432</v>
      </c>
      <c r="C560" s="2" t="s">
        <v>408</v>
      </c>
      <c r="D560" s="2" t="s">
        <v>56</v>
      </c>
      <c r="E560" s="2" t="s">
        <v>214</v>
      </c>
      <c r="F560" s="4">
        <v>5</v>
      </c>
      <c r="G560" s="4">
        <v>970</v>
      </c>
      <c r="H560" s="4">
        <v>14.6</v>
      </c>
      <c r="I560" s="4">
        <v>4141.8999999999996</v>
      </c>
      <c r="J560" s="2" t="s">
        <v>16</v>
      </c>
      <c r="K560" s="2" t="s">
        <v>17</v>
      </c>
    </row>
    <row r="561" spans="1:11" x14ac:dyDescent="0.35">
      <c r="A561" s="2" t="s">
        <v>938</v>
      </c>
      <c r="B561" s="3">
        <v>45604</v>
      </c>
      <c r="C561" s="2" t="s">
        <v>714</v>
      </c>
      <c r="D561" s="2" t="s">
        <v>174</v>
      </c>
      <c r="E561" s="2" t="s">
        <v>226</v>
      </c>
      <c r="F561" s="4">
        <v>3</v>
      </c>
      <c r="G561" s="4">
        <v>2270</v>
      </c>
      <c r="H561" s="4">
        <v>6.5</v>
      </c>
      <c r="I561" s="4">
        <v>6367.35</v>
      </c>
      <c r="J561" s="2" t="s">
        <v>16</v>
      </c>
      <c r="K561" s="2" t="s">
        <v>17</v>
      </c>
    </row>
    <row r="562" spans="1:11" x14ac:dyDescent="0.35">
      <c r="A562" s="2" t="s">
        <v>939</v>
      </c>
      <c r="B562" s="3">
        <v>45467</v>
      </c>
      <c r="C562" s="2" t="s">
        <v>629</v>
      </c>
      <c r="D562" s="2" t="s">
        <v>188</v>
      </c>
      <c r="E562" s="2" t="s">
        <v>158</v>
      </c>
      <c r="F562" s="4">
        <v>10</v>
      </c>
      <c r="G562" s="4">
        <v>1540</v>
      </c>
      <c r="H562" s="4">
        <v>16.5</v>
      </c>
      <c r="I562" s="4">
        <v>12859</v>
      </c>
      <c r="J562" s="2" t="s">
        <v>16</v>
      </c>
      <c r="K562" s="2" t="s">
        <v>23</v>
      </c>
    </row>
    <row r="563" spans="1:11" x14ac:dyDescent="0.35">
      <c r="A563" s="2" t="s">
        <v>940</v>
      </c>
      <c r="B563" s="3">
        <v>45649</v>
      </c>
      <c r="C563" s="2" t="s">
        <v>34</v>
      </c>
      <c r="D563" s="2" t="s">
        <v>129</v>
      </c>
      <c r="E563" s="2" t="s">
        <v>167</v>
      </c>
      <c r="F563" s="4">
        <v>4</v>
      </c>
      <c r="G563" s="4">
        <v>2760</v>
      </c>
      <c r="H563" s="4">
        <v>19.8</v>
      </c>
      <c r="I563" s="4">
        <v>8854.08</v>
      </c>
      <c r="J563" s="2" t="s">
        <v>16</v>
      </c>
      <c r="K563" s="2" t="s">
        <v>23</v>
      </c>
    </row>
    <row r="564" spans="1:11" x14ac:dyDescent="0.35">
      <c r="A564" s="2" t="s">
        <v>941</v>
      </c>
      <c r="B564" s="3">
        <v>45332</v>
      </c>
      <c r="C564" s="2" t="s">
        <v>314</v>
      </c>
      <c r="D564" s="2" t="s">
        <v>60</v>
      </c>
      <c r="E564" s="2" t="s">
        <v>99</v>
      </c>
      <c r="F564" s="4">
        <v>3</v>
      </c>
      <c r="G564" s="4">
        <v>2270</v>
      </c>
      <c r="H564" s="4">
        <v>29.5</v>
      </c>
      <c r="I564" s="4">
        <v>4801.05</v>
      </c>
      <c r="J564" s="2" t="s">
        <v>73</v>
      </c>
      <c r="K564" s="2" t="s">
        <v>46</v>
      </c>
    </row>
    <row r="565" spans="1:11" x14ac:dyDescent="0.35">
      <c r="A565" s="2" t="s">
        <v>942</v>
      </c>
      <c r="B565" s="3">
        <v>45418</v>
      </c>
      <c r="C565" s="2" t="s">
        <v>496</v>
      </c>
      <c r="D565" s="2" t="s">
        <v>205</v>
      </c>
      <c r="E565" s="2" t="s">
        <v>117</v>
      </c>
      <c r="F565" s="4">
        <v>8</v>
      </c>
      <c r="G565" s="4">
        <v>3020</v>
      </c>
      <c r="H565" s="4">
        <v>1.2</v>
      </c>
      <c r="I565" s="4">
        <v>23870.080000000002</v>
      </c>
      <c r="J565" s="2" t="s">
        <v>16</v>
      </c>
      <c r="K565" s="2" t="s">
        <v>46</v>
      </c>
    </row>
    <row r="566" spans="1:11" x14ac:dyDescent="0.35">
      <c r="A566" s="2" t="s">
        <v>943</v>
      </c>
      <c r="B566" s="3">
        <v>45490</v>
      </c>
      <c r="C566" s="2" t="s">
        <v>488</v>
      </c>
      <c r="D566" s="2" t="s">
        <v>296</v>
      </c>
      <c r="E566" s="2" t="s">
        <v>232</v>
      </c>
      <c r="F566" s="4">
        <v>6</v>
      </c>
      <c r="G566" s="4">
        <v>2380</v>
      </c>
      <c r="H566" s="4">
        <v>20.399999999999999</v>
      </c>
      <c r="I566" s="4">
        <v>11366.88</v>
      </c>
      <c r="J566" s="2" t="s">
        <v>16</v>
      </c>
      <c r="K566" s="2" t="s">
        <v>17</v>
      </c>
    </row>
    <row r="567" spans="1:11" x14ac:dyDescent="0.35">
      <c r="A567" s="2" t="s">
        <v>944</v>
      </c>
      <c r="B567" s="3">
        <v>45470</v>
      </c>
      <c r="C567" s="2" t="s">
        <v>945</v>
      </c>
      <c r="D567" s="2" t="s">
        <v>444</v>
      </c>
      <c r="E567" s="2" t="s">
        <v>57</v>
      </c>
      <c r="F567" s="4">
        <v>1</v>
      </c>
      <c r="G567" s="4">
        <v>6940</v>
      </c>
      <c r="H567" s="4">
        <v>15</v>
      </c>
      <c r="I567" s="4">
        <v>5899</v>
      </c>
      <c r="J567" s="2" t="s">
        <v>69</v>
      </c>
      <c r="K567" s="2" t="s">
        <v>46</v>
      </c>
    </row>
    <row r="568" spans="1:11" x14ac:dyDescent="0.35">
      <c r="A568" s="2" t="s">
        <v>946</v>
      </c>
      <c r="B568" s="3">
        <v>45654</v>
      </c>
      <c r="C568" s="2" t="s">
        <v>220</v>
      </c>
      <c r="D568" s="2" t="s">
        <v>208</v>
      </c>
      <c r="E568" s="2" t="s">
        <v>61</v>
      </c>
      <c r="F568" s="4">
        <v>1</v>
      </c>
      <c r="G568" s="4">
        <v>2660</v>
      </c>
      <c r="H568" s="4">
        <v>11.6</v>
      </c>
      <c r="I568" s="4">
        <v>2351.44</v>
      </c>
      <c r="J568" s="2" t="s">
        <v>16</v>
      </c>
      <c r="K568" s="2" t="s">
        <v>28</v>
      </c>
    </row>
    <row r="569" spans="1:11" x14ac:dyDescent="0.35">
      <c r="A569" s="2" t="s">
        <v>947</v>
      </c>
      <c r="B569" s="3">
        <v>45548</v>
      </c>
      <c r="C569" s="2" t="s">
        <v>699</v>
      </c>
      <c r="D569" s="2" t="s">
        <v>56</v>
      </c>
      <c r="E569" s="2" t="s">
        <v>181</v>
      </c>
      <c r="F569" s="4">
        <v>4</v>
      </c>
      <c r="G569" s="4">
        <v>970</v>
      </c>
      <c r="H569" s="4">
        <v>11.6</v>
      </c>
      <c r="I569" s="4">
        <v>3429.92</v>
      </c>
      <c r="J569" s="2" t="s">
        <v>16</v>
      </c>
      <c r="K569" s="2" t="s">
        <v>17</v>
      </c>
    </row>
    <row r="570" spans="1:11" x14ac:dyDescent="0.35">
      <c r="A570" s="2" t="s">
        <v>948</v>
      </c>
      <c r="B570" s="3">
        <v>45632</v>
      </c>
      <c r="C570" s="2" t="s">
        <v>531</v>
      </c>
      <c r="D570" s="2" t="s">
        <v>174</v>
      </c>
      <c r="E570" s="2" t="s">
        <v>226</v>
      </c>
      <c r="F570" s="4">
        <v>7</v>
      </c>
      <c r="G570" s="4">
        <v>2270</v>
      </c>
      <c r="H570" s="4">
        <v>27.9</v>
      </c>
      <c r="I570" s="4">
        <v>11456.69</v>
      </c>
      <c r="J570" s="2" t="s">
        <v>16</v>
      </c>
      <c r="K570" s="2" t="s">
        <v>23</v>
      </c>
    </row>
    <row r="571" spans="1:11" x14ac:dyDescent="0.35">
      <c r="A571" s="2" t="s">
        <v>949</v>
      </c>
      <c r="B571" s="3">
        <v>45304</v>
      </c>
      <c r="C571" s="2" t="s">
        <v>192</v>
      </c>
      <c r="D571" s="2" t="s">
        <v>111</v>
      </c>
      <c r="E571" s="2" t="s">
        <v>275</v>
      </c>
      <c r="F571" s="4">
        <v>8</v>
      </c>
      <c r="G571" s="4">
        <v>1010</v>
      </c>
      <c r="H571" s="4">
        <v>13.7</v>
      </c>
      <c r="I571" s="4">
        <v>6973.04</v>
      </c>
      <c r="J571" s="2" t="s">
        <v>69</v>
      </c>
      <c r="K571" s="2" t="s">
        <v>62</v>
      </c>
    </row>
    <row r="572" spans="1:11" x14ac:dyDescent="0.35">
      <c r="A572" s="2" t="s">
        <v>950</v>
      </c>
      <c r="B572" s="3">
        <v>45330</v>
      </c>
      <c r="C572" s="2" t="s">
        <v>389</v>
      </c>
      <c r="D572" s="2" t="s">
        <v>296</v>
      </c>
      <c r="E572" s="2" t="s">
        <v>144</v>
      </c>
      <c r="F572" s="4">
        <v>8</v>
      </c>
      <c r="G572" s="4">
        <v>2380</v>
      </c>
      <c r="H572" s="4">
        <v>15.3</v>
      </c>
      <c r="I572" s="4">
        <v>16126.88</v>
      </c>
      <c r="J572" s="2" t="s">
        <v>69</v>
      </c>
      <c r="K572" s="2" t="s">
        <v>17</v>
      </c>
    </row>
    <row r="573" spans="1:11" x14ac:dyDescent="0.35">
      <c r="A573" s="2" t="s">
        <v>951</v>
      </c>
      <c r="B573" s="3">
        <v>45633</v>
      </c>
      <c r="C573" s="2" t="s">
        <v>912</v>
      </c>
      <c r="D573" s="2" t="s">
        <v>26</v>
      </c>
      <c r="E573" s="2" t="s">
        <v>232</v>
      </c>
      <c r="F573" s="4">
        <v>10</v>
      </c>
      <c r="G573" s="4">
        <v>470</v>
      </c>
      <c r="H573" s="4">
        <v>2.1</v>
      </c>
      <c r="I573" s="4">
        <v>4601.3</v>
      </c>
      <c r="J573" s="2" t="s">
        <v>16</v>
      </c>
      <c r="K573" s="2" t="s">
        <v>46</v>
      </c>
    </row>
    <row r="574" spans="1:11" x14ac:dyDescent="0.35">
      <c r="A574" s="2" t="s">
        <v>952</v>
      </c>
      <c r="B574" s="3">
        <v>45480</v>
      </c>
      <c r="C574" s="2" t="s">
        <v>380</v>
      </c>
      <c r="D574" s="2" t="s">
        <v>120</v>
      </c>
      <c r="E574" s="2" t="s">
        <v>40</v>
      </c>
      <c r="F574" s="4">
        <v>5</v>
      </c>
      <c r="G574" s="4">
        <v>5100</v>
      </c>
      <c r="H574" s="4">
        <v>9.6999999999999993</v>
      </c>
      <c r="I574" s="4">
        <v>23026.5</v>
      </c>
      <c r="J574" s="2" t="s">
        <v>16</v>
      </c>
      <c r="K574" s="2" t="s">
        <v>28</v>
      </c>
    </row>
    <row r="575" spans="1:11" x14ac:dyDescent="0.35">
      <c r="A575" s="2" t="s">
        <v>953</v>
      </c>
      <c r="B575" s="3">
        <v>45402</v>
      </c>
      <c r="C575" s="2" t="s">
        <v>95</v>
      </c>
      <c r="D575" s="2" t="s">
        <v>309</v>
      </c>
      <c r="E575" s="2" t="s">
        <v>130</v>
      </c>
      <c r="F575" s="4">
        <v>9</v>
      </c>
      <c r="G575" s="4">
        <v>960</v>
      </c>
      <c r="H575" s="4">
        <v>17.7</v>
      </c>
      <c r="I575" s="4">
        <v>7110.72</v>
      </c>
      <c r="J575" s="2" t="s">
        <v>16</v>
      </c>
      <c r="K575" s="2" t="s">
        <v>62</v>
      </c>
    </row>
    <row r="576" spans="1:11" x14ac:dyDescent="0.35">
      <c r="A576" s="2" t="s">
        <v>954</v>
      </c>
      <c r="B576" s="3">
        <v>45478</v>
      </c>
      <c r="C576" s="2" t="s">
        <v>135</v>
      </c>
      <c r="D576" s="2" t="s">
        <v>193</v>
      </c>
      <c r="E576" s="2" t="s">
        <v>15</v>
      </c>
      <c r="F576" s="4">
        <v>2</v>
      </c>
      <c r="G576" s="4">
        <v>4070</v>
      </c>
      <c r="H576" s="4">
        <v>2.1</v>
      </c>
      <c r="I576" s="4">
        <v>7969.06</v>
      </c>
      <c r="J576" s="2" t="s">
        <v>16</v>
      </c>
      <c r="K576" s="2" t="s">
        <v>62</v>
      </c>
    </row>
    <row r="577" spans="1:11" x14ac:dyDescent="0.35">
      <c r="A577" s="2" t="s">
        <v>955</v>
      </c>
      <c r="B577" s="3">
        <v>45358</v>
      </c>
      <c r="C577" s="2" t="s">
        <v>956</v>
      </c>
      <c r="D577" s="2" t="s">
        <v>155</v>
      </c>
      <c r="E577" s="2" t="s">
        <v>87</v>
      </c>
      <c r="F577" s="4">
        <v>5</v>
      </c>
      <c r="G577" s="4">
        <v>3730</v>
      </c>
      <c r="H577" s="4">
        <v>16.5</v>
      </c>
      <c r="I577" s="4">
        <v>15572.75</v>
      </c>
      <c r="J577" s="2" t="s">
        <v>16</v>
      </c>
      <c r="K577" s="2" t="s">
        <v>41</v>
      </c>
    </row>
    <row r="578" spans="1:11" x14ac:dyDescent="0.35">
      <c r="A578" s="2" t="s">
        <v>957</v>
      </c>
      <c r="B578" s="3">
        <v>45589</v>
      </c>
      <c r="C578" s="2" t="s">
        <v>30</v>
      </c>
      <c r="D578" s="2" t="s">
        <v>124</v>
      </c>
      <c r="E578" s="2" t="s">
        <v>214</v>
      </c>
      <c r="F578" s="4">
        <v>1</v>
      </c>
      <c r="G578" s="4">
        <v>2860</v>
      </c>
      <c r="H578" s="4">
        <v>10.4</v>
      </c>
      <c r="I578" s="4">
        <v>2562.56</v>
      </c>
      <c r="J578" s="2" t="s">
        <v>69</v>
      </c>
      <c r="K578" s="2" t="s">
        <v>28</v>
      </c>
    </row>
    <row r="579" spans="1:11" x14ac:dyDescent="0.35">
      <c r="A579" s="2" t="s">
        <v>958</v>
      </c>
      <c r="B579" s="3">
        <v>45507</v>
      </c>
      <c r="C579" s="2" t="s">
        <v>731</v>
      </c>
      <c r="D579" s="2" t="s">
        <v>113</v>
      </c>
      <c r="E579" s="2" t="s">
        <v>232</v>
      </c>
      <c r="F579" s="4">
        <v>4</v>
      </c>
      <c r="G579" s="4">
        <v>4880</v>
      </c>
      <c r="H579" s="4">
        <v>27.5</v>
      </c>
      <c r="I579" s="4">
        <v>14152</v>
      </c>
      <c r="J579" s="2" t="s">
        <v>22</v>
      </c>
      <c r="K579" s="2" t="s">
        <v>23</v>
      </c>
    </row>
    <row r="580" spans="1:11" x14ac:dyDescent="0.35">
      <c r="A580" s="2" t="s">
        <v>959</v>
      </c>
      <c r="B580" s="3">
        <v>45470</v>
      </c>
      <c r="C580" s="2" t="s">
        <v>752</v>
      </c>
      <c r="D580" s="2" t="s">
        <v>174</v>
      </c>
      <c r="E580" s="2" t="s">
        <v>214</v>
      </c>
      <c r="F580" s="4">
        <v>3</v>
      </c>
      <c r="G580" s="4">
        <v>2270</v>
      </c>
      <c r="H580" s="4">
        <v>6.7</v>
      </c>
      <c r="I580" s="4">
        <v>6353.73</v>
      </c>
      <c r="J580" s="2" t="s">
        <v>16</v>
      </c>
      <c r="K580" s="2" t="s">
        <v>23</v>
      </c>
    </row>
    <row r="581" spans="1:11" x14ac:dyDescent="0.35">
      <c r="A581" s="2" t="s">
        <v>960</v>
      </c>
      <c r="B581" s="3">
        <v>45589</v>
      </c>
      <c r="C581" s="2" t="s">
        <v>486</v>
      </c>
      <c r="D581" s="2" t="s">
        <v>280</v>
      </c>
      <c r="E581" s="2" t="s">
        <v>15</v>
      </c>
      <c r="F581" s="4">
        <v>10</v>
      </c>
      <c r="G581" s="4">
        <v>4060</v>
      </c>
      <c r="H581" s="4">
        <v>3.6</v>
      </c>
      <c r="I581" s="4">
        <v>39138.400000000001</v>
      </c>
      <c r="J581" s="2" t="s">
        <v>22</v>
      </c>
      <c r="K581" s="2" t="s">
        <v>41</v>
      </c>
    </row>
    <row r="582" spans="1:11" x14ac:dyDescent="0.35">
      <c r="A582" s="2" t="s">
        <v>961</v>
      </c>
      <c r="B582" s="3">
        <v>45433</v>
      </c>
      <c r="C582" s="2" t="s">
        <v>544</v>
      </c>
      <c r="D582" s="2" t="s">
        <v>64</v>
      </c>
      <c r="E582" s="2" t="s">
        <v>68</v>
      </c>
      <c r="F582" s="4">
        <v>8</v>
      </c>
      <c r="G582" s="4">
        <v>2640</v>
      </c>
      <c r="H582" s="4">
        <v>28.8</v>
      </c>
      <c r="I582" s="4">
        <v>15037.44</v>
      </c>
      <c r="J582" s="2" t="s">
        <v>16</v>
      </c>
      <c r="K582" s="2" t="s">
        <v>41</v>
      </c>
    </row>
    <row r="583" spans="1:11" x14ac:dyDescent="0.35">
      <c r="A583" s="2" t="s">
        <v>962</v>
      </c>
      <c r="B583" s="3">
        <v>45477</v>
      </c>
      <c r="C583" s="2" t="s">
        <v>419</v>
      </c>
      <c r="D583" s="2" t="s">
        <v>155</v>
      </c>
      <c r="E583" s="2" t="s">
        <v>254</v>
      </c>
      <c r="F583" s="4">
        <v>6</v>
      </c>
      <c r="G583" s="4">
        <v>3730</v>
      </c>
      <c r="H583" s="4">
        <v>21.9</v>
      </c>
      <c r="I583" s="4">
        <v>17478.78</v>
      </c>
      <c r="J583" s="2" t="s">
        <v>16</v>
      </c>
      <c r="K583" s="2" t="s">
        <v>28</v>
      </c>
    </row>
    <row r="584" spans="1:11" x14ac:dyDescent="0.35">
      <c r="A584" s="2" t="s">
        <v>963</v>
      </c>
      <c r="B584" s="3">
        <v>45443</v>
      </c>
      <c r="C584" s="2" t="s">
        <v>419</v>
      </c>
      <c r="D584" s="2" t="s">
        <v>293</v>
      </c>
      <c r="E584" s="2" t="s">
        <v>32</v>
      </c>
      <c r="F584" s="4">
        <v>9</v>
      </c>
      <c r="G584" s="4">
        <v>5330</v>
      </c>
      <c r="H584" s="4">
        <v>29.4</v>
      </c>
      <c r="I584" s="4">
        <v>33866.82</v>
      </c>
      <c r="J584" s="2" t="s">
        <v>69</v>
      </c>
      <c r="K584" s="2" t="s">
        <v>28</v>
      </c>
    </row>
    <row r="585" spans="1:11" x14ac:dyDescent="0.35">
      <c r="A585" s="2" t="s">
        <v>964</v>
      </c>
      <c r="B585" s="3">
        <v>45322</v>
      </c>
      <c r="C585" s="2" t="s">
        <v>965</v>
      </c>
      <c r="D585" s="2" t="s">
        <v>381</v>
      </c>
      <c r="E585" s="2" t="s">
        <v>272</v>
      </c>
      <c r="F585" s="4">
        <v>1</v>
      </c>
      <c r="G585" s="4">
        <v>3450</v>
      </c>
      <c r="H585" s="4">
        <v>23.3</v>
      </c>
      <c r="I585" s="4">
        <v>2646.15</v>
      </c>
      <c r="J585" s="2" t="s">
        <v>16</v>
      </c>
      <c r="K585" s="2" t="s">
        <v>41</v>
      </c>
    </row>
    <row r="586" spans="1:11" x14ac:dyDescent="0.35">
      <c r="A586" s="2" t="s">
        <v>966</v>
      </c>
      <c r="B586" s="3">
        <v>45544</v>
      </c>
      <c r="C586" s="2" t="s">
        <v>967</v>
      </c>
      <c r="D586" s="2" t="s">
        <v>170</v>
      </c>
      <c r="E586" s="2" t="s">
        <v>167</v>
      </c>
      <c r="F586" s="4">
        <v>3</v>
      </c>
      <c r="G586" s="4">
        <v>6080</v>
      </c>
      <c r="H586" s="4">
        <v>14.5</v>
      </c>
      <c r="I586" s="4">
        <v>15595.2</v>
      </c>
      <c r="J586" s="2" t="s">
        <v>16</v>
      </c>
      <c r="K586" s="2" t="s">
        <v>46</v>
      </c>
    </row>
    <row r="587" spans="1:11" x14ac:dyDescent="0.35">
      <c r="A587" s="2" t="s">
        <v>968</v>
      </c>
      <c r="B587" s="3">
        <v>45609</v>
      </c>
      <c r="C587" s="2" t="s">
        <v>239</v>
      </c>
      <c r="D587" s="2" t="s">
        <v>155</v>
      </c>
      <c r="E587" s="2" t="s">
        <v>226</v>
      </c>
      <c r="F587" s="4">
        <v>4</v>
      </c>
      <c r="G587" s="4">
        <v>3730</v>
      </c>
      <c r="H587" s="4">
        <v>3.4</v>
      </c>
      <c r="I587" s="4">
        <v>14412.72</v>
      </c>
      <c r="J587" s="2" t="s">
        <v>69</v>
      </c>
      <c r="K587" s="2" t="s">
        <v>46</v>
      </c>
    </row>
    <row r="588" spans="1:11" x14ac:dyDescent="0.35">
      <c r="A588" s="2" t="s">
        <v>969</v>
      </c>
      <c r="B588" s="3">
        <v>45491</v>
      </c>
      <c r="C588" s="2" t="s">
        <v>230</v>
      </c>
      <c r="D588" s="2" t="s">
        <v>208</v>
      </c>
      <c r="E588" s="2" t="s">
        <v>214</v>
      </c>
      <c r="F588" s="4">
        <v>10</v>
      </c>
      <c r="G588" s="4">
        <v>2660</v>
      </c>
      <c r="H588" s="4">
        <v>2.1</v>
      </c>
      <c r="I588" s="4">
        <v>26041.4</v>
      </c>
      <c r="J588" s="2" t="s">
        <v>16</v>
      </c>
      <c r="K588" s="2" t="s">
        <v>23</v>
      </c>
    </row>
    <row r="589" spans="1:11" x14ac:dyDescent="0.35">
      <c r="A589" s="2" t="s">
        <v>970</v>
      </c>
      <c r="B589" s="3">
        <v>45373</v>
      </c>
      <c r="C589" s="2" t="s">
        <v>104</v>
      </c>
      <c r="D589" s="2" t="s">
        <v>267</v>
      </c>
      <c r="E589" s="2" t="s">
        <v>87</v>
      </c>
      <c r="F589" s="4">
        <v>7</v>
      </c>
      <c r="G589" s="4">
        <v>2210</v>
      </c>
      <c r="H589" s="4">
        <v>17.100000000000001</v>
      </c>
      <c r="I589" s="4">
        <v>12824.63</v>
      </c>
      <c r="J589" s="2" t="s">
        <v>16</v>
      </c>
      <c r="K589" s="2" t="s">
        <v>62</v>
      </c>
    </row>
    <row r="590" spans="1:11" x14ac:dyDescent="0.35">
      <c r="A590" s="2" t="s">
        <v>971</v>
      </c>
      <c r="B590" s="3">
        <v>45607</v>
      </c>
      <c r="C590" s="2" t="s">
        <v>123</v>
      </c>
      <c r="D590" s="2" t="s">
        <v>390</v>
      </c>
      <c r="E590" s="2" t="s">
        <v>181</v>
      </c>
      <c r="F590" s="4">
        <v>6</v>
      </c>
      <c r="G590" s="4">
        <v>3780</v>
      </c>
      <c r="H590" s="4">
        <v>12.7</v>
      </c>
      <c r="I590" s="4">
        <v>19799.64</v>
      </c>
      <c r="J590" s="2" t="s">
        <v>16</v>
      </c>
      <c r="K590" s="2" t="s">
        <v>17</v>
      </c>
    </row>
    <row r="591" spans="1:11" x14ac:dyDescent="0.35">
      <c r="A591" s="2" t="s">
        <v>972</v>
      </c>
      <c r="B591" s="3">
        <v>45412</v>
      </c>
      <c r="C591" s="2" t="s">
        <v>892</v>
      </c>
      <c r="D591" s="2" t="s">
        <v>53</v>
      </c>
      <c r="E591" s="2" t="s">
        <v>158</v>
      </c>
      <c r="F591" s="4">
        <v>4</v>
      </c>
      <c r="G591" s="4">
        <v>5490</v>
      </c>
      <c r="H591" s="4">
        <v>26.9</v>
      </c>
      <c r="I591" s="4">
        <v>16052.76</v>
      </c>
      <c r="J591" s="2" t="s">
        <v>16</v>
      </c>
      <c r="K591" s="2" t="s">
        <v>23</v>
      </c>
    </row>
    <row r="592" spans="1:11" x14ac:dyDescent="0.35">
      <c r="A592" s="2" t="s">
        <v>973</v>
      </c>
      <c r="B592" s="3">
        <v>45351</v>
      </c>
      <c r="C592" s="2" t="s">
        <v>731</v>
      </c>
      <c r="D592" s="2" t="s">
        <v>208</v>
      </c>
      <c r="E592" s="2" t="s">
        <v>181</v>
      </c>
      <c r="F592" s="4">
        <v>9</v>
      </c>
      <c r="G592" s="4">
        <v>2660</v>
      </c>
      <c r="H592" s="4">
        <v>21.9</v>
      </c>
      <c r="I592" s="4">
        <v>18697.14</v>
      </c>
      <c r="J592" s="2" t="s">
        <v>16</v>
      </c>
      <c r="K592" s="2" t="s">
        <v>23</v>
      </c>
    </row>
    <row r="593" spans="1:11" x14ac:dyDescent="0.35">
      <c r="A593" s="2" t="s">
        <v>974</v>
      </c>
      <c r="B593" s="3">
        <v>45572</v>
      </c>
      <c r="C593" s="2" t="s">
        <v>332</v>
      </c>
      <c r="D593" s="2" t="s">
        <v>444</v>
      </c>
      <c r="E593" s="2" t="s">
        <v>57</v>
      </c>
      <c r="F593" s="4">
        <v>9</v>
      </c>
      <c r="G593" s="4">
        <v>6940</v>
      </c>
      <c r="H593" s="4">
        <v>8</v>
      </c>
      <c r="I593" s="4">
        <v>57463.199999999997</v>
      </c>
      <c r="J593" s="2" t="s">
        <v>16</v>
      </c>
      <c r="K593" s="2" t="s">
        <v>46</v>
      </c>
    </row>
    <row r="594" spans="1:11" x14ac:dyDescent="0.35">
      <c r="A594" s="2" t="s">
        <v>662</v>
      </c>
      <c r="B594" s="3">
        <v>45402</v>
      </c>
      <c r="C594" s="2" t="s">
        <v>126</v>
      </c>
      <c r="D594" s="2" t="s">
        <v>177</v>
      </c>
      <c r="E594" s="2" t="s">
        <v>32</v>
      </c>
      <c r="F594" s="4">
        <v>1</v>
      </c>
      <c r="G594" s="4">
        <v>3870</v>
      </c>
      <c r="H594" s="4">
        <v>22.6</v>
      </c>
      <c r="I594" s="4">
        <v>2995.38</v>
      </c>
      <c r="J594" s="2" t="s">
        <v>16</v>
      </c>
      <c r="K594" s="2" t="s">
        <v>17</v>
      </c>
    </row>
    <row r="595" spans="1:11" x14ac:dyDescent="0.35">
      <c r="A595" s="2" t="s">
        <v>975</v>
      </c>
      <c r="B595" s="3">
        <v>45503</v>
      </c>
      <c r="C595" s="2" t="s">
        <v>976</v>
      </c>
      <c r="D595" s="2" t="s">
        <v>431</v>
      </c>
      <c r="E595" s="2" t="s">
        <v>36</v>
      </c>
      <c r="F595" s="4">
        <v>3</v>
      </c>
      <c r="G595" s="4">
        <v>1090</v>
      </c>
      <c r="H595" s="4">
        <v>28.1</v>
      </c>
      <c r="I595" s="4">
        <v>2351.13</v>
      </c>
      <c r="J595" s="2" t="s">
        <v>16</v>
      </c>
      <c r="K595" s="2" t="s">
        <v>62</v>
      </c>
    </row>
    <row r="596" spans="1:11" x14ac:dyDescent="0.35">
      <c r="A596" s="2" t="s">
        <v>977</v>
      </c>
      <c r="B596" s="3">
        <v>45524</v>
      </c>
      <c r="C596" s="2" t="s">
        <v>394</v>
      </c>
      <c r="D596" s="2" t="s">
        <v>67</v>
      </c>
      <c r="E596" s="2" t="s">
        <v>144</v>
      </c>
      <c r="F596" s="4">
        <v>2</v>
      </c>
      <c r="G596" s="4">
        <v>2600</v>
      </c>
      <c r="H596" s="4">
        <v>5.6</v>
      </c>
      <c r="I596" s="4">
        <v>4908.8</v>
      </c>
      <c r="J596" s="2" t="s">
        <v>16</v>
      </c>
      <c r="K596" s="2" t="s">
        <v>41</v>
      </c>
    </row>
    <row r="597" spans="1:11" x14ac:dyDescent="0.35">
      <c r="A597" s="2" t="s">
        <v>978</v>
      </c>
      <c r="B597" s="3">
        <v>45425</v>
      </c>
      <c r="C597" s="2" t="s">
        <v>785</v>
      </c>
      <c r="D597" s="2" t="s">
        <v>44</v>
      </c>
      <c r="E597" s="2" t="s">
        <v>121</v>
      </c>
      <c r="F597" s="4">
        <v>4</v>
      </c>
      <c r="G597" s="4">
        <v>960</v>
      </c>
      <c r="H597" s="4">
        <v>21.7</v>
      </c>
      <c r="I597" s="4">
        <v>3006.72</v>
      </c>
      <c r="J597" s="2" t="s">
        <v>16</v>
      </c>
      <c r="K597" s="2" t="s">
        <v>17</v>
      </c>
    </row>
    <row r="598" spans="1:11" x14ac:dyDescent="0.35">
      <c r="A598" s="2" t="s">
        <v>979</v>
      </c>
      <c r="B598" s="3">
        <v>45533</v>
      </c>
      <c r="C598" s="2" t="s">
        <v>980</v>
      </c>
      <c r="D598" s="2" t="s">
        <v>39</v>
      </c>
      <c r="E598" s="2" t="s">
        <v>130</v>
      </c>
      <c r="F598" s="4">
        <v>6</v>
      </c>
      <c r="G598" s="4">
        <v>370</v>
      </c>
      <c r="H598" s="4">
        <v>22.5</v>
      </c>
      <c r="I598" s="4">
        <v>1720.5</v>
      </c>
      <c r="J598" s="2" t="s">
        <v>16</v>
      </c>
      <c r="K598" s="2" t="s">
        <v>41</v>
      </c>
    </row>
    <row r="599" spans="1:11" x14ac:dyDescent="0.35">
      <c r="A599" s="2" t="s">
        <v>981</v>
      </c>
      <c r="B599" s="3">
        <v>45649</v>
      </c>
      <c r="C599" s="2" t="s">
        <v>179</v>
      </c>
      <c r="D599" s="2" t="s">
        <v>372</v>
      </c>
      <c r="E599" s="2" t="s">
        <v>32</v>
      </c>
      <c r="F599" s="4">
        <v>5</v>
      </c>
      <c r="G599" s="4">
        <v>5080</v>
      </c>
      <c r="H599" s="4">
        <v>23.8</v>
      </c>
      <c r="I599" s="4">
        <v>19354.8</v>
      </c>
      <c r="J599" s="2" t="s">
        <v>16</v>
      </c>
      <c r="K599" s="2" t="s">
        <v>46</v>
      </c>
    </row>
    <row r="600" spans="1:11" x14ac:dyDescent="0.35">
      <c r="A600" s="2" t="s">
        <v>982</v>
      </c>
      <c r="B600" s="3">
        <v>45375</v>
      </c>
      <c r="C600" s="2" t="s">
        <v>488</v>
      </c>
      <c r="D600" s="2" t="s">
        <v>188</v>
      </c>
      <c r="E600" s="2" t="s">
        <v>77</v>
      </c>
      <c r="F600" s="4">
        <v>5</v>
      </c>
      <c r="G600" s="4">
        <v>1540</v>
      </c>
      <c r="H600" s="4">
        <v>6.1</v>
      </c>
      <c r="I600" s="4">
        <v>7230.3</v>
      </c>
      <c r="J600" s="2" t="s">
        <v>16</v>
      </c>
      <c r="K600" s="2" t="s">
        <v>17</v>
      </c>
    </row>
    <row r="601" spans="1:11" x14ac:dyDescent="0.35">
      <c r="A601" s="2" t="s">
        <v>983</v>
      </c>
      <c r="B601" s="3">
        <v>45342</v>
      </c>
      <c r="C601" s="2" t="s">
        <v>984</v>
      </c>
      <c r="D601" s="2" t="s">
        <v>60</v>
      </c>
      <c r="E601" s="2" t="s">
        <v>117</v>
      </c>
      <c r="F601" s="4">
        <v>7</v>
      </c>
      <c r="G601" s="4">
        <v>2270</v>
      </c>
      <c r="H601" s="4">
        <v>0.4</v>
      </c>
      <c r="I601" s="4">
        <v>15826.44</v>
      </c>
      <c r="J601" s="2" t="s">
        <v>16</v>
      </c>
      <c r="K601" s="2" t="s">
        <v>41</v>
      </c>
    </row>
    <row r="602" spans="1:11" x14ac:dyDescent="0.35">
      <c r="A602" s="2" t="s">
        <v>985</v>
      </c>
      <c r="B602" s="3">
        <v>45441</v>
      </c>
      <c r="C602" s="2" t="s">
        <v>757</v>
      </c>
      <c r="D602" s="2" t="s">
        <v>44</v>
      </c>
      <c r="E602" s="2" t="s">
        <v>117</v>
      </c>
      <c r="F602" s="4">
        <v>2</v>
      </c>
      <c r="G602" s="4">
        <v>960</v>
      </c>
      <c r="H602" s="4">
        <v>3.7</v>
      </c>
      <c r="I602" s="4">
        <v>1848.96</v>
      </c>
      <c r="J602" s="2" t="s">
        <v>16</v>
      </c>
      <c r="K602" s="2" t="s">
        <v>62</v>
      </c>
    </row>
    <row r="603" spans="1:11" x14ac:dyDescent="0.35">
      <c r="A603" s="2" t="s">
        <v>986</v>
      </c>
      <c r="B603" s="3">
        <v>45410</v>
      </c>
      <c r="C603" s="2" t="s">
        <v>336</v>
      </c>
      <c r="D603" s="2" t="s">
        <v>49</v>
      </c>
      <c r="E603" s="2" t="s">
        <v>272</v>
      </c>
      <c r="F603" s="4">
        <v>6</v>
      </c>
      <c r="G603" s="4">
        <v>1430</v>
      </c>
      <c r="H603" s="4">
        <v>2</v>
      </c>
      <c r="I603" s="4">
        <v>8408.4</v>
      </c>
      <c r="J603" s="2" t="s">
        <v>22</v>
      </c>
      <c r="K603" s="2" t="s">
        <v>17</v>
      </c>
    </row>
    <row r="604" spans="1:11" x14ac:dyDescent="0.35">
      <c r="A604" s="2" t="s">
        <v>987</v>
      </c>
      <c r="B604" s="3">
        <v>45588</v>
      </c>
      <c r="C604" s="2" t="s">
        <v>228</v>
      </c>
      <c r="D604" s="2" t="s">
        <v>86</v>
      </c>
      <c r="E604" s="2" t="s">
        <v>32</v>
      </c>
      <c r="F604" s="4">
        <v>10</v>
      </c>
      <c r="G604" s="4">
        <v>3450</v>
      </c>
      <c r="H604" s="4">
        <v>19.100000000000001</v>
      </c>
      <c r="I604" s="4">
        <v>27910.5</v>
      </c>
      <c r="J604" s="2" t="s">
        <v>16</v>
      </c>
      <c r="K604" s="2" t="s">
        <v>62</v>
      </c>
    </row>
    <row r="605" spans="1:11" x14ac:dyDescent="0.35">
      <c r="A605" s="2" t="s">
        <v>988</v>
      </c>
      <c r="B605" s="3">
        <v>45412</v>
      </c>
      <c r="C605" s="2" t="s">
        <v>369</v>
      </c>
      <c r="D605" s="2" t="s">
        <v>196</v>
      </c>
      <c r="E605" s="2" t="s">
        <v>130</v>
      </c>
      <c r="F605" s="4">
        <v>8</v>
      </c>
      <c r="G605" s="4">
        <v>1220</v>
      </c>
      <c r="H605" s="4">
        <v>16.899999999999999</v>
      </c>
      <c r="I605" s="4">
        <v>8110.56</v>
      </c>
      <c r="J605" s="2" t="s">
        <v>16</v>
      </c>
      <c r="K605" s="2" t="s">
        <v>17</v>
      </c>
    </row>
    <row r="606" spans="1:11" x14ac:dyDescent="0.35">
      <c r="A606" s="2" t="s">
        <v>989</v>
      </c>
      <c r="B606" s="3">
        <v>45439</v>
      </c>
      <c r="C606" s="2" t="s">
        <v>897</v>
      </c>
      <c r="D606" s="2" t="s">
        <v>129</v>
      </c>
      <c r="E606" s="2" t="s">
        <v>121</v>
      </c>
      <c r="F606" s="4">
        <v>9</v>
      </c>
      <c r="G606" s="4">
        <v>2760</v>
      </c>
      <c r="H606" s="4">
        <v>16.899999999999999</v>
      </c>
      <c r="I606" s="4">
        <v>20642.04</v>
      </c>
      <c r="J606" s="2" t="s">
        <v>16</v>
      </c>
      <c r="K606" s="2" t="s">
        <v>28</v>
      </c>
    </row>
    <row r="607" spans="1:11" x14ac:dyDescent="0.35">
      <c r="A607" s="2" t="s">
        <v>990</v>
      </c>
      <c r="B607" s="3">
        <v>45593</v>
      </c>
      <c r="C607" s="2" t="s">
        <v>991</v>
      </c>
      <c r="D607" s="2" t="s">
        <v>108</v>
      </c>
      <c r="E607" s="2" t="s">
        <v>167</v>
      </c>
      <c r="F607" s="4">
        <v>6</v>
      </c>
      <c r="G607" s="4">
        <v>3350</v>
      </c>
      <c r="H607" s="4">
        <v>11.8</v>
      </c>
      <c r="I607" s="4">
        <v>17728.2</v>
      </c>
      <c r="J607" s="2" t="s">
        <v>22</v>
      </c>
      <c r="K607" s="2" t="s">
        <v>41</v>
      </c>
    </row>
    <row r="608" spans="1:11" x14ac:dyDescent="0.35">
      <c r="A608" s="2" t="s">
        <v>992</v>
      </c>
      <c r="B608" s="3">
        <v>45570</v>
      </c>
      <c r="C608" s="2" t="s">
        <v>179</v>
      </c>
      <c r="D608" s="2" t="s">
        <v>120</v>
      </c>
      <c r="E608" s="2" t="s">
        <v>181</v>
      </c>
      <c r="F608" s="4">
        <v>6</v>
      </c>
      <c r="G608" s="4">
        <v>5100</v>
      </c>
      <c r="H608" s="4">
        <v>13.2</v>
      </c>
      <c r="I608" s="4">
        <v>26560.799999999999</v>
      </c>
      <c r="J608" s="2" t="s">
        <v>16</v>
      </c>
      <c r="K608" s="2" t="s">
        <v>46</v>
      </c>
    </row>
    <row r="609" spans="1:11" x14ac:dyDescent="0.35">
      <c r="A609" s="2" t="s">
        <v>993</v>
      </c>
      <c r="B609" s="3">
        <v>45474</v>
      </c>
      <c r="C609" s="2" t="s">
        <v>994</v>
      </c>
      <c r="D609" s="2" t="s">
        <v>64</v>
      </c>
      <c r="E609" s="2" t="s">
        <v>272</v>
      </c>
      <c r="F609" s="4">
        <v>6</v>
      </c>
      <c r="G609" s="4">
        <v>2640</v>
      </c>
      <c r="H609" s="4">
        <v>26.2</v>
      </c>
      <c r="I609" s="4">
        <v>11689.92</v>
      </c>
      <c r="J609" s="2" t="s">
        <v>16</v>
      </c>
      <c r="K609" s="2" t="s">
        <v>23</v>
      </c>
    </row>
    <row r="610" spans="1:11" x14ac:dyDescent="0.35">
      <c r="A610" s="2" t="s">
        <v>995</v>
      </c>
      <c r="B610" s="3">
        <v>45524</v>
      </c>
      <c r="C610" s="2" t="s">
        <v>526</v>
      </c>
      <c r="D610" s="2" t="s">
        <v>31</v>
      </c>
      <c r="E610" s="2" t="s">
        <v>275</v>
      </c>
      <c r="F610" s="4">
        <v>1</v>
      </c>
      <c r="G610" s="4">
        <v>3660</v>
      </c>
      <c r="H610" s="4">
        <v>19.7</v>
      </c>
      <c r="I610" s="4">
        <v>2938.98</v>
      </c>
      <c r="J610" s="2" t="s">
        <v>16</v>
      </c>
      <c r="K610" s="2" t="s">
        <v>41</v>
      </c>
    </row>
    <row r="611" spans="1:11" x14ac:dyDescent="0.35">
      <c r="A611" s="2" t="s">
        <v>996</v>
      </c>
      <c r="B611" s="3">
        <v>45468</v>
      </c>
      <c r="C611" s="2" t="s">
        <v>542</v>
      </c>
      <c r="D611" s="2" t="s">
        <v>39</v>
      </c>
      <c r="E611" s="2" t="s">
        <v>272</v>
      </c>
      <c r="F611" s="4">
        <v>5</v>
      </c>
      <c r="G611" s="4">
        <v>370</v>
      </c>
      <c r="H611" s="4">
        <v>21.7</v>
      </c>
      <c r="I611" s="4">
        <v>1448.55</v>
      </c>
      <c r="J611" s="2" t="s">
        <v>16</v>
      </c>
      <c r="K611" s="2" t="s">
        <v>41</v>
      </c>
    </row>
    <row r="612" spans="1:11" x14ac:dyDescent="0.35">
      <c r="A612" s="2" t="s">
        <v>997</v>
      </c>
      <c r="B612" s="3">
        <v>45336</v>
      </c>
      <c r="C612" s="2" t="s">
        <v>323</v>
      </c>
      <c r="D612" s="2" t="s">
        <v>221</v>
      </c>
      <c r="E612" s="2" t="s">
        <v>40</v>
      </c>
      <c r="F612" s="4">
        <v>5</v>
      </c>
      <c r="G612" s="4">
        <v>620</v>
      </c>
      <c r="H612" s="4">
        <v>10.199999999999999</v>
      </c>
      <c r="I612" s="4">
        <v>2783.8</v>
      </c>
      <c r="J612" s="2" t="s">
        <v>16</v>
      </c>
      <c r="K612" s="2" t="s">
        <v>46</v>
      </c>
    </row>
    <row r="613" spans="1:11" x14ac:dyDescent="0.35">
      <c r="A613" s="2" t="s">
        <v>998</v>
      </c>
      <c r="B613" s="3">
        <v>45392</v>
      </c>
      <c r="C613" s="2" t="s">
        <v>626</v>
      </c>
      <c r="D613" s="2" t="s">
        <v>26</v>
      </c>
      <c r="E613" s="2" t="s">
        <v>232</v>
      </c>
      <c r="F613" s="4">
        <v>8</v>
      </c>
      <c r="G613" s="4">
        <v>470</v>
      </c>
      <c r="H613" s="4">
        <v>2.4</v>
      </c>
      <c r="I613" s="4">
        <v>3669.76</v>
      </c>
      <c r="J613" s="2" t="s">
        <v>16</v>
      </c>
      <c r="K613" s="2" t="s">
        <v>62</v>
      </c>
    </row>
    <row r="614" spans="1:11" x14ac:dyDescent="0.35">
      <c r="A614" s="2" t="s">
        <v>999</v>
      </c>
      <c r="B614" s="3">
        <v>45610</v>
      </c>
      <c r="C614" s="2" t="s">
        <v>555</v>
      </c>
      <c r="D614" s="2" t="s">
        <v>315</v>
      </c>
      <c r="E614" s="2" t="s">
        <v>21</v>
      </c>
      <c r="F614" s="4">
        <v>3</v>
      </c>
      <c r="G614" s="4">
        <v>2290</v>
      </c>
      <c r="H614" s="4">
        <v>20.8</v>
      </c>
      <c r="I614" s="4">
        <v>5441.04</v>
      </c>
      <c r="J614" s="2" t="s">
        <v>16</v>
      </c>
      <c r="K614" s="2" t="s">
        <v>28</v>
      </c>
    </row>
    <row r="615" spans="1:11" x14ac:dyDescent="0.35">
      <c r="A615" s="2" t="s">
        <v>1000</v>
      </c>
      <c r="B615" s="3">
        <v>45297</v>
      </c>
      <c r="C615" s="2" t="s">
        <v>1001</v>
      </c>
      <c r="D615" s="2" t="s">
        <v>44</v>
      </c>
      <c r="E615" s="2" t="s">
        <v>45</v>
      </c>
      <c r="F615" s="4">
        <v>4</v>
      </c>
      <c r="G615" s="4">
        <v>960</v>
      </c>
      <c r="H615" s="4">
        <v>28.8</v>
      </c>
      <c r="I615" s="4">
        <v>2734.08</v>
      </c>
      <c r="J615" s="2" t="s">
        <v>22</v>
      </c>
      <c r="K615" s="2" t="s">
        <v>41</v>
      </c>
    </row>
    <row r="616" spans="1:11" x14ac:dyDescent="0.35">
      <c r="A616" s="2" t="s">
        <v>1002</v>
      </c>
      <c r="B616" s="3">
        <v>45558</v>
      </c>
      <c r="C616" s="2" t="s">
        <v>371</v>
      </c>
      <c r="D616" s="2" t="s">
        <v>31</v>
      </c>
      <c r="E616" s="2" t="s">
        <v>61</v>
      </c>
      <c r="F616" s="4">
        <v>5</v>
      </c>
      <c r="G616" s="4">
        <v>3660</v>
      </c>
      <c r="H616" s="4">
        <v>11.9</v>
      </c>
      <c r="I616" s="4">
        <v>16122.3</v>
      </c>
      <c r="J616" s="2" t="s">
        <v>22</v>
      </c>
      <c r="K616" s="2" t="s">
        <v>17</v>
      </c>
    </row>
    <row r="617" spans="1:11" x14ac:dyDescent="0.35">
      <c r="A617" s="2" t="s">
        <v>1003</v>
      </c>
      <c r="B617" s="3">
        <v>45487</v>
      </c>
      <c r="C617" s="2" t="s">
        <v>262</v>
      </c>
      <c r="D617" s="2" t="s">
        <v>116</v>
      </c>
      <c r="E617" s="2" t="s">
        <v>50</v>
      </c>
      <c r="F617" s="4">
        <v>5</v>
      </c>
      <c r="G617" s="4">
        <v>3570</v>
      </c>
      <c r="H617" s="4">
        <v>12.4</v>
      </c>
      <c r="I617" s="4">
        <v>15636.6</v>
      </c>
      <c r="J617" s="2" t="s">
        <v>16</v>
      </c>
      <c r="K617" s="2" t="s">
        <v>62</v>
      </c>
    </row>
    <row r="618" spans="1:11" x14ac:dyDescent="0.35">
      <c r="A618" s="2" t="s">
        <v>1004</v>
      </c>
      <c r="B618" s="3">
        <v>45307</v>
      </c>
      <c r="C618" s="2" t="s">
        <v>38</v>
      </c>
      <c r="D618" s="2" t="s">
        <v>224</v>
      </c>
      <c r="E618" s="2" t="s">
        <v>167</v>
      </c>
      <c r="F618" s="4">
        <v>9</v>
      </c>
      <c r="G618" s="4">
        <v>2030</v>
      </c>
      <c r="H618" s="4">
        <v>23.4</v>
      </c>
      <c r="I618" s="4">
        <v>13994.82</v>
      </c>
      <c r="J618" s="2" t="s">
        <v>16</v>
      </c>
      <c r="K618" s="2" t="s">
        <v>41</v>
      </c>
    </row>
    <row r="619" spans="1:11" x14ac:dyDescent="0.35">
      <c r="A619" s="2" t="s">
        <v>1005</v>
      </c>
      <c r="B619" s="3">
        <v>45328</v>
      </c>
      <c r="C619" s="2" t="s">
        <v>123</v>
      </c>
      <c r="D619" s="2" t="s">
        <v>102</v>
      </c>
      <c r="E619" s="2" t="s">
        <v>45</v>
      </c>
      <c r="F619" s="4">
        <v>7</v>
      </c>
      <c r="G619" s="4">
        <v>2720</v>
      </c>
      <c r="H619" s="4">
        <v>11.2</v>
      </c>
      <c r="I619" s="4">
        <v>16907.52</v>
      </c>
      <c r="J619" s="2" t="s">
        <v>73</v>
      </c>
      <c r="K619" s="2" t="s">
        <v>17</v>
      </c>
    </row>
    <row r="620" spans="1:11" x14ac:dyDescent="0.35">
      <c r="A620" s="2" t="s">
        <v>1006</v>
      </c>
      <c r="B620" s="3">
        <v>45627</v>
      </c>
      <c r="C620" s="2" t="s">
        <v>658</v>
      </c>
      <c r="D620" s="2" t="s">
        <v>116</v>
      </c>
      <c r="E620" s="2" t="s">
        <v>36</v>
      </c>
      <c r="F620" s="4">
        <v>2</v>
      </c>
      <c r="G620" s="4">
        <v>3570</v>
      </c>
      <c r="H620" s="4">
        <v>6.1</v>
      </c>
      <c r="I620" s="4">
        <v>6704.46</v>
      </c>
      <c r="J620" s="2" t="s">
        <v>69</v>
      </c>
      <c r="K620" s="2" t="s">
        <v>41</v>
      </c>
    </row>
    <row r="621" spans="1:11" x14ac:dyDescent="0.35">
      <c r="A621" s="2" t="s">
        <v>1007</v>
      </c>
      <c r="B621" s="3">
        <v>45574</v>
      </c>
      <c r="C621" s="2" t="s">
        <v>745</v>
      </c>
      <c r="D621" s="2" t="s">
        <v>80</v>
      </c>
      <c r="E621" s="2" t="s">
        <v>144</v>
      </c>
      <c r="F621" s="4">
        <v>5</v>
      </c>
      <c r="G621" s="4">
        <v>2400</v>
      </c>
      <c r="H621" s="4">
        <v>16.100000000000001</v>
      </c>
      <c r="I621" s="4">
        <v>10068</v>
      </c>
      <c r="J621" s="2" t="s">
        <v>16</v>
      </c>
      <c r="K621" s="2" t="s">
        <v>17</v>
      </c>
    </row>
    <row r="622" spans="1:11" x14ac:dyDescent="0.35">
      <c r="A622" s="2" t="s">
        <v>1008</v>
      </c>
      <c r="B622" s="3">
        <v>45592</v>
      </c>
      <c r="C622" s="2" t="s">
        <v>1001</v>
      </c>
      <c r="D622" s="2" t="s">
        <v>60</v>
      </c>
      <c r="E622" s="2" t="s">
        <v>226</v>
      </c>
      <c r="F622" s="4">
        <v>4</v>
      </c>
      <c r="G622" s="4">
        <v>2270</v>
      </c>
      <c r="H622" s="4">
        <v>27.5</v>
      </c>
      <c r="I622" s="4">
        <v>6583</v>
      </c>
      <c r="J622" s="2" t="s">
        <v>22</v>
      </c>
      <c r="K622" s="2" t="s">
        <v>41</v>
      </c>
    </row>
    <row r="623" spans="1:11" x14ac:dyDescent="0.35">
      <c r="A623" s="2" t="s">
        <v>1009</v>
      </c>
      <c r="B623" s="3">
        <v>45509</v>
      </c>
      <c r="C623" s="2" t="s">
        <v>30</v>
      </c>
      <c r="D623" s="2" t="s">
        <v>56</v>
      </c>
      <c r="E623" s="2" t="s">
        <v>254</v>
      </c>
      <c r="F623" s="4">
        <v>1</v>
      </c>
      <c r="G623" s="4">
        <v>970</v>
      </c>
      <c r="H623" s="4">
        <v>12.7</v>
      </c>
      <c r="I623" s="4">
        <v>846.81</v>
      </c>
      <c r="J623" s="2" t="s">
        <v>16</v>
      </c>
      <c r="K623" s="2" t="s">
        <v>28</v>
      </c>
    </row>
    <row r="624" spans="1:11" x14ac:dyDescent="0.35">
      <c r="A624" s="2" t="s">
        <v>1010</v>
      </c>
      <c r="B624" s="3">
        <v>45307</v>
      </c>
      <c r="C624" s="2" t="s">
        <v>398</v>
      </c>
      <c r="D624" s="2" t="s">
        <v>444</v>
      </c>
      <c r="E624" s="2" t="s">
        <v>232</v>
      </c>
      <c r="F624" s="4">
        <v>5</v>
      </c>
      <c r="G624" s="4">
        <v>6940</v>
      </c>
      <c r="H624" s="4">
        <v>16.2</v>
      </c>
      <c r="I624" s="4">
        <v>29078.6</v>
      </c>
      <c r="J624" s="2" t="s">
        <v>16</v>
      </c>
      <c r="K624" s="2" t="s">
        <v>46</v>
      </c>
    </row>
    <row r="625" spans="1:11" x14ac:dyDescent="0.35">
      <c r="A625" s="2" t="s">
        <v>1011</v>
      </c>
      <c r="B625" s="3">
        <v>45586</v>
      </c>
      <c r="C625" s="2" t="s">
        <v>128</v>
      </c>
      <c r="D625" s="2" t="s">
        <v>444</v>
      </c>
      <c r="E625" s="2" t="s">
        <v>133</v>
      </c>
      <c r="F625" s="4">
        <v>4</v>
      </c>
      <c r="G625" s="4">
        <v>6940</v>
      </c>
      <c r="H625" s="4">
        <v>15.1</v>
      </c>
      <c r="I625" s="4">
        <v>23568.240000000002</v>
      </c>
      <c r="J625" s="2" t="s">
        <v>16</v>
      </c>
      <c r="K625" s="2" t="s">
        <v>62</v>
      </c>
    </row>
    <row r="626" spans="1:11" x14ac:dyDescent="0.35">
      <c r="A626" s="2" t="s">
        <v>1012</v>
      </c>
      <c r="B626" s="3">
        <v>45587</v>
      </c>
      <c r="C626" s="2" t="s">
        <v>269</v>
      </c>
      <c r="D626" s="2" t="s">
        <v>111</v>
      </c>
      <c r="E626" s="2" t="s">
        <v>32</v>
      </c>
      <c r="F626" s="4">
        <v>1</v>
      </c>
      <c r="G626" s="4">
        <v>1010</v>
      </c>
      <c r="H626" s="4">
        <v>1.7</v>
      </c>
      <c r="I626" s="4">
        <v>992.83</v>
      </c>
      <c r="J626" s="2" t="s">
        <v>16</v>
      </c>
      <c r="K626" s="2" t="s">
        <v>17</v>
      </c>
    </row>
    <row r="627" spans="1:11" x14ac:dyDescent="0.35">
      <c r="A627" s="2" t="s">
        <v>1013</v>
      </c>
      <c r="B627" s="3">
        <v>45609</v>
      </c>
      <c r="C627" s="2" t="s">
        <v>220</v>
      </c>
      <c r="D627" s="2" t="s">
        <v>177</v>
      </c>
      <c r="E627" s="2" t="s">
        <v>15</v>
      </c>
      <c r="F627" s="4">
        <v>6</v>
      </c>
      <c r="G627" s="4">
        <v>3870</v>
      </c>
      <c r="H627" s="4">
        <v>12.2</v>
      </c>
      <c r="I627" s="4">
        <v>20387.16</v>
      </c>
      <c r="J627" s="2" t="s">
        <v>16</v>
      </c>
      <c r="K627" s="2" t="s">
        <v>28</v>
      </c>
    </row>
    <row r="628" spans="1:11" x14ac:dyDescent="0.35">
      <c r="A628" s="2" t="s">
        <v>1014</v>
      </c>
      <c r="B628" s="3">
        <v>45316</v>
      </c>
      <c r="C628" s="2" t="s">
        <v>466</v>
      </c>
      <c r="D628" s="2" t="s">
        <v>120</v>
      </c>
      <c r="E628" s="2" t="s">
        <v>202</v>
      </c>
      <c r="F628" s="4">
        <v>9</v>
      </c>
      <c r="G628" s="4">
        <v>5100</v>
      </c>
      <c r="H628" s="4">
        <v>26.4</v>
      </c>
      <c r="I628" s="4">
        <v>33782.400000000001</v>
      </c>
      <c r="J628" s="2" t="s">
        <v>16</v>
      </c>
      <c r="K628" s="2" t="s">
        <v>62</v>
      </c>
    </row>
    <row r="629" spans="1:11" x14ac:dyDescent="0.35">
      <c r="A629" s="2" t="s">
        <v>1015</v>
      </c>
      <c r="B629" s="3">
        <v>45451</v>
      </c>
      <c r="C629" s="2" t="s">
        <v>877</v>
      </c>
      <c r="D629" s="2" t="s">
        <v>35</v>
      </c>
      <c r="E629" s="2" t="s">
        <v>36</v>
      </c>
      <c r="F629" s="4">
        <v>2</v>
      </c>
      <c r="G629" s="4">
        <v>3160</v>
      </c>
      <c r="H629" s="4">
        <v>13.4</v>
      </c>
      <c r="I629" s="4">
        <v>5473.12</v>
      </c>
      <c r="J629" s="2" t="s">
        <v>73</v>
      </c>
      <c r="K629" s="2" t="s">
        <v>17</v>
      </c>
    </row>
    <row r="630" spans="1:11" x14ac:dyDescent="0.35">
      <c r="A630" s="2" t="s">
        <v>1016</v>
      </c>
      <c r="B630" s="3">
        <v>45554</v>
      </c>
      <c r="C630" s="2" t="s">
        <v>956</v>
      </c>
      <c r="D630" s="2" t="s">
        <v>267</v>
      </c>
      <c r="E630" s="2" t="s">
        <v>202</v>
      </c>
      <c r="F630" s="4">
        <v>8</v>
      </c>
      <c r="G630" s="4">
        <v>2210</v>
      </c>
      <c r="H630" s="4">
        <v>26</v>
      </c>
      <c r="I630" s="4">
        <v>13083.2</v>
      </c>
      <c r="J630" s="2" t="s">
        <v>16</v>
      </c>
      <c r="K630" s="2" t="s">
        <v>41</v>
      </c>
    </row>
    <row r="631" spans="1:11" x14ac:dyDescent="0.35">
      <c r="A631" s="2" t="s">
        <v>1017</v>
      </c>
      <c r="B631" s="3">
        <v>45567</v>
      </c>
      <c r="C631" s="2" t="s">
        <v>328</v>
      </c>
      <c r="D631" s="2" t="s">
        <v>588</v>
      </c>
      <c r="E631" s="2" t="s">
        <v>130</v>
      </c>
      <c r="F631" s="4">
        <v>5</v>
      </c>
      <c r="G631" s="4">
        <v>3560</v>
      </c>
      <c r="H631" s="4">
        <v>15</v>
      </c>
      <c r="I631" s="4">
        <v>15130</v>
      </c>
      <c r="J631" s="2" t="s">
        <v>16</v>
      </c>
      <c r="K631" s="2" t="s">
        <v>28</v>
      </c>
    </row>
    <row r="632" spans="1:11" x14ac:dyDescent="0.35">
      <c r="A632" s="2" t="s">
        <v>1018</v>
      </c>
      <c r="B632" s="3">
        <v>45633</v>
      </c>
      <c r="C632" s="2" t="s">
        <v>929</v>
      </c>
      <c r="D632" s="2" t="s">
        <v>221</v>
      </c>
      <c r="E632" s="2" t="s">
        <v>61</v>
      </c>
      <c r="F632" s="4">
        <v>10</v>
      </c>
      <c r="G632" s="4">
        <v>620</v>
      </c>
      <c r="H632" s="4">
        <v>15.8</v>
      </c>
      <c r="I632" s="4">
        <v>5220.3999999999996</v>
      </c>
      <c r="J632" s="2" t="s">
        <v>73</v>
      </c>
      <c r="K632" s="2" t="s">
        <v>46</v>
      </c>
    </row>
    <row r="633" spans="1:11" x14ac:dyDescent="0.35">
      <c r="A633" s="2" t="s">
        <v>1019</v>
      </c>
      <c r="B633" s="3">
        <v>45588</v>
      </c>
      <c r="C633" s="2" t="s">
        <v>486</v>
      </c>
      <c r="D633" s="2" t="s">
        <v>129</v>
      </c>
      <c r="E633" s="2" t="s">
        <v>226</v>
      </c>
      <c r="F633" s="4">
        <v>3</v>
      </c>
      <c r="G633" s="4">
        <v>2760</v>
      </c>
      <c r="H633" s="4">
        <v>1.9</v>
      </c>
      <c r="I633" s="4">
        <v>8122.68</v>
      </c>
      <c r="J633" s="2" t="s">
        <v>69</v>
      </c>
      <c r="K633" s="2" t="s">
        <v>41</v>
      </c>
    </row>
    <row r="634" spans="1:11" x14ac:dyDescent="0.35">
      <c r="A634" s="2" t="s">
        <v>1020</v>
      </c>
      <c r="B634" s="3">
        <v>45634</v>
      </c>
      <c r="C634" s="2" t="s">
        <v>148</v>
      </c>
      <c r="D634" s="2" t="s">
        <v>111</v>
      </c>
      <c r="E634" s="2" t="s">
        <v>21</v>
      </c>
      <c r="F634" s="4">
        <v>10</v>
      </c>
      <c r="G634" s="4">
        <v>1010</v>
      </c>
      <c r="H634" s="4">
        <v>28.9</v>
      </c>
      <c r="I634" s="4">
        <v>7181.1</v>
      </c>
      <c r="J634" s="2" t="s">
        <v>16</v>
      </c>
      <c r="K634" s="2" t="s">
        <v>28</v>
      </c>
    </row>
    <row r="635" spans="1:11" x14ac:dyDescent="0.35">
      <c r="A635" s="2" t="s">
        <v>1021</v>
      </c>
      <c r="B635" s="3">
        <v>45352</v>
      </c>
      <c r="C635" s="2" t="s">
        <v>135</v>
      </c>
      <c r="D635" s="2" t="s">
        <v>166</v>
      </c>
      <c r="E635" s="2" t="s">
        <v>226</v>
      </c>
      <c r="F635" s="4">
        <v>1</v>
      </c>
      <c r="G635" s="4">
        <v>3640</v>
      </c>
      <c r="H635" s="4">
        <v>9.6999999999999993</v>
      </c>
      <c r="I635" s="4">
        <v>3286.92</v>
      </c>
      <c r="J635" s="2" t="s">
        <v>16</v>
      </c>
      <c r="K635" s="2" t="s">
        <v>62</v>
      </c>
    </row>
    <row r="636" spans="1:11" x14ac:dyDescent="0.35">
      <c r="A636" s="2" t="s">
        <v>1022</v>
      </c>
      <c r="B636" s="3">
        <v>45489</v>
      </c>
      <c r="C636" s="2" t="s">
        <v>115</v>
      </c>
      <c r="D636" s="2" t="s">
        <v>20</v>
      </c>
      <c r="E636" s="2" t="s">
        <v>61</v>
      </c>
      <c r="F636" s="4">
        <v>1</v>
      </c>
      <c r="G636" s="4">
        <v>820</v>
      </c>
      <c r="H636" s="4">
        <v>15</v>
      </c>
      <c r="I636" s="4">
        <v>697</v>
      </c>
      <c r="J636" s="2" t="s">
        <v>16</v>
      </c>
      <c r="K636" s="2" t="s">
        <v>23</v>
      </c>
    </row>
    <row r="637" spans="1:11" x14ac:dyDescent="0.35">
      <c r="A637" s="2" t="s">
        <v>1023</v>
      </c>
      <c r="B637" s="3">
        <v>45342</v>
      </c>
      <c r="C637" s="2" t="s">
        <v>92</v>
      </c>
      <c r="D637" s="2" t="s">
        <v>166</v>
      </c>
      <c r="E637" s="2" t="s">
        <v>202</v>
      </c>
      <c r="F637" s="4">
        <v>4</v>
      </c>
      <c r="G637" s="4">
        <v>3640</v>
      </c>
      <c r="H637" s="4">
        <v>17</v>
      </c>
      <c r="I637" s="4">
        <v>12084.8</v>
      </c>
      <c r="J637" s="2" t="s">
        <v>16</v>
      </c>
      <c r="K637" s="2" t="s">
        <v>23</v>
      </c>
    </row>
    <row r="638" spans="1:11" x14ac:dyDescent="0.35">
      <c r="A638" s="2" t="s">
        <v>1024</v>
      </c>
      <c r="B638" s="3">
        <v>45425</v>
      </c>
      <c r="C638" s="2" t="s">
        <v>1025</v>
      </c>
      <c r="D638" s="2" t="s">
        <v>296</v>
      </c>
      <c r="E638" s="2" t="s">
        <v>226</v>
      </c>
      <c r="F638" s="4">
        <v>7</v>
      </c>
      <c r="G638" s="4">
        <v>2380</v>
      </c>
      <c r="H638" s="4">
        <v>25.5</v>
      </c>
      <c r="I638" s="4">
        <v>12411.7</v>
      </c>
      <c r="J638" s="2" t="s">
        <v>16</v>
      </c>
      <c r="K638" s="2" t="s">
        <v>17</v>
      </c>
    </row>
    <row r="639" spans="1:11" x14ac:dyDescent="0.35">
      <c r="A639" s="2" t="s">
        <v>1026</v>
      </c>
      <c r="B639" s="3">
        <v>45598</v>
      </c>
      <c r="C639" s="2" t="s">
        <v>736</v>
      </c>
      <c r="D639" s="2" t="s">
        <v>132</v>
      </c>
      <c r="E639" s="2" t="s">
        <v>36</v>
      </c>
      <c r="F639" s="4">
        <v>1</v>
      </c>
      <c r="G639" s="4">
        <v>660</v>
      </c>
      <c r="H639" s="4">
        <v>2.5</v>
      </c>
      <c r="I639" s="4">
        <v>643.5</v>
      </c>
      <c r="J639" s="2" t="s">
        <v>16</v>
      </c>
      <c r="K639" s="2" t="s">
        <v>17</v>
      </c>
    </row>
    <row r="640" spans="1:11" x14ac:dyDescent="0.35">
      <c r="A640" s="2" t="s">
        <v>1027</v>
      </c>
      <c r="B640" s="3">
        <v>45353</v>
      </c>
      <c r="C640" s="2" t="s">
        <v>699</v>
      </c>
      <c r="D640" s="2" t="s">
        <v>177</v>
      </c>
      <c r="E640" s="2" t="s">
        <v>121</v>
      </c>
      <c r="F640" s="4">
        <v>7</v>
      </c>
      <c r="G640" s="4">
        <v>3870</v>
      </c>
      <c r="H640" s="4">
        <v>20.3</v>
      </c>
      <c r="I640" s="4">
        <v>21590.73</v>
      </c>
      <c r="J640" s="2" t="s">
        <v>22</v>
      </c>
      <c r="K640" s="2" t="s">
        <v>17</v>
      </c>
    </row>
    <row r="641" spans="1:11" x14ac:dyDescent="0.35">
      <c r="A641" s="2" t="s">
        <v>1028</v>
      </c>
      <c r="B641" s="3">
        <v>45542</v>
      </c>
      <c r="C641" s="2" t="s">
        <v>183</v>
      </c>
      <c r="D641" s="2" t="s">
        <v>39</v>
      </c>
      <c r="E641" s="2" t="s">
        <v>275</v>
      </c>
      <c r="F641" s="4">
        <v>10</v>
      </c>
      <c r="G641" s="4">
        <v>370</v>
      </c>
      <c r="H641" s="4">
        <v>1.3</v>
      </c>
      <c r="I641" s="4">
        <v>3651.9</v>
      </c>
      <c r="J641" s="2" t="s">
        <v>73</v>
      </c>
      <c r="K641" s="2" t="s">
        <v>23</v>
      </c>
    </row>
    <row r="642" spans="1:11" x14ac:dyDescent="0.35">
      <c r="A642" s="2" t="s">
        <v>1029</v>
      </c>
      <c r="B642" s="3">
        <v>45365</v>
      </c>
      <c r="C642" s="2" t="s">
        <v>135</v>
      </c>
      <c r="D642" s="2" t="s">
        <v>14</v>
      </c>
      <c r="E642" s="2" t="s">
        <v>232</v>
      </c>
      <c r="F642" s="4">
        <v>1</v>
      </c>
      <c r="G642" s="4">
        <v>3620</v>
      </c>
      <c r="H642" s="4">
        <v>1.4</v>
      </c>
      <c r="I642" s="4">
        <v>3569.32</v>
      </c>
      <c r="J642" s="2" t="s">
        <v>16</v>
      </c>
      <c r="K642" s="2" t="s">
        <v>62</v>
      </c>
    </row>
    <row r="643" spans="1:11" x14ac:dyDescent="0.35">
      <c r="A643" s="2" t="s">
        <v>1030</v>
      </c>
      <c r="B643" s="3">
        <v>45574</v>
      </c>
      <c r="C643" s="2" t="s">
        <v>358</v>
      </c>
      <c r="D643" s="2" t="s">
        <v>208</v>
      </c>
      <c r="E643" s="2" t="s">
        <v>21</v>
      </c>
      <c r="F643" s="4">
        <v>10</v>
      </c>
      <c r="G643" s="4">
        <v>2660</v>
      </c>
      <c r="H643" s="4">
        <v>20.2</v>
      </c>
      <c r="I643" s="4">
        <v>21226.799999999999</v>
      </c>
      <c r="J643" s="2" t="s">
        <v>16</v>
      </c>
      <c r="K643" s="2" t="s">
        <v>46</v>
      </c>
    </row>
    <row r="644" spans="1:11" x14ac:dyDescent="0.35">
      <c r="A644" s="2" t="s">
        <v>1031</v>
      </c>
      <c r="B644" s="3">
        <v>45614</v>
      </c>
      <c r="C644" s="2" t="s">
        <v>195</v>
      </c>
      <c r="D644" s="2" t="s">
        <v>90</v>
      </c>
      <c r="E644" s="2" t="s">
        <v>117</v>
      </c>
      <c r="F644" s="4">
        <v>10</v>
      </c>
      <c r="G644" s="4">
        <v>3450</v>
      </c>
      <c r="H644" s="4">
        <v>25.1</v>
      </c>
      <c r="I644" s="4">
        <v>25840.5</v>
      </c>
      <c r="J644" s="2" t="s">
        <v>16</v>
      </c>
      <c r="K644" s="2" t="s">
        <v>28</v>
      </c>
    </row>
    <row r="645" spans="1:11" x14ac:dyDescent="0.35">
      <c r="A645" s="2" t="s">
        <v>1032</v>
      </c>
      <c r="B645" s="3">
        <v>45629</v>
      </c>
      <c r="C645" s="2" t="s">
        <v>1033</v>
      </c>
      <c r="D645" s="2" t="s">
        <v>280</v>
      </c>
      <c r="E645" s="2" t="s">
        <v>181</v>
      </c>
      <c r="F645" s="4">
        <v>3</v>
      </c>
      <c r="G645" s="4">
        <v>4060</v>
      </c>
      <c r="H645" s="4">
        <v>2.5</v>
      </c>
      <c r="I645" s="4">
        <v>11875.5</v>
      </c>
      <c r="J645" s="2" t="s">
        <v>73</v>
      </c>
      <c r="K645" s="2" t="s">
        <v>46</v>
      </c>
    </row>
    <row r="646" spans="1:11" x14ac:dyDescent="0.35">
      <c r="A646" s="2" t="s">
        <v>1034</v>
      </c>
      <c r="B646" s="3">
        <v>45294</v>
      </c>
      <c r="C646" s="2" t="s">
        <v>107</v>
      </c>
      <c r="D646" s="2" t="s">
        <v>44</v>
      </c>
      <c r="E646" s="2" t="s">
        <v>87</v>
      </c>
      <c r="F646" s="4">
        <v>3</v>
      </c>
      <c r="G646" s="4">
        <v>960</v>
      </c>
      <c r="H646" s="4">
        <v>6.6</v>
      </c>
      <c r="I646" s="4">
        <v>2689.92</v>
      </c>
      <c r="J646" s="2" t="s">
        <v>69</v>
      </c>
      <c r="K646" s="2" t="s">
        <v>23</v>
      </c>
    </row>
    <row r="647" spans="1:11" x14ac:dyDescent="0.35">
      <c r="A647" s="2" t="s">
        <v>1035</v>
      </c>
      <c r="B647" s="3">
        <v>45418</v>
      </c>
      <c r="C647" s="2" t="s">
        <v>490</v>
      </c>
      <c r="D647" s="2" t="s">
        <v>208</v>
      </c>
      <c r="E647" s="2" t="s">
        <v>36</v>
      </c>
      <c r="F647" s="4">
        <v>4</v>
      </c>
      <c r="G647" s="4">
        <v>2660</v>
      </c>
      <c r="H647" s="4">
        <v>16.899999999999999</v>
      </c>
      <c r="I647" s="4">
        <v>8841.84</v>
      </c>
      <c r="J647" s="2" t="s">
        <v>16</v>
      </c>
      <c r="K647" s="2" t="s">
        <v>62</v>
      </c>
    </row>
    <row r="648" spans="1:11" x14ac:dyDescent="0.35">
      <c r="A648" s="2" t="s">
        <v>1036</v>
      </c>
      <c r="B648" s="3">
        <v>45369</v>
      </c>
      <c r="C648" s="2" t="s">
        <v>430</v>
      </c>
      <c r="D648" s="2" t="s">
        <v>60</v>
      </c>
      <c r="E648" s="2" t="s">
        <v>232</v>
      </c>
      <c r="F648" s="4">
        <v>6</v>
      </c>
      <c r="G648" s="4">
        <v>2270</v>
      </c>
      <c r="H648" s="4">
        <v>16.7</v>
      </c>
      <c r="I648" s="4">
        <v>11345.46</v>
      </c>
      <c r="J648" s="2" t="s">
        <v>16</v>
      </c>
      <c r="K648" s="2" t="s">
        <v>62</v>
      </c>
    </row>
    <row r="649" spans="1:11" x14ac:dyDescent="0.35">
      <c r="A649" s="2" t="s">
        <v>1037</v>
      </c>
      <c r="B649" s="3">
        <v>45549</v>
      </c>
      <c r="C649" s="2" t="s">
        <v>323</v>
      </c>
      <c r="D649" s="2" t="s">
        <v>163</v>
      </c>
      <c r="E649" s="2" t="s">
        <v>40</v>
      </c>
      <c r="F649" s="4">
        <v>5</v>
      </c>
      <c r="G649" s="4">
        <v>3780</v>
      </c>
      <c r="H649" s="4">
        <v>21.5</v>
      </c>
      <c r="I649" s="4">
        <v>14836.5</v>
      </c>
      <c r="J649" s="2" t="s">
        <v>16</v>
      </c>
      <c r="K649" s="2" t="s">
        <v>46</v>
      </c>
    </row>
    <row r="650" spans="1:11" x14ac:dyDescent="0.35">
      <c r="A650" s="2" t="s">
        <v>1038</v>
      </c>
      <c r="B650" s="3">
        <v>45505</v>
      </c>
      <c r="C650" s="2" t="s">
        <v>839</v>
      </c>
      <c r="D650" s="2" t="s">
        <v>132</v>
      </c>
      <c r="E650" s="2" t="s">
        <v>50</v>
      </c>
      <c r="F650" s="4">
        <v>10</v>
      </c>
      <c r="G650" s="4">
        <v>660</v>
      </c>
      <c r="H650" s="4">
        <v>18.8</v>
      </c>
      <c r="I650" s="4">
        <v>5359.2</v>
      </c>
      <c r="J650" s="2" t="s">
        <v>16</v>
      </c>
      <c r="K650" s="2" t="s">
        <v>28</v>
      </c>
    </row>
    <row r="651" spans="1:11" x14ac:dyDescent="0.35">
      <c r="A651" s="2" t="s">
        <v>1039</v>
      </c>
      <c r="B651" s="3">
        <v>45413</v>
      </c>
      <c r="C651" s="2" t="s">
        <v>537</v>
      </c>
      <c r="D651" s="2" t="s">
        <v>155</v>
      </c>
      <c r="E651" s="2" t="s">
        <v>45</v>
      </c>
      <c r="F651" s="4">
        <v>10</v>
      </c>
      <c r="G651" s="4">
        <v>3730</v>
      </c>
      <c r="H651" s="4">
        <v>15.1</v>
      </c>
      <c r="I651" s="4">
        <v>31667.7</v>
      </c>
      <c r="J651" s="2" t="s">
        <v>16</v>
      </c>
      <c r="K651" s="2" t="s">
        <v>17</v>
      </c>
    </row>
    <row r="652" spans="1:11" x14ac:dyDescent="0.35">
      <c r="A652" s="2" t="s">
        <v>1040</v>
      </c>
      <c r="B652" s="3">
        <v>45559</v>
      </c>
      <c r="C652" s="2" t="s">
        <v>66</v>
      </c>
      <c r="D652" s="2" t="s">
        <v>280</v>
      </c>
      <c r="E652" s="2" t="s">
        <v>87</v>
      </c>
      <c r="F652" s="4">
        <v>6</v>
      </c>
      <c r="G652" s="4">
        <v>4060</v>
      </c>
      <c r="H652" s="4">
        <v>20.100000000000001</v>
      </c>
      <c r="I652" s="4">
        <v>19463.64</v>
      </c>
      <c r="J652" s="2" t="s">
        <v>22</v>
      </c>
      <c r="K652" s="2" t="s">
        <v>1041</v>
      </c>
    </row>
    <row r="653" spans="1:11" x14ac:dyDescent="0.35">
      <c r="A653" s="2" t="s">
        <v>1042</v>
      </c>
      <c r="B653" s="3">
        <v>45525</v>
      </c>
      <c r="C653" s="2" t="s">
        <v>912</v>
      </c>
      <c r="D653" s="2" t="s">
        <v>60</v>
      </c>
      <c r="E653" s="2" t="s">
        <v>77</v>
      </c>
      <c r="F653" s="4">
        <v>2</v>
      </c>
      <c r="G653" s="4">
        <v>2270</v>
      </c>
      <c r="H653" s="4">
        <v>17.7</v>
      </c>
      <c r="I653" s="4">
        <v>3736.42</v>
      </c>
      <c r="J653" s="2" t="s">
        <v>16</v>
      </c>
      <c r="K653" s="2" t="s">
        <v>46</v>
      </c>
    </row>
    <row r="654" spans="1:11" x14ac:dyDescent="0.35">
      <c r="A654" s="2" t="s">
        <v>1043</v>
      </c>
      <c r="B654" s="3">
        <v>45610</v>
      </c>
      <c r="C654" s="2" t="s">
        <v>466</v>
      </c>
      <c r="D654" s="2" t="s">
        <v>116</v>
      </c>
      <c r="E654" s="2" t="s">
        <v>57</v>
      </c>
      <c r="F654" s="4">
        <v>9</v>
      </c>
      <c r="G654" s="4">
        <v>3570</v>
      </c>
      <c r="H654" s="4">
        <v>29.9</v>
      </c>
      <c r="I654" s="4">
        <v>22523.13</v>
      </c>
      <c r="J654" s="2" t="s">
        <v>16</v>
      </c>
      <c r="K654" s="2" t="s">
        <v>62</v>
      </c>
    </row>
    <row r="655" spans="1:11" x14ac:dyDescent="0.35">
      <c r="A655" s="2" t="s">
        <v>1044</v>
      </c>
      <c r="B655" s="3">
        <v>45521</v>
      </c>
      <c r="C655" s="2" t="s">
        <v>757</v>
      </c>
      <c r="D655" s="2" t="s">
        <v>267</v>
      </c>
      <c r="E655" s="2" t="s">
        <v>68</v>
      </c>
      <c r="F655" s="4">
        <v>7</v>
      </c>
      <c r="G655" s="4">
        <v>2210</v>
      </c>
      <c r="H655" s="4">
        <v>25</v>
      </c>
      <c r="I655" s="4">
        <v>11602.5</v>
      </c>
      <c r="J655" s="2" t="s">
        <v>16</v>
      </c>
      <c r="K655" s="2" t="s">
        <v>62</v>
      </c>
    </row>
    <row r="656" spans="1:11" x14ac:dyDescent="0.35">
      <c r="A656" s="2" t="s">
        <v>1045</v>
      </c>
      <c r="B656" s="3">
        <v>45381</v>
      </c>
      <c r="C656" s="2" t="s">
        <v>834</v>
      </c>
      <c r="D656" s="2" t="s">
        <v>44</v>
      </c>
      <c r="E656" s="2" t="s">
        <v>130</v>
      </c>
      <c r="F656" s="4">
        <v>2</v>
      </c>
      <c r="G656" s="4">
        <v>960</v>
      </c>
      <c r="H656" s="4">
        <v>8.1999999999999993</v>
      </c>
      <c r="I656" s="4">
        <v>1762.56</v>
      </c>
      <c r="J656" s="2" t="s">
        <v>69</v>
      </c>
      <c r="K656" s="2" t="s">
        <v>41</v>
      </c>
    </row>
    <row r="657" spans="1:11" x14ac:dyDescent="0.35">
      <c r="A657" s="2" t="s">
        <v>1046</v>
      </c>
      <c r="B657" s="3">
        <v>45401</v>
      </c>
      <c r="C657" s="2" t="s">
        <v>557</v>
      </c>
      <c r="D657" s="2" t="s">
        <v>390</v>
      </c>
      <c r="E657" s="2" t="s">
        <v>130</v>
      </c>
      <c r="F657" s="4">
        <v>9</v>
      </c>
      <c r="G657" s="4">
        <v>3780</v>
      </c>
      <c r="H657" s="4">
        <v>28.4</v>
      </c>
      <c r="I657" s="4">
        <v>24358.32</v>
      </c>
      <c r="J657" s="2" t="s">
        <v>22</v>
      </c>
      <c r="K657" s="2" t="s">
        <v>62</v>
      </c>
    </row>
    <row r="658" spans="1:11" x14ac:dyDescent="0.35">
      <c r="A658" s="2" t="s">
        <v>1047</v>
      </c>
      <c r="B658" s="3">
        <v>45581</v>
      </c>
      <c r="C658" s="2" t="s">
        <v>815</v>
      </c>
      <c r="D658" s="2" t="s">
        <v>120</v>
      </c>
      <c r="E658" s="2" t="s">
        <v>27</v>
      </c>
      <c r="F658" s="4">
        <v>2</v>
      </c>
      <c r="G658" s="4">
        <v>5100</v>
      </c>
      <c r="H658" s="4">
        <v>8.6</v>
      </c>
      <c r="I658" s="4">
        <v>9322.7999999999993</v>
      </c>
      <c r="J658" s="2" t="s">
        <v>16</v>
      </c>
      <c r="K658" s="2" t="s">
        <v>23</v>
      </c>
    </row>
    <row r="659" spans="1:11" x14ac:dyDescent="0.35">
      <c r="A659" s="2" t="s">
        <v>1048</v>
      </c>
      <c r="B659" s="3">
        <v>45414</v>
      </c>
      <c r="C659" s="2" t="s">
        <v>439</v>
      </c>
      <c r="D659" s="2" t="s">
        <v>96</v>
      </c>
      <c r="E659" s="2" t="s">
        <v>87</v>
      </c>
      <c r="F659" s="4">
        <v>4</v>
      </c>
      <c r="G659" s="4">
        <v>2480</v>
      </c>
      <c r="H659" s="4">
        <v>16.600000000000001</v>
      </c>
      <c r="I659" s="4">
        <v>8273.2800000000007</v>
      </c>
      <c r="J659" s="2" t="s">
        <v>16</v>
      </c>
      <c r="K659" s="2" t="s">
        <v>46</v>
      </c>
    </row>
    <row r="660" spans="1:11" x14ac:dyDescent="0.35">
      <c r="A660" s="2" t="s">
        <v>1049</v>
      </c>
      <c r="B660" s="3">
        <v>45443</v>
      </c>
      <c r="C660" s="2" t="s">
        <v>1050</v>
      </c>
      <c r="D660" s="2" t="s">
        <v>93</v>
      </c>
      <c r="E660" s="2" t="s">
        <v>232</v>
      </c>
      <c r="F660" s="4">
        <v>10</v>
      </c>
      <c r="G660" s="4">
        <v>1080</v>
      </c>
      <c r="H660" s="4">
        <v>14.5</v>
      </c>
      <c r="I660" s="4">
        <v>9234</v>
      </c>
      <c r="J660" s="2" t="s">
        <v>16</v>
      </c>
      <c r="K660" s="2" t="s">
        <v>41</v>
      </c>
    </row>
    <row r="661" spans="1:11" x14ac:dyDescent="0.35">
      <c r="A661" s="2" t="s">
        <v>1051</v>
      </c>
      <c r="B661" s="3">
        <v>45377</v>
      </c>
      <c r="C661" s="2" t="s">
        <v>555</v>
      </c>
      <c r="D661" s="2" t="s">
        <v>67</v>
      </c>
      <c r="E661" s="2" t="s">
        <v>158</v>
      </c>
      <c r="F661" s="4">
        <v>7</v>
      </c>
      <c r="G661" s="4">
        <v>2600</v>
      </c>
      <c r="H661" s="4">
        <v>21</v>
      </c>
      <c r="I661" s="4">
        <v>14378</v>
      </c>
      <c r="J661" s="2" t="s">
        <v>16</v>
      </c>
      <c r="K661" s="2" t="s">
        <v>28</v>
      </c>
    </row>
    <row r="662" spans="1:11" x14ac:dyDescent="0.35">
      <c r="A662" s="2" t="s">
        <v>1052</v>
      </c>
      <c r="B662" s="3">
        <v>45622</v>
      </c>
      <c r="C662" s="2" t="s">
        <v>34</v>
      </c>
      <c r="D662" s="2" t="s">
        <v>67</v>
      </c>
      <c r="E662" s="2" t="s">
        <v>117</v>
      </c>
      <c r="F662" s="4">
        <v>7</v>
      </c>
      <c r="G662" s="4">
        <v>2600</v>
      </c>
      <c r="H662" s="4">
        <v>6.7</v>
      </c>
      <c r="I662" s="4">
        <v>16980.599999999999</v>
      </c>
      <c r="J662" s="2" t="s">
        <v>22</v>
      </c>
      <c r="K662" s="2" t="s">
        <v>23</v>
      </c>
    </row>
    <row r="663" spans="1:11" x14ac:dyDescent="0.35">
      <c r="A663" s="2" t="s">
        <v>1053</v>
      </c>
      <c r="B663" s="3">
        <v>45403</v>
      </c>
      <c r="C663" s="2" t="s">
        <v>148</v>
      </c>
      <c r="D663" s="2" t="s">
        <v>20</v>
      </c>
      <c r="E663" s="2" t="s">
        <v>83</v>
      </c>
      <c r="F663" s="4">
        <v>8</v>
      </c>
      <c r="G663" s="4">
        <v>820</v>
      </c>
      <c r="H663" s="4">
        <v>17.8</v>
      </c>
      <c r="I663" s="4">
        <v>5392.32</v>
      </c>
      <c r="J663" s="2" t="s">
        <v>22</v>
      </c>
      <c r="K663" s="2" t="s">
        <v>28</v>
      </c>
    </row>
    <row r="664" spans="1:11" x14ac:dyDescent="0.35">
      <c r="A664" s="2" t="s">
        <v>1054</v>
      </c>
      <c r="B664" s="3">
        <v>45532</v>
      </c>
      <c r="C664" s="2" t="s">
        <v>447</v>
      </c>
      <c r="D664" s="2" t="s">
        <v>44</v>
      </c>
      <c r="E664" s="2" t="s">
        <v>133</v>
      </c>
      <c r="F664" s="4">
        <v>3</v>
      </c>
      <c r="G664" s="4">
        <v>960</v>
      </c>
      <c r="H664" s="4">
        <v>17.8</v>
      </c>
      <c r="I664" s="4">
        <v>2367.36</v>
      </c>
      <c r="J664" s="2" t="s">
        <v>16</v>
      </c>
      <c r="K664" s="2" t="s">
        <v>17</v>
      </c>
    </row>
    <row r="665" spans="1:11" x14ac:dyDescent="0.35">
      <c r="A665" s="2" t="s">
        <v>1055</v>
      </c>
      <c r="B665" s="3">
        <v>45301</v>
      </c>
      <c r="C665" s="2" t="s">
        <v>195</v>
      </c>
      <c r="D665" s="2" t="s">
        <v>188</v>
      </c>
      <c r="E665" s="2" t="s">
        <v>83</v>
      </c>
      <c r="F665" s="4">
        <v>2</v>
      </c>
      <c r="G665" s="4">
        <v>1540</v>
      </c>
      <c r="H665" s="4">
        <v>1.8</v>
      </c>
      <c r="I665" s="4">
        <v>3024.56</v>
      </c>
      <c r="J665" s="2" t="s">
        <v>69</v>
      </c>
      <c r="K665" s="2" t="s">
        <v>28</v>
      </c>
    </row>
    <row r="666" spans="1:11" x14ac:dyDescent="0.35">
      <c r="A666" s="2" t="s">
        <v>1056</v>
      </c>
      <c r="B666" s="3">
        <v>45622</v>
      </c>
      <c r="C666" s="2" t="s">
        <v>935</v>
      </c>
      <c r="D666" s="2" t="s">
        <v>444</v>
      </c>
      <c r="E666" s="2" t="s">
        <v>99</v>
      </c>
      <c r="F666" s="4">
        <v>5</v>
      </c>
      <c r="G666" s="4">
        <v>6940</v>
      </c>
      <c r="H666" s="4">
        <v>2.9</v>
      </c>
      <c r="I666" s="4">
        <v>33693.699999999997</v>
      </c>
      <c r="J666" s="2" t="s">
        <v>16</v>
      </c>
      <c r="K666" s="2" t="s">
        <v>46</v>
      </c>
    </row>
    <row r="667" spans="1:11" x14ac:dyDescent="0.35">
      <c r="A667" s="2" t="s">
        <v>1057</v>
      </c>
      <c r="B667" s="3">
        <v>45531</v>
      </c>
      <c r="C667" s="2" t="s">
        <v>307</v>
      </c>
      <c r="D667" s="2" t="s">
        <v>188</v>
      </c>
      <c r="E667" s="2" t="s">
        <v>181</v>
      </c>
      <c r="F667" s="4">
        <v>5</v>
      </c>
      <c r="G667" s="4">
        <v>1540</v>
      </c>
      <c r="H667" s="4">
        <v>28.8</v>
      </c>
      <c r="I667" s="4">
        <v>5482.4</v>
      </c>
      <c r="J667" s="2" t="s">
        <v>16</v>
      </c>
      <c r="K667" s="2" t="s">
        <v>23</v>
      </c>
    </row>
    <row r="668" spans="1:11" x14ac:dyDescent="0.35">
      <c r="A668" s="2" t="s">
        <v>1058</v>
      </c>
      <c r="B668" s="3">
        <v>45326</v>
      </c>
      <c r="C668" s="2" t="s">
        <v>634</v>
      </c>
      <c r="D668" s="2" t="s">
        <v>155</v>
      </c>
      <c r="E668" s="2" t="s">
        <v>254</v>
      </c>
      <c r="F668" s="4">
        <v>8</v>
      </c>
      <c r="G668" s="4">
        <v>3730</v>
      </c>
      <c r="H668" s="4">
        <v>21.1</v>
      </c>
      <c r="I668" s="4">
        <v>23543.759999999998</v>
      </c>
      <c r="J668" s="2" t="s">
        <v>16</v>
      </c>
      <c r="K668" s="2" t="s">
        <v>28</v>
      </c>
    </row>
    <row r="669" spans="1:11" x14ac:dyDescent="0.35">
      <c r="A669" s="2" t="s">
        <v>1059</v>
      </c>
      <c r="B669" s="3">
        <v>45635</v>
      </c>
      <c r="C669" s="2" t="s">
        <v>176</v>
      </c>
      <c r="D669" s="2" t="s">
        <v>129</v>
      </c>
      <c r="E669" s="2" t="s">
        <v>83</v>
      </c>
      <c r="F669" s="4">
        <v>7</v>
      </c>
      <c r="G669" s="4">
        <v>2760</v>
      </c>
      <c r="H669" s="4">
        <v>1.2</v>
      </c>
      <c r="I669" s="4">
        <v>19088.16</v>
      </c>
      <c r="J669" s="2" t="s">
        <v>69</v>
      </c>
      <c r="K669" s="2" t="s">
        <v>46</v>
      </c>
    </row>
    <row r="670" spans="1:11" x14ac:dyDescent="0.35">
      <c r="A670" s="2" t="s">
        <v>1060</v>
      </c>
      <c r="B670" s="3">
        <v>45431</v>
      </c>
      <c r="C670" s="2" t="s">
        <v>291</v>
      </c>
      <c r="D670" s="2" t="s">
        <v>337</v>
      </c>
      <c r="E670" s="2" t="s">
        <v>121</v>
      </c>
      <c r="F670" s="4">
        <v>3</v>
      </c>
      <c r="G670" s="4">
        <v>3970</v>
      </c>
      <c r="H670" s="4">
        <v>18.3</v>
      </c>
      <c r="I670" s="4">
        <v>9730.4699999999993</v>
      </c>
      <c r="J670" s="2" t="s">
        <v>16</v>
      </c>
      <c r="K670" s="2" t="s">
        <v>23</v>
      </c>
    </row>
    <row r="671" spans="1:11" x14ac:dyDescent="0.35">
      <c r="A671" s="2" t="s">
        <v>1061</v>
      </c>
      <c r="B671" s="3">
        <v>45393</v>
      </c>
      <c r="C671" s="2" t="s">
        <v>323</v>
      </c>
      <c r="D671" s="2" t="s">
        <v>163</v>
      </c>
      <c r="E671" s="2" t="s">
        <v>83</v>
      </c>
      <c r="F671" s="4">
        <v>4</v>
      </c>
      <c r="G671" s="4">
        <v>3780</v>
      </c>
      <c r="H671" s="4">
        <v>24.6</v>
      </c>
      <c r="I671" s="4">
        <v>11400.48</v>
      </c>
      <c r="J671" s="2" t="s">
        <v>16</v>
      </c>
      <c r="K671" s="2" t="s">
        <v>46</v>
      </c>
    </row>
    <row r="672" spans="1:11" x14ac:dyDescent="0.35">
      <c r="A672" s="2" t="s">
        <v>1062</v>
      </c>
      <c r="B672" s="3">
        <v>45295</v>
      </c>
      <c r="C672" s="2" t="s">
        <v>764</v>
      </c>
      <c r="D672" s="2" t="s">
        <v>102</v>
      </c>
      <c r="E672" s="2" t="s">
        <v>36</v>
      </c>
      <c r="F672" s="4">
        <v>10</v>
      </c>
      <c r="G672" s="4">
        <v>2720</v>
      </c>
      <c r="H672" s="4">
        <v>12.8</v>
      </c>
      <c r="I672" s="4">
        <v>23718.400000000001</v>
      </c>
      <c r="J672" s="2" t="s">
        <v>16</v>
      </c>
      <c r="K672" s="2" t="s">
        <v>46</v>
      </c>
    </row>
    <row r="673" spans="1:11" x14ac:dyDescent="0.35">
      <c r="A673" s="2" t="s">
        <v>1063</v>
      </c>
      <c r="B673" s="3">
        <v>45371</v>
      </c>
      <c r="C673" s="2" t="s">
        <v>265</v>
      </c>
      <c r="D673" s="2" t="s">
        <v>337</v>
      </c>
      <c r="E673" s="2" t="s">
        <v>167</v>
      </c>
      <c r="F673" s="4">
        <v>5</v>
      </c>
      <c r="G673" s="4">
        <v>3970</v>
      </c>
      <c r="H673" s="4">
        <v>5.9</v>
      </c>
      <c r="I673" s="4">
        <v>18678.849999999999</v>
      </c>
      <c r="J673" s="2" t="s">
        <v>16</v>
      </c>
      <c r="K673" s="2" t="s">
        <v>41</v>
      </c>
    </row>
    <row r="674" spans="1:11" x14ac:dyDescent="0.35">
      <c r="A674" s="2" t="s">
        <v>1064</v>
      </c>
      <c r="B674" s="3">
        <v>45601</v>
      </c>
      <c r="C674" s="2" t="s">
        <v>71</v>
      </c>
      <c r="D674" s="2" t="s">
        <v>20</v>
      </c>
      <c r="E674" s="2" t="s">
        <v>202</v>
      </c>
      <c r="F674" s="4">
        <v>3</v>
      </c>
      <c r="G674" s="4">
        <v>820</v>
      </c>
      <c r="H674" s="4">
        <v>19.399999999999999</v>
      </c>
      <c r="I674" s="4">
        <v>1982.76</v>
      </c>
      <c r="J674" s="2" t="s">
        <v>16</v>
      </c>
      <c r="K674" s="2" t="s">
        <v>17</v>
      </c>
    </row>
    <row r="675" spans="1:11" x14ac:dyDescent="0.35">
      <c r="A675" s="2" t="s">
        <v>1065</v>
      </c>
      <c r="B675" s="3">
        <v>45471</v>
      </c>
      <c r="C675" s="2" t="s">
        <v>484</v>
      </c>
      <c r="D675" s="2" t="s">
        <v>221</v>
      </c>
      <c r="E675" s="2" t="s">
        <v>61</v>
      </c>
      <c r="F675" s="4">
        <v>7</v>
      </c>
      <c r="G675" s="4">
        <v>620</v>
      </c>
      <c r="H675" s="4">
        <v>9.9</v>
      </c>
      <c r="I675" s="4">
        <v>3910.34</v>
      </c>
      <c r="J675" s="2" t="s">
        <v>16</v>
      </c>
      <c r="K675" s="2" t="s">
        <v>41</v>
      </c>
    </row>
    <row r="676" spans="1:11" x14ac:dyDescent="0.35">
      <c r="A676" s="2" t="s">
        <v>1066</v>
      </c>
      <c r="B676" s="3">
        <v>45318</v>
      </c>
      <c r="C676" s="2" t="s">
        <v>598</v>
      </c>
      <c r="D676" s="2" t="s">
        <v>315</v>
      </c>
      <c r="E676" s="2" t="s">
        <v>272</v>
      </c>
      <c r="F676" s="4">
        <v>8</v>
      </c>
      <c r="G676" s="4">
        <v>2290</v>
      </c>
      <c r="H676" s="4">
        <v>18.3</v>
      </c>
      <c r="I676" s="4">
        <v>14967.44</v>
      </c>
      <c r="J676" s="2" t="s">
        <v>16</v>
      </c>
      <c r="K676" s="2" t="s">
        <v>62</v>
      </c>
    </row>
    <row r="677" spans="1:11" x14ac:dyDescent="0.35">
      <c r="A677" s="2" t="s">
        <v>1067</v>
      </c>
      <c r="B677" s="3">
        <v>45364</v>
      </c>
      <c r="C677" s="2" t="s">
        <v>496</v>
      </c>
      <c r="D677" s="2" t="s">
        <v>56</v>
      </c>
      <c r="E677" s="2" t="s">
        <v>40</v>
      </c>
      <c r="F677" s="4">
        <v>3</v>
      </c>
      <c r="G677" s="4">
        <v>970</v>
      </c>
      <c r="H677" s="4">
        <v>18.399999999999999</v>
      </c>
      <c r="I677" s="4">
        <v>2374.56</v>
      </c>
      <c r="J677" s="2" t="s">
        <v>16</v>
      </c>
      <c r="K677" s="2" t="s">
        <v>46</v>
      </c>
    </row>
    <row r="678" spans="1:11" x14ac:dyDescent="0.35">
      <c r="A678" s="2" t="s">
        <v>1068</v>
      </c>
      <c r="B678" s="3">
        <v>45419</v>
      </c>
      <c r="C678" s="2" t="s">
        <v>897</v>
      </c>
      <c r="D678" s="2" t="s">
        <v>39</v>
      </c>
      <c r="E678" s="2" t="s">
        <v>27</v>
      </c>
      <c r="F678" s="4">
        <v>2</v>
      </c>
      <c r="G678" s="4">
        <v>370</v>
      </c>
      <c r="H678" s="4">
        <v>8.9</v>
      </c>
      <c r="I678" s="4">
        <v>674.14</v>
      </c>
      <c r="J678" s="2" t="s">
        <v>16</v>
      </c>
      <c r="K678" s="2" t="s">
        <v>28</v>
      </c>
    </row>
    <row r="679" spans="1:11" x14ac:dyDescent="0.35">
      <c r="A679" s="2" t="s">
        <v>1069</v>
      </c>
      <c r="B679" s="3">
        <v>45632</v>
      </c>
      <c r="C679" s="2" t="s">
        <v>654</v>
      </c>
      <c r="D679" s="2" t="s">
        <v>49</v>
      </c>
      <c r="E679" s="2" t="s">
        <v>15</v>
      </c>
      <c r="F679" s="4">
        <v>1</v>
      </c>
      <c r="G679" s="4">
        <v>1430</v>
      </c>
      <c r="H679" s="4">
        <v>5.9</v>
      </c>
      <c r="I679" s="4">
        <v>1345.63</v>
      </c>
      <c r="J679" s="2" t="s">
        <v>69</v>
      </c>
      <c r="K679" s="2" t="s">
        <v>28</v>
      </c>
    </row>
    <row r="680" spans="1:11" x14ac:dyDescent="0.35">
      <c r="A680" s="2" t="s">
        <v>1070</v>
      </c>
      <c r="B680" s="3">
        <v>45494</v>
      </c>
      <c r="C680" s="2" t="s">
        <v>766</v>
      </c>
      <c r="D680" s="2" t="s">
        <v>80</v>
      </c>
      <c r="E680" s="2" t="s">
        <v>99</v>
      </c>
      <c r="F680" s="4">
        <v>2</v>
      </c>
      <c r="G680" s="4">
        <v>2400</v>
      </c>
      <c r="H680" s="4">
        <v>29.1</v>
      </c>
      <c r="I680" s="4">
        <v>3403.2</v>
      </c>
      <c r="J680" s="2" t="s">
        <v>16</v>
      </c>
      <c r="K680" s="2" t="s">
        <v>46</v>
      </c>
    </row>
    <row r="681" spans="1:11" x14ac:dyDescent="0.35">
      <c r="A681" s="2" t="s">
        <v>1071</v>
      </c>
      <c r="B681" s="3">
        <v>45337</v>
      </c>
      <c r="C681" s="2" t="s">
        <v>328</v>
      </c>
      <c r="D681" s="2" t="s">
        <v>49</v>
      </c>
      <c r="E681" s="2" t="s">
        <v>202</v>
      </c>
      <c r="F681" s="4">
        <v>9</v>
      </c>
      <c r="G681" s="4">
        <v>1430</v>
      </c>
      <c r="H681" s="4">
        <v>6</v>
      </c>
      <c r="I681" s="4">
        <v>12097.8</v>
      </c>
      <c r="J681" s="2" t="s">
        <v>16</v>
      </c>
      <c r="K681" s="2" t="s">
        <v>28</v>
      </c>
    </row>
    <row r="682" spans="1:11" x14ac:dyDescent="0.35">
      <c r="A682" s="2" t="s">
        <v>1072</v>
      </c>
      <c r="B682" s="3">
        <v>45510</v>
      </c>
      <c r="C682" s="2" t="s">
        <v>524</v>
      </c>
      <c r="D682" s="2" t="s">
        <v>102</v>
      </c>
      <c r="E682" s="2" t="s">
        <v>15</v>
      </c>
      <c r="F682" s="4">
        <v>8</v>
      </c>
      <c r="G682" s="4">
        <v>2720</v>
      </c>
      <c r="H682" s="4">
        <v>25.7</v>
      </c>
      <c r="I682" s="4">
        <v>16167.68</v>
      </c>
      <c r="J682" s="2" t="s">
        <v>16</v>
      </c>
      <c r="K682" s="2" t="s">
        <v>28</v>
      </c>
    </row>
    <row r="683" spans="1:11" x14ac:dyDescent="0.35">
      <c r="A683" s="2" t="s">
        <v>1073</v>
      </c>
      <c r="B683" s="3">
        <v>45572</v>
      </c>
      <c r="C683" s="2" t="s">
        <v>646</v>
      </c>
      <c r="D683" s="2" t="s">
        <v>444</v>
      </c>
      <c r="E683" s="2" t="s">
        <v>272</v>
      </c>
      <c r="F683" s="4">
        <v>6</v>
      </c>
      <c r="G683" s="4">
        <v>6940</v>
      </c>
      <c r="H683" s="4">
        <v>25.7</v>
      </c>
      <c r="I683" s="4">
        <v>30938.52</v>
      </c>
      <c r="J683" s="2" t="s">
        <v>16</v>
      </c>
      <c r="K683" s="2" t="s">
        <v>23</v>
      </c>
    </row>
    <row r="684" spans="1:11" x14ac:dyDescent="0.35">
      <c r="A684" s="2" t="s">
        <v>1074</v>
      </c>
      <c r="B684" s="3">
        <v>45472</v>
      </c>
      <c r="C684" s="2" t="s">
        <v>697</v>
      </c>
      <c r="D684" s="2" t="s">
        <v>14</v>
      </c>
      <c r="E684" s="2" t="s">
        <v>15</v>
      </c>
      <c r="F684" s="4">
        <v>3</v>
      </c>
      <c r="G684" s="4">
        <v>3620</v>
      </c>
      <c r="H684" s="4">
        <v>29.7</v>
      </c>
      <c r="I684" s="4">
        <v>7634.58</v>
      </c>
      <c r="J684" s="2" t="s">
        <v>16</v>
      </c>
      <c r="K684" s="2" t="s">
        <v>17</v>
      </c>
    </row>
    <row r="685" spans="1:11" x14ac:dyDescent="0.35">
      <c r="A685" s="2" t="s">
        <v>1075</v>
      </c>
      <c r="B685" s="3">
        <v>45615</v>
      </c>
      <c r="C685" s="2" t="s">
        <v>307</v>
      </c>
      <c r="D685" s="2" t="s">
        <v>64</v>
      </c>
      <c r="E685" s="2" t="s">
        <v>40</v>
      </c>
      <c r="F685" s="4">
        <v>8</v>
      </c>
      <c r="G685" s="4">
        <v>2640</v>
      </c>
      <c r="H685" s="4">
        <v>24.4</v>
      </c>
      <c r="I685" s="4">
        <v>15966.72</v>
      </c>
      <c r="J685" s="2" t="s">
        <v>16</v>
      </c>
      <c r="K685" s="2" t="s">
        <v>23</v>
      </c>
    </row>
    <row r="686" spans="1:11" x14ac:dyDescent="0.35">
      <c r="A686" s="2" t="s">
        <v>1076</v>
      </c>
      <c r="B686" s="3">
        <v>45349</v>
      </c>
      <c r="C686" s="2" t="s">
        <v>658</v>
      </c>
      <c r="D686" s="2" t="s">
        <v>53</v>
      </c>
      <c r="E686" s="2" t="s">
        <v>32</v>
      </c>
      <c r="F686" s="4">
        <v>3</v>
      </c>
      <c r="G686" s="4">
        <v>5490</v>
      </c>
      <c r="H686" s="4">
        <v>13.5</v>
      </c>
      <c r="I686" s="4">
        <v>14246.55</v>
      </c>
      <c r="J686" s="2" t="s">
        <v>16</v>
      </c>
      <c r="K686" s="2" t="s">
        <v>41</v>
      </c>
    </row>
    <row r="687" spans="1:11" x14ac:dyDescent="0.35">
      <c r="A687" s="2" t="s">
        <v>1077</v>
      </c>
      <c r="B687" s="3">
        <v>45413</v>
      </c>
      <c r="C687" s="2" t="s">
        <v>71</v>
      </c>
      <c r="D687" s="2" t="s">
        <v>372</v>
      </c>
      <c r="E687" s="2" t="s">
        <v>167</v>
      </c>
      <c r="F687" s="4">
        <v>3</v>
      </c>
      <c r="G687" s="4">
        <v>5080</v>
      </c>
      <c r="H687" s="4">
        <v>9.3000000000000007</v>
      </c>
      <c r="I687" s="4">
        <v>13822.68</v>
      </c>
      <c r="J687" s="2" t="s">
        <v>16</v>
      </c>
      <c r="K687" s="2" t="s">
        <v>17</v>
      </c>
    </row>
    <row r="688" spans="1:11" x14ac:dyDescent="0.35">
      <c r="A688" s="2" t="s">
        <v>1078</v>
      </c>
      <c r="B688" s="3">
        <v>45515</v>
      </c>
      <c r="C688" s="2" t="s">
        <v>323</v>
      </c>
      <c r="D688" s="2" t="s">
        <v>315</v>
      </c>
      <c r="E688" s="2" t="s">
        <v>99</v>
      </c>
      <c r="F688" s="4">
        <v>4</v>
      </c>
      <c r="G688" s="4">
        <v>2290</v>
      </c>
      <c r="H688" s="4">
        <v>24.4</v>
      </c>
      <c r="I688" s="4">
        <v>6924.96</v>
      </c>
      <c r="J688" s="2" t="s">
        <v>16</v>
      </c>
      <c r="K688" s="2" t="s">
        <v>46</v>
      </c>
    </row>
    <row r="689" spans="1:11" x14ac:dyDescent="0.35">
      <c r="A689" s="2" t="s">
        <v>1079</v>
      </c>
      <c r="B689" s="3">
        <v>45463</v>
      </c>
      <c r="C689" s="2" t="s">
        <v>342</v>
      </c>
      <c r="D689" s="2" t="s">
        <v>224</v>
      </c>
      <c r="E689" s="2" t="s">
        <v>202</v>
      </c>
      <c r="F689" s="4">
        <v>10</v>
      </c>
      <c r="G689" s="4">
        <v>2030</v>
      </c>
      <c r="H689" s="4">
        <v>13.6</v>
      </c>
      <c r="I689" s="4">
        <v>17539.2</v>
      </c>
      <c r="J689" s="2" t="s">
        <v>22</v>
      </c>
      <c r="K689" s="2" t="s">
        <v>17</v>
      </c>
    </row>
    <row r="690" spans="1:11" x14ac:dyDescent="0.35">
      <c r="A690" s="2" t="s">
        <v>1080</v>
      </c>
      <c r="B690" s="3">
        <v>45607</v>
      </c>
      <c r="C690" s="2" t="s">
        <v>494</v>
      </c>
      <c r="D690" s="2" t="s">
        <v>49</v>
      </c>
      <c r="E690" s="2" t="s">
        <v>254</v>
      </c>
      <c r="F690" s="4">
        <v>10</v>
      </c>
      <c r="G690" s="4">
        <v>1430</v>
      </c>
      <c r="H690" s="4">
        <v>16.100000000000001</v>
      </c>
      <c r="I690" s="4">
        <v>11997.7</v>
      </c>
      <c r="J690" s="2" t="s">
        <v>69</v>
      </c>
      <c r="K690" s="2" t="s">
        <v>41</v>
      </c>
    </row>
    <row r="691" spans="1:11" x14ac:dyDescent="0.35">
      <c r="A691" s="2" t="s">
        <v>1081</v>
      </c>
      <c r="B691" s="3">
        <v>45357</v>
      </c>
      <c r="C691" s="2" t="s">
        <v>991</v>
      </c>
      <c r="D691" s="2" t="s">
        <v>163</v>
      </c>
      <c r="E691" s="2" t="s">
        <v>133</v>
      </c>
      <c r="F691" s="4">
        <v>1</v>
      </c>
      <c r="G691" s="4">
        <v>3780</v>
      </c>
      <c r="H691" s="4">
        <v>22.7</v>
      </c>
      <c r="I691" s="4">
        <v>2921.94</v>
      </c>
      <c r="J691" s="2" t="s">
        <v>16</v>
      </c>
      <c r="K691" s="2" t="s">
        <v>41</v>
      </c>
    </row>
    <row r="692" spans="1:11" x14ac:dyDescent="0.35">
      <c r="A692" s="2" t="s">
        <v>1082</v>
      </c>
      <c r="B692" s="3">
        <v>45443</v>
      </c>
      <c r="C692" s="2" t="s">
        <v>321</v>
      </c>
      <c r="D692" s="2" t="s">
        <v>35</v>
      </c>
      <c r="E692" s="2" t="s">
        <v>87</v>
      </c>
      <c r="F692" s="4">
        <v>10</v>
      </c>
      <c r="G692" s="4">
        <v>3160</v>
      </c>
      <c r="H692" s="4">
        <v>13.4</v>
      </c>
      <c r="I692" s="4">
        <v>27365.599999999999</v>
      </c>
      <c r="J692" s="2" t="s">
        <v>16</v>
      </c>
      <c r="K692" s="2" t="s">
        <v>41</v>
      </c>
    </row>
    <row r="693" spans="1:11" x14ac:dyDescent="0.35">
      <c r="A693" s="2" t="s">
        <v>1083</v>
      </c>
      <c r="B693" s="3">
        <v>45422</v>
      </c>
      <c r="C693" s="2" t="s">
        <v>371</v>
      </c>
      <c r="D693" s="2" t="s">
        <v>49</v>
      </c>
      <c r="E693" s="2" t="s">
        <v>77</v>
      </c>
      <c r="F693" s="4">
        <v>2</v>
      </c>
      <c r="G693" s="4">
        <v>1430</v>
      </c>
      <c r="H693" s="4">
        <v>7.4</v>
      </c>
      <c r="I693" s="4">
        <v>2648.36</v>
      </c>
      <c r="J693" s="2" t="s">
        <v>16</v>
      </c>
      <c r="K693" s="2" t="s">
        <v>17</v>
      </c>
    </row>
    <row r="694" spans="1:11" x14ac:dyDescent="0.35">
      <c r="A694" s="2" t="s">
        <v>1084</v>
      </c>
      <c r="B694" s="3">
        <v>45640</v>
      </c>
      <c r="C694" s="2" t="s">
        <v>160</v>
      </c>
      <c r="D694" s="2" t="s">
        <v>35</v>
      </c>
      <c r="E694" s="2" t="s">
        <v>32</v>
      </c>
      <c r="F694" s="4">
        <v>5</v>
      </c>
      <c r="G694" s="4">
        <v>3160</v>
      </c>
      <c r="H694" s="4">
        <v>3.6</v>
      </c>
      <c r="I694" s="4">
        <v>15231.2</v>
      </c>
      <c r="J694" s="2" t="s">
        <v>22</v>
      </c>
      <c r="K694" s="2" t="s">
        <v>46</v>
      </c>
    </row>
    <row r="695" spans="1:11" x14ac:dyDescent="0.35">
      <c r="A695" s="2" t="s">
        <v>1085</v>
      </c>
      <c r="B695" s="3">
        <v>45521</v>
      </c>
      <c r="C695" s="2" t="s">
        <v>736</v>
      </c>
      <c r="D695" s="2" t="s">
        <v>315</v>
      </c>
      <c r="E695" s="2" t="s">
        <v>68</v>
      </c>
      <c r="F695" s="4">
        <v>2</v>
      </c>
      <c r="G695" s="4">
        <v>2290</v>
      </c>
      <c r="H695" s="4">
        <v>28.2</v>
      </c>
      <c r="I695" s="4">
        <v>3288.44</v>
      </c>
      <c r="J695" s="2" t="s">
        <v>16</v>
      </c>
      <c r="K695" s="2" t="s">
        <v>17</v>
      </c>
    </row>
    <row r="696" spans="1:11" x14ac:dyDescent="0.35">
      <c r="A696" s="2" t="s">
        <v>1086</v>
      </c>
      <c r="B696" s="3">
        <v>45366</v>
      </c>
      <c r="C696" s="2" t="s">
        <v>667</v>
      </c>
      <c r="D696" s="2" t="s">
        <v>381</v>
      </c>
      <c r="E696" s="2" t="s">
        <v>117</v>
      </c>
      <c r="F696" s="4">
        <v>5</v>
      </c>
      <c r="G696" s="4">
        <v>3450</v>
      </c>
      <c r="H696" s="4">
        <v>18.100000000000001</v>
      </c>
      <c r="I696" s="4">
        <v>14127.75</v>
      </c>
      <c r="J696" s="2" t="s">
        <v>69</v>
      </c>
      <c r="K696" s="2" t="s">
        <v>17</v>
      </c>
    </row>
    <row r="697" spans="1:11" x14ac:dyDescent="0.35">
      <c r="A697" s="2" t="s">
        <v>1087</v>
      </c>
      <c r="B697" s="3">
        <v>45439</v>
      </c>
      <c r="C697" s="2" t="s">
        <v>146</v>
      </c>
      <c r="D697" s="2" t="s">
        <v>588</v>
      </c>
      <c r="E697" s="2" t="s">
        <v>144</v>
      </c>
      <c r="F697" s="4">
        <v>1</v>
      </c>
      <c r="G697" s="4">
        <v>3560</v>
      </c>
      <c r="H697" s="4">
        <v>18.7</v>
      </c>
      <c r="I697" s="4">
        <v>2894.28</v>
      </c>
      <c r="J697" s="2" t="s">
        <v>16</v>
      </c>
      <c r="K697" s="2" t="s">
        <v>23</v>
      </c>
    </row>
    <row r="698" spans="1:11" x14ac:dyDescent="0.35">
      <c r="A698" s="2" t="s">
        <v>1088</v>
      </c>
      <c r="B698" s="3">
        <v>45426</v>
      </c>
      <c r="C698" s="2" t="s">
        <v>234</v>
      </c>
      <c r="D698" s="2" t="s">
        <v>80</v>
      </c>
      <c r="E698" s="2" t="s">
        <v>133</v>
      </c>
      <c r="F698" s="4">
        <v>9</v>
      </c>
      <c r="G698" s="4">
        <v>2400</v>
      </c>
      <c r="H698" s="4">
        <v>18.5</v>
      </c>
      <c r="I698" s="4">
        <v>17604</v>
      </c>
      <c r="J698" s="2" t="s">
        <v>16</v>
      </c>
      <c r="K698" s="2" t="s">
        <v>62</v>
      </c>
    </row>
    <row r="699" spans="1:11" x14ac:dyDescent="0.35">
      <c r="A699" s="2" t="s">
        <v>1089</v>
      </c>
      <c r="B699" s="3">
        <v>45415</v>
      </c>
      <c r="C699" s="2" t="s">
        <v>282</v>
      </c>
      <c r="D699" s="2" t="s">
        <v>177</v>
      </c>
      <c r="E699" s="2" t="s">
        <v>83</v>
      </c>
      <c r="F699" s="4">
        <v>9</v>
      </c>
      <c r="G699" s="4">
        <v>3870</v>
      </c>
      <c r="H699" s="4">
        <v>6.9</v>
      </c>
      <c r="I699" s="4">
        <v>32426.73</v>
      </c>
      <c r="J699" s="2" t="s">
        <v>73</v>
      </c>
      <c r="K699" s="2" t="s">
        <v>23</v>
      </c>
    </row>
    <row r="700" spans="1:11" x14ac:dyDescent="0.35">
      <c r="A700" s="2" t="s">
        <v>1090</v>
      </c>
      <c r="B700" s="3">
        <v>45620</v>
      </c>
      <c r="C700" s="2" t="s">
        <v>634</v>
      </c>
      <c r="D700" s="2" t="s">
        <v>31</v>
      </c>
      <c r="E700" s="2" t="s">
        <v>214</v>
      </c>
      <c r="F700" s="4">
        <v>5</v>
      </c>
      <c r="G700" s="4">
        <v>3660</v>
      </c>
      <c r="H700" s="4">
        <v>11.7</v>
      </c>
      <c r="I700" s="4">
        <v>16158.9</v>
      </c>
      <c r="J700" s="2" t="s">
        <v>16</v>
      </c>
      <c r="K700" s="2" t="s">
        <v>28</v>
      </c>
    </row>
    <row r="701" spans="1:11" x14ac:dyDescent="0.35">
      <c r="A701" s="2" t="s">
        <v>1091</v>
      </c>
      <c r="B701" s="3">
        <v>45346</v>
      </c>
      <c r="C701" s="2" t="s">
        <v>334</v>
      </c>
      <c r="D701" s="2" t="s">
        <v>93</v>
      </c>
      <c r="E701" s="2" t="s">
        <v>99</v>
      </c>
      <c r="F701" s="4">
        <v>4</v>
      </c>
      <c r="G701" s="4">
        <v>1080</v>
      </c>
      <c r="H701" s="4">
        <v>17.5</v>
      </c>
      <c r="I701" s="4">
        <v>3564</v>
      </c>
      <c r="J701" s="2" t="s">
        <v>16</v>
      </c>
      <c r="K701" s="2" t="s">
        <v>23</v>
      </c>
    </row>
    <row r="702" spans="1:11" x14ac:dyDescent="0.35">
      <c r="A702" s="2" t="s">
        <v>1092</v>
      </c>
      <c r="B702" s="3">
        <v>45297</v>
      </c>
      <c r="C702" s="2" t="s">
        <v>764</v>
      </c>
      <c r="D702" s="2" t="s">
        <v>390</v>
      </c>
      <c r="E702" s="2" t="s">
        <v>32</v>
      </c>
      <c r="F702" s="4">
        <v>6</v>
      </c>
      <c r="G702" s="4">
        <v>3780</v>
      </c>
      <c r="H702" s="4">
        <v>27.8</v>
      </c>
      <c r="I702" s="4">
        <v>16374.96</v>
      </c>
      <c r="J702" s="2" t="s">
        <v>16</v>
      </c>
      <c r="K702" s="2" t="s">
        <v>46</v>
      </c>
    </row>
    <row r="703" spans="1:11" x14ac:dyDescent="0.35">
      <c r="A703" s="2" t="s">
        <v>1093</v>
      </c>
      <c r="B703" s="3">
        <v>45521</v>
      </c>
      <c r="C703" s="2" t="s">
        <v>991</v>
      </c>
      <c r="D703" s="2" t="s">
        <v>96</v>
      </c>
      <c r="E703" s="2" t="s">
        <v>214</v>
      </c>
      <c r="F703" s="4">
        <v>8</v>
      </c>
      <c r="G703" s="4">
        <v>2480</v>
      </c>
      <c r="H703" s="4">
        <v>15.7</v>
      </c>
      <c r="I703" s="4">
        <v>16725.12</v>
      </c>
      <c r="J703" s="2" t="s">
        <v>22</v>
      </c>
      <c r="K703" s="2" t="s">
        <v>41</v>
      </c>
    </row>
    <row r="704" spans="1:11" x14ac:dyDescent="0.35">
      <c r="A704" s="2" t="s">
        <v>1094</v>
      </c>
      <c r="B704" s="3">
        <v>45409</v>
      </c>
      <c r="C704" s="2" t="s">
        <v>319</v>
      </c>
      <c r="D704" s="2" t="s">
        <v>111</v>
      </c>
      <c r="E704" s="2" t="s">
        <v>27</v>
      </c>
      <c r="F704" s="4">
        <v>10</v>
      </c>
      <c r="G704" s="4">
        <v>1010</v>
      </c>
      <c r="H704" s="4">
        <v>0.1</v>
      </c>
      <c r="I704" s="4">
        <v>10089.9</v>
      </c>
      <c r="J704" s="2" t="s">
        <v>22</v>
      </c>
      <c r="K704" s="2" t="s">
        <v>17</v>
      </c>
    </row>
    <row r="705" spans="1:11" x14ac:dyDescent="0.35">
      <c r="A705" s="2" t="s">
        <v>1095</v>
      </c>
      <c r="B705" s="3">
        <v>45406</v>
      </c>
      <c r="C705" s="2" t="s">
        <v>79</v>
      </c>
      <c r="D705" s="2" t="s">
        <v>26</v>
      </c>
      <c r="E705" s="2" t="s">
        <v>117</v>
      </c>
      <c r="F705" s="4">
        <v>3</v>
      </c>
      <c r="G705" s="4">
        <v>470</v>
      </c>
      <c r="H705" s="4">
        <v>1.1000000000000001</v>
      </c>
      <c r="I705" s="4">
        <v>1394.49</v>
      </c>
      <c r="J705" s="2" t="s">
        <v>16</v>
      </c>
      <c r="K705" s="2" t="s">
        <v>17</v>
      </c>
    </row>
    <row r="706" spans="1:11" x14ac:dyDescent="0.35">
      <c r="A706" s="2" t="s">
        <v>1096</v>
      </c>
      <c r="B706" s="3">
        <v>45474</v>
      </c>
      <c r="C706" s="2" t="s">
        <v>643</v>
      </c>
      <c r="D706" s="2" t="s">
        <v>60</v>
      </c>
      <c r="E706" s="2" t="s">
        <v>50</v>
      </c>
      <c r="F706" s="4">
        <v>4</v>
      </c>
      <c r="G706" s="4">
        <v>2270</v>
      </c>
      <c r="H706" s="4">
        <v>17.100000000000001</v>
      </c>
      <c r="I706" s="4">
        <v>7527.32</v>
      </c>
      <c r="J706" s="2" t="s">
        <v>16</v>
      </c>
      <c r="K706" s="2" t="s">
        <v>28</v>
      </c>
    </row>
    <row r="707" spans="1:11" x14ac:dyDescent="0.35">
      <c r="A707" s="2" t="s">
        <v>1097</v>
      </c>
      <c r="B707" s="3">
        <v>45588</v>
      </c>
      <c r="C707" s="2" t="s">
        <v>152</v>
      </c>
      <c r="D707" s="2" t="s">
        <v>129</v>
      </c>
      <c r="E707" s="2" t="s">
        <v>61</v>
      </c>
      <c r="F707" s="4">
        <v>7</v>
      </c>
      <c r="G707" s="4">
        <v>2760</v>
      </c>
      <c r="H707" s="4">
        <v>17.100000000000001</v>
      </c>
      <c r="I707" s="4">
        <v>16016.28</v>
      </c>
      <c r="J707" s="2" t="s">
        <v>16</v>
      </c>
      <c r="K707" s="2" t="s">
        <v>28</v>
      </c>
    </row>
    <row r="708" spans="1:11" x14ac:dyDescent="0.35">
      <c r="A708" s="2" t="s">
        <v>1098</v>
      </c>
      <c r="B708" s="3">
        <v>45530</v>
      </c>
      <c r="C708" s="2" t="s">
        <v>976</v>
      </c>
      <c r="D708" s="2" t="s">
        <v>90</v>
      </c>
      <c r="E708" s="2" t="s">
        <v>36</v>
      </c>
      <c r="F708" s="4">
        <v>6</v>
      </c>
      <c r="G708" s="4">
        <v>3450</v>
      </c>
      <c r="H708" s="4">
        <v>6.6</v>
      </c>
      <c r="I708" s="4">
        <v>19333.8</v>
      </c>
      <c r="J708" s="2" t="s">
        <v>73</v>
      </c>
      <c r="K708" s="2" t="s">
        <v>62</v>
      </c>
    </row>
    <row r="709" spans="1:11" x14ac:dyDescent="0.35">
      <c r="A709" s="2" t="s">
        <v>1099</v>
      </c>
      <c r="B709" s="3">
        <v>45630</v>
      </c>
      <c r="C709" s="2" t="s">
        <v>521</v>
      </c>
      <c r="D709" s="2" t="s">
        <v>31</v>
      </c>
      <c r="E709" s="2" t="s">
        <v>15</v>
      </c>
      <c r="F709" s="4">
        <v>8</v>
      </c>
      <c r="G709" s="4">
        <v>3660</v>
      </c>
      <c r="H709" s="4">
        <v>7.2</v>
      </c>
      <c r="I709" s="4">
        <v>27171.84</v>
      </c>
      <c r="J709" s="2" t="s">
        <v>16</v>
      </c>
      <c r="K709" s="2" t="s">
        <v>62</v>
      </c>
    </row>
    <row r="710" spans="1:11" x14ac:dyDescent="0.35">
      <c r="A710" s="2" t="s">
        <v>1100</v>
      </c>
      <c r="B710" s="3">
        <v>45551</v>
      </c>
      <c r="C710" s="2" t="s">
        <v>1101</v>
      </c>
      <c r="D710" s="2" t="s">
        <v>196</v>
      </c>
      <c r="E710" s="2" t="s">
        <v>99</v>
      </c>
      <c r="F710" s="4">
        <v>4</v>
      </c>
      <c r="G710" s="4">
        <v>1220</v>
      </c>
      <c r="H710" s="4">
        <v>24.3</v>
      </c>
      <c r="I710" s="4">
        <v>3694.16</v>
      </c>
      <c r="J710" s="2" t="s">
        <v>69</v>
      </c>
      <c r="K710" s="2" t="s">
        <v>17</v>
      </c>
    </row>
    <row r="711" spans="1:11" x14ac:dyDescent="0.35">
      <c r="A711" s="2" t="s">
        <v>1102</v>
      </c>
      <c r="B711" s="3">
        <v>45610</v>
      </c>
      <c r="C711" s="2" t="s">
        <v>812</v>
      </c>
      <c r="D711" s="2" t="s">
        <v>289</v>
      </c>
      <c r="E711" s="2" t="s">
        <v>15</v>
      </c>
      <c r="F711" s="4">
        <v>2</v>
      </c>
      <c r="G711" s="4">
        <v>5410</v>
      </c>
      <c r="H711" s="4">
        <v>0.9</v>
      </c>
      <c r="I711" s="4">
        <v>10722.62</v>
      </c>
      <c r="J711" s="2" t="s">
        <v>22</v>
      </c>
      <c r="K711" s="2" t="s">
        <v>62</v>
      </c>
    </row>
    <row r="712" spans="1:11" x14ac:dyDescent="0.35">
      <c r="A712" s="2" t="s">
        <v>1103</v>
      </c>
      <c r="B712" s="3">
        <v>45322</v>
      </c>
      <c r="C712" s="2" t="s">
        <v>342</v>
      </c>
      <c r="D712" s="2" t="s">
        <v>224</v>
      </c>
      <c r="E712" s="2" t="s">
        <v>133</v>
      </c>
      <c r="F712" s="4">
        <v>5</v>
      </c>
      <c r="G712" s="4">
        <v>2030</v>
      </c>
      <c r="H712" s="4">
        <v>25.2</v>
      </c>
      <c r="I712" s="4">
        <v>7592.2</v>
      </c>
      <c r="J712" s="2" t="s">
        <v>16</v>
      </c>
      <c r="K712" s="2" t="s">
        <v>17</v>
      </c>
    </row>
    <row r="713" spans="1:11" x14ac:dyDescent="0.35">
      <c r="A713" s="2" t="s">
        <v>1104</v>
      </c>
      <c r="B713" s="3">
        <v>45363</v>
      </c>
      <c r="C713" s="2" t="s">
        <v>514</v>
      </c>
      <c r="D713" s="2" t="s">
        <v>196</v>
      </c>
      <c r="E713" s="2" t="s">
        <v>254</v>
      </c>
      <c r="F713" s="4">
        <v>5</v>
      </c>
      <c r="G713" s="4">
        <v>1220</v>
      </c>
      <c r="H713" s="4">
        <v>2.6</v>
      </c>
      <c r="I713" s="4">
        <v>5941.4</v>
      </c>
      <c r="J713" s="2" t="s">
        <v>16</v>
      </c>
      <c r="K713" s="2" t="s">
        <v>23</v>
      </c>
    </row>
    <row r="714" spans="1:11" x14ac:dyDescent="0.35">
      <c r="A714" s="2" t="s">
        <v>1105</v>
      </c>
      <c r="B714" s="3">
        <v>45600</v>
      </c>
      <c r="C714" s="2" t="s">
        <v>453</v>
      </c>
      <c r="D714" s="2" t="s">
        <v>208</v>
      </c>
      <c r="E714" s="2" t="s">
        <v>32</v>
      </c>
      <c r="F714" s="4">
        <v>4</v>
      </c>
      <c r="G714" s="4">
        <v>2660</v>
      </c>
      <c r="H714" s="4">
        <v>19.100000000000001</v>
      </c>
      <c r="I714" s="4">
        <v>8607.76</v>
      </c>
      <c r="J714" s="2" t="s">
        <v>73</v>
      </c>
      <c r="K714" s="2" t="s">
        <v>41</v>
      </c>
    </row>
    <row r="715" spans="1:11" x14ac:dyDescent="0.35">
      <c r="A715" s="2" t="s">
        <v>1106</v>
      </c>
      <c r="B715" s="3">
        <v>45351</v>
      </c>
      <c r="C715" s="2" t="s">
        <v>539</v>
      </c>
      <c r="D715" s="2" t="s">
        <v>193</v>
      </c>
      <c r="E715" s="2" t="s">
        <v>275</v>
      </c>
      <c r="F715" s="4">
        <v>3</v>
      </c>
      <c r="G715" s="4">
        <v>4070</v>
      </c>
      <c r="H715" s="4">
        <v>25.2</v>
      </c>
      <c r="I715" s="4">
        <v>9133.08</v>
      </c>
      <c r="J715" s="2" t="s">
        <v>16</v>
      </c>
      <c r="K715" s="2" t="s">
        <v>46</v>
      </c>
    </row>
    <row r="716" spans="1:11" x14ac:dyDescent="0.35">
      <c r="A716" s="2" t="s">
        <v>1107</v>
      </c>
      <c r="B716" s="3">
        <v>45461</v>
      </c>
      <c r="C716" s="2" t="s">
        <v>598</v>
      </c>
      <c r="D716" s="2" t="s">
        <v>309</v>
      </c>
      <c r="E716" s="2" t="s">
        <v>27</v>
      </c>
      <c r="F716" s="4">
        <v>10</v>
      </c>
      <c r="G716" s="4">
        <v>960</v>
      </c>
      <c r="H716" s="4">
        <v>0.3</v>
      </c>
      <c r="I716" s="4">
        <v>9571.2000000000007</v>
      </c>
      <c r="J716" s="2" t="s">
        <v>16</v>
      </c>
      <c r="K716" s="2" t="s">
        <v>62</v>
      </c>
    </row>
    <row r="717" spans="1:11" x14ac:dyDescent="0.35">
      <c r="A717" s="2" t="s">
        <v>1108</v>
      </c>
      <c r="B717" s="3">
        <v>45431</v>
      </c>
      <c r="C717" s="2" t="s">
        <v>1109</v>
      </c>
      <c r="D717" s="2" t="s">
        <v>155</v>
      </c>
      <c r="E717" s="2" t="s">
        <v>158</v>
      </c>
      <c r="F717" s="4">
        <v>2</v>
      </c>
      <c r="G717" s="4">
        <v>3730</v>
      </c>
      <c r="H717" s="4">
        <v>29.9</v>
      </c>
      <c r="I717" s="4">
        <v>5229.46</v>
      </c>
      <c r="J717" s="2" t="s">
        <v>16</v>
      </c>
      <c r="K717" s="2" t="s">
        <v>23</v>
      </c>
    </row>
    <row r="718" spans="1:11" x14ac:dyDescent="0.35">
      <c r="A718" s="2" t="s">
        <v>1110</v>
      </c>
      <c r="B718" s="3">
        <v>45592</v>
      </c>
      <c r="C718" s="2" t="s">
        <v>298</v>
      </c>
      <c r="D718" s="2" t="s">
        <v>44</v>
      </c>
      <c r="E718" s="2" t="s">
        <v>68</v>
      </c>
      <c r="F718" s="4">
        <v>9</v>
      </c>
      <c r="G718" s="4">
        <v>960</v>
      </c>
      <c r="H718" s="4">
        <v>1.9</v>
      </c>
      <c r="I718" s="4">
        <v>8475.84</v>
      </c>
      <c r="J718" s="2" t="s">
        <v>16</v>
      </c>
      <c r="K718" s="2" t="s">
        <v>23</v>
      </c>
    </row>
    <row r="719" spans="1:11" x14ac:dyDescent="0.35">
      <c r="A719" s="2" t="s">
        <v>1111</v>
      </c>
      <c r="B719" s="3">
        <v>45454</v>
      </c>
      <c r="C719" s="2" t="s">
        <v>75</v>
      </c>
      <c r="D719" s="2" t="s">
        <v>381</v>
      </c>
      <c r="E719" s="2" t="s">
        <v>68</v>
      </c>
      <c r="F719" s="4">
        <v>2</v>
      </c>
      <c r="G719" s="4">
        <v>3450</v>
      </c>
      <c r="H719" s="4">
        <v>22.9</v>
      </c>
      <c r="I719" s="4">
        <v>5319.9</v>
      </c>
      <c r="J719" s="2" t="s">
        <v>22</v>
      </c>
      <c r="K719" s="2" t="s">
        <v>17</v>
      </c>
    </row>
    <row r="720" spans="1:11" x14ac:dyDescent="0.35">
      <c r="A720" s="2" t="s">
        <v>1112</v>
      </c>
      <c r="B720" s="3">
        <v>45616</v>
      </c>
      <c r="C720" s="2" t="s">
        <v>770</v>
      </c>
      <c r="D720" s="2" t="s">
        <v>289</v>
      </c>
      <c r="E720" s="2" t="s">
        <v>61</v>
      </c>
      <c r="F720" s="4">
        <v>3</v>
      </c>
      <c r="G720" s="4">
        <v>5410</v>
      </c>
      <c r="H720" s="4">
        <v>15.5</v>
      </c>
      <c r="I720" s="4">
        <v>13714.35</v>
      </c>
      <c r="J720" s="2" t="s">
        <v>16</v>
      </c>
      <c r="K720" s="2" t="s">
        <v>46</v>
      </c>
    </row>
    <row r="721" spans="1:11" x14ac:dyDescent="0.35">
      <c r="A721" s="2" t="s">
        <v>1113</v>
      </c>
      <c r="B721" s="3">
        <v>45448</v>
      </c>
      <c r="C721" s="2" t="s">
        <v>430</v>
      </c>
      <c r="D721" s="2" t="s">
        <v>108</v>
      </c>
      <c r="E721" s="2" t="s">
        <v>50</v>
      </c>
      <c r="F721" s="4">
        <v>8</v>
      </c>
      <c r="G721" s="4">
        <v>3350</v>
      </c>
      <c r="H721" s="4">
        <v>18.399999999999999</v>
      </c>
      <c r="I721" s="4">
        <v>21868.799999999999</v>
      </c>
      <c r="J721" s="2" t="s">
        <v>16</v>
      </c>
      <c r="K721" s="2" t="s">
        <v>62</v>
      </c>
    </row>
    <row r="722" spans="1:11" x14ac:dyDescent="0.35">
      <c r="A722" s="2" t="s">
        <v>1114</v>
      </c>
      <c r="B722" s="3">
        <v>45611</v>
      </c>
      <c r="C722" s="2" t="s">
        <v>152</v>
      </c>
      <c r="D722" s="2" t="s">
        <v>102</v>
      </c>
      <c r="E722" s="2" t="s">
        <v>36</v>
      </c>
      <c r="F722" s="4">
        <v>5</v>
      </c>
      <c r="G722" s="4">
        <v>2720</v>
      </c>
      <c r="H722" s="4">
        <v>17.3</v>
      </c>
      <c r="I722" s="4">
        <v>11247.2</v>
      </c>
      <c r="J722" s="2" t="s">
        <v>69</v>
      </c>
      <c r="K722" s="2" t="s">
        <v>28</v>
      </c>
    </row>
    <row r="723" spans="1:11" x14ac:dyDescent="0.35">
      <c r="A723" s="2" t="s">
        <v>1115</v>
      </c>
      <c r="B723" s="3">
        <v>45403</v>
      </c>
      <c r="C723" s="2" t="s">
        <v>43</v>
      </c>
      <c r="D723" s="2" t="s">
        <v>31</v>
      </c>
      <c r="E723" s="2" t="s">
        <v>167</v>
      </c>
      <c r="F723" s="4">
        <v>8</v>
      </c>
      <c r="G723" s="4">
        <v>3660</v>
      </c>
      <c r="H723" s="4">
        <v>28.8</v>
      </c>
      <c r="I723" s="4">
        <v>20847.36</v>
      </c>
      <c r="J723" s="2" t="s">
        <v>16</v>
      </c>
      <c r="K723" s="2" t="s">
        <v>46</v>
      </c>
    </row>
    <row r="724" spans="1:11" x14ac:dyDescent="0.35">
      <c r="A724" s="2" t="s">
        <v>1116</v>
      </c>
      <c r="B724" s="3">
        <v>45530</v>
      </c>
      <c r="C724" s="2" t="s">
        <v>511</v>
      </c>
      <c r="D724" s="2" t="s">
        <v>211</v>
      </c>
      <c r="E724" s="2" t="s">
        <v>181</v>
      </c>
      <c r="F724" s="4">
        <v>6</v>
      </c>
      <c r="G724" s="4">
        <v>300</v>
      </c>
      <c r="H724" s="4">
        <v>23.9</v>
      </c>
      <c r="I724" s="4">
        <v>1369.8</v>
      </c>
      <c r="J724" s="2" t="s">
        <v>69</v>
      </c>
      <c r="K724" s="2" t="s">
        <v>23</v>
      </c>
    </row>
    <row r="725" spans="1:11" x14ac:dyDescent="0.35">
      <c r="A725" s="2" t="s">
        <v>1117</v>
      </c>
      <c r="B725" s="3">
        <v>45548</v>
      </c>
      <c r="C725" s="2" t="s">
        <v>173</v>
      </c>
      <c r="D725" s="2" t="s">
        <v>315</v>
      </c>
      <c r="E725" s="2" t="s">
        <v>130</v>
      </c>
      <c r="F725" s="4">
        <v>3</v>
      </c>
      <c r="G725" s="4">
        <v>2290</v>
      </c>
      <c r="H725" s="4">
        <v>2.4</v>
      </c>
      <c r="I725" s="4">
        <v>6705.12</v>
      </c>
      <c r="J725" s="2" t="s">
        <v>16</v>
      </c>
      <c r="K725" s="2" t="s">
        <v>23</v>
      </c>
    </row>
    <row r="726" spans="1:11" x14ac:dyDescent="0.35">
      <c r="A726" s="2" t="s">
        <v>1118</v>
      </c>
      <c r="B726" s="3">
        <v>45403</v>
      </c>
      <c r="C726" s="2" t="s">
        <v>915</v>
      </c>
      <c r="D726" s="2" t="s">
        <v>113</v>
      </c>
      <c r="E726" s="2" t="s">
        <v>27</v>
      </c>
      <c r="F726" s="4">
        <v>6</v>
      </c>
      <c r="G726" s="4">
        <v>4880</v>
      </c>
      <c r="H726" s="4">
        <v>11.1</v>
      </c>
      <c r="I726" s="4">
        <v>26029.919999999998</v>
      </c>
      <c r="J726" s="2" t="s">
        <v>22</v>
      </c>
      <c r="K726" s="2" t="s">
        <v>23</v>
      </c>
    </row>
    <row r="727" spans="1:11" x14ac:dyDescent="0.35">
      <c r="A727" s="2" t="s">
        <v>1119</v>
      </c>
      <c r="B727" s="3">
        <v>45562</v>
      </c>
      <c r="C727" s="2" t="s">
        <v>1120</v>
      </c>
      <c r="D727" s="2" t="s">
        <v>211</v>
      </c>
      <c r="E727" s="2" t="s">
        <v>15</v>
      </c>
      <c r="F727" s="4">
        <v>5</v>
      </c>
      <c r="G727" s="4">
        <v>300</v>
      </c>
      <c r="H727" s="4">
        <v>19.399999999999999</v>
      </c>
      <c r="I727" s="4">
        <v>1209</v>
      </c>
      <c r="J727" s="2" t="s">
        <v>16</v>
      </c>
      <c r="K727" s="2" t="s">
        <v>46</v>
      </c>
    </row>
    <row r="728" spans="1:11" x14ac:dyDescent="0.35">
      <c r="A728" s="2" t="s">
        <v>1121</v>
      </c>
      <c r="B728" s="3">
        <v>45635</v>
      </c>
      <c r="C728" s="2" t="s">
        <v>1122</v>
      </c>
      <c r="D728" s="2" t="s">
        <v>208</v>
      </c>
      <c r="E728" s="2" t="s">
        <v>99</v>
      </c>
      <c r="F728" s="4">
        <v>3</v>
      </c>
      <c r="G728" s="4">
        <v>2660</v>
      </c>
      <c r="H728" s="4">
        <v>28.5</v>
      </c>
      <c r="I728" s="4">
        <v>5705.7</v>
      </c>
      <c r="J728" s="2" t="s">
        <v>22</v>
      </c>
      <c r="K728" s="2" t="s">
        <v>62</v>
      </c>
    </row>
    <row r="729" spans="1:11" x14ac:dyDescent="0.35">
      <c r="A729" s="2" t="s">
        <v>1123</v>
      </c>
      <c r="B729" s="3">
        <v>45434</v>
      </c>
      <c r="C729" s="2" t="s">
        <v>764</v>
      </c>
      <c r="D729" s="2" t="s">
        <v>431</v>
      </c>
      <c r="E729" s="2" t="s">
        <v>45</v>
      </c>
      <c r="F729" s="4">
        <v>7</v>
      </c>
      <c r="G729" s="4">
        <v>1090</v>
      </c>
      <c r="H729" s="4">
        <v>10.3</v>
      </c>
      <c r="I729" s="4">
        <v>6844.11</v>
      </c>
      <c r="J729" s="2" t="s">
        <v>16</v>
      </c>
      <c r="K729" s="2" t="s">
        <v>46</v>
      </c>
    </row>
    <row r="730" spans="1:11" x14ac:dyDescent="0.35">
      <c r="A730" s="2" t="s">
        <v>1124</v>
      </c>
      <c r="B730" s="3">
        <v>45350</v>
      </c>
      <c r="C730" s="2" t="s">
        <v>416</v>
      </c>
      <c r="D730" s="2" t="s">
        <v>49</v>
      </c>
      <c r="E730" s="2" t="s">
        <v>254</v>
      </c>
      <c r="F730" s="4">
        <v>9</v>
      </c>
      <c r="G730" s="4">
        <v>1430</v>
      </c>
      <c r="H730" s="4">
        <v>12.1</v>
      </c>
      <c r="I730" s="4">
        <v>11312.73</v>
      </c>
      <c r="J730" s="2" t="s">
        <v>69</v>
      </c>
      <c r="K730" s="2" t="s">
        <v>17</v>
      </c>
    </row>
    <row r="731" spans="1:11" x14ac:dyDescent="0.35">
      <c r="A731" s="2" t="s">
        <v>1125</v>
      </c>
      <c r="B731" s="3">
        <v>45344</v>
      </c>
      <c r="C731" s="2" t="s">
        <v>154</v>
      </c>
      <c r="D731" s="2" t="s">
        <v>64</v>
      </c>
      <c r="E731" s="2" t="s">
        <v>21</v>
      </c>
      <c r="F731" s="4">
        <v>5</v>
      </c>
      <c r="G731" s="4">
        <v>2640</v>
      </c>
      <c r="H731" s="4">
        <v>26.8</v>
      </c>
      <c r="I731" s="4">
        <v>9662.4</v>
      </c>
      <c r="J731" s="2" t="s">
        <v>16</v>
      </c>
      <c r="K731" s="2" t="s">
        <v>23</v>
      </c>
    </row>
    <row r="732" spans="1:11" x14ac:dyDescent="0.35">
      <c r="A732" s="2" t="s">
        <v>1126</v>
      </c>
      <c r="B732" s="3">
        <v>45498</v>
      </c>
      <c r="C732" s="2" t="s">
        <v>632</v>
      </c>
      <c r="D732" s="2" t="s">
        <v>102</v>
      </c>
      <c r="E732" s="2" t="s">
        <v>144</v>
      </c>
      <c r="F732" s="4">
        <v>8</v>
      </c>
      <c r="G732" s="4">
        <v>2720</v>
      </c>
      <c r="H732" s="4">
        <v>17.5</v>
      </c>
      <c r="I732" s="4">
        <v>17952</v>
      </c>
      <c r="J732" s="2" t="s">
        <v>16</v>
      </c>
      <c r="K732" s="2" t="s">
        <v>17</v>
      </c>
    </row>
    <row r="733" spans="1:11" x14ac:dyDescent="0.35">
      <c r="A733" s="2" t="s">
        <v>1127</v>
      </c>
      <c r="B733" s="3">
        <v>45520</v>
      </c>
      <c r="C733" s="2" t="s">
        <v>411</v>
      </c>
      <c r="D733" s="2" t="s">
        <v>166</v>
      </c>
      <c r="E733" s="2" t="s">
        <v>275</v>
      </c>
      <c r="F733" s="4">
        <v>9</v>
      </c>
      <c r="G733" s="4">
        <v>3640</v>
      </c>
      <c r="H733" s="4">
        <v>3.6</v>
      </c>
      <c r="I733" s="4">
        <v>31580.639999999999</v>
      </c>
      <c r="J733" s="2" t="s">
        <v>16</v>
      </c>
      <c r="K733" s="2" t="s">
        <v>62</v>
      </c>
    </row>
    <row r="734" spans="1:11" x14ac:dyDescent="0.35">
      <c r="A734" s="2" t="s">
        <v>1128</v>
      </c>
      <c r="B734" s="3">
        <v>45554</v>
      </c>
      <c r="C734" s="2" t="s">
        <v>1129</v>
      </c>
      <c r="D734" s="2" t="s">
        <v>170</v>
      </c>
      <c r="E734" s="2" t="s">
        <v>87</v>
      </c>
      <c r="F734" s="4">
        <v>7</v>
      </c>
      <c r="G734" s="4">
        <v>6080</v>
      </c>
      <c r="H734" s="4">
        <v>23.6</v>
      </c>
      <c r="I734" s="4">
        <v>32515.84</v>
      </c>
      <c r="J734" s="2" t="s">
        <v>16</v>
      </c>
      <c r="K734" s="2" t="s">
        <v>41</v>
      </c>
    </row>
    <row r="735" spans="1:11" x14ac:dyDescent="0.35">
      <c r="A735" s="2" t="s">
        <v>1130</v>
      </c>
      <c r="B735" s="3">
        <v>45584</v>
      </c>
      <c r="C735" s="2" t="s">
        <v>591</v>
      </c>
      <c r="D735" s="2" t="s">
        <v>293</v>
      </c>
      <c r="E735" s="2" t="s">
        <v>117</v>
      </c>
      <c r="F735" s="4">
        <v>7</v>
      </c>
      <c r="G735" s="4">
        <v>5330</v>
      </c>
      <c r="H735" s="4">
        <v>19.7</v>
      </c>
      <c r="I735" s="4">
        <v>29959.93</v>
      </c>
      <c r="J735" s="2" t="s">
        <v>69</v>
      </c>
      <c r="K735" s="2" t="s">
        <v>23</v>
      </c>
    </row>
    <row r="736" spans="1:11" x14ac:dyDescent="0.35">
      <c r="A736" s="2" t="s">
        <v>1131</v>
      </c>
      <c r="B736" s="3">
        <v>45593</v>
      </c>
      <c r="C736" s="2" t="s">
        <v>441</v>
      </c>
      <c r="D736" s="2" t="s">
        <v>199</v>
      </c>
      <c r="E736" s="2" t="s">
        <v>45</v>
      </c>
      <c r="F736" s="4">
        <v>5</v>
      </c>
      <c r="G736" s="4">
        <v>4610</v>
      </c>
      <c r="H736" s="4">
        <v>3.6</v>
      </c>
      <c r="I736" s="4">
        <v>22220.2</v>
      </c>
      <c r="J736" s="2" t="s">
        <v>16</v>
      </c>
      <c r="K736" s="2" t="s">
        <v>62</v>
      </c>
    </row>
    <row r="737" spans="1:11" x14ac:dyDescent="0.35">
      <c r="A737" s="2" t="s">
        <v>1132</v>
      </c>
      <c r="B737" s="3">
        <v>45302</v>
      </c>
      <c r="C737" s="2" t="s">
        <v>736</v>
      </c>
      <c r="D737" s="2" t="s">
        <v>293</v>
      </c>
      <c r="E737" s="2" t="s">
        <v>99</v>
      </c>
      <c r="F737" s="4">
        <v>9</v>
      </c>
      <c r="G737" s="4">
        <v>5330</v>
      </c>
      <c r="H737" s="4">
        <v>22.9</v>
      </c>
      <c r="I737" s="4">
        <v>36984.870000000003</v>
      </c>
      <c r="J737" s="2" t="s">
        <v>16</v>
      </c>
      <c r="K737" s="2" t="s">
        <v>17</v>
      </c>
    </row>
    <row r="738" spans="1:11" x14ac:dyDescent="0.35">
      <c r="A738" s="2" t="s">
        <v>1133</v>
      </c>
      <c r="B738" s="3">
        <v>45440</v>
      </c>
      <c r="C738" s="2" t="s">
        <v>414</v>
      </c>
      <c r="D738" s="2" t="s">
        <v>170</v>
      </c>
      <c r="E738" s="2" t="s">
        <v>232</v>
      </c>
      <c r="F738" s="4">
        <v>5</v>
      </c>
      <c r="G738" s="4">
        <v>6080</v>
      </c>
      <c r="H738" s="4">
        <v>6</v>
      </c>
      <c r="I738" s="4">
        <v>28576</v>
      </c>
      <c r="J738" s="2" t="s">
        <v>73</v>
      </c>
      <c r="K738" s="2" t="s">
        <v>17</v>
      </c>
    </row>
    <row r="739" spans="1:11" x14ac:dyDescent="0.35">
      <c r="A739" s="2" t="s">
        <v>1134</v>
      </c>
      <c r="B739" s="3">
        <v>45299</v>
      </c>
      <c r="C739" s="2" t="s">
        <v>641</v>
      </c>
      <c r="D739" s="2" t="s">
        <v>166</v>
      </c>
      <c r="E739" s="2" t="s">
        <v>167</v>
      </c>
      <c r="F739" s="4">
        <v>7</v>
      </c>
      <c r="G739" s="4">
        <v>3640</v>
      </c>
      <c r="H739" s="4">
        <v>5.5</v>
      </c>
      <c r="I739" s="4">
        <v>24078.6</v>
      </c>
      <c r="J739" s="2" t="s">
        <v>16</v>
      </c>
      <c r="K739" s="2" t="s">
        <v>41</v>
      </c>
    </row>
    <row r="740" spans="1:11" x14ac:dyDescent="0.35">
      <c r="A740" s="2" t="s">
        <v>1135</v>
      </c>
      <c r="B740" s="3">
        <v>45336</v>
      </c>
      <c r="C740" s="2" t="s">
        <v>401</v>
      </c>
      <c r="D740" s="2" t="s">
        <v>208</v>
      </c>
      <c r="E740" s="2" t="s">
        <v>181</v>
      </c>
      <c r="F740" s="4">
        <v>1</v>
      </c>
      <c r="G740" s="4">
        <v>2660</v>
      </c>
      <c r="H740" s="4">
        <v>6.1</v>
      </c>
      <c r="I740" s="4">
        <v>2497.7399999999998</v>
      </c>
      <c r="J740" s="2" t="s">
        <v>69</v>
      </c>
      <c r="K740" s="2" t="s">
        <v>23</v>
      </c>
    </row>
    <row r="741" spans="1:11" x14ac:dyDescent="0.35">
      <c r="A741" s="2" t="s">
        <v>1136</v>
      </c>
      <c r="B741" s="3">
        <v>45300</v>
      </c>
      <c r="C741" s="2" t="s">
        <v>162</v>
      </c>
      <c r="D741" s="2" t="s">
        <v>108</v>
      </c>
      <c r="E741" s="2" t="s">
        <v>117</v>
      </c>
      <c r="F741" s="4">
        <v>8</v>
      </c>
      <c r="G741" s="4">
        <v>3350</v>
      </c>
      <c r="H741" s="4">
        <v>19.5</v>
      </c>
      <c r="I741" s="4">
        <v>21574</v>
      </c>
      <c r="J741" s="2" t="s">
        <v>16</v>
      </c>
      <c r="K741" s="2" t="s">
        <v>17</v>
      </c>
    </row>
    <row r="742" spans="1:11" x14ac:dyDescent="0.35">
      <c r="A742" s="2" t="s">
        <v>1137</v>
      </c>
      <c r="B742" s="3">
        <v>45648</v>
      </c>
      <c r="C742" s="2" t="s">
        <v>13</v>
      </c>
      <c r="D742" s="2" t="s">
        <v>199</v>
      </c>
      <c r="E742" s="2" t="s">
        <v>50</v>
      </c>
      <c r="F742" s="4">
        <v>4</v>
      </c>
      <c r="G742" s="4">
        <v>4610</v>
      </c>
      <c r="H742" s="4">
        <v>24</v>
      </c>
      <c r="I742" s="4">
        <v>14014.4</v>
      </c>
      <c r="J742" s="2" t="s">
        <v>16</v>
      </c>
      <c r="K742" s="2" t="s">
        <v>17</v>
      </c>
    </row>
    <row r="743" spans="1:11" x14ac:dyDescent="0.35">
      <c r="A743" s="2" t="s">
        <v>1138</v>
      </c>
      <c r="B743" s="3">
        <v>45293</v>
      </c>
      <c r="C743" s="2" t="s">
        <v>509</v>
      </c>
      <c r="D743" s="2" t="s">
        <v>124</v>
      </c>
      <c r="E743" s="2" t="s">
        <v>27</v>
      </c>
      <c r="F743" s="4">
        <v>7</v>
      </c>
      <c r="G743" s="4">
        <v>2860</v>
      </c>
      <c r="H743" s="4">
        <v>23.2</v>
      </c>
      <c r="I743" s="4">
        <v>15375.36</v>
      </c>
      <c r="J743" s="2" t="s">
        <v>16</v>
      </c>
      <c r="K743" s="2" t="s">
        <v>17</v>
      </c>
    </row>
    <row r="744" spans="1:11" x14ac:dyDescent="0.35">
      <c r="A744" s="2" t="s">
        <v>1139</v>
      </c>
      <c r="B744" s="3">
        <v>45644</v>
      </c>
      <c r="C744" s="2" t="s">
        <v>736</v>
      </c>
      <c r="D744" s="2" t="s">
        <v>108</v>
      </c>
      <c r="E744" s="2" t="s">
        <v>181</v>
      </c>
      <c r="F744" s="4">
        <v>7</v>
      </c>
      <c r="G744" s="4">
        <v>3350</v>
      </c>
      <c r="H744" s="4">
        <v>10.6</v>
      </c>
      <c r="I744" s="4">
        <v>20964.3</v>
      </c>
      <c r="J744" s="2" t="s">
        <v>22</v>
      </c>
      <c r="K744" s="2" t="s">
        <v>17</v>
      </c>
    </row>
    <row r="745" spans="1:11" x14ac:dyDescent="0.35">
      <c r="A745" s="2" t="s">
        <v>1140</v>
      </c>
      <c r="B745" s="3">
        <v>45589</v>
      </c>
      <c r="C745" s="2" t="s">
        <v>257</v>
      </c>
      <c r="D745" s="2" t="s">
        <v>267</v>
      </c>
      <c r="E745" s="2" t="s">
        <v>57</v>
      </c>
      <c r="F745" s="4">
        <v>5</v>
      </c>
      <c r="G745" s="4">
        <v>2210</v>
      </c>
      <c r="H745" s="4">
        <v>12.1</v>
      </c>
      <c r="I745" s="4">
        <v>9712.9500000000007</v>
      </c>
      <c r="J745" s="2" t="s">
        <v>16</v>
      </c>
      <c r="K745" s="2" t="s">
        <v>23</v>
      </c>
    </row>
    <row r="746" spans="1:11" x14ac:dyDescent="0.35">
      <c r="A746" s="2" t="s">
        <v>1141</v>
      </c>
      <c r="B746" s="3">
        <v>45329</v>
      </c>
      <c r="C746" s="2" t="s">
        <v>389</v>
      </c>
      <c r="D746" s="2" t="s">
        <v>86</v>
      </c>
      <c r="E746" s="2" t="s">
        <v>181</v>
      </c>
      <c r="F746" s="4">
        <v>1</v>
      </c>
      <c r="G746" s="4">
        <v>3450</v>
      </c>
      <c r="H746" s="4">
        <v>19.100000000000001</v>
      </c>
      <c r="I746" s="4">
        <v>2791.05</v>
      </c>
      <c r="J746" s="2" t="s">
        <v>22</v>
      </c>
      <c r="K746" s="2" t="s">
        <v>17</v>
      </c>
    </row>
    <row r="747" spans="1:11" x14ac:dyDescent="0.35">
      <c r="A747" s="2" t="s">
        <v>1142</v>
      </c>
      <c r="B747" s="3">
        <v>45587</v>
      </c>
      <c r="C747" s="2" t="s">
        <v>468</v>
      </c>
      <c r="D747" s="2" t="s">
        <v>120</v>
      </c>
      <c r="E747" s="2" t="s">
        <v>57</v>
      </c>
      <c r="F747" s="4">
        <v>5</v>
      </c>
      <c r="G747" s="4">
        <v>5100</v>
      </c>
      <c r="H747" s="4">
        <v>2.8</v>
      </c>
      <c r="I747" s="4">
        <v>24786</v>
      </c>
      <c r="J747" s="2" t="s">
        <v>16</v>
      </c>
      <c r="K747" s="2" t="s">
        <v>62</v>
      </c>
    </row>
    <row r="748" spans="1:11" x14ac:dyDescent="0.35">
      <c r="A748" s="2" t="s">
        <v>1143</v>
      </c>
      <c r="B748" s="3">
        <v>45423</v>
      </c>
      <c r="C748" s="2" t="s">
        <v>228</v>
      </c>
      <c r="D748" s="2" t="s">
        <v>120</v>
      </c>
      <c r="E748" s="2" t="s">
        <v>77</v>
      </c>
      <c r="F748" s="4">
        <v>9</v>
      </c>
      <c r="G748" s="4">
        <v>5100</v>
      </c>
      <c r="H748" s="4">
        <v>24.4</v>
      </c>
      <c r="I748" s="4">
        <v>34700.400000000001</v>
      </c>
      <c r="J748" s="2" t="s">
        <v>16</v>
      </c>
      <c r="K748" s="2" t="s">
        <v>62</v>
      </c>
    </row>
    <row r="749" spans="1:11" x14ac:dyDescent="0.35">
      <c r="A749" s="2" t="s">
        <v>1144</v>
      </c>
      <c r="B749" s="3">
        <v>45568</v>
      </c>
      <c r="C749" s="2" t="s">
        <v>230</v>
      </c>
      <c r="D749" s="2" t="s">
        <v>132</v>
      </c>
      <c r="E749" s="2" t="s">
        <v>32</v>
      </c>
      <c r="F749" s="4">
        <v>9</v>
      </c>
      <c r="G749" s="4">
        <v>660</v>
      </c>
      <c r="H749" s="4">
        <v>19.8</v>
      </c>
      <c r="I749" s="4">
        <v>4763.88</v>
      </c>
      <c r="J749" s="2" t="s">
        <v>16</v>
      </c>
      <c r="K749" s="2" t="s">
        <v>23</v>
      </c>
    </row>
    <row r="750" spans="1:11" x14ac:dyDescent="0.35">
      <c r="A750" s="2" t="s">
        <v>1145</v>
      </c>
      <c r="B750" s="3">
        <v>45549</v>
      </c>
      <c r="C750" s="2" t="s">
        <v>1146</v>
      </c>
      <c r="D750" s="2" t="s">
        <v>193</v>
      </c>
      <c r="E750" s="2" t="s">
        <v>32</v>
      </c>
      <c r="F750" s="4">
        <v>3</v>
      </c>
      <c r="G750" s="4">
        <v>4070</v>
      </c>
      <c r="H750" s="4">
        <v>27.1</v>
      </c>
      <c r="I750" s="4">
        <v>8901.09</v>
      </c>
      <c r="J750" s="2" t="s">
        <v>16</v>
      </c>
      <c r="K750" s="2" t="s">
        <v>41</v>
      </c>
    </row>
    <row r="751" spans="1:11" x14ac:dyDescent="0.35">
      <c r="A751" s="2" t="s">
        <v>1147</v>
      </c>
      <c r="B751" s="3">
        <v>45504</v>
      </c>
      <c r="C751" s="2" t="s">
        <v>279</v>
      </c>
      <c r="D751" s="2" t="s">
        <v>284</v>
      </c>
      <c r="E751" s="2" t="s">
        <v>15</v>
      </c>
      <c r="F751" s="4">
        <v>2</v>
      </c>
      <c r="G751" s="4">
        <v>2510</v>
      </c>
      <c r="H751" s="4">
        <v>29.1</v>
      </c>
      <c r="I751" s="4">
        <v>3559.18</v>
      </c>
      <c r="J751" s="2" t="s">
        <v>16</v>
      </c>
      <c r="K751" s="2" t="s">
        <v>41</v>
      </c>
    </row>
    <row r="752" spans="1:11" x14ac:dyDescent="0.35">
      <c r="A752" s="2" t="s">
        <v>1148</v>
      </c>
      <c r="B752" s="3">
        <v>45449</v>
      </c>
      <c r="C752" s="2" t="s">
        <v>162</v>
      </c>
      <c r="D752" s="2" t="s">
        <v>72</v>
      </c>
      <c r="E752" s="2" t="s">
        <v>99</v>
      </c>
      <c r="F752" s="4">
        <v>4</v>
      </c>
      <c r="G752" s="4">
        <v>3250</v>
      </c>
      <c r="H752" s="4">
        <v>21.1</v>
      </c>
      <c r="I752" s="4">
        <v>10257</v>
      </c>
      <c r="J752" s="2" t="s">
        <v>16</v>
      </c>
      <c r="K752" s="2" t="s">
        <v>17</v>
      </c>
    </row>
    <row r="753" spans="1:11" x14ac:dyDescent="0.35">
      <c r="A753" s="2" t="s">
        <v>1149</v>
      </c>
      <c r="B753" s="3">
        <v>45600</v>
      </c>
      <c r="C753" s="2" t="s">
        <v>528</v>
      </c>
      <c r="D753" s="2" t="s">
        <v>39</v>
      </c>
      <c r="E753" s="2" t="s">
        <v>21</v>
      </c>
      <c r="F753" s="4">
        <v>3</v>
      </c>
      <c r="G753" s="4">
        <v>370</v>
      </c>
      <c r="H753" s="4">
        <v>7.7</v>
      </c>
      <c r="I753" s="4">
        <v>1024.53</v>
      </c>
      <c r="J753" s="2" t="s">
        <v>16</v>
      </c>
      <c r="K753" s="2" t="s">
        <v>46</v>
      </c>
    </row>
    <row r="754" spans="1:11" x14ac:dyDescent="0.35">
      <c r="A754" s="2" t="s">
        <v>1150</v>
      </c>
      <c r="B754" s="3">
        <v>45479</v>
      </c>
      <c r="C754" s="2" t="s">
        <v>906</v>
      </c>
      <c r="D754" s="2" t="s">
        <v>20</v>
      </c>
      <c r="E754" s="2" t="s">
        <v>32</v>
      </c>
      <c r="F754" s="4">
        <v>10</v>
      </c>
      <c r="G754" s="4">
        <v>820</v>
      </c>
      <c r="H754" s="4">
        <v>3.5</v>
      </c>
      <c r="I754" s="4">
        <v>7913</v>
      </c>
      <c r="J754" s="2" t="s">
        <v>16</v>
      </c>
      <c r="K754" s="2" t="s">
        <v>17</v>
      </c>
    </row>
    <row r="755" spans="1:11" x14ac:dyDescent="0.35">
      <c r="A755" s="2" t="s">
        <v>1151</v>
      </c>
      <c r="B755" s="3">
        <v>45531</v>
      </c>
      <c r="C755" s="2" t="s">
        <v>358</v>
      </c>
      <c r="D755" s="2" t="s">
        <v>193</v>
      </c>
      <c r="E755" s="2" t="s">
        <v>158</v>
      </c>
      <c r="F755" s="4">
        <v>4</v>
      </c>
      <c r="G755" s="4">
        <v>4070</v>
      </c>
      <c r="H755" s="4">
        <v>23.8</v>
      </c>
      <c r="I755" s="4">
        <v>12405.36</v>
      </c>
      <c r="J755" s="2" t="s">
        <v>16</v>
      </c>
      <c r="K755" s="2" t="s">
        <v>46</v>
      </c>
    </row>
    <row r="756" spans="1:11" x14ac:dyDescent="0.35">
      <c r="A756" s="2" t="s">
        <v>1152</v>
      </c>
      <c r="B756" s="3">
        <v>45356</v>
      </c>
      <c r="C756" s="2" t="s">
        <v>688</v>
      </c>
      <c r="D756" s="2" t="s">
        <v>296</v>
      </c>
      <c r="E756" s="2" t="s">
        <v>202</v>
      </c>
      <c r="F756" s="4">
        <v>1</v>
      </c>
      <c r="G756" s="4">
        <v>2380</v>
      </c>
      <c r="H756" s="4">
        <v>19.600000000000001</v>
      </c>
      <c r="I756" s="4">
        <v>1913.52</v>
      </c>
      <c r="J756" s="2" t="s">
        <v>69</v>
      </c>
      <c r="K756" s="2" t="s">
        <v>46</v>
      </c>
    </row>
    <row r="757" spans="1:11" x14ac:dyDescent="0.35">
      <c r="A757" s="2" t="s">
        <v>1153</v>
      </c>
      <c r="B757" s="3">
        <v>45553</v>
      </c>
      <c r="C757" s="2" t="s">
        <v>877</v>
      </c>
      <c r="D757" s="2" t="s">
        <v>53</v>
      </c>
      <c r="E757" s="2" t="s">
        <v>99</v>
      </c>
      <c r="F757" s="4">
        <v>3</v>
      </c>
      <c r="G757" s="4">
        <v>5490</v>
      </c>
      <c r="H757" s="4">
        <v>2.5</v>
      </c>
      <c r="I757" s="4">
        <v>16058.25</v>
      </c>
      <c r="J757" s="2" t="s">
        <v>16</v>
      </c>
      <c r="K757" s="2" t="s">
        <v>17</v>
      </c>
    </row>
    <row r="758" spans="1:11" x14ac:dyDescent="0.35">
      <c r="A758" s="2" t="s">
        <v>1154</v>
      </c>
      <c r="B758" s="3">
        <v>45492</v>
      </c>
      <c r="C758" s="2" t="s">
        <v>265</v>
      </c>
      <c r="D758" s="2" t="s">
        <v>166</v>
      </c>
      <c r="E758" s="2" t="s">
        <v>272</v>
      </c>
      <c r="F758" s="4">
        <v>3</v>
      </c>
      <c r="G758" s="4">
        <v>3640</v>
      </c>
      <c r="H758" s="4">
        <v>23.3</v>
      </c>
      <c r="I758" s="4">
        <v>8375.64</v>
      </c>
      <c r="J758" s="2" t="s">
        <v>16</v>
      </c>
      <c r="K758" s="2" t="s">
        <v>41</v>
      </c>
    </row>
    <row r="759" spans="1:11" x14ac:dyDescent="0.35">
      <c r="A759" s="2" t="s">
        <v>1155</v>
      </c>
      <c r="B759" s="3">
        <v>45388</v>
      </c>
      <c r="C759" s="2" t="s">
        <v>334</v>
      </c>
      <c r="D759" s="2" t="s">
        <v>199</v>
      </c>
      <c r="E759" s="2" t="s">
        <v>232</v>
      </c>
      <c r="F759" s="4">
        <v>2</v>
      </c>
      <c r="G759" s="4">
        <v>4610</v>
      </c>
      <c r="H759" s="4">
        <v>5</v>
      </c>
      <c r="I759" s="4">
        <v>8759</v>
      </c>
      <c r="J759" s="2" t="s">
        <v>22</v>
      </c>
      <c r="K759" s="2" t="s">
        <v>23</v>
      </c>
    </row>
    <row r="760" spans="1:11" x14ac:dyDescent="0.35">
      <c r="A760" s="2" t="s">
        <v>1156</v>
      </c>
      <c r="B760" s="3">
        <v>45369</v>
      </c>
      <c r="C760" s="2" t="s">
        <v>436</v>
      </c>
      <c r="D760" s="2" t="s">
        <v>80</v>
      </c>
      <c r="E760" s="2" t="s">
        <v>144</v>
      </c>
      <c r="F760" s="4">
        <v>8</v>
      </c>
      <c r="G760" s="4">
        <v>2400</v>
      </c>
      <c r="H760" s="4">
        <v>10</v>
      </c>
      <c r="I760" s="4">
        <v>17280</v>
      </c>
      <c r="J760" s="2" t="s">
        <v>22</v>
      </c>
      <c r="K760" s="2" t="s">
        <v>17</v>
      </c>
    </row>
    <row r="761" spans="1:11" x14ac:dyDescent="0.35">
      <c r="A761" s="2" t="s">
        <v>1157</v>
      </c>
      <c r="B761" s="3">
        <v>45597</v>
      </c>
      <c r="C761" s="2" t="s">
        <v>326</v>
      </c>
      <c r="D761" s="2" t="s">
        <v>108</v>
      </c>
      <c r="E761" s="2" t="s">
        <v>226</v>
      </c>
      <c r="F761" s="4">
        <v>7</v>
      </c>
      <c r="G761" s="4">
        <v>3350</v>
      </c>
      <c r="H761" s="4">
        <v>23.7</v>
      </c>
      <c r="I761" s="4">
        <v>17892.349999999999</v>
      </c>
      <c r="J761" s="2" t="s">
        <v>16</v>
      </c>
      <c r="K761" s="2" t="s">
        <v>28</v>
      </c>
    </row>
    <row r="762" spans="1:11" x14ac:dyDescent="0.35">
      <c r="A762" s="2" t="s">
        <v>1158</v>
      </c>
      <c r="B762" s="3">
        <v>45611</v>
      </c>
      <c r="C762" s="2" t="s">
        <v>584</v>
      </c>
      <c r="D762" s="2" t="s">
        <v>166</v>
      </c>
      <c r="E762" s="2" t="s">
        <v>254</v>
      </c>
      <c r="F762" s="4">
        <v>4</v>
      </c>
      <c r="G762" s="4">
        <v>3640</v>
      </c>
      <c r="H762" s="4">
        <v>9.3000000000000007</v>
      </c>
      <c r="I762" s="4">
        <v>13205.92</v>
      </c>
      <c r="J762" s="2" t="s">
        <v>69</v>
      </c>
      <c r="K762" s="2" t="s">
        <v>62</v>
      </c>
    </row>
    <row r="763" spans="1:11" x14ac:dyDescent="0.35">
      <c r="A763" s="2" t="s">
        <v>1159</v>
      </c>
      <c r="B763" s="3">
        <v>45579</v>
      </c>
      <c r="C763" s="2" t="s">
        <v>1160</v>
      </c>
      <c r="D763" s="2" t="s">
        <v>166</v>
      </c>
      <c r="E763" s="2" t="s">
        <v>57</v>
      </c>
      <c r="F763" s="4">
        <v>9</v>
      </c>
      <c r="G763" s="4">
        <v>3640</v>
      </c>
      <c r="H763" s="4">
        <v>13.1</v>
      </c>
      <c r="I763" s="4">
        <v>28468.44</v>
      </c>
      <c r="J763" s="2" t="s">
        <v>22</v>
      </c>
      <c r="K763" s="2" t="s">
        <v>17</v>
      </c>
    </row>
    <row r="764" spans="1:11" x14ac:dyDescent="0.35">
      <c r="A764" s="2" t="s">
        <v>1161</v>
      </c>
      <c r="B764" s="3">
        <v>45634</v>
      </c>
      <c r="C764" s="2" t="s">
        <v>101</v>
      </c>
      <c r="D764" s="2" t="s">
        <v>224</v>
      </c>
      <c r="E764" s="2" t="s">
        <v>27</v>
      </c>
      <c r="F764" s="4">
        <v>2</v>
      </c>
      <c r="G764" s="4">
        <v>2030</v>
      </c>
      <c r="H764" s="4">
        <v>12.2</v>
      </c>
      <c r="I764" s="4">
        <v>3564.68</v>
      </c>
      <c r="J764" s="2" t="s">
        <v>16</v>
      </c>
      <c r="K764" s="2" t="s">
        <v>17</v>
      </c>
    </row>
    <row r="765" spans="1:11" x14ac:dyDescent="0.35">
      <c r="A765" s="2" t="s">
        <v>1162</v>
      </c>
      <c r="B765" s="3">
        <v>45471</v>
      </c>
      <c r="C765" s="2" t="s">
        <v>1163</v>
      </c>
      <c r="D765" s="2" t="s">
        <v>35</v>
      </c>
      <c r="E765" s="2" t="s">
        <v>226</v>
      </c>
      <c r="F765" s="4">
        <v>4</v>
      </c>
      <c r="G765" s="4">
        <v>3160</v>
      </c>
      <c r="H765" s="4">
        <v>7.5</v>
      </c>
      <c r="I765" s="4">
        <v>11692</v>
      </c>
      <c r="J765" s="2" t="s">
        <v>16</v>
      </c>
      <c r="K765" s="2" t="s">
        <v>41</v>
      </c>
    </row>
    <row r="766" spans="1:11" x14ac:dyDescent="0.35">
      <c r="A766" s="2" t="s">
        <v>1164</v>
      </c>
      <c r="B766" s="3">
        <v>45327</v>
      </c>
      <c r="C766" s="2" t="s">
        <v>693</v>
      </c>
      <c r="D766" s="2" t="s">
        <v>193</v>
      </c>
      <c r="E766" s="2" t="s">
        <v>158</v>
      </c>
      <c r="F766" s="4">
        <v>10</v>
      </c>
      <c r="G766" s="4">
        <v>4070</v>
      </c>
      <c r="H766" s="4">
        <v>8.3000000000000007</v>
      </c>
      <c r="I766" s="4">
        <v>37321.9</v>
      </c>
      <c r="J766" s="2" t="s">
        <v>16</v>
      </c>
      <c r="K766" s="2" t="s">
        <v>23</v>
      </c>
    </row>
    <row r="767" spans="1:11" x14ac:dyDescent="0.35">
      <c r="A767" s="2" t="s">
        <v>1165</v>
      </c>
      <c r="B767" s="3">
        <v>45343</v>
      </c>
      <c r="C767" s="2" t="s">
        <v>555</v>
      </c>
      <c r="D767" s="2" t="s">
        <v>280</v>
      </c>
      <c r="E767" s="2" t="s">
        <v>45</v>
      </c>
      <c r="F767" s="4">
        <v>8</v>
      </c>
      <c r="G767" s="4">
        <v>4060</v>
      </c>
      <c r="H767" s="4">
        <v>8.5</v>
      </c>
      <c r="I767" s="4">
        <v>29719.200000000001</v>
      </c>
      <c r="J767" s="2" t="s">
        <v>16</v>
      </c>
      <c r="K767" s="2" t="s">
        <v>28</v>
      </c>
    </row>
    <row r="768" spans="1:11" x14ac:dyDescent="0.35">
      <c r="A768" s="2" t="s">
        <v>1166</v>
      </c>
      <c r="B768" s="3">
        <v>45334</v>
      </c>
      <c r="C768" s="2" t="s">
        <v>658</v>
      </c>
      <c r="D768" s="2" t="s">
        <v>44</v>
      </c>
      <c r="E768" s="2" t="s">
        <v>232</v>
      </c>
      <c r="F768" s="4">
        <v>8</v>
      </c>
      <c r="G768" s="4">
        <v>960</v>
      </c>
      <c r="H768" s="4">
        <v>8.6999999999999993</v>
      </c>
      <c r="I768" s="4">
        <v>7011.84</v>
      </c>
      <c r="J768" s="2" t="s">
        <v>16</v>
      </c>
      <c r="K768" s="2" t="s">
        <v>41</v>
      </c>
    </row>
    <row r="769" spans="1:11" x14ac:dyDescent="0.35">
      <c r="A769" s="2" t="s">
        <v>1167</v>
      </c>
      <c r="B769" s="3">
        <v>45306</v>
      </c>
      <c r="C769" s="2" t="s">
        <v>605</v>
      </c>
      <c r="D769" s="2" t="s">
        <v>174</v>
      </c>
      <c r="E769" s="2" t="s">
        <v>272</v>
      </c>
      <c r="F769" s="4">
        <v>2</v>
      </c>
      <c r="G769" s="4">
        <v>2270</v>
      </c>
      <c r="H769" s="4">
        <v>10.199999999999999</v>
      </c>
      <c r="I769" s="4">
        <v>4076.92</v>
      </c>
      <c r="J769" s="2" t="s">
        <v>16</v>
      </c>
      <c r="K769" s="2" t="s">
        <v>17</v>
      </c>
    </row>
    <row r="770" spans="1:11" x14ac:dyDescent="0.35">
      <c r="A770" s="2" t="s">
        <v>1168</v>
      </c>
      <c r="B770" s="3">
        <v>45296</v>
      </c>
      <c r="C770" s="2" t="s">
        <v>228</v>
      </c>
      <c r="D770" s="2" t="s">
        <v>163</v>
      </c>
      <c r="E770" s="2" t="s">
        <v>15</v>
      </c>
      <c r="F770" s="4">
        <v>1</v>
      </c>
      <c r="G770" s="4">
        <v>3780</v>
      </c>
      <c r="H770" s="4">
        <v>15.3</v>
      </c>
      <c r="I770" s="4">
        <v>3201.66</v>
      </c>
      <c r="J770" s="2" t="s">
        <v>69</v>
      </c>
      <c r="K770" s="2" t="s">
        <v>62</v>
      </c>
    </row>
    <row r="771" spans="1:11" x14ac:dyDescent="0.35">
      <c r="A771" s="2" t="s">
        <v>1169</v>
      </c>
      <c r="B771" s="3">
        <v>45489</v>
      </c>
      <c r="C771" s="2" t="s">
        <v>803</v>
      </c>
      <c r="D771" s="2" t="s">
        <v>315</v>
      </c>
      <c r="E771" s="2" t="s">
        <v>57</v>
      </c>
      <c r="F771" s="4">
        <v>10</v>
      </c>
      <c r="G771" s="4">
        <v>2290</v>
      </c>
      <c r="H771" s="4">
        <v>2.4</v>
      </c>
      <c r="I771" s="4">
        <v>22350.400000000001</v>
      </c>
      <c r="J771" s="2" t="s">
        <v>22</v>
      </c>
      <c r="K771" s="2" t="s">
        <v>41</v>
      </c>
    </row>
    <row r="772" spans="1:11" x14ac:dyDescent="0.35">
      <c r="A772" s="2" t="s">
        <v>1170</v>
      </c>
      <c r="B772" s="3">
        <v>45416</v>
      </c>
      <c r="C772" s="2" t="s">
        <v>1160</v>
      </c>
      <c r="D772" s="2" t="s">
        <v>108</v>
      </c>
      <c r="E772" s="2" t="s">
        <v>167</v>
      </c>
      <c r="F772" s="4">
        <v>5</v>
      </c>
      <c r="G772" s="4">
        <v>3350</v>
      </c>
      <c r="H772" s="4">
        <v>18.5</v>
      </c>
      <c r="I772" s="4">
        <v>13651.25</v>
      </c>
      <c r="J772" s="2" t="s">
        <v>69</v>
      </c>
      <c r="K772" s="2" t="s">
        <v>17</v>
      </c>
    </row>
    <row r="773" spans="1:11" x14ac:dyDescent="0.35">
      <c r="A773" s="2" t="s">
        <v>1171</v>
      </c>
      <c r="B773" s="3">
        <v>45347</v>
      </c>
      <c r="C773" s="2" t="s">
        <v>237</v>
      </c>
      <c r="D773" s="2" t="s">
        <v>284</v>
      </c>
      <c r="E773" s="2" t="s">
        <v>87</v>
      </c>
      <c r="F773" s="4">
        <v>7</v>
      </c>
      <c r="G773" s="4">
        <v>2510</v>
      </c>
      <c r="H773" s="4">
        <v>4.2</v>
      </c>
      <c r="I773" s="4">
        <v>16832.060000000001</v>
      </c>
      <c r="J773" s="2" t="s">
        <v>69</v>
      </c>
      <c r="K773" s="2" t="s">
        <v>17</v>
      </c>
    </row>
    <row r="774" spans="1:11" x14ac:dyDescent="0.35">
      <c r="A774" s="2" t="s">
        <v>1172</v>
      </c>
      <c r="B774" s="3">
        <v>45652</v>
      </c>
      <c r="C774" s="2" t="s">
        <v>92</v>
      </c>
      <c r="D774" s="2" t="s">
        <v>67</v>
      </c>
      <c r="E774" s="2" t="s">
        <v>232</v>
      </c>
      <c r="F774" s="4">
        <v>1</v>
      </c>
      <c r="G774" s="4">
        <v>2600</v>
      </c>
      <c r="H774" s="4">
        <v>2.2000000000000002</v>
      </c>
      <c r="I774" s="4">
        <v>2542.8000000000002</v>
      </c>
      <c r="J774" s="2" t="s">
        <v>16</v>
      </c>
      <c r="K774" s="2" t="s">
        <v>23</v>
      </c>
    </row>
    <row r="775" spans="1:11" x14ac:dyDescent="0.35">
      <c r="A775" s="2" t="s">
        <v>1173</v>
      </c>
      <c r="B775" s="3">
        <v>45467</v>
      </c>
      <c r="C775" s="2" t="s">
        <v>358</v>
      </c>
      <c r="D775" s="2" t="s">
        <v>26</v>
      </c>
      <c r="E775" s="2" t="s">
        <v>77</v>
      </c>
      <c r="F775" s="4">
        <v>8</v>
      </c>
      <c r="G775" s="4">
        <v>470</v>
      </c>
      <c r="H775" s="4">
        <v>25.2</v>
      </c>
      <c r="I775" s="4">
        <v>2812.48</v>
      </c>
      <c r="J775" s="2" t="s">
        <v>16</v>
      </c>
      <c r="K775" s="2" t="s">
        <v>46</v>
      </c>
    </row>
    <row r="776" spans="1:11" x14ac:dyDescent="0.35">
      <c r="A776" s="2" t="s">
        <v>1174</v>
      </c>
      <c r="B776" s="3">
        <v>45558</v>
      </c>
      <c r="C776" s="2" t="s">
        <v>126</v>
      </c>
      <c r="D776" s="2" t="s">
        <v>93</v>
      </c>
      <c r="E776" s="2" t="s">
        <v>254</v>
      </c>
      <c r="F776" s="4">
        <v>6</v>
      </c>
      <c r="G776" s="4">
        <v>1080</v>
      </c>
      <c r="H776" s="4">
        <v>25</v>
      </c>
      <c r="I776" s="4">
        <v>4860</v>
      </c>
      <c r="J776" s="2" t="s">
        <v>16</v>
      </c>
      <c r="K776" s="2" t="s">
        <v>17</v>
      </c>
    </row>
    <row r="777" spans="1:11" x14ac:dyDescent="0.35">
      <c r="A777" s="2" t="s">
        <v>1175</v>
      </c>
      <c r="B777" s="3">
        <v>45645</v>
      </c>
      <c r="C777" s="2" t="s">
        <v>13</v>
      </c>
      <c r="D777" s="2" t="s">
        <v>111</v>
      </c>
      <c r="E777" s="2" t="s">
        <v>50</v>
      </c>
      <c r="F777" s="4">
        <v>2</v>
      </c>
      <c r="G777" s="4">
        <v>1010</v>
      </c>
      <c r="H777" s="4">
        <v>16.100000000000001</v>
      </c>
      <c r="I777" s="4">
        <v>1694.78</v>
      </c>
      <c r="J777" s="2" t="s">
        <v>16</v>
      </c>
      <c r="K777" s="2" t="s">
        <v>17</v>
      </c>
    </row>
    <row r="778" spans="1:11" x14ac:dyDescent="0.35">
      <c r="A778" s="2" t="s">
        <v>1176</v>
      </c>
      <c r="B778" s="3">
        <v>45418</v>
      </c>
      <c r="C778" s="2" t="s">
        <v>654</v>
      </c>
      <c r="D778" s="2" t="s">
        <v>177</v>
      </c>
      <c r="E778" s="2" t="s">
        <v>226</v>
      </c>
      <c r="F778" s="4">
        <v>6</v>
      </c>
      <c r="G778" s="4">
        <v>3870</v>
      </c>
      <c r="H778" s="4">
        <v>22.4</v>
      </c>
      <c r="I778" s="4">
        <v>18018.72</v>
      </c>
      <c r="J778" s="2" t="s">
        <v>69</v>
      </c>
      <c r="K778" s="2" t="s">
        <v>28</v>
      </c>
    </row>
    <row r="779" spans="1:11" x14ac:dyDescent="0.35">
      <c r="A779" s="2" t="s">
        <v>1177</v>
      </c>
      <c r="B779" s="3">
        <v>45655</v>
      </c>
      <c r="C779" s="2" t="s">
        <v>542</v>
      </c>
      <c r="D779" s="2" t="s">
        <v>224</v>
      </c>
      <c r="E779" s="2" t="s">
        <v>272</v>
      </c>
      <c r="F779" s="4">
        <v>3</v>
      </c>
      <c r="G779" s="4">
        <v>2030</v>
      </c>
      <c r="H779" s="4">
        <v>18.5</v>
      </c>
      <c r="I779" s="4">
        <v>4963.3500000000004</v>
      </c>
      <c r="J779" s="2" t="s">
        <v>16</v>
      </c>
      <c r="K779" s="2" t="s">
        <v>41</v>
      </c>
    </row>
    <row r="780" spans="1:11" x14ac:dyDescent="0.35">
      <c r="A780" s="2" t="s">
        <v>1178</v>
      </c>
      <c r="B780" s="3">
        <v>45540</v>
      </c>
      <c r="C780" s="2" t="s">
        <v>1179</v>
      </c>
      <c r="D780" s="2" t="s">
        <v>93</v>
      </c>
      <c r="E780" s="2" t="s">
        <v>272</v>
      </c>
      <c r="F780" s="4">
        <v>7</v>
      </c>
      <c r="G780" s="4">
        <v>1080</v>
      </c>
      <c r="H780" s="4">
        <v>6.8</v>
      </c>
      <c r="I780" s="4">
        <v>7045.92</v>
      </c>
      <c r="J780" s="2" t="s">
        <v>22</v>
      </c>
      <c r="K780" s="2" t="s">
        <v>17</v>
      </c>
    </row>
    <row r="781" spans="1:11" x14ac:dyDescent="0.35">
      <c r="A781" s="2" t="s">
        <v>1180</v>
      </c>
      <c r="B781" s="3">
        <v>45609</v>
      </c>
      <c r="C781" s="2" t="s">
        <v>291</v>
      </c>
      <c r="D781" s="2" t="s">
        <v>431</v>
      </c>
      <c r="E781" s="2" t="s">
        <v>133</v>
      </c>
      <c r="F781" s="4">
        <v>1</v>
      </c>
      <c r="G781" s="4">
        <v>1090</v>
      </c>
      <c r="H781" s="4">
        <v>20.6</v>
      </c>
      <c r="I781" s="4">
        <v>865.46</v>
      </c>
      <c r="J781" s="2" t="s">
        <v>16</v>
      </c>
      <c r="K781" s="2" t="s">
        <v>23</v>
      </c>
    </row>
    <row r="782" spans="1:11" x14ac:dyDescent="0.35">
      <c r="A782" s="2" t="s">
        <v>1181</v>
      </c>
      <c r="B782" s="3">
        <v>45528</v>
      </c>
      <c r="C782" s="2" t="s">
        <v>257</v>
      </c>
      <c r="D782" s="2" t="s">
        <v>39</v>
      </c>
      <c r="E782" s="2" t="s">
        <v>202</v>
      </c>
      <c r="F782" s="4">
        <v>8</v>
      </c>
      <c r="G782" s="4">
        <v>370</v>
      </c>
      <c r="H782" s="4">
        <v>1.7</v>
      </c>
      <c r="I782" s="4">
        <v>2909.68</v>
      </c>
      <c r="J782" s="2" t="s">
        <v>16</v>
      </c>
      <c r="K782" s="2" t="s">
        <v>23</v>
      </c>
    </row>
    <row r="783" spans="1:11" x14ac:dyDescent="0.35">
      <c r="A783" s="2" t="s">
        <v>1182</v>
      </c>
      <c r="B783" s="3">
        <v>45625</v>
      </c>
      <c r="C783" s="2" t="s">
        <v>980</v>
      </c>
      <c r="D783" s="2" t="s">
        <v>588</v>
      </c>
      <c r="E783" s="2" t="s">
        <v>232</v>
      </c>
      <c r="F783" s="4">
        <v>7</v>
      </c>
      <c r="G783" s="4">
        <v>3560</v>
      </c>
      <c r="H783" s="4">
        <v>28.7</v>
      </c>
      <c r="I783" s="4">
        <v>17767.96</v>
      </c>
      <c r="J783" s="2" t="s">
        <v>16</v>
      </c>
      <c r="K783" s="2" t="s">
        <v>41</v>
      </c>
    </row>
    <row r="784" spans="1:11" x14ac:dyDescent="0.35">
      <c r="A784" s="2" t="s">
        <v>1183</v>
      </c>
      <c r="B784" s="3">
        <v>45444</v>
      </c>
      <c r="C784" s="2" t="s">
        <v>488</v>
      </c>
      <c r="D784" s="2" t="s">
        <v>170</v>
      </c>
      <c r="E784" s="2" t="s">
        <v>275</v>
      </c>
      <c r="F784" s="4">
        <v>9</v>
      </c>
      <c r="G784" s="4">
        <v>6080</v>
      </c>
      <c r="H784" s="4">
        <v>16.3</v>
      </c>
      <c r="I784" s="4">
        <v>45800.639999999999</v>
      </c>
      <c r="J784" s="2" t="s">
        <v>69</v>
      </c>
      <c r="K784" s="2" t="s">
        <v>17</v>
      </c>
    </row>
    <row r="785" spans="1:11" x14ac:dyDescent="0.35">
      <c r="A785" s="2" t="s">
        <v>1184</v>
      </c>
      <c r="B785" s="3">
        <v>45505</v>
      </c>
      <c r="C785" s="2" t="s">
        <v>85</v>
      </c>
      <c r="D785" s="2" t="s">
        <v>90</v>
      </c>
      <c r="E785" s="2" t="s">
        <v>117</v>
      </c>
      <c r="F785" s="4">
        <v>2</v>
      </c>
      <c r="G785" s="4">
        <v>3450</v>
      </c>
      <c r="H785" s="4">
        <v>17.600000000000001</v>
      </c>
      <c r="I785" s="4">
        <v>5685.6</v>
      </c>
      <c r="J785" s="2" t="s">
        <v>22</v>
      </c>
      <c r="K785" s="2" t="s">
        <v>62</v>
      </c>
    </row>
    <row r="786" spans="1:11" x14ac:dyDescent="0.35">
      <c r="A786" s="2" t="s">
        <v>1185</v>
      </c>
      <c r="B786" s="3">
        <v>45401</v>
      </c>
      <c r="C786" s="2" t="s">
        <v>146</v>
      </c>
      <c r="D786" s="2" t="s">
        <v>372</v>
      </c>
      <c r="E786" s="2" t="s">
        <v>133</v>
      </c>
      <c r="F786" s="4">
        <v>1</v>
      </c>
      <c r="G786" s="4">
        <v>5080</v>
      </c>
      <c r="H786" s="4">
        <v>5.9</v>
      </c>
      <c r="I786" s="4">
        <v>4780.28</v>
      </c>
      <c r="J786" s="2" t="s">
        <v>16</v>
      </c>
      <c r="K786" s="2" t="s">
        <v>23</v>
      </c>
    </row>
    <row r="787" spans="1:11" x14ac:dyDescent="0.35">
      <c r="A787" s="2" t="s">
        <v>1186</v>
      </c>
      <c r="B787" s="3">
        <v>45364</v>
      </c>
      <c r="C787" s="2" t="s">
        <v>812</v>
      </c>
      <c r="D787" s="2" t="s">
        <v>381</v>
      </c>
      <c r="E787" s="2" t="s">
        <v>83</v>
      </c>
      <c r="F787" s="4">
        <v>7</v>
      </c>
      <c r="G787" s="4">
        <v>3450</v>
      </c>
      <c r="H787" s="4">
        <v>17.399999999999999</v>
      </c>
      <c r="I787" s="4">
        <v>19947.900000000001</v>
      </c>
      <c r="J787" s="2" t="s">
        <v>16</v>
      </c>
      <c r="K787" s="2" t="s">
        <v>62</v>
      </c>
    </row>
    <row r="788" spans="1:11" x14ac:dyDescent="0.35">
      <c r="A788" s="2" t="s">
        <v>1187</v>
      </c>
      <c r="B788" s="3">
        <v>45403</v>
      </c>
      <c r="C788" s="2" t="s">
        <v>1101</v>
      </c>
      <c r="D788" s="2" t="s">
        <v>60</v>
      </c>
      <c r="E788" s="2" t="s">
        <v>133</v>
      </c>
      <c r="F788" s="4">
        <v>8</v>
      </c>
      <c r="G788" s="4">
        <v>2270</v>
      </c>
      <c r="H788" s="4">
        <v>24.7</v>
      </c>
      <c r="I788" s="4">
        <v>13674.48</v>
      </c>
      <c r="J788" s="2" t="s">
        <v>16</v>
      </c>
      <c r="K788" s="2" t="s">
        <v>17</v>
      </c>
    </row>
    <row r="789" spans="1:11" x14ac:dyDescent="0.35">
      <c r="A789" s="2" t="s">
        <v>1188</v>
      </c>
      <c r="B789" s="3">
        <v>45599</v>
      </c>
      <c r="C789" s="2" t="s">
        <v>13</v>
      </c>
      <c r="D789" s="2" t="s">
        <v>35</v>
      </c>
      <c r="E789" s="2" t="s">
        <v>83</v>
      </c>
      <c r="F789" s="4">
        <v>3</v>
      </c>
      <c r="G789" s="4">
        <v>3160</v>
      </c>
      <c r="H789" s="4">
        <v>1.5</v>
      </c>
      <c r="I789" s="4">
        <v>9337.7999999999993</v>
      </c>
      <c r="J789" s="2" t="s">
        <v>22</v>
      </c>
      <c r="K789" s="2" t="s">
        <v>17</v>
      </c>
    </row>
    <row r="790" spans="1:11" x14ac:dyDescent="0.35">
      <c r="A790" s="2" t="s">
        <v>1189</v>
      </c>
      <c r="B790" s="3">
        <v>45389</v>
      </c>
      <c r="C790" s="2" t="s">
        <v>1190</v>
      </c>
      <c r="D790" s="2" t="s">
        <v>108</v>
      </c>
      <c r="E790" s="2" t="s">
        <v>158</v>
      </c>
      <c r="F790" s="4">
        <v>6</v>
      </c>
      <c r="G790" s="4">
        <v>3350</v>
      </c>
      <c r="H790" s="4">
        <v>0.9</v>
      </c>
      <c r="I790" s="4">
        <v>19919.099999999999</v>
      </c>
      <c r="J790" s="2" t="s">
        <v>22</v>
      </c>
      <c r="K790" s="2" t="s">
        <v>46</v>
      </c>
    </row>
    <row r="791" spans="1:11" x14ac:dyDescent="0.35">
      <c r="A791" s="2" t="s">
        <v>1191</v>
      </c>
      <c r="B791" s="3">
        <v>45506</v>
      </c>
      <c r="C791" s="2" t="s">
        <v>874</v>
      </c>
      <c r="D791" s="2" t="s">
        <v>105</v>
      </c>
      <c r="E791" s="2" t="s">
        <v>158</v>
      </c>
      <c r="F791" s="4">
        <v>7</v>
      </c>
      <c r="G791" s="4">
        <v>1650</v>
      </c>
      <c r="H791" s="4">
        <v>5.6</v>
      </c>
      <c r="I791" s="4">
        <v>10903.2</v>
      </c>
      <c r="J791" s="2" t="s">
        <v>73</v>
      </c>
      <c r="K791" s="2" t="s">
        <v>17</v>
      </c>
    </row>
    <row r="792" spans="1:11" x14ac:dyDescent="0.35">
      <c r="A792" s="2" t="s">
        <v>1192</v>
      </c>
      <c r="B792" s="3">
        <v>45402</v>
      </c>
      <c r="C792" s="2" t="s">
        <v>654</v>
      </c>
      <c r="D792" s="2" t="s">
        <v>53</v>
      </c>
      <c r="E792" s="2" t="s">
        <v>77</v>
      </c>
      <c r="F792" s="4">
        <v>1</v>
      </c>
      <c r="G792" s="4">
        <v>5490</v>
      </c>
      <c r="H792" s="4">
        <v>5.8</v>
      </c>
      <c r="I792" s="4">
        <v>5171.58</v>
      </c>
      <c r="J792" s="2" t="s">
        <v>16</v>
      </c>
      <c r="K792" s="2" t="s">
        <v>28</v>
      </c>
    </row>
    <row r="793" spans="1:11" x14ac:dyDescent="0.35">
      <c r="A793" s="2" t="s">
        <v>1193</v>
      </c>
      <c r="B793" s="3">
        <v>45405</v>
      </c>
      <c r="C793" s="2" t="s">
        <v>79</v>
      </c>
      <c r="D793" s="2" t="s">
        <v>93</v>
      </c>
      <c r="E793" s="2" t="s">
        <v>45</v>
      </c>
      <c r="F793" s="4">
        <v>3</v>
      </c>
      <c r="G793" s="4">
        <v>1080</v>
      </c>
      <c r="H793" s="4">
        <v>20.9</v>
      </c>
      <c r="I793" s="4">
        <v>2562.84</v>
      </c>
      <c r="J793" s="2" t="s">
        <v>16</v>
      </c>
      <c r="K793" s="2" t="s">
        <v>17</v>
      </c>
    </row>
    <row r="794" spans="1:11" x14ac:dyDescent="0.35">
      <c r="A794" s="2" t="s">
        <v>1194</v>
      </c>
      <c r="B794" s="3">
        <v>45434</v>
      </c>
      <c r="C794" s="2" t="s">
        <v>1195</v>
      </c>
      <c r="D794" s="2" t="s">
        <v>163</v>
      </c>
      <c r="E794" s="2" t="s">
        <v>232</v>
      </c>
      <c r="F794" s="4">
        <v>10</v>
      </c>
      <c r="G794" s="4">
        <v>3780</v>
      </c>
      <c r="H794" s="4">
        <v>5.5</v>
      </c>
      <c r="I794" s="4">
        <v>35721</v>
      </c>
      <c r="J794" s="2" t="s">
        <v>16</v>
      </c>
      <c r="K794" s="2" t="s">
        <v>62</v>
      </c>
    </row>
    <row r="795" spans="1:11" x14ac:dyDescent="0.35">
      <c r="A795" s="2" t="s">
        <v>1196</v>
      </c>
      <c r="B795" s="3">
        <v>45558</v>
      </c>
      <c r="C795" s="2" t="s">
        <v>137</v>
      </c>
      <c r="D795" s="2" t="s">
        <v>224</v>
      </c>
      <c r="E795" s="2" t="s">
        <v>99</v>
      </c>
      <c r="F795" s="4">
        <v>2</v>
      </c>
      <c r="G795" s="4">
        <v>2030</v>
      </c>
      <c r="H795" s="4">
        <v>2</v>
      </c>
      <c r="I795" s="4">
        <v>3978.8</v>
      </c>
      <c r="J795" s="2" t="s">
        <v>22</v>
      </c>
      <c r="K795" s="2" t="s">
        <v>62</v>
      </c>
    </row>
    <row r="796" spans="1:11" x14ac:dyDescent="0.35">
      <c r="A796" s="2" t="s">
        <v>1197</v>
      </c>
      <c r="B796" s="3">
        <v>45582</v>
      </c>
      <c r="C796" s="2" t="s">
        <v>496</v>
      </c>
      <c r="D796" s="2" t="s">
        <v>188</v>
      </c>
      <c r="E796" s="2" t="s">
        <v>50</v>
      </c>
      <c r="F796" s="4">
        <v>8</v>
      </c>
      <c r="G796" s="4">
        <v>1540</v>
      </c>
      <c r="H796" s="4">
        <v>9</v>
      </c>
      <c r="I796" s="4">
        <v>11211.2</v>
      </c>
      <c r="J796" s="2" t="s">
        <v>69</v>
      </c>
      <c r="K796" s="2" t="s">
        <v>46</v>
      </c>
    </row>
    <row r="797" spans="1:11" x14ac:dyDescent="0.35">
      <c r="A797" s="2" t="s">
        <v>1198</v>
      </c>
      <c r="B797" s="3">
        <v>45601</v>
      </c>
      <c r="C797" s="2" t="s">
        <v>55</v>
      </c>
      <c r="D797" s="2" t="s">
        <v>72</v>
      </c>
      <c r="E797" s="2" t="s">
        <v>117</v>
      </c>
      <c r="F797" s="4">
        <v>9</v>
      </c>
      <c r="G797" s="4">
        <v>3250</v>
      </c>
      <c r="H797" s="4">
        <v>20.5</v>
      </c>
      <c r="I797" s="4">
        <v>23253.75</v>
      </c>
      <c r="J797" s="2" t="s">
        <v>16</v>
      </c>
      <c r="K797" s="2" t="s">
        <v>17</v>
      </c>
    </row>
    <row r="798" spans="1:11" x14ac:dyDescent="0.35">
      <c r="A798" s="2" t="s">
        <v>1199</v>
      </c>
      <c r="B798" s="3">
        <v>45344</v>
      </c>
      <c r="C798" s="2" t="s">
        <v>328</v>
      </c>
      <c r="D798" s="2" t="s">
        <v>86</v>
      </c>
      <c r="E798" s="2" t="s">
        <v>21</v>
      </c>
      <c r="F798" s="4">
        <v>3</v>
      </c>
      <c r="G798" s="4">
        <v>3450</v>
      </c>
      <c r="H798" s="4">
        <v>17.899999999999999</v>
      </c>
      <c r="I798" s="4">
        <v>8497.35</v>
      </c>
      <c r="J798" s="2" t="s">
        <v>16</v>
      </c>
      <c r="K798" s="2" t="s">
        <v>28</v>
      </c>
    </row>
    <row r="799" spans="1:11" x14ac:dyDescent="0.35">
      <c r="A799" s="2" t="s">
        <v>1200</v>
      </c>
      <c r="B799" s="3">
        <v>45504</v>
      </c>
      <c r="C799" s="2" t="s">
        <v>334</v>
      </c>
      <c r="D799" s="2" t="s">
        <v>53</v>
      </c>
      <c r="E799" s="2" t="s">
        <v>36</v>
      </c>
      <c r="F799" s="4">
        <v>5</v>
      </c>
      <c r="G799" s="4">
        <v>5490</v>
      </c>
      <c r="H799" s="4">
        <v>7.9</v>
      </c>
      <c r="I799" s="4">
        <v>25281.45</v>
      </c>
      <c r="J799" s="2" t="s">
        <v>16</v>
      </c>
      <c r="K799" s="2" t="s">
        <v>23</v>
      </c>
    </row>
    <row r="800" spans="1:11" x14ac:dyDescent="0.35">
      <c r="A800" s="2" t="s">
        <v>1201</v>
      </c>
      <c r="B800" s="3">
        <v>45306</v>
      </c>
      <c r="C800" s="2" t="s">
        <v>555</v>
      </c>
      <c r="D800" s="2" t="s">
        <v>39</v>
      </c>
      <c r="E800" s="2" t="s">
        <v>158</v>
      </c>
      <c r="F800" s="4">
        <v>3</v>
      </c>
      <c r="G800" s="4">
        <v>370</v>
      </c>
      <c r="H800" s="4">
        <v>13.4</v>
      </c>
      <c r="I800" s="4">
        <v>961.26</v>
      </c>
      <c r="J800" s="2" t="s">
        <v>16</v>
      </c>
      <c r="K800" s="2" t="s">
        <v>28</v>
      </c>
    </row>
    <row r="801" spans="1:11" x14ac:dyDescent="0.35">
      <c r="A801" s="2" t="s">
        <v>1202</v>
      </c>
      <c r="B801" s="3">
        <v>45413</v>
      </c>
      <c r="C801" s="2" t="s">
        <v>307</v>
      </c>
      <c r="D801" s="2" t="s">
        <v>293</v>
      </c>
      <c r="E801" s="2" t="s">
        <v>133</v>
      </c>
      <c r="F801" s="4">
        <v>7</v>
      </c>
      <c r="G801" s="4">
        <v>5330</v>
      </c>
      <c r="H801" s="4">
        <v>29.7</v>
      </c>
      <c r="I801" s="4">
        <v>26228.93</v>
      </c>
      <c r="J801" s="2" t="s">
        <v>22</v>
      </c>
      <c r="K801" s="2" t="s">
        <v>23</v>
      </c>
    </row>
    <row r="802" spans="1:11" x14ac:dyDescent="0.35">
      <c r="A802" s="2" t="s">
        <v>1203</v>
      </c>
      <c r="B802" s="3">
        <v>45368</v>
      </c>
      <c r="C802" s="2" t="s">
        <v>994</v>
      </c>
      <c r="D802" s="2" t="s">
        <v>90</v>
      </c>
      <c r="E802" s="2" t="s">
        <v>275</v>
      </c>
      <c r="F802" s="4">
        <v>8</v>
      </c>
      <c r="G802" s="4">
        <v>3450</v>
      </c>
      <c r="H802" s="4">
        <v>23.7</v>
      </c>
      <c r="I802" s="4">
        <v>21058.799999999999</v>
      </c>
      <c r="J802" s="2" t="s">
        <v>16</v>
      </c>
      <c r="K802" s="2" t="s">
        <v>23</v>
      </c>
    </row>
    <row r="803" spans="1:11" x14ac:dyDescent="0.35">
      <c r="A803" s="2" t="s">
        <v>1204</v>
      </c>
      <c r="B803" s="3">
        <v>45316</v>
      </c>
      <c r="C803" s="2" t="s">
        <v>291</v>
      </c>
      <c r="D803" s="2" t="s">
        <v>381</v>
      </c>
      <c r="E803" s="2" t="s">
        <v>272</v>
      </c>
      <c r="F803" s="4">
        <v>8</v>
      </c>
      <c r="G803" s="4">
        <v>3450</v>
      </c>
      <c r="H803" s="4">
        <v>5.4</v>
      </c>
      <c r="I803" s="4">
        <v>26109.599999999999</v>
      </c>
      <c r="J803" s="2" t="s">
        <v>16</v>
      </c>
      <c r="K803" s="2" t="s">
        <v>23</v>
      </c>
    </row>
    <row r="804" spans="1:11" x14ac:dyDescent="0.35">
      <c r="A804" s="2" t="s">
        <v>1205</v>
      </c>
      <c r="B804" s="3">
        <v>45652</v>
      </c>
      <c r="C804" s="2" t="s">
        <v>801</v>
      </c>
      <c r="D804" s="2" t="s">
        <v>170</v>
      </c>
      <c r="E804" s="2" t="s">
        <v>158</v>
      </c>
      <c r="F804" s="4">
        <v>1</v>
      </c>
      <c r="G804" s="4">
        <v>6080</v>
      </c>
      <c r="H804" s="4">
        <v>22.3</v>
      </c>
      <c r="I804" s="4">
        <v>4724.16</v>
      </c>
      <c r="J804" s="2" t="s">
        <v>16</v>
      </c>
      <c r="K804" s="2" t="s">
        <v>41</v>
      </c>
    </row>
    <row r="805" spans="1:11" x14ac:dyDescent="0.35">
      <c r="A805" s="2" t="s">
        <v>1206</v>
      </c>
      <c r="B805" s="3">
        <v>45597</v>
      </c>
      <c r="C805" s="2" t="s">
        <v>148</v>
      </c>
      <c r="D805" s="2" t="s">
        <v>284</v>
      </c>
      <c r="E805" s="2" t="s">
        <v>202</v>
      </c>
      <c r="F805" s="4">
        <v>9</v>
      </c>
      <c r="G805" s="4">
        <v>2510</v>
      </c>
      <c r="H805" s="4">
        <v>27.4</v>
      </c>
      <c r="I805" s="4">
        <v>16400.34</v>
      </c>
      <c r="J805" s="2" t="s">
        <v>16</v>
      </c>
      <c r="K805" s="2" t="s">
        <v>28</v>
      </c>
    </row>
    <row r="806" spans="1:11" x14ac:dyDescent="0.35">
      <c r="A806" s="2" t="s">
        <v>1207</v>
      </c>
      <c r="B806" s="3">
        <v>45392</v>
      </c>
      <c r="C806" s="2" t="s">
        <v>89</v>
      </c>
      <c r="D806" s="2" t="s">
        <v>111</v>
      </c>
      <c r="E806" s="2" t="s">
        <v>254</v>
      </c>
      <c r="F806" s="4">
        <v>10</v>
      </c>
      <c r="G806" s="4">
        <v>1010</v>
      </c>
      <c r="H806" s="4">
        <v>28.4</v>
      </c>
      <c r="I806" s="4">
        <v>7231.6</v>
      </c>
      <c r="J806" s="2" t="s">
        <v>16</v>
      </c>
      <c r="K806" s="2" t="s">
        <v>41</v>
      </c>
    </row>
    <row r="807" spans="1:11" x14ac:dyDescent="0.35">
      <c r="A807" s="2" t="s">
        <v>1208</v>
      </c>
      <c r="B807" s="3">
        <v>45401</v>
      </c>
      <c r="C807" s="2" t="s">
        <v>980</v>
      </c>
      <c r="D807" s="2" t="s">
        <v>588</v>
      </c>
      <c r="E807" s="2" t="s">
        <v>83</v>
      </c>
      <c r="F807" s="4">
        <v>1</v>
      </c>
      <c r="G807" s="4">
        <v>3560</v>
      </c>
      <c r="H807" s="4">
        <v>26</v>
      </c>
      <c r="I807" s="4">
        <v>2634.4</v>
      </c>
      <c r="J807" s="2" t="s">
        <v>16</v>
      </c>
      <c r="K807" s="2" t="s">
        <v>41</v>
      </c>
    </row>
    <row r="808" spans="1:11" x14ac:dyDescent="0.35">
      <c r="A808" s="2" t="s">
        <v>1209</v>
      </c>
      <c r="B808" s="3">
        <v>45397</v>
      </c>
      <c r="C808" s="2" t="s">
        <v>383</v>
      </c>
      <c r="D808" s="2" t="s">
        <v>205</v>
      </c>
      <c r="E808" s="2" t="s">
        <v>32</v>
      </c>
      <c r="F808" s="4">
        <v>8</v>
      </c>
      <c r="G808" s="4">
        <v>3020</v>
      </c>
      <c r="H808" s="4">
        <v>6.9</v>
      </c>
      <c r="I808" s="4">
        <v>22492.959999999999</v>
      </c>
      <c r="J808" s="2" t="s">
        <v>16</v>
      </c>
      <c r="K808" s="2" t="s">
        <v>62</v>
      </c>
    </row>
    <row r="809" spans="1:11" x14ac:dyDescent="0.35">
      <c r="A809" s="2" t="s">
        <v>1210</v>
      </c>
      <c r="B809" s="3">
        <v>45301</v>
      </c>
      <c r="C809" s="2" t="s">
        <v>514</v>
      </c>
      <c r="D809" s="2" t="s">
        <v>193</v>
      </c>
      <c r="E809" s="2" t="s">
        <v>167</v>
      </c>
      <c r="F809" s="4">
        <v>1</v>
      </c>
      <c r="G809" s="4">
        <v>4070</v>
      </c>
      <c r="H809" s="4">
        <v>8.1999999999999993</v>
      </c>
      <c r="I809" s="4">
        <v>3736.26</v>
      </c>
      <c r="J809" s="2" t="s">
        <v>16</v>
      </c>
      <c r="K809" s="2" t="s">
        <v>23</v>
      </c>
    </row>
    <row r="810" spans="1:11" x14ac:dyDescent="0.35">
      <c r="A810" s="2" t="s">
        <v>1211</v>
      </c>
      <c r="B810" s="3">
        <v>45347</v>
      </c>
      <c r="C810" s="2" t="s">
        <v>1163</v>
      </c>
      <c r="D810" s="2" t="s">
        <v>39</v>
      </c>
      <c r="E810" s="2" t="s">
        <v>121</v>
      </c>
      <c r="F810" s="4">
        <v>9</v>
      </c>
      <c r="G810" s="4">
        <v>370</v>
      </c>
      <c r="H810" s="4">
        <v>19.8</v>
      </c>
      <c r="I810" s="4">
        <v>2670.66</v>
      </c>
      <c r="J810" s="2" t="s">
        <v>16</v>
      </c>
      <c r="K810" s="2" t="s">
        <v>41</v>
      </c>
    </row>
    <row r="811" spans="1:11" x14ac:dyDescent="0.35">
      <c r="A811" s="2" t="s">
        <v>1212</v>
      </c>
      <c r="B811" s="3">
        <v>45544</v>
      </c>
      <c r="C811" s="2" t="s">
        <v>812</v>
      </c>
      <c r="D811" s="2" t="s">
        <v>56</v>
      </c>
      <c r="E811" s="2" t="s">
        <v>121</v>
      </c>
      <c r="F811" s="4">
        <v>6</v>
      </c>
      <c r="G811" s="4">
        <v>970</v>
      </c>
      <c r="H811" s="4">
        <v>16.2</v>
      </c>
      <c r="I811" s="4">
        <v>4877.16</v>
      </c>
      <c r="J811" s="2" t="s">
        <v>16</v>
      </c>
      <c r="K811" s="2" t="s">
        <v>62</v>
      </c>
    </row>
    <row r="812" spans="1:11" x14ac:dyDescent="0.35">
      <c r="A812" s="2" t="s">
        <v>1213</v>
      </c>
      <c r="B812" s="3">
        <v>45633</v>
      </c>
      <c r="C812" s="2" t="s">
        <v>245</v>
      </c>
      <c r="D812" s="2" t="s">
        <v>102</v>
      </c>
      <c r="E812" s="2" t="s">
        <v>50</v>
      </c>
      <c r="F812" s="4">
        <v>10</v>
      </c>
      <c r="G812" s="4">
        <v>2720</v>
      </c>
      <c r="H812" s="4">
        <v>3</v>
      </c>
      <c r="I812" s="4">
        <v>26384</v>
      </c>
      <c r="J812" s="2" t="s">
        <v>22</v>
      </c>
      <c r="K812" s="2" t="s">
        <v>17</v>
      </c>
    </row>
    <row r="813" spans="1:11" x14ac:dyDescent="0.35">
      <c r="A813" s="2" t="s">
        <v>1214</v>
      </c>
      <c r="B813" s="3">
        <v>45293</v>
      </c>
      <c r="C813" s="2" t="s">
        <v>686</v>
      </c>
      <c r="D813" s="2" t="s">
        <v>80</v>
      </c>
      <c r="E813" s="2" t="s">
        <v>27</v>
      </c>
      <c r="F813" s="4">
        <v>7</v>
      </c>
      <c r="G813" s="4">
        <v>2400</v>
      </c>
      <c r="H813" s="4">
        <v>29.4</v>
      </c>
      <c r="I813" s="4">
        <v>11860.8</v>
      </c>
      <c r="J813" s="2" t="s">
        <v>16</v>
      </c>
      <c r="K813" s="2" t="s">
        <v>46</v>
      </c>
    </row>
    <row r="814" spans="1:11" x14ac:dyDescent="0.35">
      <c r="A814" s="2" t="s">
        <v>1215</v>
      </c>
      <c r="B814" s="3">
        <v>45564</v>
      </c>
      <c r="C814" s="2" t="s">
        <v>371</v>
      </c>
      <c r="D814" s="2" t="s">
        <v>588</v>
      </c>
      <c r="E814" s="2" t="s">
        <v>254</v>
      </c>
      <c r="F814" s="4">
        <v>8</v>
      </c>
      <c r="G814" s="4">
        <v>3560</v>
      </c>
      <c r="H814" s="4">
        <v>21.7</v>
      </c>
      <c r="I814" s="4">
        <v>22299.84</v>
      </c>
      <c r="J814" s="2" t="s">
        <v>16</v>
      </c>
      <c r="K814" s="2" t="s">
        <v>17</v>
      </c>
    </row>
    <row r="815" spans="1:11" x14ac:dyDescent="0.35">
      <c r="A815" s="2" t="s">
        <v>1216</v>
      </c>
      <c r="B815" s="3">
        <v>45385</v>
      </c>
      <c r="C815" s="2" t="s">
        <v>710</v>
      </c>
      <c r="D815" s="2" t="s">
        <v>193</v>
      </c>
      <c r="E815" s="2" t="s">
        <v>117</v>
      </c>
      <c r="F815" s="4">
        <v>7</v>
      </c>
      <c r="G815" s="4">
        <v>4070</v>
      </c>
      <c r="H815" s="4">
        <v>10.5</v>
      </c>
      <c r="I815" s="4">
        <v>25498.55</v>
      </c>
      <c r="J815" s="2" t="s">
        <v>16</v>
      </c>
      <c r="K815" s="2" t="s">
        <v>28</v>
      </c>
    </row>
    <row r="816" spans="1:11" x14ac:dyDescent="0.35">
      <c r="A816" s="2" t="s">
        <v>1217</v>
      </c>
      <c r="B816" s="3">
        <v>45299</v>
      </c>
      <c r="C816" s="2" t="s">
        <v>544</v>
      </c>
      <c r="D816" s="2" t="s">
        <v>289</v>
      </c>
      <c r="E816" s="2" t="s">
        <v>36</v>
      </c>
      <c r="F816" s="4">
        <v>3</v>
      </c>
      <c r="G816" s="4">
        <v>5410</v>
      </c>
      <c r="H816" s="4">
        <v>0.2</v>
      </c>
      <c r="I816" s="4">
        <v>16197.54</v>
      </c>
      <c r="J816" s="2" t="s">
        <v>16</v>
      </c>
      <c r="K816" s="2" t="s">
        <v>41</v>
      </c>
    </row>
    <row r="817" spans="1:11" x14ac:dyDescent="0.35">
      <c r="A817" s="2" t="s">
        <v>1218</v>
      </c>
      <c r="B817" s="3">
        <v>45651</v>
      </c>
      <c r="C817" s="2" t="s">
        <v>462</v>
      </c>
      <c r="D817" s="2" t="s">
        <v>129</v>
      </c>
      <c r="E817" s="2" t="s">
        <v>57</v>
      </c>
      <c r="F817" s="4">
        <v>4</v>
      </c>
      <c r="G817" s="4">
        <v>2760</v>
      </c>
      <c r="H817" s="4">
        <v>27.5</v>
      </c>
      <c r="I817" s="4">
        <v>8004</v>
      </c>
      <c r="J817" s="2" t="s">
        <v>69</v>
      </c>
      <c r="K817" s="2" t="s">
        <v>28</v>
      </c>
    </row>
    <row r="818" spans="1:11" x14ac:dyDescent="0.35">
      <c r="A818" s="2" t="s">
        <v>1219</v>
      </c>
      <c r="B818" s="3">
        <v>45474</v>
      </c>
      <c r="C818" s="2" t="s">
        <v>386</v>
      </c>
      <c r="D818" s="2" t="s">
        <v>372</v>
      </c>
      <c r="E818" s="2" t="s">
        <v>181</v>
      </c>
      <c r="F818" s="4">
        <v>3</v>
      </c>
      <c r="G818" s="4">
        <v>5080</v>
      </c>
      <c r="H818" s="4">
        <v>27.2</v>
      </c>
      <c r="I818" s="4">
        <v>11094.72</v>
      </c>
      <c r="J818" s="2" t="s">
        <v>16</v>
      </c>
      <c r="K818" s="2" t="s">
        <v>17</v>
      </c>
    </row>
    <row r="819" spans="1:11" x14ac:dyDescent="0.35">
      <c r="A819" s="2" t="s">
        <v>1220</v>
      </c>
      <c r="B819" s="3">
        <v>45391</v>
      </c>
      <c r="C819" s="2" t="s">
        <v>1101</v>
      </c>
      <c r="D819" s="2" t="s">
        <v>431</v>
      </c>
      <c r="E819" s="2" t="s">
        <v>167</v>
      </c>
      <c r="F819" s="4">
        <v>5</v>
      </c>
      <c r="G819" s="4">
        <v>1090</v>
      </c>
      <c r="H819" s="4">
        <v>3.3</v>
      </c>
      <c r="I819" s="4">
        <v>5270.15</v>
      </c>
      <c r="J819" s="2" t="s">
        <v>16</v>
      </c>
      <c r="K819" s="2" t="s">
        <v>17</v>
      </c>
    </row>
    <row r="820" spans="1:11" x14ac:dyDescent="0.35">
      <c r="A820" s="2" t="s">
        <v>1221</v>
      </c>
      <c r="B820" s="3">
        <v>45328</v>
      </c>
      <c r="C820" s="2" t="s">
        <v>770</v>
      </c>
      <c r="D820" s="2" t="s">
        <v>296</v>
      </c>
      <c r="E820" s="2" t="s">
        <v>158</v>
      </c>
      <c r="F820" s="4">
        <v>10</v>
      </c>
      <c r="G820" s="4">
        <v>2380</v>
      </c>
      <c r="H820" s="4">
        <v>7</v>
      </c>
      <c r="I820" s="4">
        <v>22134</v>
      </c>
      <c r="J820" s="2" t="s">
        <v>16</v>
      </c>
      <c r="K820" s="2" t="s">
        <v>46</v>
      </c>
    </row>
    <row r="821" spans="1:11" x14ac:dyDescent="0.35">
      <c r="A821" s="2" t="s">
        <v>1222</v>
      </c>
      <c r="B821" s="3">
        <v>45490</v>
      </c>
      <c r="C821" s="2" t="s">
        <v>1223</v>
      </c>
      <c r="D821" s="2" t="s">
        <v>35</v>
      </c>
      <c r="E821" s="2" t="s">
        <v>130</v>
      </c>
      <c r="F821" s="4">
        <v>5</v>
      </c>
      <c r="G821" s="4">
        <v>3160</v>
      </c>
      <c r="H821" s="4">
        <v>25.6</v>
      </c>
      <c r="I821" s="4">
        <v>11755.2</v>
      </c>
      <c r="J821" s="2" t="s">
        <v>16</v>
      </c>
      <c r="K821" s="2" t="s">
        <v>23</v>
      </c>
    </row>
    <row r="822" spans="1:11" x14ac:dyDescent="0.35">
      <c r="A822" s="2" t="s">
        <v>1224</v>
      </c>
      <c r="B822" s="3">
        <v>45362</v>
      </c>
      <c r="C822" s="2" t="s">
        <v>834</v>
      </c>
      <c r="D822" s="2" t="s">
        <v>80</v>
      </c>
      <c r="E822" s="2" t="s">
        <v>158</v>
      </c>
      <c r="F822" s="4">
        <v>9</v>
      </c>
      <c r="G822" s="4">
        <v>2400</v>
      </c>
      <c r="H822" s="4">
        <v>8.4</v>
      </c>
      <c r="I822" s="4">
        <v>19785.599999999999</v>
      </c>
      <c r="J822" s="2" t="s">
        <v>16</v>
      </c>
      <c r="K822" s="2" t="s">
        <v>41</v>
      </c>
    </row>
    <row r="823" spans="1:11" x14ac:dyDescent="0.35">
      <c r="A823" s="2" t="s">
        <v>1225</v>
      </c>
      <c r="B823" s="3">
        <v>45449</v>
      </c>
      <c r="C823" s="2" t="s">
        <v>1226</v>
      </c>
      <c r="D823" s="2" t="s">
        <v>67</v>
      </c>
      <c r="E823" s="2" t="s">
        <v>121</v>
      </c>
      <c r="F823" s="4">
        <v>4</v>
      </c>
      <c r="G823" s="4">
        <v>2600</v>
      </c>
      <c r="H823" s="4">
        <v>4.2</v>
      </c>
      <c r="I823" s="4">
        <v>9963.2000000000007</v>
      </c>
      <c r="J823" s="2" t="s">
        <v>16</v>
      </c>
      <c r="K823" s="2" t="s">
        <v>41</v>
      </c>
    </row>
    <row r="824" spans="1:11" x14ac:dyDescent="0.35">
      <c r="A824" s="2" t="s">
        <v>1227</v>
      </c>
      <c r="B824" s="3">
        <v>45409</v>
      </c>
      <c r="C824" s="2" t="s">
        <v>1228</v>
      </c>
      <c r="D824" s="2" t="s">
        <v>60</v>
      </c>
      <c r="E824" s="2" t="s">
        <v>83</v>
      </c>
      <c r="F824" s="4">
        <v>5</v>
      </c>
      <c r="G824" s="4">
        <v>2270</v>
      </c>
      <c r="H824" s="4">
        <v>0.1</v>
      </c>
      <c r="I824" s="4">
        <v>11338.65</v>
      </c>
      <c r="J824" s="2" t="s">
        <v>16</v>
      </c>
      <c r="K824" s="2" t="s">
        <v>41</v>
      </c>
    </row>
    <row r="825" spans="1:11" x14ac:dyDescent="0.35">
      <c r="A825" s="2" t="s">
        <v>1229</v>
      </c>
      <c r="B825" s="3">
        <v>45465</v>
      </c>
      <c r="C825" s="2" t="s">
        <v>770</v>
      </c>
      <c r="D825" s="2" t="s">
        <v>53</v>
      </c>
      <c r="E825" s="2" t="s">
        <v>121</v>
      </c>
      <c r="F825" s="4">
        <v>7</v>
      </c>
      <c r="G825" s="4">
        <v>5490</v>
      </c>
      <c r="H825" s="4">
        <v>14.9</v>
      </c>
      <c r="I825" s="4">
        <v>32703.93</v>
      </c>
      <c r="J825" s="2" t="s">
        <v>16</v>
      </c>
      <c r="K825" s="2" t="s">
        <v>46</v>
      </c>
    </row>
    <row r="826" spans="1:11" x14ac:dyDescent="0.35">
      <c r="A826" s="2" t="s">
        <v>1230</v>
      </c>
      <c r="B826" s="3">
        <v>45415</v>
      </c>
      <c r="C826" s="2" t="s">
        <v>605</v>
      </c>
      <c r="D826" s="2" t="s">
        <v>177</v>
      </c>
      <c r="E826" s="2" t="s">
        <v>133</v>
      </c>
      <c r="F826" s="4">
        <v>5</v>
      </c>
      <c r="G826" s="4">
        <v>3870</v>
      </c>
      <c r="H826" s="4">
        <v>13.3</v>
      </c>
      <c r="I826" s="4">
        <v>16776.45</v>
      </c>
      <c r="J826" s="2" t="s">
        <v>69</v>
      </c>
      <c r="K826" s="2" t="s">
        <v>17</v>
      </c>
    </row>
    <row r="827" spans="1:11" x14ac:dyDescent="0.35">
      <c r="A827" s="2" t="s">
        <v>1231</v>
      </c>
      <c r="B827" s="3">
        <v>45372</v>
      </c>
      <c r="C827" s="2" t="s">
        <v>618</v>
      </c>
      <c r="D827" s="2" t="s">
        <v>309</v>
      </c>
      <c r="E827" s="2" t="s">
        <v>45</v>
      </c>
      <c r="F827" s="4">
        <v>2</v>
      </c>
      <c r="G827" s="4">
        <v>960</v>
      </c>
      <c r="H827" s="4">
        <v>17.5</v>
      </c>
      <c r="I827" s="4">
        <v>1584</v>
      </c>
      <c r="J827" s="2" t="s">
        <v>16</v>
      </c>
      <c r="K827" s="2" t="s">
        <v>62</v>
      </c>
    </row>
    <row r="828" spans="1:11" x14ac:dyDescent="0.35">
      <c r="A828" s="2" t="s">
        <v>1232</v>
      </c>
      <c r="B828" s="3">
        <v>45405</v>
      </c>
      <c r="C828" s="2" t="s">
        <v>984</v>
      </c>
      <c r="D828" s="2" t="s">
        <v>113</v>
      </c>
      <c r="E828" s="2" t="s">
        <v>144</v>
      </c>
      <c r="F828" s="4">
        <v>4</v>
      </c>
      <c r="G828" s="4">
        <v>4880</v>
      </c>
      <c r="H828" s="4">
        <v>12.2</v>
      </c>
      <c r="I828" s="4">
        <v>17138.560000000001</v>
      </c>
      <c r="J828" s="2" t="s">
        <v>69</v>
      </c>
      <c r="K828" s="2" t="s">
        <v>41</v>
      </c>
    </row>
    <row r="829" spans="1:11" x14ac:dyDescent="0.35">
      <c r="A829" s="2" t="s">
        <v>1233</v>
      </c>
      <c r="B829" s="3">
        <v>45419</v>
      </c>
      <c r="C829" s="2" t="s">
        <v>572</v>
      </c>
      <c r="D829" s="2" t="s">
        <v>80</v>
      </c>
      <c r="E829" s="2" t="s">
        <v>36</v>
      </c>
      <c r="F829" s="4">
        <v>5</v>
      </c>
      <c r="G829" s="4">
        <v>2400</v>
      </c>
      <c r="H829" s="4">
        <v>15</v>
      </c>
      <c r="I829" s="4">
        <v>10200</v>
      </c>
      <c r="J829" s="2" t="s">
        <v>16</v>
      </c>
      <c r="K829" s="2" t="s">
        <v>41</v>
      </c>
    </row>
    <row r="830" spans="1:11" x14ac:dyDescent="0.35">
      <c r="A830" s="2" t="s">
        <v>1234</v>
      </c>
      <c r="B830" s="3">
        <v>45522</v>
      </c>
      <c r="C830" s="2" t="s">
        <v>237</v>
      </c>
      <c r="D830" s="2" t="s">
        <v>221</v>
      </c>
      <c r="E830" s="2" t="s">
        <v>117</v>
      </c>
      <c r="F830" s="4">
        <v>9</v>
      </c>
      <c r="G830" s="4">
        <v>620</v>
      </c>
      <c r="H830" s="4">
        <v>20.399999999999999</v>
      </c>
      <c r="I830" s="4">
        <v>4441.68</v>
      </c>
      <c r="J830" s="2" t="s">
        <v>22</v>
      </c>
      <c r="K830" s="2" t="s">
        <v>17</v>
      </c>
    </row>
    <row r="831" spans="1:11" x14ac:dyDescent="0.35">
      <c r="A831" s="2" t="s">
        <v>1235</v>
      </c>
      <c r="B831" s="3">
        <v>45513</v>
      </c>
      <c r="C831" s="2" t="s">
        <v>667</v>
      </c>
      <c r="D831" s="2" t="s">
        <v>199</v>
      </c>
      <c r="E831" s="2" t="s">
        <v>181</v>
      </c>
      <c r="F831" s="4">
        <v>1</v>
      </c>
      <c r="G831" s="4">
        <v>4610</v>
      </c>
      <c r="H831" s="4">
        <v>1.8</v>
      </c>
      <c r="I831" s="4">
        <v>4527.0200000000004</v>
      </c>
      <c r="J831" s="2" t="s">
        <v>22</v>
      </c>
      <c r="K831" s="2" t="s">
        <v>17</v>
      </c>
    </row>
    <row r="832" spans="1:11" x14ac:dyDescent="0.35">
      <c r="A832" s="2" t="s">
        <v>1236</v>
      </c>
      <c r="B832" s="3">
        <v>45500</v>
      </c>
      <c r="C832" s="2" t="s">
        <v>1237</v>
      </c>
      <c r="D832" s="2" t="s">
        <v>199</v>
      </c>
      <c r="E832" s="2" t="s">
        <v>27</v>
      </c>
      <c r="F832" s="4">
        <v>7</v>
      </c>
      <c r="G832" s="4">
        <v>4610</v>
      </c>
      <c r="H832" s="4">
        <v>27</v>
      </c>
      <c r="I832" s="4">
        <v>23557.1</v>
      </c>
      <c r="J832" s="2" t="s">
        <v>16</v>
      </c>
      <c r="K832" s="2" t="s">
        <v>23</v>
      </c>
    </row>
    <row r="833" spans="1:11" x14ac:dyDescent="0.35">
      <c r="A833" s="2" t="s">
        <v>1238</v>
      </c>
      <c r="B833" s="3">
        <v>45608</v>
      </c>
      <c r="C833" s="2" t="s">
        <v>895</v>
      </c>
      <c r="D833" s="2" t="s">
        <v>56</v>
      </c>
      <c r="E833" s="2" t="s">
        <v>158</v>
      </c>
      <c r="F833" s="4">
        <v>6</v>
      </c>
      <c r="G833" s="4">
        <v>970</v>
      </c>
      <c r="H833" s="4">
        <v>4.7</v>
      </c>
      <c r="I833" s="4">
        <v>5546.46</v>
      </c>
      <c r="J833" s="2" t="s">
        <v>69</v>
      </c>
      <c r="K833" s="2" t="s">
        <v>62</v>
      </c>
    </row>
    <row r="834" spans="1:11" x14ac:dyDescent="0.35">
      <c r="A834" s="2" t="s">
        <v>1239</v>
      </c>
      <c r="B834" s="3">
        <v>45362</v>
      </c>
      <c r="C834" s="2" t="s">
        <v>401</v>
      </c>
      <c r="D834" s="2" t="s">
        <v>49</v>
      </c>
      <c r="E834" s="2" t="s">
        <v>130</v>
      </c>
      <c r="F834" s="4">
        <v>8</v>
      </c>
      <c r="G834" s="4">
        <v>1430</v>
      </c>
      <c r="H834" s="4">
        <v>8.6999999999999993</v>
      </c>
      <c r="I834" s="4">
        <v>10444.719999999999</v>
      </c>
      <c r="J834" s="2" t="s">
        <v>16</v>
      </c>
      <c r="K834" s="2" t="s">
        <v>23</v>
      </c>
    </row>
    <row r="835" spans="1:11" x14ac:dyDescent="0.35">
      <c r="A835" s="2" t="s">
        <v>1240</v>
      </c>
      <c r="B835" s="3">
        <v>45348</v>
      </c>
      <c r="C835" s="2" t="s">
        <v>148</v>
      </c>
      <c r="D835" s="2" t="s">
        <v>163</v>
      </c>
      <c r="E835" s="2" t="s">
        <v>202</v>
      </c>
      <c r="F835" s="4">
        <v>5</v>
      </c>
      <c r="G835" s="4">
        <v>3780</v>
      </c>
      <c r="H835" s="4">
        <v>2.9</v>
      </c>
      <c r="I835" s="4">
        <v>18351.900000000001</v>
      </c>
      <c r="J835" s="2" t="s">
        <v>16</v>
      </c>
      <c r="K835" s="2" t="s">
        <v>28</v>
      </c>
    </row>
    <row r="836" spans="1:11" x14ac:dyDescent="0.35">
      <c r="A836" s="2" t="s">
        <v>1241</v>
      </c>
      <c r="B836" s="3">
        <v>45532</v>
      </c>
      <c r="C836" s="2" t="s">
        <v>430</v>
      </c>
      <c r="D836" s="2" t="s">
        <v>188</v>
      </c>
      <c r="E836" s="2" t="s">
        <v>83</v>
      </c>
      <c r="F836" s="4">
        <v>2</v>
      </c>
      <c r="G836" s="4">
        <v>1540</v>
      </c>
      <c r="H836" s="4">
        <v>12.7</v>
      </c>
      <c r="I836" s="4">
        <v>2688.84</v>
      </c>
      <c r="J836" s="2" t="s">
        <v>16</v>
      </c>
      <c r="K836" s="2" t="s">
        <v>62</v>
      </c>
    </row>
    <row r="837" spans="1:11" x14ac:dyDescent="0.35">
      <c r="A837" s="2" t="s">
        <v>1242</v>
      </c>
      <c r="B837" s="3">
        <v>45492</v>
      </c>
      <c r="C837" s="2" t="s">
        <v>1101</v>
      </c>
      <c r="D837" s="2" t="s">
        <v>93</v>
      </c>
      <c r="E837" s="2" t="s">
        <v>121</v>
      </c>
      <c r="F837" s="4">
        <v>9</v>
      </c>
      <c r="G837" s="4">
        <v>1080</v>
      </c>
      <c r="H837" s="4">
        <v>11.2</v>
      </c>
      <c r="I837" s="4">
        <v>8631.36</v>
      </c>
      <c r="J837" s="2" t="s">
        <v>69</v>
      </c>
      <c r="K837" s="2" t="s">
        <v>17</v>
      </c>
    </row>
    <row r="838" spans="1:11" x14ac:dyDescent="0.35">
      <c r="A838" s="2" t="s">
        <v>1243</v>
      </c>
      <c r="B838" s="3">
        <v>45368</v>
      </c>
      <c r="C838" s="2" t="s">
        <v>877</v>
      </c>
      <c r="D838" s="2" t="s">
        <v>80</v>
      </c>
      <c r="E838" s="2" t="s">
        <v>15</v>
      </c>
      <c r="F838" s="4">
        <v>3</v>
      </c>
      <c r="G838" s="4">
        <v>2400</v>
      </c>
      <c r="H838" s="4">
        <v>28.6</v>
      </c>
      <c r="I838" s="4">
        <v>5140.8</v>
      </c>
      <c r="J838" s="2" t="s">
        <v>16</v>
      </c>
      <c r="K838" s="2" t="s">
        <v>17</v>
      </c>
    </row>
    <row r="839" spans="1:11" x14ac:dyDescent="0.35">
      <c r="A839" s="2" t="s">
        <v>1244</v>
      </c>
      <c r="B839" s="3">
        <v>45448</v>
      </c>
      <c r="C839" s="2" t="s">
        <v>82</v>
      </c>
      <c r="D839" s="2" t="s">
        <v>93</v>
      </c>
      <c r="E839" s="2" t="s">
        <v>232</v>
      </c>
      <c r="F839" s="4">
        <v>5</v>
      </c>
      <c r="G839" s="4">
        <v>1080</v>
      </c>
      <c r="H839" s="4">
        <v>18.3</v>
      </c>
      <c r="I839" s="4">
        <v>4411.8</v>
      </c>
      <c r="J839" s="2" t="s">
        <v>16</v>
      </c>
      <c r="K839" s="2" t="s">
        <v>46</v>
      </c>
    </row>
    <row r="840" spans="1:11" x14ac:dyDescent="0.35">
      <c r="A840" s="2" t="s">
        <v>1245</v>
      </c>
      <c r="B840" s="3">
        <v>45610</v>
      </c>
      <c r="C840" s="2" t="s">
        <v>330</v>
      </c>
      <c r="D840" s="2" t="s">
        <v>60</v>
      </c>
      <c r="E840" s="2" t="s">
        <v>272</v>
      </c>
      <c r="F840" s="4">
        <v>7</v>
      </c>
      <c r="G840" s="4">
        <v>2270</v>
      </c>
      <c r="H840" s="4">
        <v>1.7</v>
      </c>
      <c r="I840" s="4">
        <v>15619.87</v>
      </c>
      <c r="J840" s="2" t="s">
        <v>69</v>
      </c>
      <c r="K840" s="2" t="s">
        <v>23</v>
      </c>
    </row>
    <row r="841" spans="1:11" x14ac:dyDescent="0.35">
      <c r="A841" s="2" t="s">
        <v>1246</v>
      </c>
      <c r="B841" s="3">
        <v>45438</v>
      </c>
      <c r="C841" s="2" t="s">
        <v>572</v>
      </c>
      <c r="D841" s="2" t="s">
        <v>31</v>
      </c>
      <c r="E841" s="2" t="s">
        <v>130</v>
      </c>
      <c r="F841" s="4">
        <v>8</v>
      </c>
      <c r="G841" s="4">
        <v>3660</v>
      </c>
      <c r="H841" s="4">
        <v>19.100000000000001</v>
      </c>
      <c r="I841" s="4">
        <v>23687.52</v>
      </c>
      <c r="J841" s="2" t="s">
        <v>69</v>
      </c>
      <c r="K841" s="2" t="s">
        <v>41</v>
      </c>
    </row>
    <row r="842" spans="1:11" x14ac:dyDescent="0.35">
      <c r="A842" s="2" t="s">
        <v>1247</v>
      </c>
      <c r="B842" s="3">
        <v>45477</v>
      </c>
      <c r="C842" s="2" t="s">
        <v>462</v>
      </c>
      <c r="D842" s="2" t="s">
        <v>72</v>
      </c>
      <c r="E842" s="2" t="s">
        <v>77</v>
      </c>
      <c r="F842" s="4">
        <v>5</v>
      </c>
      <c r="G842" s="4">
        <v>3250</v>
      </c>
      <c r="H842" s="4">
        <v>12.9</v>
      </c>
      <c r="I842" s="4">
        <v>14153.75</v>
      </c>
      <c r="J842" s="2" t="s">
        <v>16</v>
      </c>
      <c r="K842" s="2" t="s">
        <v>28</v>
      </c>
    </row>
    <row r="843" spans="1:11" x14ac:dyDescent="0.35">
      <c r="A843" s="2" t="s">
        <v>1248</v>
      </c>
      <c r="B843" s="3">
        <v>45328</v>
      </c>
      <c r="C843" s="2" t="s">
        <v>492</v>
      </c>
      <c r="D843" s="2" t="s">
        <v>105</v>
      </c>
      <c r="E843" s="2" t="s">
        <v>254</v>
      </c>
      <c r="F843" s="4">
        <v>4</v>
      </c>
      <c r="G843" s="4">
        <v>1650</v>
      </c>
      <c r="H843" s="4">
        <v>4.0999999999999996</v>
      </c>
      <c r="I843" s="4">
        <v>6329.4</v>
      </c>
      <c r="J843" s="2" t="s">
        <v>16</v>
      </c>
      <c r="K843" s="2" t="s">
        <v>17</v>
      </c>
    </row>
    <row r="844" spans="1:11" x14ac:dyDescent="0.35">
      <c r="A844" s="2" t="s">
        <v>1249</v>
      </c>
      <c r="B844" s="3">
        <v>45624</v>
      </c>
      <c r="C844" s="2" t="s">
        <v>223</v>
      </c>
      <c r="D844" s="2" t="s">
        <v>372</v>
      </c>
      <c r="E844" s="2" t="s">
        <v>77</v>
      </c>
      <c r="F844" s="4">
        <v>6</v>
      </c>
      <c r="G844" s="4">
        <v>5080</v>
      </c>
      <c r="H844" s="4">
        <v>3</v>
      </c>
      <c r="I844" s="4">
        <v>29565.599999999999</v>
      </c>
      <c r="J844" s="2" t="s">
        <v>16</v>
      </c>
      <c r="K844" s="2" t="s">
        <v>62</v>
      </c>
    </row>
    <row r="845" spans="1:11" x14ac:dyDescent="0.35">
      <c r="A845" s="2" t="s">
        <v>1250</v>
      </c>
      <c r="B845" s="3">
        <v>45614</v>
      </c>
      <c r="C845" s="2" t="s">
        <v>919</v>
      </c>
      <c r="D845" s="2" t="s">
        <v>90</v>
      </c>
      <c r="E845" s="2" t="s">
        <v>272</v>
      </c>
      <c r="F845" s="4">
        <v>8</v>
      </c>
      <c r="G845" s="4">
        <v>3450</v>
      </c>
      <c r="H845" s="4">
        <v>20.9</v>
      </c>
      <c r="I845" s="4">
        <v>21831.599999999999</v>
      </c>
      <c r="J845" s="2" t="s">
        <v>16</v>
      </c>
      <c r="K845" s="2" t="s">
        <v>46</v>
      </c>
    </row>
    <row r="846" spans="1:11" x14ac:dyDescent="0.35">
      <c r="A846" s="2" t="s">
        <v>1251</v>
      </c>
      <c r="B846" s="3">
        <v>45429</v>
      </c>
      <c r="C846" s="2" t="s">
        <v>230</v>
      </c>
      <c r="D846" s="2" t="s">
        <v>108</v>
      </c>
      <c r="E846" s="2" t="s">
        <v>232</v>
      </c>
      <c r="F846" s="4">
        <v>6</v>
      </c>
      <c r="G846" s="4">
        <v>3350</v>
      </c>
      <c r="H846" s="4">
        <v>24.8</v>
      </c>
      <c r="I846" s="4">
        <v>15115.2</v>
      </c>
      <c r="J846" s="2" t="s">
        <v>16</v>
      </c>
      <c r="K846" s="2" t="s">
        <v>23</v>
      </c>
    </row>
    <row r="847" spans="1:11" x14ac:dyDescent="0.35">
      <c r="A847" s="2" t="s">
        <v>1252</v>
      </c>
      <c r="B847" s="3">
        <v>45451</v>
      </c>
      <c r="C847" s="2" t="s">
        <v>598</v>
      </c>
      <c r="D847" s="2" t="s">
        <v>267</v>
      </c>
      <c r="E847" s="2" t="s">
        <v>272</v>
      </c>
      <c r="F847" s="4">
        <v>10</v>
      </c>
      <c r="G847" s="4">
        <v>2210</v>
      </c>
      <c r="H847" s="4">
        <v>4.2</v>
      </c>
      <c r="I847" s="4">
        <v>21171.8</v>
      </c>
      <c r="J847" s="2" t="s">
        <v>16</v>
      </c>
      <c r="K847" s="2" t="s">
        <v>62</v>
      </c>
    </row>
    <row r="848" spans="1:11" x14ac:dyDescent="0.35">
      <c r="A848" s="2" t="s">
        <v>1253</v>
      </c>
      <c r="B848" s="3">
        <v>45444</v>
      </c>
      <c r="C848" s="2" t="s">
        <v>567</v>
      </c>
      <c r="D848" s="2" t="s">
        <v>113</v>
      </c>
      <c r="E848" s="2" t="s">
        <v>32</v>
      </c>
      <c r="F848" s="4">
        <v>10</v>
      </c>
      <c r="G848" s="4">
        <v>4880</v>
      </c>
      <c r="H848" s="4">
        <v>0.7</v>
      </c>
      <c r="I848" s="4">
        <v>48458.400000000001</v>
      </c>
      <c r="J848" s="2" t="s">
        <v>16</v>
      </c>
      <c r="K848" s="2" t="s">
        <v>28</v>
      </c>
    </row>
    <row r="849" spans="1:11" x14ac:dyDescent="0.35">
      <c r="A849" s="2" t="s">
        <v>1254</v>
      </c>
      <c r="B849" s="3">
        <v>45369</v>
      </c>
      <c r="C849" s="2" t="s">
        <v>92</v>
      </c>
      <c r="D849" s="2" t="s">
        <v>124</v>
      </c>
      <c r="E849" s="2" t="s">
        <v>68</v>
      </c>
      <c r="F849" s="4">
        <v>7</v>
      </c>
      <c r="G849" s="4">
        <v>2860</v>
      </c>
      <c r="H849" s="4">
        <v>28.1</v>
      </c>
      <c r="I849" s="4">
        <v>14394.38</v>
      </c>
      <c r="J849" s="2" t="s">
        <v>22</v>
      </c>
      <c r="K849" s="2" t="s">
        <v>23</v>
      </c>
    </row>
    <row r="850" spans="1:11" x14ac:dyDescent="0.35">
      <c r="A850" s="2" t="s">
        <v>1255</v>
      </c>
      <c r="B850" s="3">
        <v>45581</v>
      </c>
      <c r="C850" s="2" t="s">
        <v>371</v>
      </c>
      <c r="D850" s="2" t="s">
        <v>56</v>
      </c>
      <c r="E850" s="2" t="s">
        <v>21</v>
      </c>
      <c r="F850" s="4">
        <v>3</v>
      </c>
      <c r="G850" s="4">
        <v>970</v>
      </c>
      <c r="H850" s="4">
        <v>28.3</v>
      </c>
      <c r="I850" s="4">
        <v>2086.4699999999998</v>
      </c>
      <c r="J850" s="2" t="s">
        <v>16</v>
      </c>
      <c r="K850" s="2" t="s">
        <v>17</v>
      </c>
    </row>
    <row r="851" spans="1:11" x14ac:dyDescent="0.35">
      <c r="A851" s="2" t="s">
        <v>1256</v>
      </c>
      <c r="B851" s="3">
        <v>45494</v>
      </c>
      <c r="C851" s="2" t="s">
        <v>906</v>
      </c>
      <c r="D851" s="2" t="s">
        <v>174</v>
      </c>
      <c r="E851" s="2" t="s">
        <v>36</v>
      </c>
      <c r="F851" s="4">
        <v>1</v>
      </c>
      <c r="G851" s="4">
        <v>2270</v>
      </c>
      <c r="H851" s="4">
        <v>15.1</v>
      </c>
      <c r="I851" s="4">
        <v>1927.23</v>
      </c>
      <c r="J851" s="2" t="s">
        <v>16</v>
      </c>
      <c r="K851" s="2" t="s">
        <v>17</v>
      </c>
    </row>
    <row r="852" spans="1:11" x14ac:dyDescent="0.35">
      <c r="A852" s="2" t="s">
        <v>1257</v>
      </c>
      <c r="B852" s="3">
        <v>45324</v>
      </c>
      <c r="C852" s="2" t="s">
        <v>298</v>
      </c>
      <c r="D852" s="2" t="s">
        <v>588</v>
      </c>
      <c r="E852" s="2" t="s">
        <v>117</v>
      </c>
      <c r="F852" s="4">
        <v>5</v>
      </c>
      <c r="G852" s="4">
        <v>3560</v>
      </c>
      <c r="H852" s="4">
        <v>11.5</v>
      </c>
      <c r="I852" s="4">
        <v>15753</v>
      </c>
      <c r="J852" s="2" t="s">
        <v>16</v>
      </c>
      <c r="K852" s="2" t="s">
        <v>23</v>
      </c>
    </row>
    <row r="853" spans="1:11" x14ac:dyDescent="0.35">
      <c r="A853" s="2" t="s">
        <v>1258</v>
      </c>
      <c r="B853" s="3">
        <v>45419</v>
      </c>
      <c r="C853" s="2" t="s">
        <v>107</v>
      </c>
      <c r="D853" s="2" t="s">
        <v>289</v>
      </c>
      <c r="E853" s="2" t="s">
        <v>61</v>
      </c>
      <c r="F853" s="4">
        <v>2</v>
      </c>
      <c r="G853" s="4">
        <v>5410</v>
      </c>
      <c r="H853" s="4">
        <v>14.8</v>
      </c>
      <c r="I853" s="4">
        <v>9218.64</v>
      </c>
      <c r="J853" s="2" t="s">
        <v>22</v>
      </c>
      <c r="K853" s="2" t="s">
        <v>23</v>
      </c>
    </row>
    <row r="854" spans="1:11" x14ac:dyDescent="0.35">
      <c r="A854" s="2" t="s">
        <v>1259</v>
      </c>
      <c r="B854" s="3">
        <v>45656</v>
      </c>
      <c r="C854" s="2" t="s">
        <v>850</v>
      </c>
      <c r="D854" s="2" t="s">
        <v>96</v>
      </c>
      <c r="E854" s="2" t="s">
        <v>32</v>
      </c>
      <c r="F854" s="4">
        <v>2</v>
      </c>
      <c r="G854" s="4">
        <v>2480</v>
      </c>
      <c r="H854" s="4">
        <v>27.2</v>
      </c>
      <c r="I854" s="4">
        <v>3610.88</v>
      </c>
      <c r="J854" s="2" t="s">
        <v>16</v>
      </c>
      <c r="K854" s="2" t="s">
        <v>46</v>
      </c>
    </row>
    <row r="855" spans="1:11" x14ac:dyDescent="0.35">
      <c r="A855" s="2" t="s">
        <v>1260</v>
      </c>
      <c r="B855" s="3">
        <v>45350</v>
      </c>
      <c r="C855" s="2" t="s">
        <v>459</v>
      </c>
      <c r="D855" s="2" t="s">
        <v>20</v>
      </c>
      <c r="E855" s="2" t="s">
        <v>27</v>
      </c>
      <c r="F855" s="4">
        <v>6</v>
      </c>
      <c r="G855" s="4">
        <v>820</v>
      </c>
      <c r="H855" s="4">
        <v>6.6</v>
      </c>
      <c r="I855" s="4">
        <v>4595.28</v>
      </c>
      <c r="J855" s="2" t="s">
        <v>16</v>
      </c>
      <c r="K855" s="2" t="s">
        <v>28</v>
      </c>
    </row>
    <row r="856" spans="1:11" x14ac:dyDescent="0.35">
      <c r="A856" s="2" t="s">
        <v>1261</v>
      </c>
      <c r="B856" s="3">
        <v>45434</v>
      </c>
      <c r="C856" s="2" t="s">
        <v>176</v>
      </c>
      <c r="D856" s="2" t="s">
        <v>293</v>
      </c>
      <c r="E856" s="2" t="s">
        <v>117</v>
      </c>
      <c r="F856" s="4">
        <v>10</v>
      </c>
      <c r="G856" s="4">
        <v>5330</v>
      </c>
      <c r="H856" s="4">
        <v>16.100000000000001</v>
      </c>
      <c r="I856" s="4">
        <v>44718.7</v>
      </c>
      <c r="J856" s="2" t="s">
        <v>16</v>
      </c>
      <c r="K856" s="2" t="s">
        <v>46</v>
      </c>
    </row>
    <row r="857" spans="1:11" x14ac:dyDescent="0.35">
      <c r="A857" s="2" t="s">
        <v>1262</v>
      </c>
      <c r="B857" s="3">
        <v>45438</v>
      </c>
      <c r="C857" s="2" t="s">
        <v>673</v>
      </c>
      <c r="D857" s="2" t="s">
        <v>86</v>
      </c>
      <c r="E857" s="2" t="s">
        <v>68</v>
      </c>
      <c r="F857" s="4">
        <v>2</v>
      </c>
      <c r="G857" s="4">
        <v>3450</v>
      </c>
      <c r="H857" s="4">
        <v>11.3</v>
      </c>
      <c r="I857" s="4">
        <v>6120.3</v>
      </c>
      <c r="J857" s="2" t="s">
        <v>22</v>
      </c>
      <c r="K857" s="2" t="s">
        <v>62</v>
      </c>
    </row>
    <row r="858" spans="1:11" x14ac:dyDescent="0.35">
      <c r="A858" s="2" t="s">
        <v>1263</v>
      </c>
      <c r="B858" s="3">
        <v>45486</v>
      </c>
      <c r="C858" s="2" t="s">
        <v>230</v>
      </c>
      <c r="D858" s="2" t="s">
        <v>309</v>
      </c>
      <c r="E858" s="2" t="s">
        <v>83</v>
      </c>
      <c r="F858" s="4">
        <v>7</v>
      </c>
      <c r="G858" s="4">
        <v>960</v>
      </c>
      <c r="H858" s="4">
        <v>17.100000000000001</v>
      </c>
      <c r="I858" s="4">
        <v>5570.88</v>
      </c>
      <c r="J858" s="2" t="s">
        <v>16</v>
      </c>
      <c r="K858" s="2" t="s">
        <v>23</v>
      </c>
    </row>
    <row r="859" spans="1:11" x14ac:dyDescent="0.35">
      <c r="A859" s="2" t="s">
        <v>1264</v>
      </c>
      <c r="B859" s="3">
        <v>45623</v>
      </c>
      <c r="C859" s="2" t="s">
        <v>223</v>
      </c>
      <c r="D859" s="2" t="s">
        <v>381</v>
      </c>
      <c r="E859" s="2" t="s">
        <v>77</v>
      </c>
      <c r="F859" s="4">
        <v>5</v>
      </c>
      <c r="G859" s="4">
        <v>3450</v>
      </c>
      <c r="H859" s="4">
        <v>22.9</v>
      </c>
      <c r="I859" s="4">
        <v>13299.75</v>
      </c>
      <c r="J859" s="2" t="s">
        <v>16</v>
      </c>
      <c r="K859" s="2" t="s">
        <v>62</v>
      </c>
    </row>
    <row r="860" spans="1:11" x14ac:dyDescent="0.35">
      <c r="A860" s="2" t="s">
        <v>1265</v>
      </c>
      <c r="B860" s="3">
        <v>45634</v>
      </c>
      <c r="C860" s="2" t="s">
        <v>785</v>
      </c>
      <c r="D860" s="2" t="s">
        <v>196</v>
      </c>
      <c r="E860" s="2" t="s">
        <v>36</v>
      </c>
      <c r="F860" s="4">
        <v>5</v>
      </c>
      <c r="G860" s="4">
        <v>1220</v>
      </c>
      <c r="H860" s="4">
        <v>0.3</v>
      </c>
      <c r="I860" s="4">
        <v>6081.7</v>
      </c>
      <c r="J860" s="2" t="s">
        <v>16</v>
      </c>
      <c r="K860" s="2" t="s">
        <v>17</v>
      </c>
    </row>
    <row r="861" spans="1:11" x14ac:dyDescent="0.35">
      <c r="A861" s="2" t="s">
        <v>1266</v>
      </c>
      <c r="B861" s="3">
        <v>45308</v>
      </c>
      <c r="C861" s="2" t="s">
        <v>1101</v>
      </c>
      <c r="D861" s="2" t="s">
        <v>293</v>
      </c>
      <c r="E861" s="2" t="s">
        <v>15</v>
      </c>
      <c r="F861" s="4">
        <v>5</v>
      </c>
      <c r="G861" s="4">
        <v>5330</v>
      </c>
      <c r="H861" s="4">
        <v>29</v>
      </c>
      <c r="I861" s="4">
        <v>18921.5</v>
      </c>
      <c r="J861" s="2" t="s">
        <v>16</v>
      </c>
      <c r="K861" s="2" t="s">
        <v>17</v>
      </c>
    </row>
    <row r="862" spans="1:11" x14ac:dyDescent="0.35">
      <c r="A862" s="2" t="s">
        <v>1267</v>
      </c>
      <c r="B862" s="3">
        <v>45641</v>
      </c>
      <c r="C862" s="2" t="s">
        <v>688</v>
      </c>
      <c r="D862" s="2" t="s">
        <v>116</v>
      </c>
      <c r="E862" s="2" t="s">
        <v>57</v>
      </c>
      <c r="F862" s="4">
        <v>3</v>
      </c>
      <c r="G862" s="4">
        <v>3570</v>
      </c>
      <c r="H862" s="4">
        <v>20</v>
      </c>
      <c r="I862" s="4">
        <v>8568</v>
      </c>
      <c r="J862" s="2" t="s">
        <v>69</v>
      </c>
      <c r="K862" s="2" t="s">
        <v>46</v>
      </c>
    </row>
    <row r="863" spans="1:11" x14ac:dyDescent="0.35">
      <c r="A863" s="2" t="s">
        <v>1268</v>
      </c>
      <c r="B863" s="3">
        <v>45396</v>
      </c>
      <c r="C863" s="2" t="s">
        <v>658</v>
      </c>
      <c r="D863" s="2" t="s">
        <v>267</v>
      </c>
      <c r="E863" s="2" t="s">
        <v>130</v>
      </c>
      <c r="F863" s="4">
        <v>9</v>
      </c>
      <c r="G863" s="4">
        <v>2210</v>
      </c>
      <c r="H863" s="4">
        <v>12.4</v>
      </c>
      <c r="I863" s="4">
        <v>17423.64</v>
      </c>
      <c r="J863" s="2" t="s">
        <v>16</v>
      </c>
      <c r="K863" s="2" t="s">
        <v>41</v>
      </c>
    </row>
    <row r="864" spans="1:11" x14ac:dyDescent="0.35">
      <c r="A864" s="2" t="s">
        <v>1269</v>
      </c>
      <c r="B864" s="3">
        <v>45302</v>
      </c>
      <c r="C864" s="2" t="s">
        <v>71</v>
      </c>
      <c r="D864" s="2" t="s">
        <v>390</v>
      </c>
      <c r="E864" s="2" t="s">
        <v>158</v>
      </c>
      <c r="F864" s="4">
        <v>5</v>
      </c>
      <c r="G864" s="4">
        <v>3780</v>
      </c>
      <c r="H864" s="4">
        <v>3.9</v>
      </c>
      <c r="I864" s="4">
        <v>18162.900000000001</v>
      </c>
      <c r="J864" s="2" t="s">
        <v>16</v>
      </c>
      <c r="K864" s="2" t="s">
        <v>17</v>
      </c>
    </row>
    <row r="865" spans="1:11" x14ac:dyDescent="0.35">
      <c r="A865" s="2" t="s">
        <v>1270</v>
      </c>
      <c r="B865" s="3">
        <v>45626</v>
      </c>
      <c r="C865" s="2" t="s">
        <v>98</v>
      </c>
      <c r="D865" s="2" t="s">
        <v>64</v>
      </c>
      <c r="E865" s="2" t="s">
        <v>36</v>
      </c>
      <c r="F865" s="4">
        <v>10</v>
      </c>
      <c r="G865" s="4">
        <v>2640</v>
      </c>
      <c r="H865" s="4">
        <v>17.8</v>
      </c>
      <c r="I865" s="4">
        <v>21700.799999999999</v>
      </c>
      <c r="J865" s="2" t="s">
        <v>73</v>
      </c>
      <c r="K865" s="2" t="s">
        <v>41</v>
      </c>
    </row>
    <row r="866" spans="1:11" x14ac:dyDescent="0.35">
      <c r="A866" s="2" t="s">
        <v>1271</v>
      </c>
      <c r="B866" s="3">
        <v>45352</v>
      </c>
      <c r="C866" s="2" t="s">
        <v>539</v>
      </c>
      <c r="D866" s="2" t="s">
        <v>211</v>
      </c>
      <c r="E866" s="2" t="s">
        <v>45</v>
      </c>
      <c r="F866" s="4">
        <v>5</v>
      </c>
      <c r="G866" s="4">
        <v>300</v>
      </c>
      <c r="H866" s="4">
        <v>12.9</v>
      </c>
      <c r="I866" s="4">
        <v>1306.5</v>
      </c>
      <c r="J866" s="2" t="s">
        <v>16</v>
      </c>
      <c r="K866" s="2" t="s">
        <v>46</v>
      </c>
    </row>
    <row r="867" spans="1:11" x14ac:dyDescent="0.35">
      <c r="A867" s="2" t="s">
        <v>1272</v>
      </c>
      <c r="B867" s="3">
        <v>45588</v>
      </c>
      <c r="C867" s="2" t="s">
        <v>223</v>
      </c>
      <c r="D867" s="2" t="s">
        <v>80</v>
      </c>
      <c r="E867" s="2" t="s">
        <v>181</v>
      </c>
      <c r="F867" s="4">
        <v>2</v>
      </c>
      <c r="G867" s="4">
        <v>2400</v>
      </c>
      <c r="H867" s="4">
        <v>17.100000000000001</v>
      </c>
      <c r="I867" s="4">
        <v>3979.2</v>
      </c>
      <c r="J867" s="2" t="s">
        <v>22</v>
      </c>
      <c r="K867" s="2" t="s">
        <v>62</v>
      </c>
    </row>
    <row r="868" spans="1:11" x14ac:dyDescent="0.35">
      <c r="A868" s="2" t="s">
        <v>1273</v>
      </c>
      <c r="B868" s="3">
        <v>45583</v>
      </c>
      <c r="C868" s="2" t="s">
        <v>228</v>
      </c>
      <c r="D868" s="2" t="s">
        <v>93</v>
      </c>
      <c r="E868" s="2" t="s">
        <v>130</v>
      </c>
      <c r="F868" s="4">
        <v>5</v>
      </c>
      <c r="G868" s="4">
        <v>1080</v>
      </c>
      <c r="H868" s="4">
        <v>15.7</v>
      </c>
      <c r="I868" s="4">
        <v>4552.2</v>
      </c>
      <c r="J868" s="2" t="s">
        <v>22</v>
      </c>
      <c r="K868" s="2" t="s">
        <v>62</v>
      </c>
    </row>
    <row r="869" spans="1:11" x14ac:dyDescent="0.35">
      <c r="A869" s="2" t="s">
        <v>1274</v>
      </c>
      <c r="B869" s="3">
        <v>45528</v>
      </c>
      <c r="C869" s="2" t="s">
        <v>643</v>
      </c>
      <c r="D869" s="2" t="s">
        <v>72</v>
      </c>
      <c r="E869" s="2" t="s">
        <v>77</v>
      </c>
      <c r="F869" s="4">
        <v>1</v>
      </c>
      <c r="G869" s="4">
        <v>3250</v>
      </c>
      <c r="H869" s="4">
        <v>14.7</v>
      </c>
      <c r="I869" s="4">
        <v>2772.25</v>
      </c>
      <c r="J869" s="2" t="s">
        <v>16</v>
      </c>
      <c r="K869" s="2" t="s">
        <v>28</v>
      </c>
    </row>
    <row r="870" spans="1:11" x14ac:dyDescent="0.35">
      <c r="A870" s="2" t="s">
        <v>1275</v>
      </c>
      <c r="B870" s="3">
        <v>45400</v>
      </c>
      <c r="C870" s="2" t="s">
        <v>345</v>
      </c>
      <c r="D870" s="2" t="s">
        <v>39</v>
      </c>
      <c r="E870" s="2" t="s">
        <v>87</v>
      </c>
      <c r="F870" s="4">
        <v>7</v>
      </c>
      <c r="G870" s="4">
        <v>370</v>
      </c>
      <c r="H870" s="4">
        <v>6</v>
      </c>
      <c r="I870" s="4">
        <v>2434.6</v>
      </c>
      <c r="J870" s="2" t="s">
        <v>69</v>
      </c>
      <c r="K870" s="2" t="s">
        <v>46</v>
      </c>
    </row>
    <row r="871" spans="1:11" x14ac:dyDescent="0.35">
      <c r="A871" s="2" t="s">
        <v>1276</v>
      </c>
      <c r="B871" s="3">
        <v>45337</v>
      </c>
      <c r="C871" s="2" t="s">
        <v>1277</v>
      </c>
      <c r="D871" s="2" t="s">
        <v>53</v>
      </c>
      <c r="E871" s="2" t="s">
        <v>158</v>
      </c>
      <c r="F871" s="4">
        <v>7</v>
      </c>
      <c r="G871" s="4">
        <v>5490</v>
      </c>
      <c r="H871" s="4">
        <v>10.199999999999999</v>
      </c>
      <c r="I871" s="4">
        <v>34510.14</v>
      </c>
      <c r="J871" s="2" t="s">
        <v>16</v>
      </c>
      <c r="K871" s="2" t="s">
        <v>17</v>
      </c>
    </row>
    <row r="872" spans="1:11" x14ac:dyDescent="0.35">
      <c r="A872" s="2" t="s">
        <v>1278</v>
      </c>
      <c r="B872" s="3">
        <v>45482</v>
      </c>
      <c r="C872" s="2" t="s">
        <v>1279</v>
      </c>
      <c r="D872" s="2" t="s">
        <v>337</v>
      </c>
      <c r="E872" s="2" t="s">
        <v>57</v>
      </c>
      <c r="F872" s="4">
        <v>3</v>
      </c>
      <c r="G872" s="4">
        <v>3970</v>
      </c>
      <c r="H872" s="4">
        <v>2.4</v>
      </c>
      <c r="I872" s="4">
        <v>11624.16</v>
      </c>
      <c r="J872" s="2" t="s">
        <v>16</v>
      </c>
      <c r="K872" s="2" t="s">
        <v>41</v>
      </c>
    </row>
    <row r="873" spans="1:11" x14ac:dyDescent="0.35">
      <c r="A873" s="2" t="s">
        <v>1280</v>
      </c>
      <c r="B873" s="3">
        <v>45583</v>
      </c>
      <c r="C873" s="2" t="s">
        <v>691</v>
      </c>
      <c r="D873" s="2" t="s">
        <v>196</v>
      </c>
      <c r="E873" s="2" t="s">
        <v>15</v>
      </c>
      <c r="F873" s="4">
        <v>4</v>
      </c>
      <c r="G873" s="4">
        <v>1220</v>
      </c>
      <c r="H873" s="4">
        <v>25.3</v>
      </c>
      <c r="I873" s="4">
        <v>3645.36</v>
      </c>
      <c r="J873" s="2" t="s">
        <v>16</v>
      </c>
      <c r="K873" s="2" t="s">
        <v>62</v>
      </c>
    </row>
    <row r="874" spans="1:11" x14ac:dyDescent="0.35">
      <c r="A874" s="2" t="s">
        <v>1281</v>
      </c>
      <c r="B874" s="3">
        <v>45409</v>
      </c>
      <c r="C874" s="2" t="s">
        <v>673</v>
      </c>
      <c r="D874" s="2" t="s">
        <v>35</v>
      </c>
      <c r="E874" s="2" t="s">
        <v>130</v>
      </c>
      <c r="F874" s="4">
        <v>3</v>
      </c>
      <c r="G874" s="4">
        <v>3160</v>
      </c>
      <c r="H874" s="4">
        <v>19.8</v>
      </c>
      <c r="I874" s="4">
        <v>7602.96</v>
      </c>
      <c r="J874" s="2" t="s">
        <v>16</v>
      </c>
      <c r="K874" s="2" t="s">
        <v>62</v>
      </c>
    </row>
    <row r="875" spans="1:11" x14ac:dyDescent="0.35">
      <c r="A875" s="2" t="s">
        <v>1282</v>
      </c>
      <c r="B875" s="3">
        <v>45430</v>
      </c>
      <c r="C875" s="2" t="s">
        <v>542</v>
      </c>
      <c r="D875" s="2" t="s">
        <v>211</v>
      </c>
      <c r="E875" s="2" t="s">
        <v>36</v>
      </c>
      <c r="F875" s="4">
        <v>1</v>
      </c>
      <c r="G875" s="4">
        <v>300</v>
      </c>
      <c r="H875" s="4">
        <v>24.5</v>
      </c>
      <c r="I875" s="4">
        <v>226.5</v>
      </c>
      <c r="J875" s="2" t="s">
        <v>16</v>
      </c>
      <c r="K875" s="2" t="s">
        <v>41</v>
      </c>
    </row>
    <row r="876" spans="1:11" x14ac:dyDescent="0.35">
      <c r="A876" s="2" t="s">
        <v>1283</v>
      </c>
      <c r="B876" s="3">
        <v>45654</v>
      </c>
      <c r="C876" s="2" t="s">
        <v>1237</v>
      </c>
      <c r="D876" s="2" t="s">
        <v>86</v>
      </c>
      <c r="E876" s="2" t="s">
        <v>158</v>
      </c>
      <c r="F876" s="4">
        <v>5</v>
      </c>
      <c r="G876" s="4">
        <v>3450</v>
      </c>
      <c r="H876" s="4">
        <v>13.4</v>
      </c>
      <c r="I876" s="4">
        <v>14938.5</v>
      </c>
      <c r="J876" s="2" t="s">
        <v>22</v>
      </c>
      <c r="K876" s="2" t="s">
        <v>23</v>
      </c>
    </row>
    <row r="877" spans="1:11" x14ac:dyDescent="0.35">
      <c r="A877" s="2" t="s">
        <v>1284</v>
      </c>
      <c r="B877" s="3">
        <v>45397</v>
      </c>
      <c r="C877" s="2" t="s">
        <v>218</v>
      </c>
      <c r="D877" s="2" t="s">
        <v>14</v>
      </c>
      <c r="E877" s="2" t="s">
        <v>272</v>
      </c>
      <c r="F877" s="4">
        <v>7</v>
      </c>
      <c r="G877" s="4">
        <v>3620</v>
      </c>
      <c r="H877" s="4">
        <v>19.2</v>
      </c>
      <c r="I877" s="4">
        <v>20474.72</v>
      </c>
      <c r="J877" s="2" t="s">
        <v>16</v>
      </c>
      <c r="K877" s="2" t="s">
        <v>23</v>
      </c>
    </row>
    <row r="878" spans="1:11" x14ac:dyDescent="0.35">
      <c r="A878" s="2" t="s">
        <v>1285</v>
      </c>
      <c r="B878" s="3">
        <v>45505</v>
      </c>
      <c r="C878" s="2" t="s">
        <v>38</v>
      </c>
      <c r="D878" s="2" t="s">
        <v>60</v>
      </c>
      <c r="E878" s="2" t="s">
        <v>61</v>
      </c>
      <c r="F878" s="4">
        <v>10</v>
      </c>
      <c r="G878" s="4">
        <v>2270</v>
      </c>
      <c r="H878" s="4">
        <v>20.5</v>
      </c>
      <c r="I878" s="4">
        <v>18046.5</v>
      </c>
      <c r="J878" s="2" t="s">
        <v>16</v>
      </c>
      <c r="K878" s="2" t="s">
        <v>41</v>
      </c>
    </row>
    <row r="879" spans="1:11" x14ac:dyDescent="0.35">
      <c r="A879" s="2" t="s">
        <v>1286</v>
      </c>
      <c r="B879" s="3">
        <v>45386</v>
      </c>
      <c r="C879" s="2" t="s">
        <v>1287</v>
      </c>
      <c r="D879" s="2" t="s">
        <v>102</v>
      </c>
      <c r="E879" s="2" t="s">
        <v>45</v>
      </c>
      <c r="F879" s="4">
        <v>5</v>
      </c>
      <c r="G879" s="4">
        <v>2720</v>
      </c>
      <c r="H879" s="4">
        <v>29.3</v>
      </c>
      <c r="I879" s="4">
        <v>9615.2000000000007</v>
      </c>
      <c r="J879" s="2" t="s">
        <v>16</v>
      </c>
      <c r="K879" s="2" t="s">
        <v>41</v>
      </c>
    </row>
    <row r="880" spans="1:11" x14ac:dyDescent="0.35">
      <c r="A880" s="2" t="s">
        <v>1288</v>
      </c>
      <c r="B880" s="3">
        <v>45499</v>
      </c>
      <c r="C880" s="2" t="s">
        <v>892</v>
      </c>
      <c r="D880" s="2" t="s">
        <v>163</v>
      </c>
      <c r="E880" s="2" t="s">
        <v>214</v>
      </c>
      <c r="F880" s="4">
        <v>9</v>
      </c>
      <c r="G880" s="4">
        <v>3780</v>
      </c>
      <c r="H880" s="4">
        <v>2.2999999999999998</v>
      </c>
      <c r="I880" s="4">
        <v>33237.54</v>
      </c>
      <c r="J880" s="2" t="s">
        <v>16</v>
      </c>
      <c r="K880" s="2" t="s">
        <v>23</v>
      </c>
    </row>
    <row r="881" spans="1:11" x14ac:dyDescent="0.35">
      <c r="A881" s="2" t="s">
        <v>1289</v>
      </c>
      <c r="B881" s="3">
        <v>45636</v>
      </c>
      <c r="C881" s="2" t="s">
        <v>1290</v>
      </c>
      <c r="D881" s="2" t="s">
        <v>280</v>
      </c>
      <c r="E881" s="2" t="s">
        <v>27</v>
      </c>
      <c r="F881" s="4">
        <v>9</v>
      </c>
      <c r="G881" s="4">
        <v>4060</v>
      </c>
      <c r="H881" s="4">
        <v>11.5</v>
      </c>
      <c r="I881" s="4">
        <v>32337.9</v>
      </c>
      <c r="J881" s="2" t="s">
        <v>16</v>
      </c>
      <c r="K881" s="2" t="s">
        <v>23</v>
      </c>
    </row>
    <row r="882" spans="1:11" x14ac:dyDescent="0.35">
      <c r="A882" s="2" t="s">
        <v>606</v>
      </c>
      <c r="B882" s="3">
        <v>45517</v>
      </c>
      <c r="C882" s="2" t="s">
        <v>349</v>
      </c>
      <c r="D882" s="2" t="s">
        <v>129</v>
      </c>
      <c r="E882" s="2" t="s">
        <v>254</v>
      </c>
      <c r="F882" s="4">
        <v>10</v>
      </c>
      <c r="G882" s="4">
        <v>2760</v>
      </c>
      <c r="H882" s="4">
        <v>3.9</v>
      </c>
      <c r="I882" s="4">
        <v>26523.599999999999</v>
      </c>
      <c r="J882" s="2" t="s">
        <v>73</v>
      </c>
      <c r="K882" s="2" t="s">
        <v>28</v>
      </c>
    </row>
    <row r="883" spans="1:11" x14ac:dyDescent="0.35">
      <c r="A883" s="2" t="s">
        <v>1291</v>
      </c>
      <c r="B883" s="3">
        <v>45593</v>
      </c>
      <c r="C883" s="2" t="s">
        <v>154</v>
      </c>
      <c r="D883" s="2" t="s">
        <v>93</v>
      </c>
      <c r="E883" s="2" t="s">
        <v>87</v>
      </c>
      <c r="F883" s="4">
        <v>10</v>
      </c>
      <c r="G883" s="4">
        <v>1080</v>
      </c>
      <c r="H883" s="4">
        <v>21.4</v>
      </c>
      <c r="I883" s="4">
        <v>8488.7999999999993</v>
      </c>
      <c r="J883" s="2" t="s">
        <v>16</v>
      </c>
      <c r="K883" s="2" t="s">
        <v>23</v>
      </c>
    </row>
    <row r="884" spans="1:11" x14ac:dyDescent="0.35">
      <c r="A884" s="2" t="s">
        <v>1292</v>
      </c>
      <c r="B884" s="3">
        <v>45497</v>
      </c>
      <c r="C884" s="2" t="s">
        <v>1287</v>
      </c>
      <c r="D884" s="2" t="s">
        <v>372</v>
      </c>
      <c r="E884" s="2" t="s">
        <v>83</v>
      </c>
      <c r="F884" s="4">
        <v>6</v>
      </c>
      <c r="G884" s="4">
        <v>5080</v>
      </c>
      <c r="H884" s="4">
        <v>29.8</v>
      </c>
      <c r="I884" s="4">
        <v>21396.959999999999</v>
      </c>
      <c r="J884" s="2" t="s">
        <v>22</v>
      </c>
      <c r="K884" s="2" t="s">
        <v>41</v>
      </c>
    </row>
    <row r="885" spans="1:11" x14ac:dyDescent="0.35">
      <c r="A885" s="2" t="s">
        <v>1293</v>
      </c>
      <c r="B885" s="3">
        <v>45293</v>
      </c>
      <c r="C885" s="2" t="s">
        <v>55</v>
      </c>
      <c r="D885" s="2" t="s">
        <v>113</v>
      </c>
      <c r="E885" s="2" t="s">
        <v>99</v>
      </c>
      <c r="F885" s="4">
        <v>1</v>
      </c>
      <c r="G885" s="4">
        <v>4880</v>
      </c>
      <c r="H885" s="4">
        <v>28.2</v>
      </c>
      <c r="I885" s="4">
        <v>3503.84</v>
      </c>
      <c r="J885" s="2" t="s">
        <v>16</v>
      </c>
      <c r="K885" s="2" t="s">
        <v>17</v>
      </c>
    </row>
    <row r="886" spans="1:11" x14ac:dyDescent="0.35">
      <c r="A886" s="2" t="s">
        <v>1294</v>
      </c>
      <c r="B886" s="3">
        <v>45562</v>
      </c>
      <c r="C886" s="2" t="s">
        <v>141</v>
      </c>
      <c r="D886" s="2" t="s">
        <v>174</v>
      </c>
      <c r="E886" s="2" t="s">
        <v>272</v>
      </c>
      <c r="F886" s="4">
        <v>1</v>
      </c>
      <c r="G886" s="4">
        <v>2270</v>
      </c>
      <c r="H886" s="4">
        <v>27.8</v>
      </c>
      <c r="I886" s="4">
        <v>1638.94</v>
      </c>
      <c r="J886" s="2" t="s">
        <v>16</v>
      </c>
      <c r="K886" s="2" t="s">
        <v>41</v>
      </c>
    </row>
    <row r="887" spans="1:11" x14ac:dyDescent="0.35">
      <c r="A887" s="2" t="s">
        <v>1295</v>
      </c>
      <c r="B887" s="3">
        <v>45638</v>
      </c>
      <c r="C887" s="2" t="s">
        <v>451</v>
      </c>
      <c r="D887" s="2" t="s">
        <v>337</v>
      </c>
      <c r="E887" s="2" t="s">
        <v>50</v>
      </c>
      <c r="F887" s="4">
        <v>9</v>
      </c>
      <c r="G887" s="4">
        <v>3970</v>
      </c>
      <c r="H887" s="4">
        <v>7</v>
      </c>
      <c r="I887" s="4">
        <v>33228.9</v>
      </c>
      <c r="J887" s="2" t="s">
        <v>16</v>
      </c>
      <c r="K887" s="2" t="s">
        <v>28</v>
      </c>
    </row>
    <row r="888" spans="1:11" x14ac:dyDescent="0.35">
      <c r="A888" s="2" t="s">
        <v>1296</v>
      </c>
      <c r="B888" s="3">
        <v>45408</v>
      </c>
      <c r="C888" s="2" t="s">
        <v>535</v>
      </c>
      <c r="D888" s="2" t="s">
        <v>120</v>
      </c>
      <c r="E888" s="2" t="s">
        <v>77</v>
      </c>
      <c r="F888" s="4">
        <v>9</v>
      </c>
      <c r="G888" s="4">
        <v>5100</v>
      </c>
      <c r="H888" s="4">
        <v>9.6999999999999993</v>
      </c>
      <c r="I888" s="4">
        <v>41447.699999999997</v>
      </c>
      <c r="J888" s="2" t="s">
        <v>16</v>
      </c>
      <c r="K888" s="2" t="s">
        <v>41</v>
      </c>
    </row>
    <row r="889" spans="1:11" x14ac:dyDescent="0.35">
      <c r="A889" s="2" t="s">
        <v>1297</v>
      </c>
      <c r="B889" s="3">
        <v>45498</v>
      </c>
      <c r="C889" s="2" t="s">
        <v>475</v>
      </c>
      <c r="D889" s="2" t="s">
        <v>76</v>
      </c>
      <c r="E889" s="2" t="s">
        <v>21</v>
      </c>
      <c r="F889" s="4">
        <v>8</v>
      </c>
      <c r="G889" s="4">
        <v>190</v>
      </c>
      <c r="H889" s="4">
        <v>10.199999999999999</v>
      </c>
      <c r="I889" s="4">
        <v>1364.96</v>
      </c>
      <c r="J889" s="2" t="s">
        <v>16</v>
      </c>
      <c r="K889" s="2" t="s">
        <v>28</v>
      </c>
    </row>
    <row r="890" spans="1:11" x14ac:dyDescent="0.35">
      <c r="A890" s="2" t="s">
        <v>1298</v>
      </c>
      <c r="B890" s="3">
        <v>45649</v>
      </c>
      <c r="C890" s="2" t="s">
        <v>300</v>
      </c>
      <c r="D890" s="2" t="s">
        <v>170</v>
      </c>
      <c r="E890" s="2" t="s">
        <v>130</v>
      </c>
      <c r="F890" s="4">
        <v>1</v>
      </c>
      <c r="G890" s="4">
        <v>6080</v>
      </c>
      <c r="H890" s="4">
        <v>5.6</v>
      </c>
      <c r="I890" s="4">
        <v>5739.52</v>
      </c>
      <c r="J890" s="2" t="s">
        <v>16</v>
      </c>
      <c r="K890" s="2" t="s">
        <v>41</v>
      </c>
    </row>
    <row r="891" spans="1:11" x14ac:dyDescent="0.35">
      <c r="A891" s="2" t="s">
        <v>1299</v>
      </c>
      <c r="B891" s="3">
        <v>45484</v>
      </c>
      <c r="C891" s="2" t="s">
        <v>526</v>
      </c>
      <c r="D891" s="2" t="s">
        <v>44</v>
      </c>
      <c r="E891" s="2" t="s">
        <v>121</v>
      </c>
      <c r="F891" s="4">
        <v>6</v>
      </c>
      <c r="G891" s="4">
        <v>960</v>
      </c>
      <c r="H891" s="4">
        <v>1.9</v>
      </c>
      <c r="I891" s="4">
        <v>5650.56</v>
      </c>
      <c r="J891" s="2" t="s">
        <v>16</v>
      </c>
      <c r="K891" s="2" t="s">
        <v>41</v>
      </c>
    </row>
    <row r="892" spans="1:11" x14ac:dyDescent="0.35">
      <c r="A892" s="2" t="s">
        <v>1300</v>
      </c>
      <c r="B892" s="3">
        <v>45316</v>
      </c>
      <c r="C892" s="2" t="s">
        <v>462</v>
      </c>
      <c r="D892" s="2" t="s">
        <v>188</v>
      </c>
      <c r="E892" s="2" t="s">
        <v>68</v>
      </c>
      <c r="F892" s="4">
        <v>7</v>
      </c>
      <c r="G892" s="4">
        <v>1540</v>
      </c>
      <c r="H892" s="4">
        <v>7.1</v>
      </c>
      <c r="I892" s="4">
        <v>10014.620000000001</v>
      </c>
      <c r="J892" s="2" t="s">
        <v>16</v>
      </c>
      <c r="K892" s="2" t="s">
        <v>28</v>
      </c>
    </row>
    <row r="893" spans="1:11" x14ac:dyDescent="0.35">
      <c r="A893" s="2" t="s">
        <v>1301</v>
      </c>
      <c r="B893" s="3">
        <v>45328</v>
      </c>
      <c r="C893" s="2" t="s">
        <v>190</v>
      </c>
      <c r="D893" s="2" t="s">
        <v>211</v>
      </c>
      <c r="E893" s="2" t="s">
        <v>202</v>
      </c>
      <c r="F893" s="4">
        <v>10</v>
      </c>
      <c r="G893" s="4">
        <v>300</v>
      </c>
      <c r="H893" s="4">
        <v>12.8</v>
      </c>
      <c r="I893" s="4">
        <v>2616</v>
      </c>
      <c r="J893" s="2" t="s">
        <v>69</v>
      </c>
      <c r="K893" s="2" t="s">
        <v>28</v>
      </c>
    </row>
    <row r="894" spans="1:11" x14ac:dyDescent="0.35">
      <c r="A894" s="2" t="s">
        <v>1302</v>
      </c>
      <c r="B894" s="3">
        <v>45456</v>
      </c>
      <c r="C894" s="2" t="s">
        <v>466</v>
      </c>
      <c r="D894" s="2" t="s">
        <v>113</v>
      </c>
      <c r="E894" s="2" t="s">
        <v>202</v>
      </c>
      <c r="F894" s="4">
        <v>4</v>
      </c>
      <c r="G894" s="4">
        <v>4880</v>
      </c>
      <c r="H894" s="4">
        <v>26.5</v>
      </c>
      <c r="I894" s="4">
        <v>14347.2</v>
      </c>
      <c r="J894" s="2" t="s">
        <v>16</v>
      </c>
      <c r="K894" s="2" t="s">
        <v>62</v>
      </c>
    </row>
    <row r="895" spans="1:11" x14ac:dyDescent="0.35">
      <c r="A895" s="2" t="s">
        <v>1303</v>
      </c>
      <c r="B895" s="3">
        <v>45589</v>
      </c>
      <c r="C895" s="2" t="s">
        <v>1190</v>
      </c>
      <c r="D895" s="2" t="s">
        <v>39</v>
      </c>
      <c r="E895" s="2" t="s">
        <v>77</v>
      </c>
      <c r="F895" s="4">
        <v>2</v>
      </c>
      <c r="G895" s="4">
        <v>370</v>
      </c>
      <c r="H895" s="4">
        <v>26.5</v>
      </c>
      <c r="I895" s="4">
        <v>543.9</v>
      </c>
      <c r="J895" s="2" t="s">
        <v>16</v>
      </c>
      <c r="K895" s="2" t="s">
        <v>46</v>
      </c>
    </row>
    <row r="896" spans="1:11" x14ac:dyDescent="0.35">
      <c r="A896" s="2" t="s">
        <v>1304</v>
      </c>
      <c r="B896" s="3">
        <v>45593</v>
      </c>
      <c r="C896" s="2" t="s">
        <v>305</v>
      </c>
      <c r="D896" s="2" t="s">
        <v>199</v>
      </c>
      <c r="E896" s="2" t="s">
        <v>226</v>
      </c>
      <c r="F896" s="4">
        <v>3</v>
      </c>
      <c r="G896" s="4">
        <v>4610</v>
      </c>
      <c r="H896" s="4">
        <v>29.7</v>
      </c>
      <c r="I896" s="4">
        <v>9722.49</v>
      </c>
      <c r="J896" s="2" t="s">
        <v>16</v>
      </c>
      <c r="K896" s="2" t="s">
        <v>46</v>
      </c>
    </row>
    <row r="897" spans="1:11" x14ac:dyDescent="0.35">
      <c r="A897" s="2" t="s">
        <v>1305</v>
      </c>
      <c r="B897" s="3">
        <v>45539</v>
      </c>
      <c r="C897" s="2" t="s">
        <v>602</v>
      </c>
      <c r="D897" s="2" t="s">
        <v>67</v>
      </c>
      <c r="E897" s="2" t="s">
        <v>181</v>
      </c>
      <c r="F897" s="4">
        <v>5</v>
      </c>
      <c r="G897" s="4">
        <v>2600</v>
      </c>
      <c r="H897" s="4">
        <v>21.4</v>
      </c>
      <c r="I897" s="4">
        <v>10218</v>
      </c>
      <c r="J897" s="2" t="s">
        <v>16</v>
      </c>
      <c r="K897" s="2" t="s">
        <v>41</v>
      </c>
    </row>
    <row r="898" spans="1:11" x14ac:dyDescent="0.35">
      <c r="A898" s="2" t="s">
        <v>983</v>
      </c>
      <c r="B898" s="3">
        <v>45436</v>
      </c>
      <c r="C898" s="2" t="s">
        <v>649</v>
      </c>
      <c r="D898" s="2" t="s">
        <v>196</v>
      </c>
      <c r="E898" s="2" t="s">
        <v>40</v>
      </c>
      <c r="F898" s="4">
        <v>10</v>
      </c>
      <c r="G898" s="4">
        <v>1220</v>
      </c>
      <c r="H898" s="4">
        <v>24.3</v>
      </c>
      <c r="I898" s="4">
        <v>9235.4</v>
      </c>
      <c r="J898" s="2" t="s">
        <v>16</v>
      </c>
      <c r="K898" s="2" t="s">
        <v>17</v>
      </c>
    </row>
    <row r="899" spans="1:11" x14ac:dyDescent="0.35">
      <c r="A899" s="2" t="s">
        <v>1306</v>
      </c>
      <c r="B899" s="3">
        <v>45646</v>
      </c>
      <c r="C899" s="2" t="s">
        <v>1307</v>
      </c>
      <c r="D899" s="2" t="s">
        <v>49</v>
      </c>
      <c r="E899" s="2" t="s">
        <v>117</v>
      </c>
      <c r="F899" s="4">
        <v>10</v>
      </c>
      <c r="G899" s="4">
        <v>1430</v>
      </c>
      <c r="H899" s="4">
        <v>5.0999999999999996</v>
      </c>
      <c r="I899" s="4">
        <v>13570.7</v>
      </c>
      <c r="J899" s="2" t="s">
        <v>69</v>
      </c>
      <c r="K899" s="2" t="s">
        <v>23</v>
      </c>
    </row>
    <row r="900" spans="1:11" x14ac:dyDescent="0.35">
      <c r="A900" s="2" t="s">
        <v>1308</v>
      </c>
      <c r="B900" s="3">
        <v>45478</v>
      </c>
      <c r="C900" s="2" t="s">
        <v>230</v>
      </c>
      <c r="D900" s="2" t="s">
        <v>113</v>
      </c>
      <c r="E900" s="2" t="s">
        <v>99</v>
      </c>
      <c r="F900" s="4">
        <v>10</v>
      </c>
      <c r="G900" s="4">
        <v>4880</v>
      </c>
      <c r="H900" s="4">
        <v>25.5</v>
      </c>
      <c r="I900" s="4">
        <v>36356</v>
      </c>
      <c r="J900" s="2" t="s">
        <v>69</v>
      </c>
      <c r="K900" s="2" t="s">
        <v>23</v>
      </c>
    </row>
    <row r="901" spans="1:11" x14ac:dyDescent="0.35">
      <c r="A901" s="2" t="s">
        <v>1309</v>
      </c>
      <c r="B901" s="3">
        <v>45518</v>
      </c>
      <c r="C901" s="2" t="s">
        <v>895</v>
      </c>
      <c r="D901" s="2" t="s">
        <v>170</v>
      </c>
      <c r="E901" s="2" t="s">
        <v>57</v>
      </c>
      <c r="F901" s="4">
        <v>6</v>
      </c>
      <c r="G901" s="4">
        <v>6080</v>
      </c>
      <c r="H901" s="4">
        <v>21.6</v>
      </c>
      <c r="I901" s="4">
        <v>28600.32</v>
      </c>
      <c r="J901" s="2" t="s">
        <v>16</v>
      </c>
      <c r="K901" s="2" t="s">
        <v>62</v>
      </c>
    </row>
    <row r="902" spans="1:11" x14ac:dyDescent="0.35">
      <c r="A902" s="2" t="s">
        <v>1310</v>
      </c>
      <c r="B902" s="3">
        <v>45319</v>
      </c>
      <c r="C902" s="2" t="s">
        <v>470</v>
      </c>
      <c r="D902" s="2" t="s">
        <v>205</v>
      </c>
      <c r="E902" s="2" t="s">
        <v>181</v>
      </c>
      <c r="F902" s="4">
        <v>3</v>
      </c>
      <c r="G902" s="4">
        <v>3020</v>
      </c>
      <c r="H902" s="4">
        <v>20.7</v>
      </c>
      <c r="I902" s="4">
        <v>7184.58</v>
      </c>
      <c r="J902" s="2" t="s">
        <v>16</v>
      </c>
      <c r="K902" s="2" t="s">
        <v>23</v>
      </c>
    </row>
    <row r="903" spans="1:11" x14ac:dyDescent="0.35">
      <c r="A903" s="2" t="s">
        <v>1311</v>
      </c>
      <c r="B903" s="3">
        <v>45445</v>
      </c>
      <c r="C903" s="2" t="s">
        <v>260</v>
      </c>
      <c r="D903" s="2" t="s">
        <v>102</v>
      </c>
      <c r="E903" s="2" t="s">
        <v>181</v>
      </c>
      <c r="F903" s="4">
        <v>9</v>
      </c>
      <c r="G903" s="4">
        <v>2720</v>
      </c>
      <c r="H903" s="4">
        <v>21.4</v>
      </c>
      <c r="I903" s="4">
        <v>19241.28</v>
      </c>
      <c r="J903" s="2" t="s">
        <v>16</v>
      </c>
      <c r="K903" s="2" t="s">
        <v>46</v>
      </c>
    </row>
    <row r="904" spans="1:11" x14ac:dyDescent="0.35">
      <c r="A904" s="2" t="s">
        <v>1312</v>
      </c>
      <c r="B904" s="3">
        <v>45417</v>
      </c>
      <c r="C904" s="2" t="s">
        <v>201</v>
      </c>
      <c r="D904" s="2" t="s">
        <v>116</v>
      </c>
      <c r="E904" s="2" t="s">
        <v>40</v>
      </c>
      <c r="F904" s="4">
        <v>10</v>
      </c>
      <c r="G904" s="4">
        <v>3570</v>
      </c>
      <c r="H904" s="4">
        <v>4.4000000000000004</v>
      </c>
      <c r="I904" s="4">
        <v>34129.199999999997</v>
      </c>
      <c r="J904" s="2" t="s">
        <v>16</v>
      </c>
      <c r="K904" s="2" t="s">
        <v>23</v>
      </c>
    </row>
    <row r="905" spans="1:11" x14ac:dyDescent="0.35">
      <c r="A905" s="2" t="s">
        <v>1313</v>
      </c>
      <c r="B905" s="3">
        <v>45309</v>
      </c>
      <c r="C905" s="2" t="s">
        <v>956</v>
      </c>
      <c r="D905" s="2" t="s">
        <v>93</v>
      </c>
      <c r="E905" s="2" t="s">
        <v>27</v>
      </c>
      <c r="F905" s="4">
        <v>8</v>
      </c>
      <c r="G905" s="4">
        <v>1080</v>
      </c>
      <c r="H905" s="4">
        <v>23.8</v>
      </c>
      <c r="I905" s="4">
        <v>6583.68</v>
      </c>
      <c r="J905" s="2" t="s">
        <v>16</v>
      </c>
      <c r="K905" s="2" t="s">
        <v>41</v>
      </c>
    </row>
    <row r="906" spans="1:11" x14ac:dyDescent="0.35">
      <c r="A906" s="2" t="s">
        <v>1314</v>
      </c>
      <c r="B906" s="3">
        <v>45367</v>
      </c>
      <c r="C906" s="2" t="s">
        <v>766</v>
      </c>
      <c r="D906" s="2" t="s">
        <v>431</v>
      </c>
      <c r="E906" s="2" t="s">
        <v>202</v>
      </c>
      <c r="F906" s="4">
        <v>8</v>
      </c>
      <c r="G906" s="4">
        <v>1090</v>
      </c>
      <c r="H906" s="4">
        <v>17.5</v>
      </c>
      <c r="I906" s="4">
        <v>7194</v>
      </c>
      <c r="J906" s="2" t="s">
        <v>16</v>
      </c>
      <c r="K906" s="2" t="s">
        <v>46</v>
      </c>
    </row>
    <row r="907" spans="1:11" x14ac:dyDescent="0.35">
      <c r="A907" s="2" t="s">
        <v>1315</v>
      </c>
      <c r="B907" s="3">
        <v>45615</v>
      </c>
      <c r="C907" s="2" t="s">
        <v>1237</v>
      </c>
      <c r="D907" s="2" t="s">
        <v>588</v>
      </c>
      <c r="E907" s="2" t="s">
        <v>272</v>
      </c>
      <c r="F907" s="4">
        <v>7</v>
      </c>
      <c r="G907" s="4">
        <v>3560</v>
      </c>
      <c r="H907" s="4">
        <v>11.1</v>
      </c>
      <c r="I907" s="4">
        <v>22153.88</v>
      </c>
      <c r="J907" s="2" t="s">
        <v>16</v>
      </c>
      <c r="K907" s="2" t="s">
        <v>23</v>
      </c>
    </row>
    <row r="908" spans="1:11" x14ac:dyDescent="0.35">
      <c r="A908" s="2" t="s">
        <v>1316</v>
      </c>
      <c r="B908" s="3">
        <v>45499</v>
      </c>
      <c r="C908" s="2" t="s">
        <v>157</v>
      </c>
      <c r="D908" s="2" t="s">
        <v>76</v>
      </c>
      <c r="E908" s="2" t="s">
        <v>214</v>
      </c>
      <c r="F908" s="4">
        <v>6</v>
      </c>
      <c r="G908" s="4">
        <v>190</v>
      </c>
      <c r="H908" s="4">
        <v>17.100000000000001</v>
      </c>
      <c r="I908" s="4">
        <v>945.06</v>
      </c>
      <c r="J908" s="2" t="s">
        <v>69</v>
      </c>
      <c r="K908" s="2" t="s">
        <v>41</v>
      </c>
    </row>
    <row r="909" spans="1:11" x14ac:dyDescent="0.35">
      <c r="A909" s="2" t="s">
        <v>1317</v>
      </c>
      <c r="B909" s="3">
        <v>45356</v>
      </c>
      <c r="C909" s="2" t="s">
        <v>646</v>
      </c>
      <c r="D909" s="2" t="s">
        <v>280</v>
      </c>
      <c r="E909" s="2" t="s">
        <v>40</v>
      </c>
      <c r="F909" s="4">
        <v>7</v>
      </c>
      <c r="G909" s="4">
        <v>4060</v>
      </c>
      <c r="H909" s="4">
        <v>0.6</v>
      </c>
      <c r="I909" s="4">
        <v>28249.48</v>
      </c>
      <c r="J909" s="2" t="s">
        <v>16</v>
      </c>
      <c r="K909" s="2" t="s">
        <v>23</v>
      </c>
    </row>
    <row r="910" spans="1:11" x14ac:dyDescent="0.35">
      <c r="A910" s="2" t="s">
        <v>1318</v>
      </c>
      <c r="B910" s="3">
        <v>45346</v>
      </c>
      <c r="C910" s="2" t="s">
        <v>537</v>
      </c>
      <c r="D910" s="2" t="s">
        <v>199</v>
      </c>
      <c r="E910" s="2" t="s">
        <v>87</v>
      </c>
      <c r="F910" s="4">
        <v>4</v>
      </c>
      <c r="G910" s="4">
        <v>4610</v>
      </c>
      <c r="H910" s="4">
        <v>1.9</v>
      </c>
      <c r="I910" s="4">
        <v>18089.64</v>
      </c>
      <c r="J910" s="2" t="s">
        <v>22</v>
      </c>
      <c r="K910" s="2" t="s">
        <v>17</v>
      </c>
    </row>
    <row r="911" spans="1:11" x14ac:dyDescent="0.35">
      <c r="A911" s="2" t="s">
        <v>1319</v>
      </c>
      <c r="B911" s="3">
        <v>45640</v>
      </c>
      <c r="C911" s="2" t="s">
        <v>550</v>
      </c>
      <c r="D911" s="2" t="s">
        <v>193</v>
      </c>
      <c r="E911" s="2" t="s">
        <v>121</v>
      </c>
      <c r="F911" s="4">
        <v>4</v>
      </c>
      <c r="G911" s="4">
        <v>4070</v>
      </c>
      <c r="H911" s="4">
        <v>26.8</v>
      </c>
      <c r="I911" s="4">
        <v>11916.96</v>
      </c>
      <c r="J911" s="2" t="s">
        <v>16</v>
      </c>
      <c r="K911" s="2" t="s">
        <v>23</v>
      </c>
    </row>
    <row r="912" spans="1:11" x14ac:dyDescent="0.35">
      <c r="A912" s="2" t="s">
        <v>1320</v>
      </c>
      <c r="B912" s="3">
        <v>45633</v>
      </c>
      <c r="C912" s="2" t="s">
        <v>185</v>
      </c>
      <c r="D912" s="2" t="s">
        <v>14</v>
      </c>
      <c r="E912" s="2" t="s">
        <v>68</v>
      </c>
      <c r="F912" s="4">
        <v>4</v>
      </c>
      <c r="G912" s="4">
        <v>3620</v>
      </c>
      <c r="H912" s="4">
        <v>11.7</v>
      </c>
      <c r="I912" s="4">
        <v>12785.84</v>
      </c>
      <c r="J912" s="2" t="s">
        <v>16</v>
      </c>
      <c r="K912" s="2" t="s">
        <v>62</v>
      </c>
    </row>
    <row r="913" spans="1:11" x14ac:dyDescent="0.35">
      <c r="A913" s="2" t="s">
        <v>1321</v>
      </c>
      <c r="B913" s="3">
        <v>45430</v>
      </c>
      <c r="C913" s="2" t="s">
        <v>247</v>
      </c>
      <c r="D913" s="2" t="s">
        <v>337</v>
      </c>
      <c r="E913" s="2" t="s">
        <v>99</v>
      </c>
      <c r="F913" s="4">
        <v>3</v>
      </c>
      <c r="G913" s="4">
        <v>3970</v>
      </c>
      <c r="H913" s="4">
        <v>24.7</v>
      </c>
      <c r="I913" s="4">
        <v>8968.23</v>
      </c>
      <c r="J913" s="2" t="s">
        <v>16</v>
      </c>
      <c r="K913" s="2" t="s">
        <v>23</v>
      </c>
    </row>
    <row r="914" spans="1:11" x14ac:dyDescent="0.35">
      <c r="A914" s="2" t="s">
        <v>1322</v>
      </c>
      <c r="B914" s="3">
        <v>45355</v>
      </c>
      <c r="C914" s="2" t="s">
        <v>345</v>
      </c>
      <c r="D914" s="2" t="s">
        <v>56</v>
      </c>
      <c r="E914" s="2" t="s">
        <v>57</v>
      </c>
      <c r="F914" s="4">
        <v>4</v>
      </c>
      <c r="G914" s="4">
        <v>970</v>
      </c>
      <c r="H914" s="4">
        <v>0.4</v>
      </c>
      <c r="I914" s="4">
        <v>3864.48</v>
      </c>
      <c r="J914" s="2" t="s">
        <v>16</v>
      </c>
      <c r="K914" s="2" t="s">
        <v>46</v>
      </c>
    </row>
    <row r="915" spans="1:11" x14ac:dyDescent="0.35">
      <c r="A915" s="2" t="s">
        <v>1323</v>
      </c>
      <c r="B915" s="3">
        <v>45379</v>
      </c>
      <c r="C915" s="2" t="s">
        <v>228</v>
      </c>
      <c r="D915" s="2" t="s">
        <v>44</v>
      </c>
      <c r="E915" s="2" t="s">
        <v>83</v>
      </c>
      <c r="F915" s="4">
        <v>2</v>
      </c>
      <c r="G915" s="4">
        <v>960</v>
      </c>
      <c r="H915" s="4">
        <v>1.4</v>
      </c>
      <c r="I915" s="4">
        <v>1893.12</v>
      </c>
      <c r="J915" s="2" t="s">
        <v>16</v>
      </c>
      <c r="K915" s="2" t="s">
        <v>62</v>
      </c>
    </row>
    <row r="916" spans="1:11" x14ac:dyDescent="0.35">
      <c r="A916" s="2" t="s">
        <v>1324</v>
      </c>
      <c r="B916" s="3">
        <v>45375</v>
      </c>
      <c r="C916" s="2" t="s">
        <v>89</v>
      </c>
      <c r="D916" s="2" t="s">
        <v>211</v>
      </c>
      <c r="E916" s="2" t="s">
        <v>275</v>
      </c>
      <c r="F916" s="4">
        <v>7</v>
      </c>
      <c r="G916" s="4">
        <v>300</v>
      </c>
      <c r="H916" s="4">
        <v>20.399999999999999</v>
      </c>
      <c r="I916" s="4">
        <v>1671.6</v>
      </c>
      <c r="J916" s="2" t="s">
        <v>16</v>
      </c>
      <c r="K916" s="2" t="s">
        <v>41</v>
      </c>
    </row>
    <row r="917" spans="1:11" x14ac:dyDescent="0.35">
      <c r="A917" s="2" t="s">
        <v>1325</v>
      </c>
      <c r="B917" s="3">
        <v>45397</v>
      </c>
      <c r="C917" s="2" t="s">
        <v>241</v>
      </c>
      <c r="D917" s="2" t="s">
        <v>67</v>
      </c>
      <c r="E917" s="2" t="s">
        <v>27</v>
      </c>
      <c r="F917" s="4">
        <v>8</v>
      </c>
      <c r="G917" s="4">
        <v>2600</v>
      </c>
      <c r="H917" s="4">
        <v>2.2000000000000002</v>
      </c>
      <c r="I917" s="4">
        <v>20342.400000000001</v>
      </c>
      <c r="J917" s="2" t="s">
        <v>69</v>
      </c>
      <c r="K917" s="2" t="s">
        <v>62</v>
      </c>
    </row>
    <row r="918" spans="1:11" x14ac:dyDescent="0.35">
      <c r="A918" s="2" t="s">
        <v>1326</v>
      </c>
      <c r="B918" s="3">
        <v>45571</v>
      </c>
      <c r="C918" s="2" t="s">
        <v>414</v>
      </c>
      <c r="D918" s="2" t="s">
        <v>39</v>
      </c>
      <c r="E918" s="2" t="s">
        <v>36</v>
      </c>
      <c r="F918" s="4">
        <v>2</v>
      </c>
      <c r="G918" s="4">
        <v>370</v>
      </c>
      <c r="H918" s="4">
        <v>17.7</v>
      </c>
      <c r="I918" s="4">
        <v>609.02</v>
      </c>
      <c r="J918" s="2" t="s">
        <v>16</v>
      </c>
      <c r="K918" s="2" t="s">
        <v>17</v>
      </c>
    </row>
    <row r="919" spans="1:11" x14ac:dyDescent="0.35">
      <c r="A919" s="2" t="s">
        <v>1327</v>
      </c>
      <c r="B919" s="3">
        <v>45455</v>
      </c>
      <c r="C919" s="2" t="s">
        <v>107</v>
      </c>
      <c r="D919" s="2" t="s">
        <v>86</v>
      </c>
      <c r="E919" s="2" t="s">
        <v>130</v>
      </c>
      <c r="F919" s="4">
        <v>4</v>
      </c>
      <c r="G919" s="4">
        <v>3450</v>
      </c>
      <c r="H919" s="4">
        <v>9.8000000000000007</v>
      </c>
      <c r="I919" s="4">
        <v>12447.6</v>
      </c>
      <c r="J919" s="2" t="s">
        <v>69</v>
      </c>
      <c r="K919" s="2" t="s">
        <v>23</v>
      </c>
    </row>
    <row r="920" spans="1:11" x14ac:dyDescent="0.35">
      <c r="A920" s="2" t="s">
        <v>1328</v>
      </c>
      <c r="B920" s="3">
        <v>45486</v>
      </c>
      <c r="C920" s="2" t="s">
        <v>710</v>
      </c>
      <c r="D920" s="2" t="s">
        <v>96</v>
      </c>
      <c r="E920" s="2" t="s">
        <v>121</v>
      </c>
      <c r="F920" s="4">
        <v>1</v>
      </c>
      <c r="G920" s="4">
        <v>2480</v>
      </c>
      <c r="H920" s="4">
        <v>5.8</v>
      </c>
      <c r="I920" s="4">
        <v>2336.16</v>
      </c>
      <c r="J920" s="2" t="s">
        <v>16</v>
      </c>
      <c r="K920" s="2" t="s">
        <v>28</v>
      </c>
    </row>
    <row r="921" spans="1:11" x14ac:dyDescent="0.35">
      <c r="A921" s="2" t="s">
        <v>1329</v>
      </c>
      <c r="B921" s="3">
        <v>45329</v>
      </c>
      <c r="C921" s="2" t="s">
        <v>480</v>
      </c>
      <c r="D921" s="2" t="s">
        <v>31</v>
      </c>
      <c r="E921" s="2" t="s">
        <v>50</v>
      </c>
      <c r="F921" s="4">
        <v>5</v>
      </c>
      <c r="G921" s="4">
        <v>3660</v>
      </c>
      <c r="H921" s="4">
        <v>4.7</v>
      </c>
      <c r="I921" s="4">
        <v>17439.900000000001</v>
      </c>
      <c r="J921" s="2" t="s">
        <v>22</v>
      </c>
      <c r="K921" s="2" t="s">
        <v>41</v>
      </c>
    </row>
    <row r="922" spans="1:11" x14ac:dyDescent="0.35">
      <c r="A922" s="2" t="s">
        <v>1330</v>
      </c>
      <c r="B922" s="3">
        <v>45315</v>
      </c>
      <c r="C922" s="2" t="s">
        <v>271</v>
      </c>
      <c r="D922" s="2" t="s">
        <v>105</v>
      </c>
      <c r="E922" s="2" t="s">
        <v>83</v>
      </c>
      <c r="F922" s="4">
        <v>7</v>
      </c>
      <c r="G922" s="4">
        <v>1650</v>
      </c>
      <c r="H922" s="4">
        <v>8.6</v>
      </c>
      <c r="I922" s="4">
        <v>10556.7</v>
      </c>
      <c r="J922" s="2" t="s">
        <v>16</v>
      </c>
      <c r="K922" s="2" t="s">
        <v>23</v>
      </c>
    </row>
    <row r="923" spans="1:11" x14ac:dyDescent="0.35">
      <c r="A923" s="2" t="s">
        <v>1331</v>
      </c>
      <c r="B923" s="3">
        <v>45473</v>
      </c>
      <c r="C923" s="2" t="s">
        <v>119</v>
      </c>
      <c r="D923" s="2" t="s">
        <v>76</v>
      </c>
      <c r="E923" s="2" t="s">
        <v>40</v>
      </c>
      <c r="F923" s="4">
        <v>6</v>
      </c>
      <c r="G923" s="4">
        <v>190</v>
      </c>
      <c r="H923" s="4">
        <v>14.6</v>
      </c>
      <c r="I923" s="4">
        <v>973.56</v>
      </c>
      <c r="J923" s="2" t="s">
        <v>16</v>
      </c>
      <c r="K923" s="2" t="s">
        <v>62</v>
      </c>
    </row>
    <row r="924" spans="1:11" x14ac:dyDescent="0.35">
      <c r="A924" s="2" t="s">
        <v>1332</v>
      </c>
      <c r="B924" s="3">
        <v>45546</v>
      </c>
      <c r="C924" s="2" t="s">
        <v>537</v>
      </c>
      <c r="D924" s="2" t="s">
        <v>174</v>
      </c>
      <c r="E924" s="2" t="s">
        <v>144</v>
      </c>
      <c r="F924" s="4">
        <v>5</v>
      </c>
      <c r="G924" s="4">
        <v>2270</v>
      </c>
      <c r="H924" s="4">
        <v>5.9</v>
      </c>
      <c r="I924" s="4">
        <v>10680.35</v>
      </c>
      <c r="J924" s="2" t="s">
        <v>16</v>
      </c>
      <c r="K924" s="2" t="s">
        <v>17</v>
      </c>
    </row>
    <row r="925" spans="1:11" x14ac:dyDescent="0.35">
      <c r="A925" s="2" t="s">
        <v>1333</v>
      </c>
      <c r="B925" s="3">
        <v>45625</v>
      </c>
      <c r="C925" s="2" t="s">
        <v>919</v>
      </c>
      <c r="D925" s="2" t="s">
        <v>60</v>
      </c>
      <c r="E925" s="2" t="s">
        <v>202</v>
      </c>
      <c r="F925" s="4">
        <v>1</v>
      </c>
      <c r="G925" s="4">
        <v>2270</v>
      </c>
      <c r="H925" s="4">
        <v>14.9</v>
      </c>
      <c r="I925" s="4">
        <v>1931.77</v>
      </c>
      <c r="J925" s="2" t="s">
        <v>16</v>
      </c>
      <c r="K925" s="2" t="s">
        <v>46</v>
      </c>
    </row>
    <row r="926" spans="1:11" x14ac:dyDescent="0.35">
      <c r="A926" s="2" t="s">
        <v>1334</v>
      </c>
      <c r="B926" s="3">
        <v>45579</v>
      </c>
      <c r="C926" s="2" t="s">
        <v>535</v>
      </c>
      <c r="D926" s="2" t="s">
        <v>381</v>
      </c>
      <c r="E926" s="2" t="s">
        <v>232</v>
      </c>
      <c r="F926" s="4">
        <v>4</v>
      </c>
      <c r="G926" s="4">
        <v>3450</v>
      </c>
      <c r="H926" s="4">
        <v>11.7</v>
      </c>
      <c r="I926" s="4">
        <v>12185.4</v>
      </c>
      <c r="J926" s="2" t="s">
        <v>69</v>
      </c>
      <c r="K926" s="2" t="s">
        <v>41</v>
      </c>
    </row>
    <row r="927" spans="1:11" x14ac:dyDescent="0.35">
      <c r="A927" s="2" t="s">
        <v>1335</v>
      </c>
      <c r="B927" s="3">
        <v>45323</v>
      </c>
      <c r="C927" s="2" t="s">
        <v>457</v>
      </c>
      <c r="D927" s="2" t="s">
        <v>205</v>
      </c>
      <c r="E927" s="2" t="s">
        <v>57</v>
      </c>
      <c r="F927" s="4">
        <v>7</v>
      </c>
      <c r="G927" s="4">
        <v>3020</v>
      </c>
      <c r="H927" s="4">
        <v>18.8</v>
      </c>
      <c r="I927" s="4">
        <v>17165.68</v>
      </c>
      <c r="J927" s="2" t="s">
        <v>16</v>
      </c>
      <c r="K927" s="2" t="s">
        <v>41</v>
      </c>
    </row>
    <row r="928" spans="1:11" x14ac:dyDescent="0.35">
      <c r="A928" s="2" t="s">
        <v>1336</v>
      </c>
      <c r="B928" s="3">
        <v>45613</v>
      </c>
      <c r="C928" s="2" t="s">
        <v>799</v>
      </c>
      <c r="D928" s="2" t="s">
        <v>224</v>
      </c>
      <c r="E928" s="2" t="s">
        <v>275</v>
      </c>
      <c r="F928" s="4">
        <v>4</v>
      </c>
      <c r="G928" s="4">
        <v>2030</v>
      </c>
      <c r="H928" s="4">
        <v>25.7</v>
      </c>
      <c r="I928" s="4">
        <v>6033.16</v>
      </c>
      <c r="J928" s="2" t="s">
        <v>16</v>
      </c>
      <c r="K928" s="2" t="s">
        <v>46</v>
      </c>
    </row>
    <row r="929" spans="1:11" x14ac:dyDescent="0.35">
      <c r="A929" s="2" t="s">
        <v>1337</v>
      </c>
      <c r="B929" s="3">
        <v>45362</v>
      </c>
      <c r="C929" s="2" t="s">
        <v>218</v>
      </c>
      <c r="D929" s="2" t="s">
        <v>381</v>
      </c>
      <c r="E929" s="2" t="s">
        <v>27</v>
      </c>
      <c r="F929" s="4">
        <v>4</v>
      </c>
      <c r="G929" s="4">
        <v>3450</v>
      </c>
      <c r="H929" s="4">
        <v>3.9</v>
      </c>
      <c r="I929" s="4">
        <v>13261.8</v>
      </c>
      <c r="J929" s="2" t="s">
        <v>16</v>
      </c>
      <c r="K929" s="2" t="s">
        <v>23</v>
      </c>
    </row>
    <row r="930" spans="1:11" x14ac:dyDescent="0.35">
      <c r="A930" s="2" t="s">
        <v>1338</v>
      </c>
      <c r="B930" s="3">
        <v>45347</v>
      </c>
      <c r="C930" s="2" t="s">
        <v>457</v>
      </c>
      <c r="D930" s="2" t="s">
        <v>309</v>
      </c>
      <c r="E930" s="2" t="s">
        <v>57</v>
      </c>
      <c r="F930" s="4">
        <v>5</v>
      </c>
      <c r="G930" s="4">
        <v>960</v>
      </c>
      <c r="H930" s="4">
        <v>8</v>
      </c>
      <c r="I930" s="4">
        <v>4416</v>
      </c>
      <c r="J930" s="2" t="s">
        <v>16</v>
      </c>
      <c r="K930" s="2" t="s">
        <v>41</v>
      </c>
    </row>
    <row r="931" spans="1:11" x14ac:dyDescent="0.35">
      <c r="A931" s="2" t="s">
        <v>1339</v>
      </c>
      <c r="B931" s="3">
        <v>45550</v>
      </c>
      <c r="C931" s="2" t="s">
        <v>25</v>
      </c>
      <c r="D931" s="2" t="s">
        <v>337</v>
      </c>
      <c r="E931" s="2" t="s">
        <v>144</v>
      </c>
      <c r="F931" s="4">
        <v>7</v>
      </c>
      <c r="G931" s="4">
        <v>3970</v>
      </c>
      <c r="H931" s="4">
        <v>11.7</v>
      </c>
      <c r="I931" s="4">
        <v>24538.57</v>
      </c>
      <c r="J931" s="2" t="s">
        <v>16</v>
      </c>
      <c r="K931" s="2" t="s">
        <v>28</v>
      </c>
    </row>
    <row r="932" spans="1:11" x14ac:dyDescent="0.35">
      <c r="A932" s="2" t="s">
        <v>1340</v>
      </c>
      <c r="B932" s="3">
        <v>45554</v>
      </c>
      <c r="C932" s="2" t="s">
        <v>234</v>
      </c>
      <c r="D932" s="2" t="s">
        <v>289</v>
      </c>
      <c r="E932" s="2" t="s">
        <v>130</v>
      </c>
      <c r="F932" s="4">
        <v>3</v>
      </c>
      <c r="G932" s="4">
        <v>5410</v>
      </c>
      <c r="H932" s="4">
        <v>10</v>
      </c>
      <c r="I932" s="4">
        <v>14607</v>
      </c>
      <c r="J932" s="2" t="s">
        <v>16</v>
      </c>
      <c r="K932" s="2" t="s">
        <v>62</v>
      </c>
    </row>
    <row r="933" spans="1:11" x14ac:dyDescent="0.35">
      <c r="A933" s="2" t="s">
        <v>1341</v>
      </c>
      <c r="B933" s="3">
        <v>45428</v>
      </c>
      <c r="C933" s="2" t="s">
        <v>389</v>
      </c>
      <c r="D933" s="2" t="s">
        <v>116</v>
      </c>
      <c r="E933" s="2" t="s">
        <v>15</v>
      </c>
      <c r="F933" s="4">
        <v>8</v>
      </c>
      <c r="G933" s="4">
        <v>3570</v>
      </c>
      <c r="H933" s="4">
        <v>8.5</v>
      </c>
      <c r="I933" s="4">
        <v>26132.400000000001</v>
      </c>
      <c r="J933" s="2" t="s">
        <v>16</v>
      </c>
      <c r="K933" s="2" t="s">
        <v>17</v>
      </c>
    </row>
    <row r="934" spans="1:11" x14ac:dyDescent="0.35">
      <c r="A934" s="2" t="s">
        <v>1342</v>
      </c>
      <c r="B934" s="3">
        <v>45517</v>
      </c>
      <c r="C934" s="2" t="s">
        <v>157</v>
      </c>
      <c r="D934" s="2" t="s">
        <v>67</v>
      </c>
      <c r="E934" s="2" t="s">
        <v>27</v>
      </c>
      <c r="F934" s="4">
        <v>7</v>
      </c>
      <c r="G934" s="4">
        <v>2600</v>
      </c>
      <c r="H934" s="4">
        <v>27.1</v>
      </c>
      <c r="I934" s="4">
        <v>13267.8</v>
      </c>
      <c r="J934" s="2" t="s">
        <v>16</v>
      </c>
      <c r="K934" s="2" t="s">
        <v>41</v>
      </c>
    </row>
    <row r="935" spans="1:11" x14ac:dyDescent="0.35">
      <c r="A935" s="2" t="s">
        <v>1343</v>
      </c>
      <c r="B935" s="3">
        <v>45442</v>
      </c>
      <c r="C935" s="2" t="s">
        <v>195</v>
      </c>
      <c r="D935" s="2" t="s">
        <v>26</v>
      </c>
      <c r="E935" s="2" t="s">
        <v>130</v>
      </c>
      <c r="F935" s="4">
        <v>6</v>
      </c>
      <c r="G935" s="4">
        <v>470</v>
      </c>
      <c r="H935" s="4">
        <v>2.4</v>
      </c>
      <c r="I935" s="4">
        <v>2752.32</v>
      </c>
      <c r="J935" s="2" t="s">
        <v>22</v>
      </c>
      <c r="K935" s="2" t="s">
        <v>28</v>
      </c>
    </row>
    <row r="936" spans="1:11" x14ac:dyDescent="0.35">
      <c r="A936" s="2" t="s">
        <v>1344</v>
      </c>
      <c r="B936" s="3">
        <v>45371</v>
      </c>
      <c r="C936" s="2" t="s">
        <v>688</v>
      </c>
      <c r="D936" s="2" t="s">
        <v>26</v>
      </c>
      <c r="E936" s="2" t="s">
        <v>40</v>
      </c>
      <c r="F936" s="4">
        <v>3</v>
      </c>
      <c r="G936" s="4">
        <v>470</v>
      </c>
      <c r="H936" s="4">
        <v>6.3</v>
      </c>
      <c r="I936" s="4">
        <v>1321.17</v>
      </c>
      <c r="J936" s="2" t="s">
        <v>16</v>
      </c>
      <c r="K936" s="2" t="s">
        <v>46</v>
      </c>
    </row>
    <row r="937" spans="1:11" x14ac:dyDescent="0.35">
      <c r="A937" s="2" t="s">
        <v>1345</v>
      </c>
      <c r="B937" s="3">
        <v>45540</v>
      </c>
      <c r="C937" s="2" t="s">
        <v>1237</v>
      </c>
      <c r="D937" s="2" t="s">
        <v>390</v>
      </c>
      <c r="E937" s="2" t="s">
        <v>68</v>
      </c>
      <c r="F937" s="4">
        <v>3</v>
      </c>
      <c r="G937" s="4">
        <v>3780</v>
      </c>
      <c r="H937" s="4">
        <v>19.399999999999999</v>
      </c>
      <c r="I937" s="4">
        <v>9140.0400000000009</v>
      </c>
      <c r="J937" s="2" t="s">
        <v>22</v>
      </c>
      <c r="K937" s="2" t="s">
        <v>23</v>
      </c>
    </row>
    <row r="938" spans="1:11" x14ac:dyDescent="0.35">
      <c r="A938" s="2" t="s">
        <v>1346</v>
      </c>
      <c r="B938" s="3">
        <v>45392</v>
      </c>
      <c r="C938" s="2" t="s">
        <v>55</v>
      </c>
      <c r="D938" s="2" t="s">
        <v>444</v>
      </c>
      <c r="E938" s="2" t="s">
        <v>50</v>
      </c>
      <c r="F938" s="4">
        <v>5</v>
      </c>
      <c r="G938" s="4">
        <v>6940</v>
      </c>
      <c r="H938" s="4">
        <v>12.6</v>
      </c>
      <c r="I938" s="4">
        <v>30327.8</v>
      </c>
      <c r="J938" s="2" t="s">
        <v>16</v>
      </c>
      <c r="K938" s="2" t="s">
        <v>17</v>
      </c>
    </row>
    <row r="939" spans="1:11" x14ac:dyDescent="0.35">
      <c r="A939" s="2" t="s">
        <v>1347</v>
      </c>
      <c r="B939" s="3">
        <v>45386</v>
      </c>
      <c r="C939" s="2" t="s">
        <v>342</v>
      </c>
      <c r="D939" s="2" t="s">
        <v>177</v>
      </c>
      <c r="E939" s="2" t="s">
        <v>99</v>
      </c>
      <c r="F939" s="4">
        <v>2</v>
      </c>
      <c r="G939" s="4">
        <v>3870</v>
      </c>
      <c r="H939" s="4">
        <v>10.5</v>
      </c>
      <c r="I939" s="4">
        <v>6927.3</v>
      </c>
      <c r="J939" s="2" t="s">
        <v>16</v>
      </c>
      <c r="K939" s="2" t="s">
        <v>17</v>
      </c>
    </row>
    <row r="940" spans="1:11" x14ac:dyDescent="0.35">
      <c r="A940" s="2" t="s">
        <v>1348</v>
      </c>
      <c r="B940" s="3">
        <v>45516</v>
      </c>
      <c r="C940" s="2" t="s">
        <v>770</v>
      </c>
      <c r="D940" s="2" t="s">
        <v>289</v>
      </c>
      <c r="E940" s="2" t="s">
        <v>27</v>
      </c>
      <c r="F940" s="4">
        <v>8</v>
      </c>
      <c r="G940" s="4">
        <v>5410</v>
      </c>
      <c r="H940" s="4">
        <v>28.4</v>
      </c>
      <c r="I940" s="4">
        <v>30988.48</v>
      </c>
      <c r="J940" s="2" t="s">
        <v>22</v>
      </c>
      <c r="K940" s="2" t="s">
        <v>46</v>
      </c>
    </row>
    <row r="941" spans="1:11" x14ac:dyDescent="0.35">
      <c r="A941" s="2" t="s">
        <v>1349</v>
      </c>
      <c r="B941" s="3">
        <v>45618</v>
      </c>
      <c r="C941" s="2" t="s">
        <v>126</v>
      </c>
      <c r="D941" s="2" t="s">
        <v>337</v>
      </c>
      <c r="E941" s="2" t="s">
        <v>99</v>
      </c>
      <c r="F941" s="4">
        <v>7</v>
      </c>
      <c r="G941" s="4">
        <v>3970</v>
      </c>
      <c r="H941" s="4">
        <v>12.3</v>
      </c>
      <c r="I941" s="4">
        <v>24371.83</v>
      </c>
      <c r="J941" s="2" t="s">
        <v>16</v>
      </c>
      <c r="K941" s="2" t="s">
        <v>17</v>
      </c>
    </row>
    <row r="942" spans="1:11" x14ac:dyDescent="0.35">
      <c r="A942" s="2" t="s">
        <v>1350</v>
      </c>
      <c r="B942" s="3">
        <v>45610</v>
      </c>
      <c r="C942" s="2" t="s">
        <v>544</v>
      </c>
      <c r="D942" s="2" t="s">
        <v>444</v>
      </c>
      <c r="E942" s="2" t="s">
        <v>144</v>
      </c>
      <c r="F942" s="4">
        <v>5</v>
      </c>
      <c r="G942" s="4">
        <v>6940</v>
      </c>
      <c r="H942" s="4">
        <v>1.5</v>
      </c>
      <c r="I942" s="4">
        <v>34179.5</v>
      </c>
      <c r="J942" s="2" t="s">
        <v>16</v>
      </c>
      <c r="K942" s="2" t="s">
        <v>41</v>
      </c>
    </row>
    <row r="943" spans="1:11" x14ac:dyDescent="0.35">
      <c r="A943" s="2" t="s">
        <v>1351</v>
      </c>
      <c r="B943" s="3">
        <v>45541</v>
      </c>
      <c r="C943" s="2" t="s">
        <v>967</v>
      </c>
      <c r="D943" s="2" t="s">
        <v>35</v>
      </c>
      <c r="E943" s="2" t="s">
        <v>32</v>
      </c>
      <c r="F943" s="4">
        <v>7</v>
      </c>
      <c r="G943" s="4">
        <v>3160</v>
      </c>
      <c r="H943" s="4">
        <v>2.4</v>
      </c>
      <c r="I943" s="4">
        <v>21589.119999999999</v>
      </c>
      <c r="J943" s="2" t="s">
        <v>73</v>
      </c>
      <c r="K943" s="2" t="s">
        <v>46</v>
      </c>
    </row>
    <row r="944" spans="1:11" x14ac:dyDescent="0.35">
      <c r="A944" s="2" t="s">
        <v>1352</v>
      </c>
      <c r="B944" s="3">
        <v>45497</v>
      </c>
      <c r="C944" s="2" t="s">
        <v>686</v>
      </c>
      <c r="D944" s="2" t="s">
        <v>20</v>
      </c>
      <c r="E944" s="2" t="s">
        <v>45</v>
      </c>
      <c r="F944" s="4">
        <v>2</v>
      </c>
      <c r="G944" s="4">
        <v>820</v>
      </c>
      <c r="H944" s="4">
        <v>8.1</v>
      </c>
      <c r="I944" s="4">
        <v>1507.16</v>
      </c>
      <c r="J944" s="2" t="s">
        <v>16</v>
      </c>
      <c r="K944" s="2" t="s">
        <v>46</v>
      </c>
    </row>
    <row r="945" spans="1:11" x14ac:dyDescent="0.35">
      <c r="A945" s="2" t="s">
        <v>1353</v>
      </c>
      <c r="B945" s="3">
        <v>45567</v>
      </c>
      <c r="C945" s="2" t="s">
        <v>179</v>
      </c>
      <c r="D945" s="2" t="s">
        <v>188</v>
      </c>
      <c r="E945" s="2" t="s">
        <v>99</v>
      </c>
      <c r="F945" s="4">
        <v>2</v>
      </c>
      <c r="G945" s="4">
        <v>1540</v>
      </c>
      <c r="H945" s="4">
        <v>17.7</v>
      </c>
      <c r="I945" s="4">
        <v>2534.84</v>
      </c>
      <c r="J945" s="2" t="s">
        <v>16</v>
      </c>
      <c r="K945" s="2" t="s">
        <v>46</v>
      </c>
    </row>
    <row r="946" spans="1:11" x14ac:dyDescent="0.35">
      <c r="A946" s="2" t="s">
        <v>1354</v>
      </c>
      <c r="B946" s="3">
        <v>45451</v>
      </c>
      <c r="C946" s="2" t="s">
        <v>688</v>
      </c>
      <c r="D946" s="2" t="s">
        <v>177</v>
      </c>
      <c r="E946" s="2" t="s">
        <v>144</v>
      </c>
      <c r="F946" s="4">
        <v>10</v>
      </c>
      <c r="G946" s="4">
        <v>3870</v>
      </c>
      <c r="H946" s="4">
        <v>12.2</v>
      </c>
      <c r="I946" s="4">
        <v>33978.6</v>
      </c>
      <c r="J946" s="2" t="s">
        <v>73</v>
      </c>
      <c r="K946" s="2" t="s">
        <v>46</v>
      </c>
    </row>
    <row r="947" spans="1:11" x14ac:dyDescent="0.35">
      <c r="A947" s="2" t="s">
        <v>1355</v>
      </c>
      <c r="B947" s="3">
        <v>45488</v>
      </c>
      <c r="C947" s="2" t="s">
        <v>321</v>
      </c>
      <c r="D947" s="2" t="s">
        <v>208</v>
      </c>
      <c r="E947" s="2" t="s">
        <v>226</v>
      </c>
      <c r="F947" s="4">
        <v>7</v>
      </c>
      <c r="G947" s="4">
        <v>2660</v>
      </c>
      <c r="H947" s="4">
        <v>4.7</v>
      </c>
      <c r="I947" s="4">
        <v>17744.86</v>
      </c>
      <c r="J947" s="2" t="s">
        <v>16</v>
      </c>
      <c r="K947" s="2" t="s">
        <v>41</v>
      </c>
    </row>
    <row r="948" spans="1:11" x14ac:dyDescent="0.35">
      <c r="A948" s="2" t="s">
        <v>1356</v>
      </c>
      <c r="B948" s="3">
        <v>45431</v>
      </c>
      <c r="C948" s="2" t="s">
        <v>330</v>
      </c>
      <c r="D948" s="2" t="s">
        <v>116</v>
      </c>
      <c r="E948" s="2" t="s">
        <v>133</v>
      </c>
      <c r="F948" s="4">
        <v>4</v>
      </c>
      <c r="G948" s="4">
        <v>3570</v>
      </c>
      <c r="H948" s="4">
        <v>19.3</v>
      </c>
      <c r="I948" s="4">
        <v>11523.96</v>
      </c>
      <c r="J948" s="2" t="s">
        <v>16</v>
      </c>
      <c r="K948" s="2" t="s">
        <v>23</v>
      </c>
    </row>
    <row r="949" spans="1:11" x14ac:dyDescent="0.35">
      <c r="A949" s="2" t="s">
        <v>1357</v>
      </c>
      <c r="B949" s="3">
        <v>45393</v>
      </c>
      <c r="C949" s="2" t="s">
        <v>115</v>
      </c>
      <c r="D949" s="2" t="s">
        <v>224</v>
      </c>
      <c r="E949" s="2" t="s">
        <v>226</v>
      </c>
      <c r="F949" s="4">
        <v>2</v>
      </c>
      <c r="G949" s="4">
        <v>2030</v>
      </c>
      <c r="H949" s="4">
        <v>2.6</v>
      </c>
      <c r="I949" s="4">
        <v>3954.44</v>
      </c>
      <c r="J949" s="2" t="s">
        <v>16</v>
      </c>
      <c r="K949" s="2" t="s">
        <v>23</v>
      </c>
    </row>
    <row r="950" spans="1:11" x14ac:dyDescent="0.35">
      <c r="A950" s="2" t="s">
        <v>1358</v>
      </c>
      <c r="B950" s="3">
        <v>45427</v>
      </c>
      <c r="C950" s="2" t="s">
        <v>383</v>
      </c>
      <c r="D950" s="2" t="s">
        <v>35</v>
      </c>
      <c r="E950" s="2" t="s">
        <v>181</v>
      </c>
      <c r="F950" s="4">
        <v>6</v>
      </c>
      <c r="G950" s="4">
        <v>3160</v>
      </c>
      <c r="H950" s="4">
        <v>25.8</v>
      </c>
      <c r="I950" s="4">
        <v>14068.32</v>
      </c>
      <c r="J950" s="2" t="s">
        <v>16</v>
      </c>
      <c r="K950" s="2" t="s">
        <v>62</v>
      </c>
    </row>
    <row r="951" spans="1:11" x14ac:dyDescent="0.35">
      <c r="A951" s="2" t="s">
        <v>1359</v>
      </c>
      <c r="B951" s="3">
        <v>45591</v>
      </c>
      <c r="C951" s="2" t="s">
        <v>451</v>
      </c>
      <c r="D951" s="2" t="s">
        <v>372</v>
      </c>
      <c r="E951" s="2" t="s">
        <v>27</v>
      </c>
      <c r="F951" s="4">
        <v>4</v>
      </c>
      <c r="G951" s="4">
        <v>5080</v>
      </c>
      <c r="H951" s="4">
        <v>2</v>
      </c>
      <c r="I951" s="4">
        <v>19913.599999999999</v>
      </c>
      <c r="J951" s="2" t="s">
        <v>16</v>
      </c>
      <c r="K951" s="2" t="s">
        <v>1360</v>
      </c>
    </row>
    <row r="952" spans="1:11" x14ac:dyDescent="0.35">
      <c r="A952" s="2" t="s">
        <v>1361</v>
      </c>
      <c r="B952" s="3">
        <v>45327</v>
      </c>
      <c r="C952" s="2" t="s">
        <v>389</v>
      </c>
      <c r="D952" s="2" t="s">
        <v>86</v>
      </c>
      <c r="E952" s="2" t="s">
        <v>61</v>
      </c>
      <c r="F952" s="4">
        <v>6</v>
      </c>
      <c r="G952" s="4">
        <v>3450</v>
      </c>
      <c r="H952" s="4">
        <v>1.8</v>
      </c>
      <c r="I952" s="4">
        <v>20327.400000000001</v>
      </c>
      <c r="J952" s="2" t="s">
        <v>69</v>
      </c>
      <c r="K952" s="2" t="s">
        <v>17</v>
      </c>
    </row>
    <row r="953" spans="1:11" x14ac:dyDescent="0.35">
      <c r="A953" s="2" t="s">
        <v>1362</v>
      </c>
      <c r="B953" s="3">
        <v>45575</v>
      </c>
      <c r="C953" s="2" t="s">
        <v>526</v>
      </c>
      <c r="D953" s="2" t="s">
        <v>90</v>
      </c>
      <c r="E953" s="2" t="s">
        <v>275</v>
      </c>
      <c r="F953" s="4">
        <v>3</v>
      </c>
      <c r="G953" s="4">
        <v>3450</v>
      </c>
      <c r="H953" s="4">
        <v>4.7</v>
      </c>
      <c r="I953" s="4">
        <v>9863.5499999999993</v>
      </c>
      <c r="J953" s="2" t="s">
        <v>22</v>
      </c>
      <c r="K953" s="2" t="s">
        <v>41</v>
      </c>
    </row>
    <row r="954" spans="1:11" x14ac:dyDescent="0.35">
      <c r="A954" s="2" t="s">
        <v>1363</v>
      </c>
      <c r="B954" s="3">
        <v>45367</v>
      </c>
      <c r="C954" s="2" t="s">
        <v>137</v>
      </c>
      <c r="D954" s="2" t="s">
        <v>293</v>
      </c>
      <c r="E954" s="2" t="s">
        <v>272</v>
      </c>
      <c r="F954" s="4">
        <v>7</v>
      </c>
      <c r="G954" s="4">
        <v>5330</v>
      </c>
      <c r="H954" s="4">
        <v>16.399999999999999</v>
      </c>
      <c r="I954" s="4">
        <v>31191.16</v>
      </c>
      <c r="J954" s="2" t="s">
        <v>16</v>
      </c>
      <c r="K954" s="2" t="s">
        <v>62</v>
      </c>
    </row>
    <row r="955" spans="1:11" x14ac:dyDescent="0.35">
      <c r="A955" s="2" t="s">
        <v>1364</v>
      </c>
      <c r="B955" s="3">
        <v>45522</v>
      </c>
      <c r="C955" s="2" t="s">
        <v>535</v>
      </c>
      <c r="D955" s="2" t="s">
        <v>267</v>
      </c>
      <c r="E955" s="2" t="s">
        <v>77</v>
      </c>
      <c r="F955" s="4">
        <v>6</v>
      </c>
      <c r="G955" s="4">
        <v>2210</v>
      </c>
      <c r="H955" s="4">
        <v>13.1</v>
      </c>
      <c r="I955" s="4">
        <v>11522.94</v>
      </c>
      <c r="J955" s="2" t="s">
        <v>16</v>
      </c>
      <c r="K955" s="2" t="s">
        <v>41</v>
      </c>
    </row>
    <row r="956" spans="1:11" x14ac:dyDescent="0.35">
      <c r="A956" s="2" t="s">
        <v>1365</v>
      </c>
      <c r="B956" s="3">
        <v>45579</v>
      </c>
      <c r="C956" s="2" t="s">
        <v>376</v>
      </c>
      <c r="D956" s="2" t="s">
        <v>93</v>
      </c>
      <c r="E956" s="2" t="s">
        <v>130</v>
      </c>
      <c r="F956" s="4">
        <v>8</v>
      </c>
      <c r="G956" s="4">
        <v>1080</v>
      </c>
      <c r="H956" s="4">
        <v>8.6999999999999993</v>
      </c>
      <c r="I956" s="4">
        <v>7888.32</v>
      </c>
      <c r="J956" s="2" t="s">
        <v>16</v>
      </c>
      <c r="K956" s="2" t="s">
        <v>41</v>
      </c>
    </row>
    <row r="957" spans="1:11" x14ac:dyDescent="0.35">
      <c r="A957" s="2" t="s">
        <v>1366</v>
      </c>
      <c r="B957" s="3">
        <v>45495</v>
      </c>
      <c r="C957" s="2" t="s">
        <v>305</v>
      </c>
      <c r="D957" s="2" t="s">
        <v>14</v>
      </c>
      <c r="E957" s="2" t="s">
        <v>117</v>
      </c>
      <c r="F957" s="4">
        <v>5</v>
      </c>
      <c r="G957" s="4">
        <v>3620</v>
      </c>
      <c r="H957" s="4">
        <v>16.100000000000001</v>
      </c>
      <c r="I957" s="4">
        <v>15185.9</v>
      </c>
      <c r="J957" s="2" t="s">
        <v>16</v>
      </c>
      <c r="K957" s="2" t="s">
        <v>46</v>
      </c>
    </row>
    <row r="958" spans="1:11" x14ac:dyDescent="0.35">
      <c r="A958" s="2" t="s">
        <v>1367</v>
      </c>
      <c r="B958" s="3">
        <v>45483</v>
      </c>
      <c r="C958" s="2" t="s">
        <v>38</v>
      </c>
      <c r="D958" s="2" t="s">
        <v>588</v>
      </c>
      <c r="E958" s="2" t="s">
        <v>202</v>
      </c>
      <c r="F958" s="4">
        <v>7</v>
      </c>
      <c r="G958" s="4">
        <v>3560</v>
      </c>
      <c r="H958" s="4">
        <v>8.5</v>
      </c>
      <c r="I958" s="4">
        <v>22801.8</v>
      </c>
      <c r="J958" s="2" t="s">
        <v>16</v>
      </c>
      <c r="K958" s="2" t="s">
        <v>41</v>
      </c>
    </row>
    <row r="959" spans="1:11" x14ac:dyDescent="0.35">
      <c r="A959" s="2" t="s">
        <v>1368</v>
      </c>
      <c r="B959" s="3">
        <v>45496</v>
      </c>
      <c r="C959" s="2" t="s">
        <v>230</v>
      </c>
      <c r="D959" s="2" t="s">
        <v>224</v>
      </c>
      <c r="E959" s="2" t="s">
        <v>40</v>
      </c>
      <c r="F959" s="4">
        <v>8</v>
      </c>
      <c r="G959" s="4">
        <v>2030</v>
      </c>
      <c r="H959" s="4">
        <v>18.100000000000001</v>
      </c>
      <c r="I959" s="4">
        <v>13300.56</v>
      </c>
      <c r="J959" s="2" t="s">
        <v>16</v>
      </c>
      <c r="K959" s="2" t="s">
        <v>23</v>
      </c>
    </row>
    <row r="960" spans="1:11" x14ac:dyDescent="0.35">
      <c r="A960" s="2" t="s">
        <v>1369</v>
      </c>
      <c r="B960" s="3">
        <v>45350</v>
      </c>
      <c r="C960" s="2" t="s">
        <v>1237</v>
      </c>
      <c r="D960" s="2" t="s">
        <v>105</v>
      </c>
      <c r="E960" s="2" t="s">
        <v>202</v>
      </c>
      <c r="F960" s="4">
        <v>10</v>
      </c>
      <c r="G960" s="4">
        <v>1650</v>
      </c>
      <c r="H960" s="4">
        <v>7.1</v>
      </c>
      <c r="I960" s="4">
        <v>15328.5</v>
      </c>
      <c r="J960" s="2" t="s">
        <v>16</v>
      </c>
      <c r="K960" s="2" t="s">
        <v>23</v>
      </c>
    </row>
    <row r="961" spans="1:11" x14ac:dyDescent="0.35">
      <c r="A961" s="2" t="s">
        <v>1370</v>
      </c>
      <c r="B961" s="3">
        <v>45517</v>
      </c>
      <c r="C961" s="2" t="s">
        <v>430</v>
      </c>
      <c r="D961" s="2" t="s">
        <v>129</v>
      </c>
      <c r="E961" s="2" t="s">
        <v>167</v>
      </c>
      <c r="F961" s="4">
        <v>4</v>
      </c>
      <c r="G961" s="4">
        <v>2760</v>
      </c>
      <c r="H961" s="4">
        <v>17.600000000000001</v>
      </c>
      <c r="I961" s="4">
        <v>9096.9599999999991</v>
      </c>
      <c r="J961" s="2" t="s">
        <v>69</v>
      </c>
      <c r="K961" s="2" t="s">
        <v>62</v>
      </c>
    </row>
    <row r="962" spans="1:11" x14ac:dyDescent="0.35">
      <c r="A962" s="2" t="s">
        <v>1371</v>
      </c>
      <c r="B962" s="3">
        <v>45460</v>
      </c>
      <c r="C962" s="2" t="s">
        <v>499</v>
      </c>
      <c r="D962" s="2" t="s">
        <v>337</v>
      </c>
      <c r="E962" s="2" t="s">
        <v>133</v>
      </c>
      <c r="F962" s="4">
        <v>4</v>
      </c>
      <c r="G962" s="4">
        <v>3970</v>
      </c>
      <c r="H962" s="4">
        <v>4.3</v>
      </c>
      <c r="I962" s="4">
        <v>15197.16</v>
      </c>
      <c r="J962" s="2" t="s">
        <v>16</v>
      </c>
      <c r="K962" s="2" t="s">
        <v>28</v>
      </c>
    </row>
    <row r="963" spans="1:11" x14ac:dyDescent="0.35">
      <c r="A963" s="2" t="s">
        <v>1372</v>
      </c>
      <c r="B963" s="3">
        <v>45509</v>
      </c>
      <c r="C963" s="2" t="s">
        <v>408</v>
      </c>
      <c r="D963" s="2" t="s">
        <v>170</v>
      </c>
      <c r="E963" s="2" t="s">
        <v>61</v>
      </c>
      <c r="F963" s="4">
        <v>2</v>
      </c>
      <c r="G963" s="4">
        <v>6080</v>
      </c>
      <c r="H963" s="4">
        <v>23.8</v>
      </c>
      <c r="I963" s="4">
        <v>9265.92</v>
      </c>
      <c r="J963" s="2" t="s">
        <v>16</v>
      </c>
      <c r="K963" s="2" t="s">
        <v>17</v>
      </c>
    </row>
    <row r="964" spans="1:11" x14ac:dyDescent="0.35">
      <c r="A964" s="2" t="s">
        <v>1373</v>
      </c>
      <c r="B964" s="3">
        <v>45602</v>
      </c>
      <c r="C964" s="2" t="s">
        <v>302</v>
      </c>
      <c r="D964" s="2" t="s">
        <v>60</v>
      </c>
      <c r="E964" s="2" t="s">
        <v>68</v>
      </c>
      <c r="F964" s="4">
        <v>4</v>
      </c>
      <c r="G964" s="4">
        <v>2270</v>
      </c>
      <c r="H964" s="4">
        <v>28.9</v>
      </c>
      <c r="I964" s="4">
        <v>6455.88</v>
      </c>
      <c r="J964" s="2" t="s">
        <v>16</v>
      </c>
      <c r="K964" s="2" t="s">
        <v>17</v>
      </c>
    </row>
    <row r="965" spans="1:11" x14ac:dyDescent="0.35">
      <c r="A965" s="2" t="s">
        <v>1374</v>
      </c>
      <c r="B965" s="3">
        <v>45441</v>
      </c>
      <c r="C965" s="2" t="s">
        <v>126</v>
      </c>
      <c r="D965" s="2" t="s">
        <v>337</v>
      </c>
      <c r="E965" s="2" t="s">
        <v>68</v>
      </c>
      <c r="F965" s="4">
        <v>10</v>
      </c>
      <c r="G965" s="4">
        <v>3970</v>
      </c>
      <c r="H965" s="4">
        <v>26.2</v>
      </c>
      <c r="I965" s="4">
        <v>29298.6</v>
      </c>
      <c r="J965" s="2" t="s">
        <v>16</v>
      </c>
      <c r="K965" s="2" t="s">
        <v>17</v>
      </c>
    </row>
    <row r="966" spans="1:11" x14ac:dyDescent="0.35">
      <c r="A966" s="2" t="s">
        <v>1375</v>
      </c>
      <c r="B966" s="3">
        <v>45378</v>
      </c>
      <c r="C966" s="2" t="s">
        <v>271</v>
      </c>
      <c r="D966" s="2" t="s">
        <v>120</v>
      </c>
      <c r="E966" s="2" t="s">
        <v>181</v>
      </c>
      <c r="F966" s="4">
        <v>4</v>
      </c>
      <c r="G966" s="4">
        <v>5100</v>
      </c>
      <c r="H966" s="4">
        <v>2.1</v>
      </c>
      <c r="I966" s="4">
        <v>19971.599999999999</v>
      </c>
      <c r="J966" s="2" t="s">
        <v>16</v>
      </c>
      <c r="K966" s="2" t="s">
        <v>23</v>
      </c>
    </row>
    <row r="967" spans="1:11" x14ac:dyDescent="0.35">
      <c r="A967" s="2" t="s">
        <v>1376</v>
      </c>
      <c r="B967" s="3">
        <v>45428</v>
      </c>
      <c r="C967" s="2" t="s">
        <v>243</v>
      </c>
      <c r="D967" s="2" t="s">
        <v>205</v>
      </c>
      <c r="E967" s="2" t="s">
        <v>45</v>
      </c>
      <c r="F967" s="4">
        <v>5</v>
      </c>
      <c r="G967" s="4">
        <v>3020</v>
      </c>
      <c r="H967" s="4">
        <v>17.3</v>
      </c>
      <c r="I967" s="4">
        <v>12487.7</v>
      </c>
      <c r="J967" s="2" t="s">
        <v>16</v>
      </c>
      <c r="K967" s="2" t="s">
        <v>17</v>
      </c>
    </row>
    <row r="968" spans="1:11" x14ac:dyDescent="0.35">
      <c r="A968" s="2" t="s">
        <v>1377</v>
      </c>
      <c r="B968" s="3">
        <v>45521</v>
      </c>
      <c r="C968" s="2" t="s">
        <v>831</v>
      </c>
      <c r="D968" s="2" t="s">
        <v>44</v>
      </c>
      <c r="E968" s="2" t="s">
        <v>275</v>
      </c>
      <c r="F968" s="4">
        <v>8</v>
      </c>
      <c r="G968" s="4">
        <v>960</v>
      </c>
      <c r="H968" s="4">
        <v>1.3</v>
      </c>
      <c r="I968" s="4">
        <v>7580.16</v>
      </c>
      <c r="J968" s="2" t="s">
        <v>69</v>
      </c>
      <c r="K968" s="2" t="s">
        <v>41</v>
      </c>
    </row>
    <row r="969" spans="1:11" x14ac:dyDescent="0.35">
      <c r="A969" s="2" t="s">
        <v>1378</v>
      </c>
      <c r="B969" s="3">
        <v>45612</v>
      </c>
      <c r="C969" s="2" t="s">
        <v>888</v>
      </c>
      <c r="D969" s="2" t="s">
        <v>96</v>
      </c>
      <c r="E969" s="2" t="s">
        <v>36</v>
      </c>
      <c r="F969" s="4">
        <v>9</v>
      </c>
      <c r="G969" s="4">
        <v>2480</v>
      </c>
      <c r="H969" s="4">
        <v>15.6</v>
      </c>
      <c r="I969" s="4">
        <v>18838.080000000002</v>
      </c>
      <c r="J969" s="2" t="s">
        <v>16</v>
      </c>
      <c r="K969" s="2" t="s">
        <v>41</v>
      </c>
    </row>
    <row r="970" spans="1:11" x14ac:dyDescent="0.35">
      <c r="A970" s="2" t="s">
        <v>1379</v>
      </c>
      <c r="B970" s="3">
        <v>45566</v>
      </c>
      <c r="C970" s="2" t="s">
        <v>1380</v>
      </c>
      <c r="D970" s="2" t="s">
        <v>56</v>
      </c>
      <c r="E970" s="2" t="s">
        <v>254</v>
      </c>
      <c r="F970" s="4">
        <v>1</v>
      </c>
      <c r="G970" s="4">
        <v>970</v>
      </c>
      <c r="H970" s="4">
        <v>24.9</v>
      </c>
      <c r="I970" s="4">
        <v>728.47</v>
      </c>
      <c r="J970" s="2" t="s">
        <v>16</v>
      </c>
      <c r="K970" s="2" t="s">
        <v>46</v>
      </c>
    </row>
    <row r="971" spans="1:11" x14ac:dyDescent="0.35">
      <c r="A971" s="2" t="s">
        <v>1381</v>
      </c>
      <c r="B971" s="3">
        <v>45606</v>
      </c>
      <c r="C971" s="2" t="s">
        <v>336</v>
      </c>
      <c r="D971" s="2" t="s">
        <v>296</v>
      </c>
      <c r="E971" s="2" t="s">
        <v>214</v>
      </c>
      <c r="F971" s="4">
        <v>4</v>
      </c>
      <c r="G971" s="4">
        <v>2380</v>
      </c>
      <c r="H971" s="4">
        <v>9.5</v>
      </c>
      <c r="I971" s="4">
        <v>8615.6</v>
      </c>
      <c r="J971" s="2" t="s">
        <v>69</v>
      </c>
      <c r="K971" s="2" t="s">
        <v>17</v>
      </c>
    </row>
    <row r="972" spans="1:11" x14ac:dyDescent="0.35">
      <c r="A972" s="2" t="s">
        <v>1382</v>
      </c>
      <c r="B972" s="3">
        <v>45423</v>
      </c>
      <c r="C972" s="2" t="s">
        <v>59</v>
      </c>
      <c r="D972" s="2" t="s">
        <v>289</v>
      </c>
      <c r="E972" s="2" t="s">
        <v>21</v>
      </c>
      <c r="F972" s="4">
        <v>4</v>
      </c>
      <c r="G972" s="4">
        <v>5410</v>
      </c>
      <c r="H972" s="4">
        <v>18.7</v>
      </c>
      <c r="I972" s="4">
        <v>17593.32</v>
      </c>
      <c r="J972" s="2" t="s">
        <v>16</v>
      </c>
      <c r="K972" s="2" t="s">
        <v>62</v>
      </c>
    </row>
    <row r="973" spans="1:11" x14ac:dyDescent="0.35">
      <c r="A973" s="2" t="s">
        <v>1383</v>
      </c>
      <c r="B973" s="3">
        <v>45573</v>
      </c>
      <c r="C973" s="2" t="s">
        <v>213</v>
      </c>
      <c r="D973" s="2" t="s">
        <v>372</v>
      </c>
      <c r="E973" s="2" t="s">
        <v>214</v>
      </c>
      <c r="F973" s="4">
        <v>7</v>
      </c>
      <c r="G973" s="4">
        <v>5080</v>
      </c>
      <c r="H973" s="4">
        <v>6.5</v>
      </c>
      <c r="I973" s="4">
        <v>33248.6</v>
      </c>
      <c r="J973" s="2" t="s">
        <v>16</v>
      </c>
      <c r="K973" s="2" t="s">
        <v>23</v>
      </c>
    </row>
    <row r="974" spans="1:11" x14ac:dyDescent="0.35">
      <c r="A974" s="2" t="s">
        <v>1384</v>
      </c>
      <c r="B974" s="3">
        <v>45339</v>
      </c>
      <c r="C974" s="2" t="s">
        <v>1101</v>
      </c>
      <c r="D974" s="2" t="s">
        <v>49</v>
      </c>
      <c r="E974" s="2" t="s">
        <v>40</v>
      </c>
      <c r="F974" s="4">
        <v>5</v>
      </c>
      <c r="G974" s="4">
        <v>1430</v>
      </c>
      <c r="H974" s="4">
        <v>19.8</v>
      </c>
      <c r="I974" s="4">
        <v>5734.3</v>
      </c>
      <c r="J974" s="2" t="s">
        <v>16</v>
      </c>
      <c r="K974" s="2" t="s">
        <v>17</v>
      </c>
    </row>
    <row r="975" spans="1:11" x14ac:dyDescent="0.35">
      <c r="A975" s="2" t="s">
        <v>1385</v>
      </c>
      <c r="B975" s="3">
        <v>45611</v>
      </c>
      <c r="C975" s="2" t="s">
        <v>797</v>
      </c>
      <c r="D975" s="2" t="s">
        <v>132</v>
      </c>
      <c r="E975" s="2" t="s">
        <v>202</v>
      </c>
      <c r="F975" s="4">
        <v>7</v>
      </c>
      <c r="G975" s="4">
        <v>660</v>
      </c>
      <c r="H975" s="4">
        <v>17.3</v>
      </c>
      <c r="I975" s="4">
        <v>3820.74</v>
      </c>
      <c r="J975" s="2" t="s">
        <v>16</v>
      </c>
      <c r="K975" s="2" t="s">
        <v>28</v>
      </c>
    </row>
    <row r="976" spans="1:11" x14ac:dyDescent="0.35">
      <c r="A976" s="2" t="s">
        <v>1386</v>
      </c>
      <c r="B976" s="3">
        <v>45505</v>
      </c>
      <c r="C976" s="2" t="s">
        <v>745</v>
      </c>
      <c r="D976" s="2" t="s">
        <v>188</v>
      </c>
      <c r="E976" s="2" t="s">
        <v>68</v>
      </c>
      <c r="F976" s="4">
        <v>10</v>
      </c>
      <c r="G976" s="4">
        <v>1540</v>
      </c>
      <c r="H976" s="4">
        <v>17.5</v>
      </c>
      <c r="I976" s="4">
        <v>12705</v>
      </c>
      <c r="J976" s="2" t="s">
        <v>16</v>
      </c>
      <c r="K976" s="2" t="s">
        <v>17</v>
      </c>
    </row>
    <row r="977" spans="1:11" x14ac:dyDescent="0.35">
      <c r="A977" s="2" t="s">
        <v>1387</v>
      </c>
      <c r="B977" s="3">
        <v>45358</v>
      </c>
      <c r="C977" s="2" t="s">
        <v>462</v>
      </c>
      <c r="D977" s="2" t="s">
        <v>267</v>
      </c>
      <c r="E977" s="2" t="s">
        <v>77</v>
      </c>
      <c r="F977" s="4">
        <v>10</v>
      </c>
      <c r="G977" s="4">
        <v>2210</v>
      </c>
      <c r="H977" s="4">
        <v>24.1</v>
      </c>
      <c r="I977" s="4">
        <v>16773.900000000001</v>
      </c>
      <c r="J977" s="2" t="s">
        <v>22</v>
      </c>
      <c r="K977" s="2" t="s">
        <v>28</v>
      </c>
    </row>
    <row r="978" spans="1:11" x14ac:dyDescent="0.35">
      <c r="A978" s="2" t="s">
        <v>1388</v>
      </c>
      <c r="B978" s="3">
        <v>45519</v>
      </c>
      <c r="C978" s="2" t="s">
        <v>457</v>
      </c>
      <c r="D978" s="2" t="s">
        <v>44</v>
      </c>
      <c r="E978" s="2" t="s">
        <v>214</v>
      </c>
      <c r="F978" s="4">
        <v>4</v>
      </c>
      <c r="G978" s="4">
        <v>960</v>
      </c>
      <c r="H978" s="4">
        <v>13.4</v>
      </c>
      <c r="I978" s="4">
        <v>3325.44</v>
      </c>
      <c r="J978" s="2" t="s">
        <v>16</v>
      </c>
      <c r="K978" s="2" t="s">
        <v>41</v>
      </c>
    </row>
    <row r="979" spans="1:11" x14ac:dyDescent="0.35">
      <c r="A979" s="2" t="s">
        <v>1389</v>
      </c>
      <c r="B979" s="3">
        <v>45628</v>
      </c>
      <c r="C979" s="2" t="s">
        <v>1279</v>
      </c>
      <c r="D979" s="2" t="s">
        <v>86</v>
      </c>
      <c r="E979" s="2" t="s">
        <v>214</v>
      </c>
      <c r="F979" s="4">
        <v>8</v>
      </c>
      <c r="G979" s="4">
        <v>3450</v>
      </c>
      <c r="H979" s="4">
        <v>3.7</v>
      </c>
      <c r="I979" s="4">
        <v>26578.799999999999</v>
      </c>
      <c r="J979" s="2" t="s">
        <v>16</v>
      </c>
      <c r="K979" s="2" t="s">
        <v>41</v>
      </c>
    </row>
    <row r="980" spans="1:11" x14ac:dyDescent="0.35">
      <c r="A980" s="2" t="s">
        <v>1390</v>
      </c>
      <c r="B980" s="3">
        <v>45481</v>
      </c>
      <c r="C980" s="2" t="s">
        <v>1391</v>
      </c>
      <c r="D980" s="2" t="s">
        <v>224</v>
      </c>
      <c r="E980" s="2" t="s">
        <v>21</v>
      </c>
      <c r="F980" s="4">
        <v>6</v>
      </c>
      <c r="G980" s="4">
        <v>2030</v>
      </c>
      <c r="H980" s="4">
        <v>9.5</v>
      </c>
      <c r="I980" s="4">
        <v>11022.9</v>
      </c>
      <c r="J980" s="2" t="s">
        <v>16</v>
      </c>
      <c r="K980" s="2" t="s">
        <v>41</v>
      </c>
    </row>
    <row r="981" spans="1:11" x14ac:dyDescent="0.35">
      <c r="A981" s="2" t="s">
        <v>1392</v>
      </c>
      <c r="B981" s="3">
        <v>45399</v>
      </c>
      <c r="C981" s="2" t="s">
        <v>492</v>
      </c>
      <c r="D981" s="2" t="s">
        <v>381</v>
      </c>
      <c r="E981" s="2" t="s">
        <v>133</v>
      </c>
      <c r="F981" s="4">
        <v>7</v>
      </c>
      <c r="G981" s="4">
        <v>3450</v>
      </c>
      <c r="H981" s="4">
        <v>28.2</v>
      </c>
      <c r="I981" s="4">
        <v>17339.7</v>
      </c>
      <c r="J981" s="2" t="s">
        <v>16</v>
      </c>
      <c r="K981" s="2" t="s">
        <v>17</v>
      </c>
    </row>
    <row r="982" spans="1:11" x14ac:dyDescent="0.35">
      <c r="A982" s="2" t="s">
        <v>1393</v>
      </c>
      <c r="B982" s="3">
        <v>45531</v>
      </c>
      <c r="C982" s="2" t="s">
        <v>414</v>
      </c>
      <c r="D982" s="2" t="s">
        <v>163</v>
      </c>
      <c r="E982" s="2" t="s">
        <v>202</v>
      </c>
      <c r="F982" s="4">
        <v>7</v>
      </c>
      <c r="G982" s="4">
        <v>3780</v>
      </c>
      <c r="H982" s="4">
        <v>15.1</v>
      </c>
      <c r="I982" s="4">
        <v>22464.54</v>
      </c>
      <c r="J982" s="2" t="s">
        <v>16</v>
      </c>
      <c r="K982" s="2" t="s">
        <v>17</v>
      </c>
    </row>
    <row r="983" spans="1:11" x14ac:dyDescent="0.35">
      <c r="A983" s="2" t="s">
        <v>1356</v>
      </c>
      <c r="B983" s="3">
        <v>45417</v>
      </c>
      <c r="C983" s="2" t="s">
        <v>101</v>
      </c>
      <c r="D983" s="2" t="s">
        <v>129</v>
      </c>
      <c r="E983" s="2" t="s">
        <v>226</v>
      </c>
      <c r="F983" s="4">
        <v>4</v>
      </c>
      <c r="G983" s="4">
        <v>2760</v>
      </c>
      <c r="H983" s="4">
        <v>14.8</v>
      </c>
      <c r="I983" s="4">
        <v>9406.08</v>
      </c>
      <c r="J983" s="2" t="s">
        <v>16</v>
      </c>
      <c r="K983" s="2" t="s">
        <v>17</v>
      </c>
    </row>
    <row r="984" spans="1:11" x14ac:dyDescent="0.35">
      <c r="A984" s="2" t="s">
        <v>1394</v>
      </c>
      <c r="B984" s="3">
        <v>45327</v>
      </c>
      <c r="C984" s="2" t="s">
        <v>714</v>
      </c>
      <c r="D984" s="2" t="s">
        <v>188</v>
      </c>
      <c r="E984" s="2" t="s">
        <v>158</v>
      </c>
      <c r="F984" s="4">
        <v>4</v>
      </c>
      <c r="G984" s="4">
        <v>1540</v>
      </c>
      <c r="H984" s="4">
        <v>13.9</v>
      </c>
      <c r="I984" s="4">
        <v>5303.76</v>
      </c>
      <c r="J984" s="2" t="s">
        <v>16</v>
      </c>
      <c r="K984" s="2" t="s">
        <v>17</v>
      </c>
    </row>
    <row r="985" spans="1:11" x14ac:dyDescent="0.35">
      <c r="A985" s="2" t="s">
        <v>1395</v>
      </c>
      <c r="B985" s="3">
        <v>45438</v>
      </c>
      <c r="C985" s="2" t="s">
        <v>708</v>
      </c>
      <c r="D985" s="2" t="s">
        <v>155</v>
      </c>
      <c r="E985" s="2" t="s">
        <v>15</v>
      </c>
      <c r="F985" s="4">
        <v>2</v>
      </c>
      <c r="G985" s="4">
        <v>3730</v>
      </c>
      <c r="H985" s="4">
        <v>15.7</v>
      </c>
      <c r="I985" s="4">
        <v>6288.78</v>
      </c>
      <c r="J985" s="2" t="s">
        <v>69</v>
      </c>
      <c r="K985" s="2" t="s">
        <v>46</v>
      </c>
    </row>
    <row r="986" spans="1:11" x14ac:dyDescent="0.35">
      <c r="A986" s="2" t="s">
        <v>1396</v>
      </c>
      <c r="B986" s="3">
        <v>45577</v>
      </c>
      <c r="C986" s="2" t="s">
        <v>764</v>
      </c>
      <c r="D986" s="2" t="s">
        <v>155</v>
      </c>
      <c r="E986" s="2" t="s">
        <v>272</v>
      </c>
      <c r="F986" s="4">
        <v>4</v>
      </c>
      <c r="G986" s="4">
        <v>3730</v>
      </c>
      <c r="H986" s="4">
        <v>2.1</v>
      </c>
      <c r="I986" s="4">
        <v>14606.68</v>
      </c>
      <c r="J986" s="2" t="s">
        <v>16</v>
      </c>
      <c r="K986" s="2" t="s">
        <v>46</v>
      </c>
    </row>
    <row r="987" spans="1:11" x14ac:dyDescent="0.35">
      <c r="A987" s="2" t="s">
        <v>1397</v>
      </c>
      <c r="B987" s="3">
        <v>45457</v>
      </c>
      <c r="C987" s="2" t="s">
        <v>488</v>
      </c>
      <c r="D987" s="2" t="s">
        <v>35</v>
      </c>
      <c r="E987" s="2" t="s">
        <v>181</v>
      </c>
      <c r="F987" s="4">
        <v>1</v>
      </c>
      <c r="G987" s="4">
        <v>3160</v>
      </c>
      <c r="H987" s="4">
        <v>29.8</v>
      </c>
      <c r="I987" s="4">
        <v>2218.3200000000002</v>
      </c>
      <c r="J987" s="2" t="s">
        <v>16</v>
      </c>
      <c r="K987" s="2" t="s">
        <v>17</v>
      </c>
    </row>
    <row r="988" spans="1:11" x14ac:dyDescent="0.35">
      <c r="A988" s="2" t="s">
        <v>1398</v>
      </c>
      <c r="B988" s="3">
        <v>45544</v>
      </c>
      <c r="C988" s="2" t="s">
        <v>544</v>
      </c>
      <c r="D988" s="2" t="s">
        <v>315</v>
      </c>
      <c r="E988" s="2" t="s">
        <v>214</v>
      </c>
      <c r="F988" s="4">
        <v>9</v>
      </c>
      <c r="G988" s="4">
        <v>2290</v>
      </c>
      <c r="H988" s="4">
        <v>8.3000000000000007</v>
      </c>
      <c r="I988" s="4">
        <v>18899.37</v>
      </c>
      <c r="J988" s="2" t="s">
        <v>22</v>
      </c>
      <c r="K988" s="2" t="s">
        <v>41</v>
      </c>
    </row>
    <row r="989" spans="1:11" x14ac:dyDescent="0.35">
      <c r="A989" s="2" t="s">
        <v>1399</v>
      </c>
      <c r="B989" s="3">
        <v>45632</v>
      </c>
      <c r="C989" s="2" t="s">
        <v>356</v>
      </c>
      <c r="D989" s="2" t="s">
        <v>177</v>
      </c>
      <c r="E989" s="2" t="s">
        <v>181</v>
      </c>
      <c r="F989" s="4">
        <v>2</v>
      </c>
      <c r="G989" s="4">
        <v>3870</v>
      </c>
      <c r="H989" s="4">
        <v>5.2</v>
      </c>
      <c r="I989" s="4">
        <v>7337.52</v>
      </c>
      <c r="J989" s="2" t="s">
        <v>16</v>
      </c>
      <c r="K989" s="2" t="s">
        <v>17</v>
      </c>
    </row>
    <row r="990" spans="1:11" x14ac:dyDescent="0.35">
      <c r="A990" s="2" t="s">
        <v>1400</v>
      </c>
      <c r="B990" s="3">
        <v>45465</v>
      </c>
      <c r="C990" s="2" t="s">
        <v>358</v>
      </c>
      <c r="D990" s="2" t="s">
        <v>116</v>
      </c>
      <c r="E990" s="2" t="s">
        <v>15</v>
      </c>
      <c r="F990" s="4">
        <v>5</v>
      </c>
      <c r="G990" s="4">
        <v>3570</v>
      </c>
      <c r="H990" s="4">
        <v>19.899999999999999</v>
      </c>
      <c r="I990" s="4">
        <v>14297.85</v>
      </c>
      <c r="J990" s="2" t="s">
        <v>16</v>
      </c>
      <c r="K990" s="2" t="s">
        <v>46</v>
      </c>
    </row>
    <row r="991" spans="1:11" x14ac:dyDescent="0.35">
      <c r="A991" s="2" t="s">
        <v>1401</v>
      </c>
      <c r="B991" s="3">
        <v>45342</v>
      </c>
      <c r="C991" s="2" t="s">
        <v>218</v>
      </c>
      <c r="D991" s="2" t="s">
        <v>111</v>
      </c>
      <c r="E991" s="2" t="s">
        <v>144</v>
      </c>
      <c r="F991" s="4">
        <v>5</v>
      </c>
      <c r="G991" s="4">
        <v>1010</v>
      </c>
      <c r="H991" s="4">
        <v>2.2000000000000002</v>
      </c>
      <c r="I991" s="4">
        <v>4938.8999999999996</v>
      </c>
      <c r="J991" s="2" t="s">
        <v>16</v>
      </c>
      <c r="K991" s="2" t="s">
        <v>23</v>
      </c>
    </row>
    <row r="992" spans="1:11" x14ac:dyDescent="0.35">
      <c r="A992" s="2" t="s">
        <v>1402</v>
      </c>
      <c r="B992" s="3">
        <v>45309</v>
      </c>
      <c r="C992" s="2" t="s">
        <v>291</v>
      </c>
      <c r="D992" s="2" t="s">
        <v>315</v>
      </c>
      <c r="E992" s="2" t="s">
        <v>68</v>
      </c>
      <c r="F992" s="4">
        <v>10</v>
      </c>
      <c r="G992" s="4">
        <v>2290</v>
      </c>
      <c r="H992" s="4">
        <v>16.8</v>
      </c>
      <c r="I992" s="4">
        <v>19052.8</v>
      </c>
      <c r="J992" s="2" t="s">
        <v>69</v>
      </c>
      <c r="K992" s="2" t="s">
        <v>23</v>
      </c>
    </row>
    <row r="993" spans="1:11" x14ac:dyDescent="0.35">
      <c r="A993" s="2" t="s">
        <v>1403</v>
      </c>
      <c r="B993" s="3">
        <v>45493</v>
      </c>
      <c r="C993" s="2" t="s">
        <v>411</v>
      </c>
      <c r="D993" s="2" t="s">
        <v>199</v>
      </c>
      <c r="E993" s="2" t="s">
        <v>50</v>
      </c>
      <c r="F993" s="4">
        <v>3</v>
      </c>
      <c r="G993" s="4">
        <v>4610</v>
      </c>
      <c r="H993" s="4">
        <v>13.2</v>
      </c>
      <c r="I993" s="4">
        <v>12004.44</v>
      </c>
      <c r="J993" s="2" t="s">
        <v>22</v>
      </c>
      <c r="K993" s="2" t="s">
        <v>62</v>
      </c>
    </row>
    <row r="994" spans="1:11" x14ac:dyDescent="0.35">
      <c r="A994" s="2" t="s">
        <v>1404</v>
      </c>
      <c r="B994" s="3">
        <v>45356</v>
      </c>
      <c r="C994" s="2" t="s">
        <v>389</v>
      </c>
      <c r="D994" s="2" t="s">
        <v>284</v>
      </c>
      <c r="E994" s="2" t="s">
        <v>77</v>
      </c>
      <c r="F994" s="4">
        <v>1</v>
      </c>
      <c r="G994" s="4">
        <v>2510</v>
      </c>
      <c r="H994" s="4">
        <v>16.899999999999999</v>
      </c>
      <c r="I994" s="4">
        <v>2085.81</v>
      </c>
      <c r="J994" s="2" t="s">
        <v>16</v>
      </c>
      <c r="K994" s="2" t="s">
        <v>17</v>
      </c>
    </row>
    <row r="995" spans="1:11" x14ac:dyDescent="0.35">
      <c r="A995" s="2" t="s">
        <v>1405</v>
      </c>
      <c r="B995" s="3">
        <v>45367</v>
      </c>
      <c r="C995" s="2" t="s">
        <v>572</v>
      </c>
      <c r="D995" s="2" t="s">
        <v>205</v>
      </c>
      <c r="E995" s="2" t="s">
        <v>133</v>
      </c>
      <c r="F995" s="4">
        <v>1</v>
      </c>
      <c r="G995" s="4">
        <v>3020</v>
      </c>
      <c r="H995" s="4">
        <v>26.7</v>
      </c>
      <c r="I995" s="4">
        <v>2213.66</v>
      </c>
      <c r="J995" s="2" t="s">
        <v>16</v>
      </c>
      <c r="K995" s="2" t="s">
        <v>41</v>
      </c>
    </row>
    <row r="996" spans="1:11" x14ac:dyDescent="0.35">
      <c r="A996" s="2" t="s">
        <v>1406</v>
      </c>
      <c r="B996" s="3">
        <v>45313</v>
      </c>
      <c r="C996" s="2" t="s">
        <v>488</v>
      </c>
      <c r="D996" s="2" t="s">
        <v>76</v>
      </c>
      <c r="E996" s="2" t="s">
        <v>254</v>
      </c>
      <c r="F996" s="4">
        <v>6</v>
      </c>
      <c r="G996" s="4">
        <v>190</v>
      </c>
      <c r="H996" s="4">
        <v>7.1</v>
      </c>
      <c r="I996" s="4">
        <v>1059.06</v>
      </c>
      <c r="J996" s="2" t="s">
        <v>16</v>
      </c>
      <c r="K996" s="2" t="s">
        <v>17</v>
      </c>
    </row>
    <row r="997" spans="1:11" x14ac:dyDescent="0.35">
      <c r="A997" s="2" t="s">
        <v>1407</v>
      </c>
      <c r="B997" s="3">
        <v>45529</v>
      </c>
      <c r="C997" s="2" t="s">
        <v>1120</v>
      </c>
      <c r="D997" s="2" t="s">
        <v>224</v>
      </c>
      <c r="E997" s="2" t="s">
        <v>226</v>
      </c>
      <c r="F997" s="4">
        <v>6</v>
      </c>
      <c r="G997" s="4">
        <v>2030</v>
      </c>
      <c r="H997" s="4">
        <v>13.5</v>
      </c>
      <c r="I997" s="4">
        <v>10535.7</v>
      </c>
      <c r="J997" s="2" t="s">
        <v>69</v>
      </c>
      <c r="K997" s="2" t="s">
        <v>46</v>
      </c>
    </row>
    <row r="998" spans="1:11" x14ac:dyDescent="0.35">
      <c r="A998" s="2" t="s">
        <v>1408</v>
      </c>
      <c r="B998" s="3">
        <v>45547</v>
      </c>
      <c r="C998" s="2" t="s">
        <v>757</v>
      </c>
      <c r="D998" s="2" t="s">
        <v>72</v>
      </c>
      <c r="E998" s="2" t="s">
        <v>254</v>
      </c>
      <c r="F998" s="4">
        <v>10</v>
      </c>
      <c r="G998" s="4">
        <v>3250</v>
      </c>
      <c r="H998" s="4">
        <v>8.6999999999999993</v>
      </c>
      <c r="I998" s="4">
        <v>29672.5</v>
      </c>
      <c r="J998" s="2" t="s">
        <v>16</v>
      </c>
      <c r="K998" s="2" t="s">
        <v>62</v>
      </c>
    </row>
    <row r="999" spans="1:11" x14ac:dyDescent="0.35">
      <c r="A999" s="2" t="s">
        <v>1409</v>
      </c>
      <c r="B999" s="3">
        <v>45299</v>
      </c>
      <c r="C999" s="2" t="s">
        <v>371</v>
      </c>
      <c r="D999" s="2" t="s">
        <v>224</v>
      </c>
      <c r="E999" s="2" t="s">
        <v>158</v>
      </c>
      <c r="F999" s="4">
        <v>9</v>
      </c>
      <c r="G999" s="4">
        <v>2030</v>
      </c>
      <c r="H999" s="4">
        <v>29.3</v>
      </c>
      <c r="I999" s="4">
        <v>12916.89</v>
      </c>
      <c r="J999" s="2" t="s">
        <v>16</v>
      </c>
      <c r="K999" s="2" t="s">
        <v>17</v>
      </c>
    </row>
    <row r="1000" spans="1:11" x14ac:dyDescent="0.35">
      <c r="A1000" s="2" t="s">
        <v>1410</v>
      </c>
      <c r="B1000" s="3">
        <v>45380</v>
      </c>
      <c r="C1000" s="2" t="s">
        <v>956</v>
      </c>
      <c r="D1000" s="2" t="s">
        <v>296</v>
      </c>
      <c r="E1000" s="2" t="s">
        <v>40</v>
      </c>
      <c r="F1000" s="4">
        <v>1</v>
      </c>
      <c r="G1000" s="4">
        <v>2380</v>
      </c>
      <c r="H1000" s="4">
        <v>12.9</v>
      </c>
      <c r="I1000" s="4">
        <v>2072.98</v>
      </c>
      <c r="J1000" s="2" t="s">
        <v>16</v>
      </c>
      <c r="K1000" s="2" t="s">
        <v>41</v>
      </c>
    </row>
    <row r="1001" spans="1:11" x14ac:dyDescent="0.35">
      <c r="A1001" s="2" t="s">
        <v>1411</v>
      </c>
      <c r="B1001" s="3">
        <v>45521</v>
      </c>
      <c r="C1001" s="2" t="s">
        <v>468</v>
      </c>
      <c r="D1001" s="2" t="s">
        <v>381</v>
      </c>
      <c r="E1001" s="2" t="s">
        <v>45</v>
      </c>
      <c r="F1001" s="4">
        <v>10</v>
      </c>
      <c r="G1001" s="4">
        <v>3450</v>
      </c>
      <c r="H1001" s="4">
        <v>18.5</v>
      </c>
      <c r="I1001" s="4">
        <v>28117.5</v>
      </c>
      <c r="J1001" s="2" t="s">
        <v>16</v>
      </c>
      <c r="K1001" s="2" t="s">
        <v>62</v>
      </c>
    </row>
    <row r="1002" spans="1:11" x14ac:dyDescent="0.35">
      <c r="A1002" s="2" t="s">
        <v>1412</v>
      </c>
      <c r="B1002" s="3">
        <v>45500</v>
      </c>
      <c r="C1002" s="2" t="s">
        <v>207</v>
      </c>
      <c r="D1002" s="2" t="s">
        <v>35</v>
      </c>
      <c r="E1002" s="2" t="s">
        <v>226</v>
      </c>
      <c r="F1002" s="4">
        <v>10</v>
      </c>
      <c r="G1002" s="4">
        <v>3160</v>
      </c>
      <c r="H1002" s="4">
        <v>26.3</v>
      </c>
      <c r="I1002" s="4">
        <v>23289.200000000001</v>
      </c>
      <c r="J1002" s="2" t="s">
        <v>16</v>
      </c>
      <c r="K1002" s="2" t="s">
        <v>62</v>
      </c>
    </row>
    <row r="1003" spans="1:11" x14ac:dyDescent="0.35">
      <c r="A1003" s="2" t="s">
        <v>1413</v>
      </c>
      <c r="B1003" s="3">
        <v>45531</v>
      </c>
      <c r="C1003" s="2" t="s">
        <v>282</v>
      </c>
      <c r="D1003" s="2" t="s">
        <v>53</v>
      </c>
      <c r="E1003" s="2" t="s">
        <v>130</v>
      </c>
      <c r="F1003" s="4">
        <v>10</v>
      </c>
      <c r="G1003" s="4">
        <v>5490</v>
      </c>
      <c r="H1003" s="4">
        <v>22.7</v>
      </c>
      <c r="I1003" s="4">
        <v>42437.7</v>
      </c>
      <c r="J1003" s="2" t="s">
        <v>16</v>
      </c>
      <c r="K1003" s="2" t="s">
        <v>23</v>
      </c>
    </row>
    <row r="1004" spans="1:11" x14ac:dyDescent="0.35">
      <c r="A1004" s="2" t="s">
        <v>1414</v>
      </c>
      <c r="B1004" s="3">
        <v>45563</v>
      </c>
      <c r="C1004" s="2" t="s">
        <v>629</v>
      </c>
      <c r="D1004" s="2" t="s">
        <v>124</v>
      </c>
      <c r="E1004" s="2" t="s">
        <v>32</v>
      </c>
      <c r="F1004" s="4">
        <v>8</v>
      </c>
      <c r="G1004" s="4">
        <v>2860</v>
      </c>
      <c r="H1004" s="4">
        <v>14.3</v>
      </c>
      <c r="I1004" s="4">
        <v>19608.16</v>
      </c>
      <c r="J1004" s="2" t="s">
        <v>16</v>
      </c>
      <c r="K1004" s="2" t="s">
        <v>23</v>
      </c>
    </row>
    <row r="1005" spans="1:11" x14ac:dyDescent="0.35">
      <c r="A1005" s="2" t="s">
        <v>1415</v>
      </c>
      <c r="B1005" s="3">
        <v>45416</v>
      </c>
      <c r="C1005" s="2" t="s">
        <v>176</v>
      </c>
      <c r="D1005" s="2" t="s">
        <v>309</v>
      </c>
      <c r="E1005" s="2" t="s">
        <v>202</v>
      </c>
      <c r="F1005" s="4">
        <v>1</v>
      </c>
      <c r="G1005" s="4">
        <v>960</v>
      </c>
      <c r="H1005" s="4">
        <v>11.9</v>
      </c>
      <c r="I1005" s="4">
        <v>845.76</v>
      </c>
      <c r="J1005" s="2" t="s">
        <v>16</v>
      </c>
      <c r="K1005" s="2" t="s">
        <v>46</v>
      </c>
    </row>
    <row r="1006" spans="1:11" x14ac:dyDescent="0.35">
      <c r="A1006" s="2" t="s">
        <v>1416</v>
      </c>
      <c r="B1006" s="3">
        <v>45430</v>
      </c>
      <c r="C1006" s="2" t="s">
        <v>681</v>
      </c>
      <c r="D1006" s="2" t="s">
        <v>93</v>
      </c>
      <c r="E1006" s="2" t="s">
        <v>15</v>
      </c>
      <c r="F1006" s="4">
        <v>3</v>
      </c>
      <c r="G1006" s="4">
        <v>1080</v>
      </c>
      <c r="H1006" s="4">
        <v>26</v>
      </c>
      <c r="I1006" s="4">
        <v>2397.6</v>
      </c>
      <c r="J1006" s="2" t="s">
        <v>16</v>
      </c>
      <c r="K1006" s="2" t="s">
        <v>46</v>
      </c>
    </row>
    <row r="1007" spans="1:11" x14ac:dyDescent="0.35">
      <c r="A1007" s="2" t="s">
        <v>1417</v>
      </c>
      <c r="B1007" s="3">
        <v>45585</v>
      </c>
      <c r="C1007" s="2" t="s">
        <v>319</v>
      </c>
      <c r="D1007" s="2" t="s">
        <v>124</v>
      </c>
      <c r="E1007" s="2" t="s">
        <v>144</v>
      </c>
      <c r="F1007" s="4">
        <v>10</v>
      </c>
      <c r="G1007" s="4">
        <v>2860</v>
      </c>
      <c r="H1007" s="4">
        <v>13.1</v>
      </c>
      <c r="I1007" s="4">
        <v>24853.4</v>
      </c>
      <c r="J1007" s="2" t="s">
        <v>73</v>
      </c>
      <c r="K1007" s="2" t="s">
        <v>17</v>
      </c>
    </row>
    <row r="1008" spans="1:11" x14ac:dyDescent="0.35">
      <c r="A1008" s="2" t="s">
        <v>1418</v>
      </c>
      <c r="B1008" s="3">
        <v>45630</v>
      </c>
      <c r="C1008" s="2" t="s">
        <v>1290</v>
      </c>
      <c r="D1008" s="2" t="s">
        <v>166</v>
      </c>
      <c r="E1008" s="2" t="s">
        <v>144</v>
      </c>
      <c r="F1008" s="4">
        <v>3</v>
      </c>
      <c r="G1008" s="4">
        <v>3640</v>
      </c>
      <c r="H1008" s="4">
        <v>18.2</v>
      </c>
      <c r="I1008" s="4">
        <v>8932.56</v>
      </c>
      <c r="J1008" s="2" t="s">
        <v>16</v>
      </c>
      <c r="K1008" s="2" t="s">
        <v>23</v>
      </c>
    </row>
    <row r="1009" spans="1:11" x14ac:dyDescent="0.35">
      <c r="A1009" s="2" t="s">
        <v>1419</v>
      </c>
      <c r="B1009" s="3">
        <v>45405</v>
      </c>
      <c r="C1009" s="2" t="s">
        <v>135</v>
      </c>
      <c r="D1009" s="2" t="s">
        <v>102</v>
      </c>
      <c r="E1009" s="2" t="s">
        <v>232</v>
      </c>
      <c r="F1009" s="4">
        <v>3</v>
      </c>
      <c r="G1009" s="4">
        <v>2720</v>
      </c>
      <c r="H1009" s="4">
        <v>3.6</v>
      </c>
      <c r="I1009" s="4">
        <v>7866.24</v>
      </c>
      <c r="J1009" s="2" t="s">
        <v>16</v>
      </c>
      <c r="K1009" s="2" t="s">
        <v>62</v>
      </c>
    </row>
    <row r="1010" spans="1:11" x14ac:dyDescent="0.35">
      <c r="A1010" s="2" t="s">
        <v>1420</v>
      </c>
      <c r="B1010" s="3">
        <v>45630</v>
      </c>
      <c r="C1010" s="2" t="s">
        <v>466</v>
      </c>
      <c r="D1010" s="2" t="s">
        <v>60</v>
      </c>
      <c r="E1010" s="2" t="s">
        <v>36</v>
      </c>
      <c r="F1010" s="4">
        <v>4</v>
      </c>
      <c r="G1010" s="4">
        <v>2270</v>
      </c>
      <c r="H1010" s="4">
        <v>18.399999999999999</v>
      </c>
      <c r="I1010" s="4">
        <v>7409.28</v>
      </c>
      <c r="J1010" s="2" t="s">
        <v>16</v>
      </c>
      <c r="K1010" s="2" t="s">
        <v>62</v>
      </c>
    </row>
    <row r="1011" spans="1:11" x14ac:dyDescent="0.35">
      <c r="A1011" s="2" t="s">
        <v>1421</v>
      </c>
      <c r="B1011" s="3">
        <v>45483</v>
      </c>
      <c r="C1011" s="2" t="s">
        <v>1122</v>
      </c>
      <c r="D1011" s="2" t="s">
        <v>196</v>
      </c>
      <c r="E1011" s="2" t="s">
        <v>158</v>
      </c>
      <c r="F1011" s="4">
        <v>5</v>
      </c>
      <c r="G1011" s="4">
        <v>1220</v>
      </c>
      <c r="H1011" s="4">
        <v>13.9</v>
      </c>
      <c r="I1011" s="4">
        <v>5252.1</v>
      </c>
      <c r="J1011" s="2" t="s">
        <v>16</v>
      </c>
      <c r="K1011" s="2" t="s">
        <v>62</v>
      </c>
    </row>
    <row r="1012" spans="1:11" x14ac:dyDescent="0.35">
      <c r="A1012" s="2" t="s">
        <v>1422</v>
      </c>
      <c r="B1012" s="3">
        <v>45530</v>
      </c>
      <c r="C1012" s="2" t="s">
        <v>228</v>
      </c>
      <c r="D1012" s="2" t="s">
        <v>64</v>
      </c>
      <c r="E1012" s="2" t="s">
        <v>117</v>
      </c>
      <c r="F1012" s="4">
        <v>8</v>
      </c>
      <c r="G1012" s="4">
        <v>2640</v>
      </c>
      <c r="H1012" s="4">
        <v>17.3</v>
      </c>
      <c r="I1012" s="4">
        <v>17466.240000000002</v>
      </c>
      <c r="J1012" s="2" t="s">
        <v>16</v>
      </c>
      <c r="K1012" s="2" t="s">
        <v>62</v>
      </c>
    </row>
    <row r="1013" spans="1:11" x14ac:dyDescent="0.35">
      <c r="A1013" s="2" t="s">
        <v>1423</v>
      </c>
      <c r="B1013" s="3">
        <v>45500</v>
      </c>
      <c r="C1013" s="2" t="s">
        <v>305</v>
      </c>
      <c r="D1013" s="2" t="s">
        <v>56</v>
      </c>
      <c r="E1013" s="2" t="s">
        <v>117</v>
      </c>
      <c r="F1013" s="4">
        <v>1</v>
      </c>
      <c r="G1013" s="4">
        <v>970</v>
      </c>
      <c r="H1013" s="4">
        <v>28</v>
      </c>
      <c r="I1013" s="4">
        <v>698.4</v>
      </c>
      <c r="J1013" s="2" t="s">
        <v>69</v>
      </c>
      <c r="K1013" s="2" t="s">
        <v>46</v>
      </c>
    </row>
    <row r="1014" spans="1:11" x14ac:dyDescent="0.35">
      <c r="A1014" s="2" t="s">
        <v>1424</v>
      </c>
      <c r="B1014" s="3">
        <v>45358</v>
      </c>
      <c r="C1014" s="2" t="s">
        <v>204</v>
      </c>
      <c r="D1014" s="2" t="s">
        <v>155</v>
      </c>
      <c r="E1014" s="2" t="s">
        <v>40</v>
      </c>
      <c r="F1014" s="4">
        <v>8</v>
      </c>
      <c r="G1014" s="4">
        <v>3730</v>
      </c>
      <c r="H1014" s="4">
        <v>2.1</v>
      </c>
      <c r="I1014" s="4">
        <v>29213.360000000001</v>
      </c>
      <c r="J1014" s="2" t="s">
        <v>73</v>
      </c>
      <c r="K1014" s="2" t="s">
        <v>17</v>
      </c>
    </row>
    <row r="1015" spans="1:11" x14ac:dyDescent="0.35">
      <c r="A1015" s="2" t="s">
        <v>1425</v>
      </c>
      <c r="B1015" s="3">
        <v>45598</v>
      </c>
      <c r="C1015" s="2" t="s">
        <v>714</v>
      </c>
      <c r="D1015" s="2" t="s">
        <v>56</v>
      </c>
      <c r="E1015" s="2" t="s">
        <v>45</v>
      </c>
      <c r="F1015" s="4">
        <v>7</v>
      </c>
      <c r="G1015" s="4">
        <v>970</v>
      </c>
      <c r="H1015" s="4">
        <v>25.5</v>
      </c>
      <c r="I1015" s="4">
        <v>5058.55</v>
      </c>
      <c r="J1015" s="2" t="s">
        <v>16</v>
      </c>
      <c r="K1015" s="2" t="s">
        <v>17</v>
      </c>
    </row>
    <row r="1016" spans="1:11" x14ac:dyDescent="0.35">
      <c r="A1016" s="2" t="s">
        <v>1426</v>
      </c>
      <c r="B1016" s="3">
        <v>45318</v>
      </c>
      <c r="C1016" s="2" t="s">
        <v>288</v>
      </c>
      <c r="D1016" s="2" t="s">
        <v>116</v>
      </c>
      <c r="E1016" s="2" t="s">
        <v>214</v>
      </c>
      <c r="F1016" s="4">
        <v>6</v>
      </c>
      <c r="G1016" s="4">
        <v>3570</v>
      </c>
      <c r="H1016" s="4">
        <v>9.9</v>
      </c>
      <c r="I1016" s="4">
        <v>19299.419999999998</v>
      </c>
      <c r="J1016" s="2" t="s">
        <v>16</v>
      </c>
      <c r="K1016" s="2" t="s">
        <v>28</v>
      </c>
    </row>
    <row r="1017" spans="1:11" x14ac:dyDescent="0.35">
      <c r="A1017" s="2" t="s">
        <v>1427</v>
      </c>
      <c r="B1017" s="3">
        <v>45524</v>
      </c>
      <c r="C1017" s="2" t="s">
        <v>1428</v>
      </c>
      <c r="D1017" s="2" t="s">
        <v>56</v>
      </c>
      <c r="E1017" s="2" t="s">
        <v>275</v>
      </c>
      <c r="F1017" s="4">
        <v>6</v>
      </c>
      <c r="G1017" s="4">
        <v>970</v>
      </c>
      <c r="H1017" s="4">
        <v>19.600000000000001</v>
      </c>
      <c r="I1017" s="4">
        <v>4679.28</v>
      </c>
      <c r="J1017" s="2" t="s">
        <v>16</v>
      </c>
      <c r="K1017" s="2" t="s">
        <v>23</v>
      </c>
    </row>
    <row r="1018" spans="1:11" x14ac:dyDescent="0.35">
      <c r="A1018" s="2" t="s">
        <v>1429</v>
      </c>
      <c r="B1018" s="3">
        <v>45554</v>
      </c>
      <c r="C1018" s="2" t="s">
        <v>148</v>
      </c>
      <c r="D1018" s="2" t="s">
        <v>390</v>
      </c>
      <c r="E1018" s="2" t="s">
        <v>202</v>
      </c>
      <c r="F1018" s="4">
        <v>8</v>
      </c>
      <c r="G1018" s="4">
        <v>3780</v>
      </c>
      <c r="H1018" s="4">
        <v>26.5</v>
      </c>
      <c r="I1018" s="4">
        <v>22226.400000000001</v>
      </c>
      <c r="J1018" s="2" t="s">
        <v>16</v>
      </c>
      <c r="K1018" s="2" t="s">
        <v>28</v>
      </c>
    </row>
    <row r="1019" spans="1:11" x14ac:dyDescent="0.35">
      <c r="A1019" s="2" t="s">
        <v>1430</v>
      </c>
      <c r="B1019" s="3">
        <v>45528</v>
      </c>
      <c r="C1019" s="2" t="s">
        <v>850</v>
      </c>
      <c r="D1019" s="2" t="s">
        <v>80</v>
      </c>
      <c r="E1019" s="2" t="s">
        <v>202</v>
      </c>
      <c r="F1019" s="4">
        <v>6</v>
      </c>
      <c r="G1019" s="4">
        <v>2400</v>
      </c>
      <c r="H1019" s="4">
        <v>1.4</v>
      </c>
      <c r="I1019" s="4">
        <v>14198.4</v>
      </c>
      <c r="J1019" s="2" t="s">
        <v>16</v>
      </c>
      <c r="K1019" s="2" t="s">
        <v>46</v>
      </c>
    </row>
    <row r="1020" spans="1:11" x14ac:dyDescent="0.35">
      <c r="A1020" s="2" t="s">
        <v>1431</v>
      </c>
      <c r="B1020" s="3">
        <v>45486</v>
      </c>
      <c r="C1020" s="2" t="s">
        <v>286</v>
      </c>
      <c r="D1020" s="2" t="s">
        <v>72</v>
      </c>
      <c r="E1020" s="2" t="s">
        <v>87</v>
      </c>
      <c r="F1020" s="4">
        <v>10</v>
      </c>
      <c r="G1020" s="4">
        <v>3250</v>
      </c>
      <c r="H1020" s="4">
        <v>19.3</v>
      </c>
      <c r="I1020" s="4">
        <v>26227.5</v>
      </c>
      <c r="J1020" s="2" t="s">
        <v>16</v>
      </c>
      <c r="K1020" s="2" t="s">
        <v>28</v>
      </c>
    </row>
    <row r="1021" spans="1:11" x14ac:dyDescent="0.35">
      <c r="A1021" s="2" t="s">
        <v>1432</v>
      </c>
      <c r="B1021" s="3">
        <v>45336</v>
      </c>
      <c r="C1021" s="2" t="s">
        <v>317</v>
      </c>
      <c r="D1021" s="2" t="s">
        <v>129</v>
      </c>
      <c r="E1021" s="2" t="s">
        <v>27</v>
      </c>
      <c r="F1021" s="4">
        <v>7</v>
      </c>
      <c r="G1021" s="4">
        <v>2760</v>
      </c>
      <c r="H1021" s="4">
        <v>23.6</v>
      </c>
      <c r="I1021" s="4">
        <v>14760.48</v>
      </c>
      <c r="J1021" s="2" t="s">
        <v>22</v>
      </c>
      <c r="K1021" s="2" t="s">
        <v>62</v>
      </c>
    </row>
    <row r="1022" spans="1:11" x14ac:dyDescent="0.35">
      <c r="A1022" s="2" t="s">
        <v>1433</v>
      </c>
      <c r="B1022" s="3">
        <v>45463</v>
      </c>
      <c r="C1022" s="2" t="s">
        <v>160</v>
      </c>
      <c r="D1022" s="2" t="s">
        <v>116</v>
      </c>
      <c r="E1022" s="2" t="s">
        <v>144</v>
      </c>
      <c r="F1022" s="4">
        <v>3</v>
      </c>
      <c r="G1022" s="4">
        <v>3570</v>
      </c>
      <c r="H1022" s="4">
        <v>26.3</v>
      </c>
      <c r="I1022" s="4">
        <v>7893.27</v>
      </c>
      <c r="J1022" s="2" t="s">
        <v>16</v>
      </c>
      <c r="K1022" s="2" t="s">
        <v>46</v>
      </c>
    </row>
    <row r="1023" spans="1:11" x14ac:dyDescent="0.35">
      <c r="A1023" s="2" t="s">
        <v>1434</v>
      </c>
      <c r="B1023" s="3">
        <v>45392</v>
      </c>
      <c r="C1023" s="2" t="s">
        <v>514</v>
      </c>
      <c r="D1023" s="2" t="s">
        <v>163</v>
      </c>
      <c r="E1023" s="2" t="s">
        <v>117</v>
      </c>
      <c r="F1023" s="4">
        <v>4</v>
      </c>
      <c r="G1023" s="4">
        <v>3780</v>
      </c>
      <c r="H1023" s="4">
        <v>10.1</v>
      </c>
      <c r="I1023" s="4">
        <v>13592.88</v>
      </c>
      <c r="J1023" s="2" t="s">
        <v>16</v>
      </c>
      <c r="K1023" s="2" t="s">
        <v>23</v>
      </c>
    </row>
    <row r="1024" spans="1:11" x14ac:dyDescent="0.35">
      <c r="A1024" s="2" t="s">
        <v>1435</v>
      </c>
      <c r="B1024" s="3">
        <v>45600</v>
      </c>
      <c r="C1024" s="2" t="s">
        <v>531</v>
      </c>
      <c r="D1024" s="2" t="s">
        <v>49</v>
      </c>
      <c r="E1024" s="2" t="s">
        <v>50</v>
      </c>
      <c r="F1024" s="4">
        <v>10</v>
      </c>
      <c r="G1024" s="4">
        <v>1430</v>
      </c>
      <c r="H1024" s="4">
        <v>3.7</v>
      </c>
      <c r="I1024" s="4">
        <v>13770.9</v>
      </c>
      <c r="J1024" s="2" t="s">
        <v>16</v>
      </c>
      <c r="K1024" s="2" t="s">
        <v>23</v>
      </c>
    </row>
    <row r="1025" spans="1:11" x14ac:dyDescent="0.35">
      <c r="A1025" s="2" t="s">
        <v>1436</v>
      </c>
      <c r="B1025" s="3">
        <v>45411</v>
      </c>
      <c r="C1025" s="2" t="s">
        <v>670</v>
      </c>
      <c r="D1025" s="2" t="s">
        <v>174</v>
      </c>
      <c r="E1025" s="2" t="s">
        <v>202</v>
      </c>
      <c r="F1025" s="4">
        <v>6</v>
      </c>
      <c r="G1025" s="4">
        <v>2270</v>
      </c>
      <c r="H1025" s="4">
        <v>7.9</v>
      </c>
      <c r="I1025" s="4">
        <v>12544.02</v>
      </c>
      <c r="J1025" s="2" t="s">
        <v>73</v>
      </c>
      <c r="K1025" s="2" t="s">
        <v>62</v>
      </c>
    </row>
    <row r="1026" spans="1:11" x14ac:dyDescent="0.35">
      <c r="A1026" s="2" t="s">
        <v>1437</v>
      </c>
      <c r="B1026" s="3">
        <v>45406</v>
      </c>
      <c r="C1026" s="2" t="s">
        <v>411</v>
      </c>
      <c r="D1026" s="2" t="s">
        <v>111</v>
      </c>
      <c r="E1026" s="2" t="s">
        <v>181</v>
      </c>
      <c r="F1026" s="4">
        <v>1</v>
      </c>
      <c r="G1026" s="4">
        <v>1010</v>
      </c>
      <c r="H1026" s="4">
        <v>6.9</v>
      </c>
      <c r="I1026" s="4">
        <v>940.31</v>
      </c>
      <c r="J1026" s="2" t="s">
        <v>22</v>
      </c>
      <c r="K1026" s="2" t="s">
        <v>62</v>
      </c>
    </row>
    <row r="1027" spans="1:11" x14ac:dyDescent="0.35">
      <c r="A1027" s="2" t="s">
        <v>1438</v>
      </c>
      <c r="B1027" s="3">
        <v>45411</v>
      </c>
      <c r="C1027" s="2" t="s">
        <v>104</v>
      </c>
      <c r="D1027" s="2" t="s">
        <v>124</v>
      </c>
      <c r="E1027" s="2" t="s">
        <v>27</v>
      </c>
      <c r="F1027" s="4">
        <v>2</v>
      </c>
      <c r="G1027" s="4">
        <v>2860</v>
      </c>
      <c r="H1027" s="4">
        <v>20.100000000000001</v>
      </c>
      <c r="I1027" s="4">
        <v>4570.28</v>
      </c>
      <c r="J1027" s="2" t="s">
        <v>16</v>
      </c>
      <c r="K1027" s="2" t="s">
        <v>62</v>
      </c>
    </row>
    <row r="1028" spans="1:11" x14ac:dyDescent="0.35">
      <c r="A1028" s="2" t="s">
        <v>1439</v>
      </c>
      <c r="B1028" s="3">
        <v>45461</v>
      </c>
      <c r="C1028" s="2" t="s">
        <v>815</v>
      </c>
      <c r="D1028" s="2" t="s">
        <v>67</v>
      </c>
      <c r="E1028" s="2" t="s">
        <v>50</v>
      </c>
      <c r="F1028" s="4">
        <v>9</v>
      </c>
      <c r="G1028" s="4">
        <v>2600</v>
      </c>
      <c r="H1028" s="4">
        <v>15.9</v>
      </c>
      <c r="I1028" s="4">
        <v>19679.400000000001</v>
      </c>
      <c r="J1028" s="2" t="s">
        <v>69</v>
      </c>
      <c r="K1028" s="2" t="s">
        <v>23</v>
      </c>
    </row>
    <row r="1029" spans="1:11" x14ac:dyDescent="0.35">
      <c r="A1029" s="2" t="s">
        <v>1440</v>
      </c>
      <c r="B1029" s="3">
        <v>45409</v>
      </c>
      <c r="C1029" s="2" t="s">
        <v>422</v>
      </c>
      <c r="D1029" s="2" t="s">
        <v>26</v>
      </c>
      <c r="E1029" s="2" t="s">
        <v>45</v>
      </c>
      <c r="F1029" s="4">
        <v>10</v>
      </c>
      <c r="G1029" s="4">
        <v>470</v>
      </c>
      <c r="H1029" s="4">
        <v>23.1</v>
      </c>
      <c r="I1029" s="4">
        <v>3614.3</v>
      </c>
      <c r="J1029" s="2" t="s">
        <v>22</v>
      </c>
      <c r="K1029" s="2" t="s">
        <v>17</v>
      </c>
    </row>
    <row r="1030" spans="1:11" x14ac:dyDescent="0.35">
      <c r="A1030" s="2" t="s">
        <v>1441</v>
      </c>
      <c r="B1030" s="3">
        <v>45495</v>
      </c>
      <c r="C1030" s="2" t="s">
        <v>95</v>
      </c>
      <c r="D1030" s="2" t="s">
        <v>132</v>
      </c>
      <c r="E1030" s="2" t="s">
        <v>181</v>
      </c>
      <c r="F1030" s="4">
        <v>10</v>
      </c>
      <c r="G1030" s="4">
        <v>660</v>
      </c>
      <c r="H1030" s="4">
        <v>9.4</v>
      </c>
      <c r="I1030" s="4">
        <v>5979.6</v>
      </c>
      <c r="J1030" s="2" t="s">
        <v>16</v>
      </c>
      <c r="K1030" s="2" t="s">
        <v>62</v>
      </c>
    </row>
    <row r="1031" spans="1:11" x14ac:dyDescent="0.35">
      <c r="A1031" s="2" t="s">
        <v>1442</v>
      </c>
      <c r="B1031" s="3">
        <v>45307</v>
      </c>
      <c r="C1031" s="2" t="s">
        <v>408</v>
      </c>
      <c r="D1031" s="2" t="s">
        <v>196</v>
      </c>
      <c r="E1031" s="2" t="s">
        <v>83</v>
      </c>
      <c r="F1031" s="4">
        <v>5</v>
      </c>
      <c r="G1031" s="4">
        <v>1220</v>
      </c>
      <c r="H1031" s="4">
        <v>23.3</v>
      </c>
      <c r="I1031" s="4">
        <v>4678.7</v>
      </c>
      <c r="J1031" s="2" t="s">
        <v>16</v>
      </c>
      <c r="K1031" s="2" t="s">
        <v>17</v>
      </c>
    </row>
    <row r="1032" spans="1:11" x14ac:dyDescent="0.35">
      <c r="A1032" s="2" t="s">
        <v>1443</v>
      </c>
      <c r="B1032" s="3">
        <v>45294</v>
      </c>
      <c r="C1032" s="2" t="s">
        <v>524</v>
      </c>
      <c r="D1032" s="2" t="s">
        <v>72</v>
      </c>
      <c r="E1032" s="2" t="s">
        <v>202</v>
      </c>
      <c r="F1032" s="4">
        <v>9</v>
      </c>
      <c r="G1032" s="4">
        <v>3250</v>
      </c>
      <c r="H1032" s="4">
        <v>19.600000000000001</v>
      </c>
      <c r="I1032" s="4">
        <v>23517</v>
      </c>
      <c r="J1032" s="2" t="s">
        <v>22</v>
      </c>
      <c r="K1032" s="2" t="s">
        <v>28</v>
      </c>
    </row>
    <row r="1033" spans="1:11" x14ac:dyDescent="0.35">
      <c r="A1033" s="2" t="s">
        <v>1444</v>
      </c>
      <c r="B1033" s="3">
        <v>45542</v>
      </c>
      <c r="C1033" s="2" t="s">
        <v>1120</v>
      </c>
      <c r="D1033" s="2" t="s">
        <v>221</v>
      </c>
      <c r="E1033" s="2" t="s">
        <v>232</v>
      </c>
      <c r="F1033" s="4">
        <v>7</v>
      </c>
      <c r="G1033" s="4">
        <v>620</v>
      </c>
      <c r="H1033" s="4">
        <v>29</v>
      </c>
      <c r="I1033" s="4">
        <v>3081.4</v>
      </c>
      <c r="J1033" s="2" t="s">
        <v>16</v>
      </c>
      <c r="K1033" s="2" t="s">
        <v>46</v>
      </c>
    </row>
    <row r="1034" spans="1:11" x14ac:dyDescent="0.35">
      <c r="A1034" s="2" t="s">
        <v>1445</v>
      </c>
      <c r="B1034" s="3">
        <v>45453</v>
      </c>
      <c r="C1034" s="2" t="s">
        <v>92</v>
      </c>
      <c r="D1034" s="2" t="s">
        <v>193</v>
      </c>
      <c r="E1034" s="2" t="s">
        <v>32</v>
      </c>
      <c r="F1034" s="4">
        <v>9</v>
      </c>
      <c r="G1034" s="4">
        <v>4070</v>
      </c>
      <c r="H1034" s="4">
        <v>16.2</v>
      </c>
      <c r="I1034" s="4">
        <v>30695.94</v>
      </c>
      <c r="J1034" s="2" t="s">
        <v>16</v>
      </c>
      <c r="K1034" s="2" t="s">
        <v>23</v>
      </c>
    </row>
    <row r="1035" spans="1:11" x14ac:dyDescent="0.35">
      <c r="A1035" s="2" t="s">
        <v>1446</v>
      </c>
      <c r="B1035" s="3">
        <v>45351</v>
      </c>
      <c r="C1035" s="2" t="s">
        <v>929</v>
      </c>
      <c r="D1035" s="2" t="s">
        <v>35</v>
      </c>
      <c r="E1035" s="2" t="s">
        <v>15</v>
      </c>
      <c r="F1035" s="4">
        <v>8</v>
      </c>
      <c r="G1035" s="4">
        <v>3160</v>
      </c>
      <c r="H1035" s="4">
        <v>23.8</v>
      </c>
      <c r="I1035" s="4">
        <v>19263.36</v>
      </c>
      <c r="J1035" s="2" t="s">
        <v>16</v>
      </c>
      <c r="K1035" s="2" t="s">
        <v>46</v>
      </c>
    </row>
    <row r="1036" spans="1:11" x14ac:dyDescent="0.35">
      <c r="A1036" s="2" t="s">
        <v>1447</v>
      </c>
      <c r="B1036" s="3">
        <v>45422</v>
      </c>
      <c r="C1036" s="2" t="s">
        <v>34</v>
      </c>
      <c r="D1036" s="2" t="s">
        <v>267</v>
      </c>
      <c r="E1036" s="2" t="s">
        <v>214</v>
      </c>
      <c r="F1036" s="4">
        <v>3</v>
      </c>
      <c r="G1036" s="4">
        <v>2210</v>
      </c>
      <c r="H1036" s="4">
        <v>29.7</v>
      </c>
      <c r="I1036" s="4">
        <v>4660.8900000000003</v>
      </c>
      <c r="J1036" s="2" t="s">
        <v>16</v>
      </c>
      <c r="K1036" s="2" t="s">
        <v>23</v>
      </c>
    </row>
    <row r="1037" spans="1:11" x14ac:dyDescent="0.35">
      <c r="A1037" s="2" t="s">
        <v>1448</v>
      </c>
      <c r="B1037" s="3">
        <v>45361</v>
      </c>
      <c r="C1037" s="2" t="s">
        <v>531</v>
      </c>
      <c r="D1037" s="2" t="s">
        <v>26</v>
      </c>
      <c r="E1037" s="2" t="s">
        <v>40</v>
      </c>
      <c r="F1037" s="4">
        <v>9</v>
      </c>
      <c r="G1037" s="4">
        <v>470</v>
      </c>
      <c r="H1037" s="4">
        <v>27.1</v>
      </c>
      <c r="I1037" s="4">
        <v>3083.67</v>
      </c>
      <c r="J1037" s="2" t="s">
        <v>16</v>
      </c>
      <c r="K1037" s="2" t="s">
        <v>23</v>
      </c>
    </row>
    <row r="1038" spans="1:11" x14ac:dyDescent="0.35">
      <c r="A1038" s="2" t="s">
        <v>1449</v>
      </c>
      <c r="B1038" s="3">
        <v>45622</v>
      </c>
      <c r="C1038" s="2" t="s">
        <v>218</v>
      </c>
      <c r="D1038" s="2" t="s">
        <v>39</v>
      </c>
      <c r="E1038" s="2" t="s">
        <v>121</v>
      </c>
      <c r="F1038" s="4">
        <v>6</v>
      </c>
      <c r="G1038" s="4">
        <v>370</v>
      </c>
      <c r="H1038" s="4">
        <v>5.4</v>
      </c>
      <c r="I1038" s="4">
        <v>2100.12</v>
      </c>
      <c r="J1038" s="2" t="s">
        <v>16</v>
      </c>
      <c r="K1038" s="2" t="s">
        <v>23</v>
      </c>
    </row>
    <row r="1039" spans="1:11" x14ac:dyDescent="0.35">
      <c r="A1039" s="2" t="s">
        <v>1450</v>
      </c>
      <c r="B1039" s="3">
        <v>45496</v>
      </c>
      <c r="C1039" s="2" t="s">
        <v>542</v>
      </c>
      <c r="D1039" s="2" t="s">
        <v>390</v>
      </c>
      <c r="E1039" s="2" t="s">
        <v>232</v>
      </c>
      <c r="F1039" s="4">
        <v>10</v>
      </c>
      <c r="G1039" s="4">
        <v>3780</v>
      </c>
      <c r="H1039" s="4">
        <v>21.5</v>
      </c>
      <c r="I1039" s="4">
        <v>29673</v>
      </c>
      <c r="J1039" s="2" t="s">
        <v>22</v>
      </c>
      <c r="K1039" s="2" t="s">
        <v>41</v>
      </c>
    </row>
    <row r="1040" spans="1:11" x14ac:dyDescent="0.35">
      <c r="A1040" s="2" t="s">
        <v>1451</v>
      </c>
      <c r="B1040" s="3">
        <v>45578</v>
      </c>
      <c r="C1040" s="2" t="s">
        <v>419</v>
      </c>
      <c r="D1040" s="2" t="s">
        <v>444</v>
      </c>
      <c r="E1040" s="2" t="s">
        <v>133</v>
      </c>
      <c r="F1040" s="4">
        <v>4</v>
      </c>
      <c r="G1040" s="4">
        <v>6940</v>
      </c>
      <c r="H1040" s="4">
        <v>3.9</v>
      </c>
      <c r="I1040" s="4">
        <v>26677.360000000001</v>
      </c>
      <c r="J1040" s="2" t="s">
        <v>69</v>
      </c>
      <c r="K1040" s="2" t="s">
        <v>28</v>
      </c>
    </row>
    <row r="1041" spans="1:11" x14ac:dyDescent="0.35">
      <c r="A1041" s="2" t="s">
        <v>1452</v>
      </c>
      <c r="B1041" s="3">
        <v>45476</v>
      </c>
      <c r="C1041" s="2" t="s">
        <v>462</v>
      </c>
      <c r="D1041" s="2" t="s">
        <v>155</v>
      </c>
      <c r="E1041" s="2" t="s">
        <v>214</v>
      </c>
      <c r="F1041" s="4">
        <v>3</v>
      </c>
      <c r="G1041" s="4">
        <v>3730</v>
      </c>
      <c r="H1041" s="4">
        <v>20.7</v>
      </c>
      <c r="I1041" s="4">
        <v>8873.67</v>
      </c>
      <c r="J1041" s="2" t="s">
        <v>16</v>
      </c>
      <c r="K1041" s="2" t="s">
        <v>28</v>
      </c>
    </row>
    <row r="1042" spans="1:11" x14ac:dyDescent="0.35">
      <c r="A1042" s="2" t="s">
        <v>1453</v>
      </c>
      <c r="B1042" s="3">
        <v>45300</v>
      </c>
      <c r="C1042" s="2" t="s">
        <v>984</v>
      </c>
      <c r="D1042" s="2" t="s">
        <v>372</v>
      </c>
      <c r="E1042" s="2" t="s">
        <v>40</v>
      </c>
      <c r="F1042" s="4">
        <v>8</v>
      </c>
      <c r="G1042" s="4">
        <v>5080</v>
      </c>
      <c r="H1042" s="4">
        <v>6.2</v>
      </c>
      <c r="I1042" s="4">
        <v>38120.32</v>
      </c>
      <c r="J1042" s="2" t="s">
        <v>16</v>
      </c>
      <c r="K1042" s="2" t="s">
        <v>41</v>
      </c>
    </row>
    <row r="1043" spans="1:11" x14ac:dyDescent="0.35">
      <c r="A1043" s="2" t="s">
        <v>1454</v>
      </c>
      <c r="B1043" s="3">
        <v>45455</v>
      </c>
      <c r="C1043" s="2" t="s">
        <v>95</v>
      </c>
      <c r="D1043" s="2" t="s">
        <v>289</v>
      </c>
      <c r="E1043" s="2" t="s">
        <v>144</v>
      </c>
      <c r="F1043" s="4">
        <v>5</v>
      </c>
      <c r="G1043" s="4">
        <v>5410</v>
      </c>
      <c r="H1043" s="4">
        <v>5.2</v>
      </c>
      <c r="I1043" s="4">
        <v>25643.4</v>
      </c>
      <c r="J1043" s="2" t="s">
        <v>16</v>
      </c>
      <c r="K1043" s="2" t="s">
        <v>62</v>
      </c>
    </row>
    <row r="1044" spans="1:11" x14ac:dyDescent="0.35">
      <c r="A1044" s="2" t="s">
        <v>1455</v>
      </c>
      <c r="B1044" s="3">
        <v>45404</v>
      </c>
      <c r="C1044" s="2" t="s">
        <v>349</v>
      </c>
      <c r="D1044" s="2" t="s">
        <v>102</v>
      </c>
      <c r="E1044" s="2" t="s">
        <v>130</v>
      </c>
      <c r="F1044" s="4">
        <v>6</v>
      </c>
      <c r="G1044" s="4">
        <v>2720</v>
      </c>
      <c r="H1044" s="4">
        <v>29.8</v>
      </c>
      <c r="I1044" s="4">
        <v>11456.64</v>
      </c>
      <c r="J1044" s="2" t="s">
        <v>22</v>
      </c>
      <c r="K1044" s="2" t="s">
        <v>28</v>
      </c>
    </row>
    <row r="1045" spans="1:11" x14ac:dyDescent="0.35">
      <c r="A1045" s="2" t="s">
        <v>1456</v>
      </c>
      <c r="B1045" s="3">
        <v>45468</v>
      </c>
      <c r="C1045" s="2" t="s">
        <v>305</v>
      </c>
      <c r="D1045" s="2" t="s">
        <v>196</v>
      </c>
      <c r="E1045" s="2" t="s">
        <v>61</v>
      </c>
      <c r="F1045" s="4">
        <v>1</v>
      </c>
      <c r="G1045" s="4">
        <v>1220</v>
      </c>
      <c r="H1045" s="4">
        <v>22.6</v>
      </c>
      <c r="I1045" s="4">
        <v>944.28</v>
      </c>
      <c r="J1045" s="2" t="s">
        <v>16</v>
      </c>
      <c r="K1045" s="2" t="s">
        <v>46</v>
      </c>
    </row>
    <row r="1046" spans="1:11" x14ac:dyDescent="0.35">
      <c r="A1046" s="2" t="s">
        <v>1457</v>
      </c>
      <c r="B1046" s="3">
        <v>45640</v>
      </c>
      <c r="C1046" s="2" t="s">
        <v>1458</v>
      </c>
      <c r="D1046" s="2" t="s">
        <v>113</v>
      </c>
      <c r="E1046" s="2" t="s">
        <v>36</v>
      </c>
      <c r="F1046" s="4">
        <v>10</v>
      </c>
      <c r="G1046" s="4">
        <v>4880</v>
      </c>
      <c r="H1046" s="4">
        <v>7.3</v>
      </c>
      <c r="I1046" s="4">
        <v>45237.599999999999</v>
      </c>
      <c r="J1046" s="2" t="s">
        <v>16</v>
      </c>
      <c r="K1046" s="2" t="s">
        <v>23</v>
      </c>
    </row>
    <row r="1047" spans="1:11" x14ac:dyDescent="0.35">
      <c r="A1047" s="2" t="s">
        <v>1459</v>
      </c>
      <c r="B1047" s="3">
        <v>45450</v>
      </c>
      <c r="C1047" s="2" t="s">
        <v>801</v>
      </c>
      <c r="D1047" s="2" t="s">
        <v>174</v>
      </c>
      <c r="E1047" s="2" t="s">
        <v>87</v>
      </c>
      <c r="F1047" s="4">
        <v>10</v>
      </c>
      <c r="G1047" s="4">
        <v>2270</v>
      </c>
      <c r="H1047" s="4">
        <v>1.6</v>
      </c>
      <c r="I1047" s="4">
        <v>22336.799999999999</v>
      </c>
      <c r="J1047" s="2" t="s">
        <v>16</v>
      </c>
      <c r="K1047" s="2" t="s">
        <v>41</v>
      </c>
    </row>
    <row r="1048" spans="1:11" x14ac:dyDescent="0.35">
      <c r="A1048" s="2" t="s">
        <v>1460</v>
      </c>
      <c r="B1048" s="3">
        <v>45589</v>
      </c>
      <c r="C1048" s="2" t="s">
        <v>336</v>
      </c>
      <c r="D1048" s="2" t="s">
        <v>56</v>
      </c>
      <c r="E1048" s="2" t="s">
        <v>77</v>
      </c>
      <c r="F1048" s="4">
        <v>8</v>
      </c>
      <c r="G1048" s="4">
        <v>970</v>
      </c>
      <c r="H1048" s="4">
        <v>13.1</v>
      </c>
      <c r="I1048" s="4">
        <v>6743.44</v>
      </c>
      <c r="J1048" s="2" t="s">
        <v>16</v>
      </c>
      <c r="K1048" s="2" t="s">
        <v>17</v>
      </c>
    </row>
    <row r="1049" spans="1:11" x14ac:dyDescent="0.35">
      <c r="A1049" s="2" t="s">
        <v>1461</v>
      </c>
      <c r="B1049" s="3">
        <v>45646</v>
      </c>
      <c r="C1049" s="2" t="s">
        <v>311</v>
      </c>
      <c r="D1049" s="2" t="s">
        <v>296</v>
      </c>
      <c r="E1049" s="2" t="s">
        <v>254</v>
      </c>
      <c r="F1049" s="4">
        <v>7</v>
      </c>
      <c r="G1049" s="4">
        <v>2380</v>
      </c>
      <c r="H1049" s="4">
        <v>10.6</v>
      </c>
      <c r="I1049" s="4">
        <v>14894.04</v>
      </c>
      <c r="J1049" s="2" t="s">
        <v>69</v>
      </c>
      <c r="K1049" s="2" t="s">
        <v>28</v>
      </c>
    </row>
    <row r="1050" spans="1:11" x14ac:dyDescent="0.35">
      <c r="A1050" s="2" t="s">
        <v>1462</v>
      </c>
      <c r="B1050" s="3">
        <v>45488</v>
      </c>
      <c r="C1050" s="2" t="s">
        <v>1463</v>
      </c>
      <c r="D1050" s="2" t="s">
        <v>14</v>
      </c>
      <c r="E1050" s="2" t="s">
        <v>275</v>
      </c>
      <c r="F1050" s="4">
        <v>6</v>
      </c>
      <c r="G1050" s="4">
        <v>3620</v>
      </c>
      <c r="H1050" s="4">
        <v>21.3</v>
      </c>
      <c r="I1050" s="4">
        <v>17093.64</v>
      </c>
      <c r="J1050" s="2" t="s">
        <v>69</v>
      </c>
      <c r="K1050" s="2" t="s">
        <v>62</v>
      </c>
    </row>
    <row r="1051" spans="1:11" x14ac:dyDescent="0.35">
      <c r="A1051" s="2" t="s">
        <v>1464</v>
      </c>
      <c r="B1051" s="3">
        <v>45555</v>
      </c>
      <c r="C1051" s="2" t="s">
        <v>419</v>
      </c>
      <c r="D1051" s="2" t="s">
        <v>193</v>
      </c>
      <c r="E1051" s="2" t="s">
        <v>272</v>
      </c>
      <c r="F1051" s="4">
        <v>3</v>
      </c>
      <c r="G1051" s="4">
        <v>4070</v>
      </c>
      <c r="H1051" s="4">
        <v>8.1999999999999993</v>
      </c>
      <c r="I1051" s="4">
        <v>11208.78</v>
      </c>
      <c r="J1051" s="2" t="s">
        <v>69</v>
      </c>
      <c r="K1051" s="2" t="s">
        <v>28</v>
      </c>
    </row>
    <row r="1052" spans="1:11" x14ac:dyDescent="0.35">
      <c r="A1052" s="2" t="s">
        <v>1465</v>
      </c>
      <c r="B1052" s="3">
        <v>45578</v>
      </c>
      <c r="C1052" s="2" t="s">
        <v>383</v>
      </c>
      <c r="D1052" s="2" t="s">
        <v>120</v>
      </c>
      <c r="E1052" s="2" t="s">
        <v>130</v>
      </c>
      <c r="F1052" s="4">
        <v>8</v>
      </c>
      <c r="G1052" s="4">
        <v>5100</v>
      </c>
      <c r="H1052" s="4">
        <v>26.9</v>
      </c>
      <c r="I1052" s="4">
        <v>29824.799999999999</v>
      </c>
      <c r="J1052" s="2" t="s">
        <v>16</v>
      </c>
      <c r="K1052" s="2" t="s">
        <v>62</v>
      </c>
    </row>
    <row r="1053" spans="1:11" x14ac:dyDescent="0.35">
      <c r="A1053" s="2" t="s">
        <v>1217</v>
      </c>
      <c r="B1053" s="3">
        <v>45296</v>
      </c>
      <c r="C1053" s="2" t="s">
        <v>801</v>
      </c>
      <c r="D1053" s="2" t="s">
        <v>205</v>
      </c>
      <c r="E1053" s="2" t="s">
        <v>167</v>
      </c>
      <c r="F1053" s="4">
        <v>3</v>
      </c>
      <c r="G1053" s="4">
        <v>3020</v>
      </c>
      <c r="H1053" s="4">
        <v>18.5</v>
      </c>
      <c r="I1053" s="4">
        <v>7383.9</v>
      </c>
      <c r="J1053" s="2" t="s">
        <v>69</v>
      </c>
      <c r="K1053" s="2" t="s">
        <v>41</v>
      </c>
    </row>
    <row r="1054" spans="1:11" x14ac:dyDescent="0.35">
      <c r="A1054" s="2" t="s">
        <v>1466</v>
      </c>
      <c r="B1054" s="3">
        <v>45564</v>
      </c>
      <c r="C1054" s="2" t="s">
        <v>1025</v>
      </c>
      <c r="D1054" s="2" t="s">
        <v>309</v>
      </c>
      <c r="E1054" s="2" t="s">
        <v>226</v>
      </c>
      <c r="F1054" s="4">
        <v>8</v>
      </c>
      <c r="G1054" s="4">
        <v>960</v>
      </c>
      <c r="H1054" s="4">
        <v>7.1</v>
      </c>
      <c r="I1054" s="4">
        <v>7134.72</v>
      </c>
      <c r="J1054" s="2" t="s">
        <v>16</v>
      </c>
      <c r="K1054" s="2" t="s">
        <v>17</v>
      </c>
    </row>
    <row r="1055" spans="1:11" x14ac:dyDescent="0.35">
      <c r="A1055" s="2" t="s">
        <v>1467</v>
      </c>
      <c r="B1055" s="3">
        <v>45383</v>
      </c>
      <c r="C1055" s="2" t="s">
        <v>531</v>
      </c>
      <c r="D1055" s="2" t="s">
        <v>372</v>
      </c>
      <c r="E1055" s="2" t="s">
        <v>117</v>
      </c>
      <c r="F1055" s="4">
        <v>8</v>
      </c>
      <c r="G1055" s="4">
        <v>5080</v>
      </c>
      <c r="H1055" s="4">
        <v>6.2</v>
      </c>
      <c r="I1055" s="4">
        <v>38120.32</v>
      </c>
      <c r="J1055" s="2" t="s">
        <v>16</v>
      </c>
      <c r="K1055" s="2" t="s">
        <v>23</v>
      </c>
    </row>
    <row r="1056" spans="1:11" x14ac:dyDescent="0.35">
      <c r="A1056" s="2" t="s">
        <v>1468</v>
      </c>
      <c r="B1056" s="3">
        <v>45436</v>
      </c>
      <c r="C1056" s="2" t="s">
        <v>470</v>
      </c>
      <c r="D1056" s="2" t="s">
        <v>170</v>
      </c>
      <c r="E1056" s="2" t="s">
        <v>61</v>
      </c>
      <c r="F1056" s="4">
        <v>6</v>
      </c>
      <c r="G1056" s="4">
        <v>6080</v>
      </c>
      <c r="H1056" s="4">
        <v>25.8</v>
      </c>
      <c r="I1056" s="4">
        <v>27068.16</v>
      </c>
      <c r="J1056" s="2" t="s">
        <v>16</v>
      </c>
      <c r="K1056" s="2" t="s">
        <v>23</v>
      </c>
    </row>
    <row r="1057" spans="1:11" x14ac:dyDescent="0.35">
      <c r="A1057" s="2" t="s">
        <v>1469</v>
      </c>
      <c r="B1057" s="3">
        <v>45544</v>
      </c>
      <c r="C1057" s="2" t="s">
        <v>468</v>
      </c>
      <c r="D1057" s="2" t="s">
        <v>188</v>
      </c>
      <c r="E1057" s="2" t="s">
        <v>61</v>
      </c>
      <c r="F1057" s="4">
        <v>5</v>
      </c>
      <c r="G1057" s="4">
        <v>1540</v>
      </c>
      <c r="H1057" s="4">
        <v>24.6</v>
      </c>
      <c r="I1057" s="4">
        <v>5805.8</v>
      </c>
      <c r="J1057" s="2" t="s">
        <v>16</v>
      </c>
      <c r="K1057" s="2" t="s">
        <v>62</v>
      </c>
    </row>
    <row r="1058" spans="1:11" x14ac:dyDescent="0.35">
      <c r="A1058" s="2" t="s">
        <v>1470</v>
      </c>
      <c r="B1058" s="3">
        <v>45404</v>
      </c>
      <c r="C1058" s="2" t="s">
        <v>708</v>
      </c>
      <c r="D1058" s="2" t="s">
        <v>111</v>
      </c>
      <c r="E1058" s="2" t="s">
        <v>45</v>
      </c>
      <c r="F1058" s="4">
        <v>4</v>
      </c>
      <c r="G1058" s="4">
        <v>1010</v>
      </c>
      <c r="H1058" s="4">
        <v>2.9</v>
      </c>
      <c r="I1058" s="4">
        <v>3922.84</v>
      </c>
      <c r="J1058" s="2" t="s">
        <v>22</v>
      </c>
      <c r="K1058" s="2" t="s">
        <v>46</v>
      </c>
    </row>
    <row r="1059" spans="1:11" x14ac:dyDescent="0.35">
      <c r="A1059" s="2" t="s">
        <v>1471</v>
      </c>
      <c r="B1059" s="3">
        <v>45586</v>
      </c>
      <c r="C1059" s="2" t="s">
        <v>462</v>
      </c>
      <c r="D1059" s="2" t="s">
        <v>309</v>
      </c>
      <c r="E1059" s="2" t="s">
        <v>130</v>
      </c>
      <c r="F1059" s="4">
        <v>5</v>
      </c>
      <c r="G1059" s="4">
        <v>960</v>
      </c>
      <c r="H1059" s="4">
        <v>11.4</v>
      </c>
      <c r="I1059" s="4">
        <v>4252.8</v>
      </c>
      <c r="J1059" s="2" t="s">
        <v>16</v>
      </c>
      <c r="K1059" s="2" t="s">
        <v>28</v>
      </c>
    </row>
    <row r="1060" spans="1:11" x14ac:dyDescent="0.35">
      <c r="A1060" s="2" t="s">
        <v>1472</v>
      </c>
      <c r="B1060" s="3">
        <v>45524</v>
      </c>
      <c r="C1060" s="2" t="s">
        <v>160</v>
      </c>
      <c r="D1060" s="2" t="s">
        <v>188</v>
      </c>
      <c r="E1060" s="2" t="s">
        <v>61</v>
      </c>
      <c r="F1060" s="4">
        <v>1</v>
      </c>
      <c r="G1060" s="4">
        <v>1540</v>
      </c>
      <c r="H1060" s="4">
        <v>5.6</v>
      </c>
      <c r="I1060" s="4">
        <v>1453.76</v>
      </c>
      <c r="J1060" s="2" t="s">
        <v>16</v>
      </c>
      <c r="K1060" s="2" t="s">
        <v>46</v>
      </c>
    </row>
    <row r="1061" spans="1:11" x14ac:dyDescent="0.35">
      <c r="A1061" s="2" t="s">
        <v>1473</v>
      </c>
      <c r="B1061" s="3">
        <v>45397</v>
      </c>
      <c r="C1061" s="2" t="s">
        <v>932</v>
      </c>
      <c r="D1061" s="2" t="s">
        <v>108</v>
      </c>
      <c r="E1061" s="2" t="s">
        <v>50</v>
      </c>
      <c r="F1061" s="4">
        <v>9</v>
      </c>
      <c r="G1061" s="4">
        <v>3350</v>
      </c>
      <c r="H1061" s="4">
        <v>2.1</v>
      </c>
      <c r="I1061" s="4">
        <v>29516.85</v>
      </c>
      <c r="J1061" s="2" t="s">
        <v>16</v>
      </c>
      <c r="K1061" s="2" t="s">
        <v>28</v>
      </c>
    </row>
    <row r="1062" spans="1:11" x14ac:dyDescent="0.35">
      <c r="A1062" s="2" t="s">
        <v>1474</v>
      </c>
      <c r="B1062" s="3">
        <v>45336</v>
      </c>
      <c r="C1062" s="2" t="s">
        <v>837</v>
      </c>
      <c r="D1062" s="2" t="s">
        <v>90</v>
      </c>
      <c r="E1062" s="2" t="s">
        <v>87</v>
      </c>
      <c r="F1062" s="4">
        <v>7</v>
      </c>
      <c r="G1062" s="4">
        <v>3450</v>
      </c>
      <c r="H1062" s="4">
        <v>4.7</v>
      </c>
      <c r="I1062" s="4">
        <v>23014.95</v>
      </c>
      <c r="J1062" s="2" t="s">
        <v>16</v>
      </c>
      <c r="K1062" s="2" t="s">
        <v>62</v>
      </c>
    </row>
    <row r="1063" spans="1:11" x14ac:dyDescent="0.35">
      <c r="A1063" s="2" t="s">
        <v>1475</v>
      </c>
      <c r="B1063" s="3">
        <v>45594</v>
      </c>
      <c r="C1063" s="2" t="s">
        <v>223</v>
      </c>
      <c r="D1063" s="2" t="s">
        <v>44</v>
      </c>
      <c r="E1063" s="2" t="s">
        <v>50</v>
      </c>
      <c r="F1063" s="4">
        <v>10</v>
      </c>
      <c r="G1063" s="4">
        <v>960</v>
      </c>
      <c r="H1063" s="4">
        <v>17.899999999999999</v>
      </c>
      <c r="I1063" s="4">
        <v>7881.6</v>
      </c>
      <c r="J1063" s="2" t="s">
        <v>16</v>
      </c>
      <c r="K1063" s="2" t="s">
        <v>62</v>
      </c>
    </row>
    <row r="1064" spans="1:11" x14ac:dyDescent="0.35">
      <c r="A1064" s="2" t="s">
        <v>1476</v>
      </c>
      <c r="B1064" s="3">
        <v>45617</v>
      </c>
      <c r="C1064" s="2" t="s">
        <v>358</v>
      </c>
      <c r="D1064" s="2" t="s">
        <v>166</v>
      </c>
      <c r="E1064" s="2" t="s">
        <v>27</v>
      </c>
      <c r="F1064" s="4">
        <v>1</v>
      </c>
      <c r="G1064" s="4">
        <v>3640</v>
      </c>
      <c r="H1064" s="4">
        <v>8.8000000000000007</v>
      </c>
      <c r="I1064" s="4">
        <v>3319.68</v>
      </c>
      <c r="J1064" s="2" t="s">
        <v>16</v>
      </c>
      <c r="K1064" s="2" t="s">
        <v>46</v>
      </c>
    </row>
    <row r="1065" spans="1:11" x14ac:dyDescent="0.35">
      <c r="A1065" s="2" t="s">
        <v>1477</v>
      </c>
      <c r="B1065" s="3">
        <v>45378</v>
      </c>
      <c r="C1065" s="2" t="s">
        <v>708</v>
      </c>
      <c r="D1065" s="2" t="s">
        <v>267</v>
      </c>
      <c r="E1065" s="2" t="s">
        <v>167</v>
      </c>
      <c r="F1065" s="4">
        <v>1</v>
      </c>
      <c r="G1065" s="4">
        <v>2210</v>
      </c>
      <c r="H1065" s="4">
        <v>10.7</v>
      </c>
      <c r="I1065" s="4">
        <v>1973.53</v>
      </c>
      <c r="J1065" s="2" t="s">
        <v>16</v>
      </c>
      <c r="K1065" s="2" t="s">
        <v>46</v>
      </c>
    </row>
    <row r="1066" spans="1:11" x14ac:dyDescent="0.35">
      <c r="A1066" s="2" t="s">
        <v>1478</v>
      </c>
      <c r="B1066" s="3">
        <v>45318</v>
      </c>
      <c r="C1066" s="2" t="s">
        <v>30</v>
      </c>
      <c r="D1066" s="2" t="s">
        <v>155</v>
      </c>
      <c r="E1066" s="2" t="s">
        <v>21</v>
      </c>
      <c r="F1066" s="4">
        <v>2</v>
      </c>
      <c r="G1066" s="4">
        <v>3730</v>
      </c>
      <c r="H1066" s="4">
        <v>13.9</v>
      </c>
      <c r="I1066" s="4">
        <v>6423.06</v>
      </c>
      <c r="J1066" s="2" t="s">
        <v>16</v>
      </c>
      <c r="K1066" s="2" t="s">
        <v>28</v>
      </c>
    </row>
    <row r="1067" spans="1:11" x14ac:dyDescent="0.35">
      <c r="A1067" s="2" t="s">
        <v>1479</v>
      </c>
      <c r="B1067" s="3">
        <v>45542</v>
      </c>
      <c r="C1067" s="2" t="s">
        <v>356</v>
      </c>
      <c r="D1067" s="2" t="s">
        <v>289</v>
      </c>
      <c r="E1067" s="2" t="s">
        <v>61</v>
      </c>
      <c r="F1067" s="4">
        <v>7</v>
      </c>
      <c r="G1067" s="4">
        <v>5410</v>
      </c>
      <c r="H1067" s="4">
        <v>23.6</v>
      </c>
      <c r="I1067" s="4">
        <v>28932.68</v>
      </c>
      <c r="J1067" s="2" t="s">
        <v>16</v>
      </c>
      <c r="K1067" s="2" t="s">
        <v>17</v>
      </c>
    </row>
    <row r="1068" spans="1:11" x14ac:dyDescent="0.35">
      <c r="A1068" s="2" t="s">
        <v>1480</v>
      </c>
      <c r="B1068" s="3">
        <v>45618</v>
      </c>
      <c r="C1068" s="2" t="s">
        <v>801</v>
      </c>
      <c r="D1068" s="2" t="s">
        <v>163</v>
      </c>
      <c r="E1068" s="2" t="s">
        <v>232</v>
      </c>
      <c r="F1068" s="4">
        <v>7</v>
      </c>
      <c r="G1068" s="4">
        <v>3780</v>
      </c>
      <c r="H1068" s="4">
        <v>8.5</v>
      </c>
      <c r="I1068" s="4">
        <v>24210.9</v>
      </c>
      <c r="J1068" s="2" t="s">
        <v>69</v>
      </c>
      <c r="K1068" s="2" t="s">
        <v>41</v>
      </c>
    </row>
    <row r="1069" spans="1:11" x14ac:dyDescent="0.35">
      <c r="A1069" s="2" t="s">
        <v>1481</v>
      </c>
      <c r="B1069" s="3">
        <v>45555</v>
      </c>
      <c r="C1069" s="2" t="s">
        <v>187</v>
      </c>
      <c r="D1069" s="2" t="s">
        <v>199</v>
      </c>
      <c r="E1069" s="2" t="s">
        <v>275</v>
      </c>
      <c r="F1069" s="4">
        <v>9</v>
      </c>
      <c r="G1069" s="4">
        <v>4610</v>
      </c>
      <c r="H1069" s="4">
        <v>26.6</v>
      </c>
      <c r="I1069" s="4">
        <v>30453.66</v>
      </c>
      <c r="J1069" s="2" t="s">
        <v>16</v>
      </c>
      <c r="K1069" s="2" t="s">
        <v>28</v>
      </c>
    </row>
    <row r="1070" spans="1:11" x14ac:dyDescent="0.35">
      <c r="A1070" s="2" t="s">
        <v>1482</v>
      </c>
      <c r="B1070" s="3">
        <v>45373</v>
      </c>
      <c r="C1070" s="2" t="s">
        <v>531</v>
      </c>
      <c r="D1070" s="2" t="s">
        <v>64</v>
      </c>
      <c r="E1070" s="2" t="s">
        <v>40</v>
      </c>
      <c r="F1070" s="4">
        <v>5</v>
      </c>
      <c r="G1070" s="4">
        <v>2640</v>
      </c>
      <c r="H1070" s="4">
        <v>1.5</v>
      </c>
      <c r="I1070" s="4">
        <v>13002</v>
      </c>
      <c r="J1070" s="2" t="s">
        <v>16</v>
      </c>
      <c r="K1070" s="2" t="s">
        <v>23</v>
      </c>
    </row>
    <row r="1071" spans="1:11" x14ac:dyDescent="0.35">
      <c r="A1071" s="2" t="s">
        <v>1483</v>
      </c>
      <c r="B1071" s="3">
        <v>45515</v>
      </c>
      <c r="C1071" s="2" t="s">
        <v>152</v>
      </c>
      <c r="D1071" s="2" t="s">
        <v>14</v>
      </c>
      <c r="E1071" s="2" t="s">
        <v>61</v>
      </c>
      <c r="F1071" s="4">
        <v>3</v>
      </c>
      <c r="G1071" s="4">
        <v>3620</v>
      </c>
      <c r="H1071" s="4">
        <v>3.1</v>
      </c>
      <c r="I1071" s="4">
        <v>10523.34</v>
      </c>
      <c r="J1071" s="2" t="s">
        <v>16</v>
      </c>
      <c r="K1071" s="2" t="s">
        <v>28</v>
      </c>
    </row>
    <row r="1072" spans="1:11" x14ac:dyDescent="0.35">
      <c r="A1072" s="2" t="s">
        <v>1484</v>
      </c>
      <c r="B1072" s="3">
        <v>45530</v>
      </c>
      <c r="C1072" s="2" t="s">
        <v>726</v>
      </c>
      <c r="D1072" s="2" t="s">
        <v>26</v>
      </c>
      <c r="E1072" s="2" t="s">
        <v>232</v>
      </c>
      <c r="F1072" s="4">
        <v>5</v>
      </c>
      <c r="G1072" s="4">
        <v>470</v>
      </c>
      <c r="H1072" s="4">
        <v>10.6</v>
      </c>
      <c r="I1072" s="4">
        <v>2100.9</v>
      </c>
      <c r="J1072" s="2" t="s">
        <v>69</v>
      </c>
      <c r="K1072" s="2" t="s">
        <v>28</v>
      </c>
    </row>
    <row r="1073" spans="1:11" x14ac:dyDescent="0.35">
      <c r="A1073" s="2" t="s">
        <v>1485</v>
      </c>
      <c r="B1073" s="3">
        <v>45463</v>
      </c>
      <c r="C1073" s="2" t="s">
        <v>190</v>
      </c>
      <c r="D1073" s="2" t="s">
        <v>293</v>
      </c>
      <c r="E1073" s="2" t="s">
        <v>133</v>
      </c>
      <c r="F1073" s="4">
        <v>7</v>
      </c>
      <c r="G1073" s="4">
        <v>5330</v>
      </c>
      <c r="H1073" s="4">
        <v>25</v>
      </c>
      <c r="I1073" s="4">
        <v>27982.5</v>
      </c>
      <c r="J1073" s="2" t="s">
        <v>69</v>
      </c>
      <c r="K1073" s="2" t="s">
        <v>28</v>
      </c>
    </row>
    <row r="1074" spans="1:11" x14ac:dyDescent="0.35">
      <c r="A1074" s="2" t="s">
        <v>1486</v>
      </c>
      <c r="B1074" s="3">
        <v>45292</v>
      </c>
      <c r="C1074" s="2" t="s">
        <v>731</v>
      </c>
      <c r="D1074" s="2" t="s">
        <v>170</v>
      </c>
      <c r="E1074" s="2" t="s">
        <v>27</v>
      </c>
      <c r="F1074" s="4">
        <v>1</v>
      </c>
      <c r="G1074" s="4">
        <v>6080</v>
      </c>
      <c r="H1074" s="4">
        <v>27.8</v>
      </c>
      <c r="I1074" s="4">
        <v>4389.76</v>
      </c>
      <c r="J1074" s="2" t="s">
        <v>16</v>
      </c>
      <c r="K1074" s="2" t="s">
        <v>23</v>
      </c>
    </row>
    <row r="1075" spans="1:11" x14ac:dyDescent="0.35">
      <c r="A1075" s="2" t="s">
        <v>1487</v>
      </c>
      <c r="B1075" s="3">
        <v>45347</v>
      </c>
      <c r="C1075" s="2" t="s">
        <v>135</v>
      </c>
      <c r="D1075" s="2" t="s">
        <v>108</v>
      </c>
      <c r="E1075" s="2" t="s">
        <v>45</v>
      </c>
      <c r="F1075" s="4">
        <v>6</v>
      </c>
      <c r="G1075" s="4">
        <v>3350</v>
      </c>
      <c r="H1075" s="4">
        <v>12</v>
      </c>
      <c r="I1075" s="4">
        <v>17688</v>
      </c>
      <c r="J1075" s="2" t="s">
        <v>16</v>
      </c>
      <c r="K1075" s="2" t="s">
        <v>62</v>
      </c>
    </row>
    <row r="1076" spans="1:11" x14ac:dyDescent="0.35">
      <c r="A1076" s="2" t="s">
        <v>1488</v>
      </c>
      <c r="B1076" s="3">
        <v>45592</v>
      </c>
      <c r="C1076" s="2" t="s">
        <v>1489</v>
      </c>
      <c r="D1076" s="2" t="s">
        <v>444</v>
      </c>
      <c r="E1076" s="2" t="s">
        <v>272</v>
      </c>
      <c r="F1076" s="4">
        <v>6</v>
      </c>
      <c r="G1076" s="4">
        <v>6940</v>
      </c>
      <c r="H1076" s="4">
        <v>20</v>
      </c>
      <c r="I1076" s="4">
        <v>33312</v>
      </c>
      <c r="J1076" s="2" t="s">
        <v>16</v>
      </c>
      <c r="K1076" s="2" t="s">
        <v>23</v>
      </c>
    </row>
    <row r="1077" spans="1:11" x14ac:dyDescent="0.35">
      <c r="A1077" s="2" t="s">
        <v>1490</v>
      </c>
      <c r="B1077" s="3">
        <v>45636</v>
      </c>
      <c r="C1077" s="2" t="s">
        <v>234</v>
      </c>
      <c r="D1077" s="2" t="s">
        <v>39</v>
      </c>
      <c r="E1077" s="2" t="s">
        <v>15</v>
      </c>
      <c r="F1077" s="4">
        <v>1</v>
      </c>
      <c r="G1077" s="4">
        <v>370</v>
      </c>
      <c r="H1077" s="4">
        <v>10</v>
      </c>
      <c r="I1077" s="4">
        <v>333</v>
      </c>
      <c r="J1077" s="2" t="s">
        <v>16</v>
      </c>
      <c r="K1077" s="2" t="s">
        <v>62</v>
      </c>
    </row>
    <row r="1078" spans="1:11" x14ac:dyDescent="0.35">
      <c r="A1078" s="2" t="s">
        <v>1491</v>
      </c>
      <c r="B1078" s="3">
        <v>45432</v>
      </c>
      <c r="C1078" s="2" t="s">
        <v>945</v>
      </c>
      <c r="D1078" s="2" t="s">
        <v>53</v>
      </c>
      <c r="E1078" s="2" t="s">
        <v>121</v>
      </c>
      <c r="F1078" s="4">
        <v>2</v>
      </c>
      <c r="G1078" s="4">
        <v>5490</v>
      </c>
      <c r="H1078" s="4">
        <v>27.9</v>
      </c>
      <c r="I1078" s="4">
        <v>7916.58</v>
      </c>
      <c r="J1078" s="2" t="s">
        <v>16</v>
      </c>
      <c r="K1078" s="2" t="s">
        <v>46</v>
      </c>
    </row>
    <row r="1079" spans="1:11" x14ac:dyDescent="0.35">
      <c r="A1079" s="2" t="s">
        <v>1492</v>
      </c>
      <c r="B1079" s="3">
        <v>45479</v>
      </c>
      <c r="C1079" s="2" t="s">
        <v>965</v>
      </c>
      <c r="D1079" s="2" t="s">
        <v>31</v>
      </c>
      <c r="E1079" s="2" t="s">
        <v>133</v>
      </c>
      <c r="F1079" s="4">
        <v>5</v>
      </c>
      <c r="G1079" s="4">
        <v>3660</v>
      </c>
      <c r="H1079" s="4">
        <v>4.5999999999999996</v>
      </c>
      <c r="I1079" s="4">
        <v>17458.2</v>
      </c>
      <c r="J1079" s="2" t="s">
        <v>16</v>
      </c>
      <c r="K1079" s="2" t="s">
        <v>41</v>
      </c>
    </row>
    <row r="1080" spans="1:11" x14ac:dyDescent="0.35">
      <c r="A1080" s="2" t="s">
        <v>1493</v>
      </c>
      <c r="B1080" s="3">
        <v>45563</v>
      </c>
      <c r="C1080" s="2" t="s">
        <v>101</v>
      </c>
      <c r="D1080" s="2" t="s">
        <v>211</v>
      </c>
      <c r="E1080" s="2" t="s">
        <v>158</v>
      </c>
      <c r="F1080" s="4">
        <v>6</v>
      </c>
      <c r="G1080" s="4">
        <v>300</v>
      </c>
      <c r="H1080" s="4">
        <v>9</v>
      </c>
      <c r="I1080" s="4">
        <v>1638</v>
      </c>
      <c r="J1080" s="2" t="s">
        <v>16</v>
      </c>
      <c r="K1080" s="2" t="s">
        <v>17</v>
      </c>
    </row>
    <row r="1081" spans="1:11" x14ac:dyDescent="0.35">
      <c r="A1081" s="2" t="s">
        <v>1494</v>
      </c>
      <c r="B1081" s="3">
        <v>45523</v>
      </c>
      <c r="C1081" s="2" t="s">
        <v>79</v>
      </c>
      <c r="D1081" s="2" t="s">
        <v>211</v>
      </c>
      <c r="E1081" s="2" t="s">
        <v>254</v>
      </c>
      <c r="F1081" s="4">
        <v>3</v>
      </c>
      <c r="G1081" s="4">
        <v>300</v>
      </c>
      <c r="H1081" s="4">
        <v>19.2</v>
      </c>
      <c r="I1081" s="4">
        <v>727.2</v>
      </c>
      <c r="J1081" s="2" t="s">
        <v>16</v>
      </c>
      <c r="K1081" s="2" t="s">
        <v>17</v>
      </c>
    </row>
    <row r="1082" spans="1:11" x14ac:dyDescent="0.35">
      <c r="A1082" s="2" t="s">
        <v>1495</v>
      </c>
      <c r="B1082" s="3">
        <v>45537</v>
      </c>
      <c r="C1082" s="2" t="s">
        <v>19</v>
      </c>
      <c r="D1082" s="2" t="s">
        <v>309</v>
      </c>
      <c r="E1082" s="2" t="s">
        <v>27</v>
      </c>
      <c r="F1082" s="4">
        <v>6</v>
      </c>
      <c r="G1082" s="4">
        <v>960</v>
      </c>
      <c r="H1082" s="4">
        <v>29.3</v>
      </c>
      <c r="I1082" s="4">
        <v>4072.32</v>
      </c>
      <c r="J1082" s="2" t="s">
        <v>69</v>
      </c>
      <c r="K1082" s="2" t="s">
        <v>23</v>
      </c>
    </row>
    <row r="1083" spans="1:11" x14ac:dyDescent="0.35">
      <c r="A1083" s="2" t="s">
        <v>1496</v>
      </c>
      <c r="B1083" s="3">
        <v>45383</v>
      </c>
      <c r="C1083" s="2" t="s">
        <v>376</v>
      </c>
      <c r="D1083" s="2" t="s">
        <v>174</v>
      </c>
      <c r="E1083" s="2" t="s">
        <v>40</v>
      </c>
      <c r="F1083" s="4">
        <v>1</v>
      </c>
      <c r="G1083" s="4">
        <v>2270</v>
      </c>
      <c r="H1083" s="4">
        <v>12.4</v>
      </c>
      <c r="I1083" s="4">
        <v>1988.52</v>
      </c>
      <c r="J1083" s="2" t="s">
        <v>16</v>
      </c>
      <c r="K1083" s="2" t="s">
        <v>41</v>
      </c>
    </row>
    <row r="1084" spans="1:11" x14ac:dyDescent="0.35">
      <c r="A1084" s="2" t="s">
        <v>1497</v>
      </c>
      <c r="B1084" s="3">
        <v>45541</v>
      </c>
      <c r="C1084" s="2" t="s">
        <v>260</v>
      </c>
      <c r="D1084" s="2" t="s">
        <v>224</v>
      </c>
      <c r="E1084" s="2" t="s">
        <v>272</v>
      </c>
      <c r="F1084" s="4">
        <v>10</v>
      </c>
      <c r="G1084" s="4">
        <v>2030</v>
      </c>
      <c r="H1084" s="4">
        <v>4</v>
      </c>
      <c r="I1084" s="4">
        <v>19488</v>
      </c>
      <c r="J1084" s="2" t="s">
        <v>16</v>
      </c>
      <c r="K1084" s="2" t="s">
        <v>46</v>
      </c>
    </row>
    <row r="1085" spans="1:11" x14ac:dyDescent="0.35">
      <c r="A1085" s="2" t="s">
        <v>1498</v>
      </c>
      <c r="B1085" s="3">
        <v>45609</v>
      </c>
      <c r="C1085" s="2" t="s">
        <v>831</v>
      </c>
      <c r="D1085" s="2" t="s">
        <v>93</v>
      </c>
      <c r="E1085" s="2" t="s">
        <v>87</v>
      </c>
      <c r="F1085" s="4">
        <v>9</v>
      </c>
      <c r="G1085" s="4">
        <v>1080</v>
      </c>
      <c r="H1085" s="4">
        <v>19.2</v>
      </c>
      <c r="I1085" s="4">
        <v>7853.76</v>
      </c>
      <c r="J1085" s="2" t="s">
        <v>22</v>
      </c>
      <c r="K1085" s="2" t="s">
        <v>41</v>
      </c>
    </row>
    <row r="1086" spans="1:11" x14ac:dyDescent="0.35">
      <c r="A1086" s="2" t="s">
        <v>1499</v>
      </c>
      <c r="B1086" s="3">
        <v>45463</v>
      </c>
      <c r="C1086" s="2" t="s">
        <v>101</v>
      </c>
      <c r="D1086" s="2" t="s">
        <v>124</v>
      </c>
      <c r="E1086" s="2" t="s">
        <v>40</v>
      </c>
      <c r="F1086" s="4">
        <v>5</v>
      </c>
      <c r="G1086" s="4">
        <v>2860</v>
      </c>
      <c r="H1086" s="4">
        <v>25</v>
      </c>
      <c r="I1086" s="4">
        <v>10725</v>
      </c>
      <c r="J1086" s="2" t="s">
        <v>22</v>
      </c>
      <c r="K1086" s="2" t="s">
        <v>17</v>
      </c>
    </row>
    <row r="1087" spans="1:11" x14ac:dyDescent="0.35">
      <c r="A1087" s="2" t="s">
        <v>1500</v>
      </c>
      <c r="B1087" s="3">
        <v>45588</v>
      </c>
      <c r="C1087" s="2" t="s">
        <v>30</v>
      </c>
      <c r="D1087" s="2" t="s">
        <v>60</v>
      </c>
      <c r="E1087" s="2" t="s">
        <v>254</v>
      </c>
      <c r="F1087" s="4">
        <v>6</v>
      </c>
      <c r="G1087" s="4">
        <v>2270</v>
      </c>
      <c r="H1087" s="4">
        <v>9.3000000000000007</v>
      </c>
      <c r="I1087" s="4">
        <v>12353.34</v>
      </c>
      <c r="J1087" s="2" t="s">
        <v>16</v>
      </c>
      <c r="K1087" s="2" t="s">
        <v>28</v>
      </c>
    </row>
    <row r="1088" spans="1:11" x14ac:dyDescent="0.35">
      <c r="A1088" s="2" t="s">
        <v>1501</v>
      </c>
      <c r="B1088" s="3">
        <v>45328</v>
      </c>
      <c r="C1088" s="2" t="s">
        <v>564</v>
      </c>
      <c r="D1088" s="2" t="s">
        <v>102</v>
      </c>
      <c r="E1088" s="2" t="s">
        <v>45</v>
      </c>
      <c r="F1088" s="4">
        <v>1</v>
      </c>
      <c r="G1088" s="4">
        <v>2720</v>
      </c>
      <c r="H1088" s="4">
        <v>15.2</v>
      </c>
      <c r="I1088" s="4">
        <v>2306.56</v>
      </c>
      <c r="J1088" s="2" t="s">
        <v>16</v>
      </c>
      <c r="K1088" s="2" t="s">
        <v>28</v>
      </c>
    </row>
    <row r="1089" spans="1:11" x14ac:dyDescent="0.35">
      <c r="A1089" s="2" t="s">
        <v>1502</v>
      </c>
      <c r="B1089" s="3">
        <v>45638</v>
      </c>
      <c r="C1089" s="2" t="s">
        <v>967</v>
      </c>
      <c r="D1089" s="2" t="s">
        <v>177</v>
      </c>
      <c r="E1089" s="2" t="s">
        <v>21</v>
      </c>
      <c r="F1089" s="4">
        <v>10</v>
      </c>
      <c r="G1089" s="4">
        <v>3870</v>
      </c>
      <c r="H1089" s="4">
        <v>4.9000000000000004</v>
      </c>
      <c r="I1089" s="4">
        <v>36803.699999999997</v>
      </c>
      <c r="J1089" s="2" t="s">
        <v>69</v>
      </c>
      <c r="K1089" s="2" t="s">
        <v>46</v>
      </c>
    </row>
    <row r="1090" spans="1:11" x14ac:dyDescent="0.35">
      <c r="A1090" s="2" t="s">
        <v>1503</v>
      </c>
      <c r="B1090" s="3">
        <v>45332</v>
      </c>
      <c r="C1090" s="2" t="s">
        <v>1504</v>
      </c>
      <c r="D1090" s="2" t="s">
        <v>381</v>
      </c>
      <c r="E1090" s="2" t="s">
        <v>50</v>
      </c>
      <c r="F1090" s="4">
        <v>8</v>
      </c>
      <c r="G1090" s="4">
        <v>3450</v>
      </c>
      <c r="H1090" s="4">
        <v>20.6</v>
      </c>
      <c r="I1090" s="4">
        <v>21914.400000000001</v>
      </c>
      <c r="J1090" s="2" t="s">
        <v>16</v>
      </c>
      <c r="K1090" s="2" t="s">
        <v>62</v>
      </c>
    </row>
    <row r="1091" spans="1:11" x14ac:dyDescent="0.35">
      <c r="A1091" s="2" t="s">
        <v>1505</v>
      </c>
      <c r="B1091" s="3">
        <v>45406</v>
      </c>
      <c r="C1091" s="2" t="s">
        <v>198</v>
      </c>
      <c r="D1091" s="2" t="s">
        <v>26</v>
      </c>
      <c r="E1091" s="2" t="s">
        <v>226</v>
      </c>
      <c r="F1091" s="4">
        <v>1</v>
      </c>
      <c r="G1091" s="4">
        <v>470</v>
      </c>
      <c r="H1091" s="4">
        <v>5.4</v>
      </c>
      <c r="I1091" s="4">
        <v>444.62</v>
      </c>
      <c r="J1091" s="2" t="s">
        <v>73</v>
      </c>
      <c r="K1091" s="2" t="s">
        <v>41</v>
      </c>
    </row>
    <row r="1092" spans="1:11" x14ac:dyDescent="0.35">
      <c r="A1092" s="2" t="s">
        <v>1506</v>
      </c>
      <c r="B1092" s="3">
        <v>45405</v>
      </c>
      <c r="C1092" s="2" t="s">
        <v>253</v>
      </c>
      <c r="D1092" s="2" t="s">
        <v>337</v>
      </c>
      <c r="E1092" s="2" t="s">
        <v>133</v>
      </c>
      <c r="F1092" s="4">
        <v>5</v>
      </c>
      <c r="G1092" s="4">
        <v>3970</v>
      </c>
      <c r="H1092" s="4">
        <v>5.8</v>
      </c>
      <c r="I1092" s="4">
        <v>18698.7</v>
      </c>
      <c r="J1092" s="2" t="s">
        <v>16</v>
      </c>
      <c r="K1092" s="2" t="s">
        <v>62</v>
      </c>
    </row>
    <row r="1093" spans="1:11" x14ac:dyDescent="0.35">
      <c r="A1093" s="2" t="s">
        <v>1507</v>
      </c>
      <c r="B1093" s="3">
        <v>45469</v>
      </c>
      <c r="C1093" s="2" t="s">
        <v>935</v>
      </c>
      <c r="D1093" s="2" t="s">
        <v>120</v>
      </c>
      <c r="E1093" s="2" t="s">
        <v>254</v>
      </c>
      <c r="F1093" s="4">
        <v>2</v>
      </c>
      <c r="G1093" s="4">
        <v>5100</v>
      </c>
      <c r="H1093" s="4">
        <v>19.899999999999999</v>
      </c>
      <c r="I1093" s="4">
        <v>8170.2</v>
      </c>
      <c r="J1093" s="2" t="s">
        <v>16</v>
      </c>
      <c r="K1093" s="2" t="s">
        <v>46</v>
      </c>
    </row>
    <row r="1094" spans="1:11" x14ac:dyDescent="0.35">
      <c r="A1094" s="2" t="s">
        <v>1508</v>
      </c>
      <c r="B1094" s="3">
        <v>45656</v>
      </c>
      <c r="C1094" s="2" t="s">
        <v>422</v>
      </c>
      <c r="D1094" s="2" t="s">
        <v>86</v>
      </c>
      <c r="E1094" s="2" t="s">
        <v>144</v>
      </c>
      <c r="F1094" s="4">
        <v>6</v>
      </c>
      <c r="G1094" s="4">
        <v>3450</v>
      </c>
      <c r="H1094" s="4">
        <v>13</v>
      </c>
      <c r="I1094" s="4">
        <v>18009</v>
      </c>
      <c r="J1094" s="2" t="s">
        <v>16</v>
      </c>
      <c r="K1094" s="2" t="s">
        <v>17</v>
      </c>
    </row>
    <row r="1095" spans="1:11" x14ac:dyDescent="0.35">
      <c r="A1095" s="2" t="s">
        <v>1509</v>
      </c>
      <c r="B1095" s="3">
        <v>45653</v>
      </c>
      <c r="C1095" s="2" t="s">
        <v>1428</v>
      </c>
      <c r="D1095" s="2" t="s">
        <v>155</v>
      </c>
      <c r="E1095" s="2" t="s">
        <v>254</v>
      </c>
      <c r="F1095" s="4">
        <v>9</v>
      </c>
      <c r="G1095" s="4">
        <v>3730</v>
      </c>
      <c r="H1095" s="4">
        <v>15.5</v>
      </c>
      <c r="I1095" s="4">
        <v>28366.65</v>
      </c>
      <c r="J1095" s="2" t="s">
        <v>16</v>
      </c>
      <c r="K1095" s="2" t="s">
        <v>23</v>
      </c>
    </row>
    <row r="1096" spans="1:11" x14ac:dyDescent="0.35">
      <c r="A1096" s="2" t="s">
        <v>1510</v>
      </c>
      <c r="B1096" s="3">
        <v>45440</v>
      </c>
      <c r="C1096" s="2" t="s">
        <v>1504</v>
      </c>
      <c r="D1096" s="2" t="s">
        <v>309</v>
      </c>
      <c r="E1096" s="2" t="s">
        <v>121</v>
      </c>
      <c r="F1096" s="4">
        <v>5</v>
      </c>
      <c r="G1096" s="4">
        <v>960</v>
      </c>
      <c r="H1096" s="4">
        <v>9.3000000000000007</v>
      </c>
      <c r="I1096" s="4">
        <v>4353.6000000000004</v>
      </c>
      <c r="J1096" s="2" t="s">
        <v>16</v>
      </c>
      <c r="K1096" s="2" t="s">
        <v>62</v>
      </c>
    </row>
    <row r="1097" spans="1:11" x14ac:dyDescent="0.35">
      <c r="A1097" s="2" t="s">
        <v>1511</v>
      </c>
      <c r="B1097" s="3">
        <v>45511</v>
      </c>
      <c r="C1097" s="2" t="s">
        <v>710</v>
      </c>
      <c r="D1097" s="2" t="s">
        <v>372</v>
      </c>
      <c r="E1097" s="2" t="s">
        <v>36</v>
      </c>
      <c r="F1097" s="4">
        <v>3</v>
      </c>
      <c r="G1097" s="4">
        <v>5080</v>
      </c>
      <c r="H1097" s="4">
        <v>17.399999999999999</v>
      </c>
      <c r="I1097" s="4">
        <v>12588.24</v>
      </c>
      <c r="J1097" s="2" t="s">
        <v>69</v>
      </c>
      <c r="K1097" s="2" t="s">
        <v>28</v>
      </c>
    </row>
    <row r="1098" spans="1:11" x14ac:dyDescent="0.35">
      <c r="A1098" s="2" t="s">
        <v>1512</v>
      </c>
      <c r="B1098" s="3">
        <v>45300</v>
      </c>
      <c r="C1098" s="2" t="s">
        <v>877</v>
      </c>
      <c r="D1098" s="2" t="s">
        <v>177</v>
      </c>
      <c r="E1098" s="2" t="s">
        <v>77</v>
      </c>
      <c r="F1098" s="4">
        <v>4</v>
      </c>
      <c r="G1098" s="4">
        <v>3870</v>
      </c>
      <c r="H1098" s="4">
        <v>20.5</v>
      </c>
      <c r="I1098" s="4">
        <v>12306.6</v>
      </c>
      <c r="J1098" s="2" t="s">
        <v>22</v>
      </c>
      <c r="K1098" s="2" t="s">
        <v>650</v>
      </c>
    </row>
    <row r="1099" spans="1:11" x14ac:dyDescent="0.35">
      <c r="A1099" s="2" t="s">
        <v>1513</v>
      </c>
      <c r="B1099" s="3">
        <v>45528</v>
      </c>
      <c r="C1099" s="2" t="s">
        <v>356</v>
      </c>
      <c r="D1099" s="2" t="s">
        <v>390</v>
      </c>
      <c r="E1099" s="2" t="s">
        <v>45</v>
      </c>
      <c r="F1099" s="4">
        <v>1</v>
      </c>
      <c r="G1099" s="4">
        <v>3780</v>
      </c>
      <c r="H1099" s="4">
        <v>21.5</v>
      </c>
      <c r="I1099" s="4">
        <v>2967.3</v>
      </c>
      <c r="J1099" s="2" t="s">
        <v>16</v>
      </c>
      <c r="K1099" s="2" t="s">
        <v>17</v>
      </c>
    </row>
    <row r="1100" spans="1:11" x14ac:dyDescent="0.35">
      <c r="A1100" s="2" t="s">
        <v>1514</v>
      </c>
      <c r="B1100" s="3">
        <v>45622</v>
      </c>
      <c r="C1100" s="2" t="s">
        <v>43</v>
      </c>
      <c r="D1100" s="2" t="s">
        <v>177</v>
      </c>
      <c r="E1100" s="2" t="s">
        <v>167</v>
      </c>
      <c r="F1100" s="4">
        <v>3</v>
      </c>
      <c r="G1100" s="4">
        <v>3870</v>
      </c>
      <c r="H1100" s="4">
        <v>21.9</v>
      </c>
      <c r="I1100" s="4">
        <v>9067.41</v>
      </c>
      <c r="J1100" s="2" t="s">
        <v>22</v>
      </c>
      <c r="K1100" s="2" t="s">
        <v>46</v>
      </c>
    </row>
    <row r="1101" spans="1:11" x14ac:dyDescent="0.35">
      <c r="A1101" s="2" t="s">
        <v>1515</v>
      </c>
      <c r="B1101" s="3">
        <v>45463</v>
      </c>
      <c r="C1101" s="2" t="s">
        <v>162</v>
      </c>
      <c r="D1101" s="2" t="s">
        <v>224</v>
      </c>
      <c r="E1101" s="2" t="s">
        <v>133</v>
      </c>
      <c r="F1101" s="4">
        <v>4</v>
      </c>
      <c r="G1101" s="4">
        <v>2030</v>
      </c>
      <c r="H1101" s="4">
        <v>23.4</v>
      </c>
      <c r="I1101" s="4">
        <v>6219.92</v>
      </c>
      <c r="J1101" s="2" t="s">
        <v>16</v>
      </c>
      <c r="K1101" s="2" t="s">
        <v>17</v>
      </c>
    </row>
    <row r="1102" spans="1:11" x14ac:dyDescent="0.35">
      <c r="A1102" s="2" t="s">
        <v>1516</v>
      </c>
      <c r="B1102" s="3">
        <v>45407</v>
      </c>
      <c r="C1102" s="2" t="s">
        <v>524</v>
      </c>
      <c r="D1102" s="2" t="s">
        <v>267</v>
      </c>
      <c r="E1102" s="2" t="s">
        <v>77</v>
      </c>
      <c r="F1102" s="4">
        <v>6</v>
      </c>
      <c r="G1102" s="4">
        <v>2210</v>
      </c>
      <c r="H1102" s="4">
        <v>9.1</v>
      </c>
      <c r="I1102" s="4">
        <v>12053.34</v>
      </c>
      <c r="J1102" s="2" t="s">
        <v>16</v>
      </c>
      <c r="K1102" s="2" t="s">
        <v>28</v>
      </c>
    </row>
    <row r="1103" spans="1:11" x14ac:dyDescent="0.35">
      <c r="A1103" s="2" t="s">
        <v>1517</v>
      </c>
      <c r="B1103" s="3">
        <v>45627</v>
      </c>
      <c r="C1103" s="2" t="s">
        <v>815</v>
      </c>
      <c r="D1103" s="2" t="s">
        <v>188</v>
      </c>
      <c r="E1103" s="2" t="s">
        <v>167</v>
      </c>
      <c r="F1103" s="4">
        <v>5</v>
      </c>
      <c r="G1103" s="4">
        <v>1540</v>
      </c>
      <c r="H1103" s="4">
        <v>18.100000000000001</v>
      </c>
      <c r="I1103" s="4">
        <v>6306.3</v>
      </c>
      <c r="J1103" s="2" t="s">
        <v>16</v>
      </c>
      <c r="K1103" s="2" t="s">
        <v>23</v>
      </c>
    </row>
    <row r="1104" spans="1:11" x14ac:dyDescent="0.35">
      <c r="A1104" s="2" t="s">
        <v>1518</v>
      </c>
      <c r="B1104" s="3">
        <v>45393</v>
      </c>
      <c r="C1104" s="2" t="s">
        <v>567</v>
      </c>
      <c r="D1104" s="2" t="s">
        <v>111</v>
      </c>
      <c r="E1104" s="2" t="s">
        <v>202</v>
      </c>
      <c r="F1104" s="4">
        <v>1</v>
      </c>
      <c r="G1104" s="4">
        <v>1010</v>
      </c>
      <c r="H1104" s="4">
        <v>7.3</v>
      </c>
      <c r="I1104" s="4">
        <v>936.27</v>
      </c>
      <c r="J1104" s="2" t="s">
        <v>16</v>
      </c>
      <c r="K1104" s="2" t="s">
        <v>28</v>
      </c>
    </row>
    <row r="1105" spans="1:11" x14ac:dyDescent="0.35">
      <c r="A1105" s="2" t="s">
        <v>1519</v>
      </c>
      <c r="B1105" s="3">
        <v>45360</v>
      </c>
      <c r="C1105" s="2" t="s">
        <v>605</v>
      </c>
      <c r="D1105" s="2" t="s">
        <v>293</v>
      </c>
      <c r="E1105" s="2" t="s">
        <v>117</v>
      </c>
      <c r="F1105" s="4">
        <v>10</v>
      </c>
      <c r="G1105" s="4">
        <v>5330</v>
      </c>
      <c r="H1105" s="4">
        <v>27.3</v>
      </c>
      <c r="I1105" s="4">
        <v>38749.1</v>
      </c>
      <c r="J1105" s="2" t="s">
        <v>16</v>
      </c>
      <c r="K1105" s="2" t="s">
        <v>17</v>
      </c>
    </row>
    <row r="1106" spans="1:11" x14ac:dyDescent="0.35">
      <c r="A1106" s="2" t="s">
        <v>1520</v>
      </c>
      <c r="B1106" s="3">
        <v>45548</v>
      </c>
      <c r="C1106" s="2" t="s">
        <v>334</v>
      </c>
      <c r="D1106" s="2" t="s">
        <v>116</v>
      </c>
      <c r="E1106" s="2" t="s">
        <v>214</v>
      </c>
      <c r="F1106" s="4">
        <v>7</v>
      </c>
      <c r="G1106" s="4">
        <v>3570</v>
      </c>
      <c r="H1106" s="4">
        <v>24.3</v>
      </c>
      <c r="I1106" s="4">
        <v>18917.43</v>
      </c>
      <c r="J1106" s="2" t="s">
        <v>16</v>
      </c>
      <c r="K1106" s="2" t="s">
        <v>23</v>
      </c>
    </row>
    <row r="1107" spans="1:11" x14ac:dyDescent="0.35">
      <c r="A1107" s="2" t="s">
        <v>1521</v>
      </c>
      <c r="B1107" s="3">
        <v>45569</v>
      </c>
      <c r="C1107" s="2" t="s">
        <v>298</v>
      </c>
      <c r="D1107" s="2" t="s">
        <v>108</v>
      </c>
      <c r="E1107" s="2" t="s">
        <v>167</v>
      </c>
      <c r="F1107" s="4">
        <v>1</v>
      </c>
      <c r="G1107" s="4">
        <v>3350</v>
      </c>
      <c r="H1107" s="4">
        <v>14.9</v>
      </c>
      <c r="I1107" s="4">
        <v>2850.85</v>
      </c>
      <c r="J1107" s="2" t="s">
        <v>16</v>
      </c>
      <c r="K1107" s="2" t="s">
        <v>23</v>
      </c>
    </row>
    <row r="1108" spans="1:11" x14ac:dyDescent="0.35">
      <c r="A1108" s="2" t="s">
        <v>1522</v>
      </c>
      <c r="B1108" s="3">
        <v>45541</v>
      </c>
      <c r="C1108" s="2" t="s">
        <v>544</v>
      </c>
      <c r="D1108" s="2" t="s">
        <v>284</v>
      </c>
      <c r="E1108" s="2" t="s">
        <v>83</v>
      </c>
      <c r="F1108" s="4">
        <v>2</v>
      </c>
      <c r="G1108" s="4">
        <v>2510</v>
      </c>
      <c r="H1108" s="4">
        <v>10.6</v>
      </c>
      <c r="I1108" s="4">
        <v>4487.88</v>
      </c>
      <c r="J1108" s="2" t="s">
        <v>16</v>
      </c>
      <c r="K1108" s="2" t="s">
        <v>41</v>
      </c>
    </row>
    <row r="1109" spans="1:11" x14ac:dyDescent="0.35">
      <c r="A1109" s="2" t="s">
        <v>1523</v>
      </c>
      <c r="B1109" s="3">
        <v>45369</v>
      </c>
      <c r="C1109" s="2" t="s">
        <v>89</v>
      </c>
      <c r="D1109" s="2" t="s">
        <v>56</v>
      </c>
      <c r="E1109" s="2" t="s">
        <v>40</v>
      </c>
      <c r="F1109" s="4">
        <v>5</v>
      </c>
      <c r="G1109" s="4">
        <v>970</v>
      </c>
      <c r="H1109" s="4">
        <v>6.8</v>
      </c>
      <c r="I1109" s="4">
        <v>4520.2</v>
      </c>
      <c r="J1109" s="2" t="s">
        <v>22</v>
      </c>
      <c r="K1109" s="2" t="s">
        <v>41</v>
      </c>
    </row>
    <row r="1110" spans="1:11" x14ac:dyDescent="0.35">
      <c r="A1110" s="2" t="s">
        <v>1524</v>
      </c>
      <c r="B1110" s="3">
        <v>45519</v>
      </c>
      <c r="C1110" s="2" t="s">
        <v>160</v>
      </c>
      <c r="D1110" s="2" t="s">
        <v>163</v>
      </c>
      <c r="E1110" s="2" t="s">
        <v>226</v>
      </c>
      <c r="F1110" s="4">
        <v>5</v>
      </c>
      <c r="G1110" s="4">
        <v>3780</v>
      </c>
      <c r="H1110" s="4">
        <v>16.600000000000001</v>
      </c>
      <c r="I1110" s="4">
        <v>15762.6</v>
      </c>
      <c r="J1110" s="2" t="s">
        <v>16</v>
      </c>
      <c r="K1110" s="2" t="s">
        <v>46</v>
      </c>
    </row>
    <row r="1111" spans="1:11" x14ac:dyDescent="0.35">
      <c r="A1111" s="2" t="s">
        <v>1525</v>
      </c>
      <c r="B1111" s="3">
        <v>45379</v>
      </c>
      <c r="C1111" s="2" t="s">
        <v>605</v>
      </c>
      <c r="D1111" s="2" t="s">
        <v>284</v>
      </c>
      <c r="E1111" s="2" t="s">
        <v>15</v>
      </c>
      <c r="F1111" s="4">
        <v>3</v>
      </c>
      <c r="G1111" s="4">
        <v>2510</v>
      </c>
      <c r="H1111" s="4">
        <v>24.9</v>
      </c>
      <c r="I1111" s="4">
        <v>5655.03</v>
      </c>
      <c r="J1111" s="2" t="s">
        <v>69</v>
      </c>
      <c r="K1111" s="2" t="s">
        <v>17</v>
      </c>
    </row>
    <row r="1112" spans="1:11" x14ac:dyDescent="0.35">
      <c r="A1112" s="2" t="s">
        <v>1526</v>
      </c>
      <c r="B1112" s="3">
        <v>45548</v>
      </c>
      <c r="C1112" s="2" t="s">
        <v>1290</v>
      </c>
      <c r="D1112" s="2" t="s">
        <v>224</v>
      </c>
      <c r="E1112" s="2" t="s">
        <v>36</v>
      </c>
      <c r="F1112" s="4">
        <v>3</v>
      </c>
      <c r="G1112" s="4">
        <v>2030</v>
      </c>
      <c r="H1112" s="4">
        <v>3.8</v>
      </c>
      <c r="I1112" s="4">
        <v>5858.58</v>
      </c>
      <c r="J1112" s="2" t="s">
        <v>16</v>
      </c>
      <c r="K1112" s="2" t="s">
        <v>23</v>
      </c>
    </row>
    <row r="1113" spans="1:11" x14ac:dyDescent="0.35">
      <c r="A1113" s="2" t="s">
        <v>1527</v>
      </c>
      <c r="B1113" s="3">
        <v>45478</v>
      </c>
      <c r="C1113" s="2" t="s">
        <v>899</v>
      </c>
      <c r="D1113" s="2" t="s">
        <v>76</v>
      </c>
      <c r="E1113" s="2" t="s">
        <v>27</v>
      </c>
      <c r="F1113" s="4">
        <v>9</v>
      </c>
      <c r="G1113" s="4">
        <v>190</v>
      </c>
      <c r="H1113" s="4">
        <v>5.4</v>
      </c>
      <c r="I1113" s="4">
        <v>1617.66</v>
      </c>
      <c r="J1113" s="2" t="s">
        <v>16</v>
      </c>
      <c r="K1113" s="2" t="s">
        <v>41</v>
      </c>
    </row>
    <row r="1114" spans="1:11" x14ac:dyDescent="0.35">
      <c r="A1114" s="2" t="s">
        <v>1528</v>
      </c>
      <c r="B1114" s="3">
        <v>45338</v>
      </c>
      <c r="C1114" s="2" t="s">
        <v>274</v>
      </c>
      <c r="D1114" s="2" t="s">
        <v>267</v>
      </c>
      <c r="E1114" s="2" t="s">
        <v>121</v>
      </c>
      <c r="F1114" s="4">
        <v>6</v>
      </c>
      <c r="G1114" s="4">
        <v>2210</v>
      </c>
      <c r="H1114" s="4">
        <v>29.4</v>
      </c>
      <c r="I1114" s="4">
        <v>9361.56</v>
      </c>
      <c r="J1114" s="2" t="s">
        <v>16</v>
      </c>
      <c r="K1114" s="2" t="s">
        <v>23</v>
      </c>
    </row>
    <row r="1115" spans="1:11" x14ac:dyDescent="0.35">
      <c r="A1115" s="2" t="s">
        <v>1529</v>
      </c>
      <c r="B1115" s="3">
        <v>45546</v>
      </c>
      <c r="C1115" s="2" t="s">
        <v>349</v>
      </c>
      <c r="D1115" s="2" t="s">
        <v>166</v>
      </c>
      <c r="E1115" s="2" t="s">
        <v>21</v>
      </c>
      <c r="F1115" s="4">
        <v>4</v>
      </c>
      <c r="G1115" s="4">
        <v>3640</v>
      </c>
      <c r="H1115" s="4">
        <v>0.6</v>
      </c>
      <c r="I1115" s="4">
        <v>14472.64</v>
      </c>
      <c r="J1115" s="2" t="s">
        <v>16</v>
      </c>
      <c r="K1115" s="2" t="s">
        <v>28</v>
      </c>
    </row>
    <row r="1116" spans="1:11" x14ac:dyDescent="0.35">
      <c r="A1116" s="2" t="s">
        <v>1530</v>
      </c>
      <c r="B1116" s="3">
        <v>45626</v>
      </c>
      <c r="C1116" s="2" t="s">
        <v>829</v>
      </c>
      <c r="D1116" s="2" t="s">
        <v>196</v>
      </c>
      <c r="E1116" s="2" t="s">
        <v>133</v>
      </c>
      <c r="F1116" s="4">
        <v>9</v>
      </c>
      <c r="G1116" s="4">
        <v>1220</v>
      </c>
      <c r="H1116" s="4">
        <v>24.1</v>
      </c>
      <c r="I1116" s="4">
        <v>8333.82</v>
      </c>
      <c r="J1116" s="2" t="s">
        <v>16</v>
      </c>
      <c r="K1116" s="2" t="s">
        <v>46</v>
      </c>
    </row>
    <row r="1117" spans="1:11" x14ac:dyDescent="0.35">
      <c r="A1117" s="2" t="s">
        <v>1531</v>
      </c>
      <c r="B1117" s="3">
        <v>45402</v>
      </c>
      <c r="C1117" s="2" t="s">
        <v>514</v>
      </c>
      <c r="D1117" s="2" t="s">
        <v>444</v>
      </c>
      <c r="E1117" s="2" t="s">
        <v>133</v>
      </c>
      <c r="F1117" s="4">
        <v>2</v>
      </c>
      <c r="G1117" s="4">
        <v>6940</v>
      </c>
      <c r="H1117" s="4">
        <v>27</v>
      </c>
      <c r="I1117" s="4">
        <v>10132.4</v>
      </c>
      <c r="J1117" s="2" t="s">
        <v>16</v>
      </c>
      <c r="K1117" s="2" t="s">
        <v>23</v>
      </c>
    </row>
    <row r="1118" spans="1:11" x14ac:dyDescent="0.35">
      <c r="A1118" s="2" t="s">
        <v>1532</v>
      </c>
      <c r="B1118" s="3">
        <v>45604</v>
      </c>
      <c r="C1118" s="2" t="s">
        <v>286</v>
      </c>
      <c r="D1118" s="2" t="s">
        <v>124</v>
      </c>
      <c r="E1118" s="2" t="s">
        <v>61</v>
      </c>
      <c r="F1118" s="4">
        <v>6</v>
      </c>
      <c r="G1118" s="4">
        <v>2860</v>
      </c>
      <c r="H1118" s="4">
        <v>6.6</v>
      </c>
      <c r="I1118" s="4">
        <v>16027.44</v>
      </c>
      <c r="J1118" s="2" t="s">
        <v>16</v>
      </c>
      <c r="K1118" s="2" t="s">
        <v>28</v>
      </c>
    </row>
    <row r="1119" spans="1:11" x14ac:dyDescent="0.35">
      <c r="A1119" s="2" t="s">
        <v>1533</v>
      </c>
      <c r="B1119" s="3">
        <v>45545</v>
      </c>
      <c r="C1119" s="2" t="s">
        <v>115</v>
      </c>
      <c r="D1119" s="2" t="s">
        <v>102</v>
      </c>
      <c r="E1119" s="2" t="s">
        <v>232</v>
      </c>
      <c r="F1119" s="4">
        <v>5</v>
      </c>
      <c r="G1119" s="4">
        <v>2720</v>
      </c>
      <c r="H1119" s="4">
        <v>21.4</v>
      </c>
      <c r="I1119" s="4">
        <v>10689.6</v>
      </c>
      <c r="J1119" s="2" t="s">
        <v>16</v>
      </c>
      <c r="K1119" s="2" t="s">
        <v>23</v>
      </c>
    </row>
    <row r="1120" spans="1:11" x14ac:dyDescent="0.35">
      <c r="A1120" s="2" t="s">
        <v>1534</v>
      </c>
      <c r="B1120" s="3">
        <v>45445</v>
      </c>
      <c r="C1120" s="2" t="s">
        <v>198</v>
      </c>
      <c r="D1120" s="2" t="s">
        <v>20</v>
      </c>
      <c r="E1120" s="2" t="s">
        <v>32</v>
      </c>
      <c r="F1120" s="4">
        <v>5</v>
      </c>
      <c r="G1120" s="4">
        <v>820</v>
      </c>
      <c r="H1120" s="4">
        <v>28.6</v>
      </c>
      <c r="I1120" s="4">
        <v>2927.4</v>
      </c>
      <c r="J1120" s="2" t="s">
        <v>16</v>
      </c>
      <c r="K1120" s="2" t="s">
        <v>41</v>
      </c>
    </row>
    <row r="1121" spans="1:11" x14ac:dyDescent="0.35">
      <c r="A1121" s="2" t="s">
        <v>1535</v>
      </c>
      <c r="B1121" s="3">
        <v>45489</v>
      </c>
      <c r="C1121" s="2" t="s">
        <v>1237</v>
      </c>
      <c r="D1121" s="2" t="s">
        <v>315</v>
      </c>
      <c r="E1121" s="2" t="s">
        <v>214</v>
      </c>
      <c r="F1121" s="4">
        <v>6</v>
      </c>
      <c r="G1121" s="4">
        <v>2290</v>
      </c>
      <c r="H1121" s="4">
        <v>18.8</v>
      </c>
      <c r="I1121" s="4">
        <v>11156.88</v>
      </c>
      <c r="J1121" s="2" t="s">
        <v>16</v>
      </c>
      <c r="K1121" s="2" t="s">
        <v>23</v>
      </c>
    </row>
    <row r="1122" spans="1:11" x14ac:dyDescent="0.35">
      <c r="A1122" s="2" t="s">
        <v>1536</v>
      </c>
      <c r="B1122" s="3">
        <v>45394</v>
      </c>
      <c r="C1122" s="2" t="s">
        <v>618</v>
      </c>
      <c r="D1122" s="2" t="s">
        <v>86</v>
      </c>
      <c r="E1122" s="2" t="s">
        <v>87</v>
      </c>
      <c r="F1122" s="4">
        <v>6</v>
      </c>
      <c r="G1122" s="4">
        <v>3450</v>
      </c>
      <c r="H1122" s="4">
        <v>28.4</v>
      </c>
      <c r="I1122" s="4">
        <v>14821.2</v>
      </c>
      <c r="J1122" s="2" t="s">
        <v>16</v>
      </c>
      <c r="K1122" s="2" t="s">
        <v>62</v>
      </c>
    </row>
    <row r="1123" spans="1:11" x14ac:dyDescent="0.35">
      <c r="A1123" s="2" t="s">
        <v>1537</v>
      </c>
      <c r="B1123" s="3">
        <v>45340</v>
      </c>
      <c r="C1123" s="2" t="s">
        <v>52</v>
      </c>
      <c r="D1123" s="2" t="s">
        <v>224</v>
      </c>
      <c r="E1123" s="2" t="s">
        <v>226</v>
      </c>
      <c r="F1123" s="4">
        <v>10</v>
      </c>
      <c r="G1123" s="4">
        <v>2030</v>
      </c>
      <c r="H1123" s="4">
        <v>8</v>
      </c>
      <c r="I1123" s="4">
        <v>18676</v>
      </c>
      <c r="J1123" s="2" t="s">
        <v>16</v>
      </c>
      <c r="K1123" s="2" t="s">
        <v>46</v>
      </c>
    </row>
    <row r="1124" spans="1:11" x14ac:dyDescent="0.35">
      <c r="A1124" s="2" t="s">
        <v>1538</v>
      </c>
      <c r="B1124" s="3">
        <v>45378</v>
      </c>
      <c r="C1124" s="2" t="s">
        <v>888</v>
      </c>
      <c r="D1124" s="2" t="s">
        <v>80</v>
      </c>
      <c r="E1124" s="2" t="s">
        <v>214</v>
      </c>
      <c r="F1124" s="4">
        <v>1</v>
      </c>
      <c r="G1124" s="4">
        <v>2400</v>
      </c>
      <c r="H1124" s="4">
        <v>9.6999999999999993</v>
      </c>
      <c r="I1124" s="4">
        <v>2167.1999999999998</v>
      </c>
      <c r="J1124" s="2" t="s">
        <v>16</v>
      </c>
      <c r="K1124" s="2" t="s">
        <v>41</v>
      </c>
    </row>
    <row r="1125" spans="1:11" x14ac:dyDescent="0.35">
      <c r="A1125" s="2" t="s">
        <v>1539</v>
      </c>
      <c r="B1125" s="3">
        <v>45369</v>
      </c>
      <c r="C1125" s="2" t="s">
        <v>572</v>
      </c>
      <c r="D1125" s="2" t="s">
        <v>224</v>
      </c>
      <c r="E1125" s="2" t="s">
        <v>27</v>
      </c>
      <c r="F1125" s="4">
        <v>4</v>
      </c>
      <c r="G1125" s="4">
        <v>2030</v>
      </c>
      <c r="H1125" s="4">
        <v>24.8</v>
      </c>
      <c r="I1125" s="4">
        <v>6106.24</v>
      </c>
      <c r="J1125" s="2" t="s">
        <v>22</v>
      </c>
      <c r="K1125" s="2" t="s">
        <v>41</v>
      </c>
    </row>
    <row r="1126" spans="1:11" x14ac:dyDescent="0.35">
      <c r="A1126" s="2" t="s">
        <v>1540</v>
      </c>
      <c r="B1126" s="3">
        <v>45513</v>
      </c>
      <c r="C1126" s="2" t="s">
        <v>107</v>
      </c>
      <c r="D1126" s="2" t="s">
        <v>280</v>
      </c>
      <c r="E1126" s="2" t="s">
        <v>226</v>
      </c>
      <c r="F1126" s="4">
        <v>5</v>
      </c>
      <c r="G1126" s="4">
        <v>4060</v>
      </c>
      <c r="H1126" s="4">
        <v>9.1</v>
      </c>
      <c r="I1126" s="4">
        <v>18452.7</v>
      </c>
      <c r="J1126" s="2" t="s">
        <v>22</v>
      </c>
      <c r="K1126" s="2" t="s">
        <v>23</v>
      </c>
    </row>
    <row r="1127" spans="1:11" x14ac:dyDescent="0.35">
      <c r="A1127" s="2" t="s">
        <v>1541</v>
      </c>
      <c r="B1127" s="3">
        <v>45438</v>
      </c>
      <c r="C1127" s="2" t="s">
        <v>336</v>
      </c>
      <c r="D1127" s="2" t="s">
        <v>224</v>
      </c>
      <c r="E1127" s="2" t="s">
        <v>181</v>
      </c>
      <c r="F1127" s="4">
        <v>9</v>
      </c>
      <c r="G1127" s="4">
        <v>2030</v>
      </c>
      <c r="H1127" s="4">
        <v>15.9</v>
      </c>
      <c r="I1127" s="4">
        <v>15365.07</v>
      </c>
      <c r="J1127" s="2" t="s">
        <v>22</v>
      </c>
      <c r="K1127" s="2" t="s">
        <v>17</v>
      </c>
    </row>
    <row r="1128" spans="1:11" x14ac:dyDescent="0.35">
      <c r="A1128" s="2" t="s">
        <v>1542</v>
      </c>
      <c r="B1128" s="3">
        <v>45529</v>
      </c>
      <c r="C1128" s="2" t="s">
        <v>667</v>
      </c>
      <c r="D1128" s="2" t="s">
        <v>108</v>
      </c>
      <c r="E1128" s="2" t="s">
        <v>27</v>
      </c>
      <c r="F1128" s="4">
        <v>1</v>
      </c>
      <c r="G1128" s="4">
        <v>3350</v>
      </c>
      <c r="H1128" s="4">
        <v>23.2</v>
      </c>
      <c r="I1128" s="4">
        <v>2572.8000000000002</v>
      </c>
      <c r="J1128" s="2" t="s">
        <v>73</v>
      </c>
      <c r="K1128" s="2" t="s">
        <v>17</v>
      </c>
    </row>
    <row r="1129" spans="1:11" x14ac:dyDescent="0.35">
      <c r="A1129" s="2" t="s">
        <v>1543</v>
      </c>
      <c r="B1129" s="3">
        <v>45634</v>
      </c>
      <c r="C1129" s="2" t="s">
        <v>383</v>
      </c>
      <c r="D1129" s="2" t="s">
        <v>132</v>
      </c>
      <c r="E1129" s="2" t="s">
        <v>32</v>
      </c>
      <c r="F1129" s="4">
        <v>4</v>
      </c>
      <c r="G1129" s="4">
        <v>660</v>
      </c>
      <c r="H1129" s="4">
        <v>27.1</v>
      </c>
      <c r="I1129" s="4">
        <v>1924.56</v>
      </c>
      <c r="J1129" s="2" t="s">
        <v>16</v>
      </c>
      <c r="K1129" s="2" t="s">
        <v>62</v>
      </c>
    </row>
    <row r="1130" spans="1:11" x14ac:dyDescent="0.35">
      <c r="A1130" s="2" t="s">
        <v>1544</v>
      </c>
      <c r="B1130" s="3">
        <v>45441</v>
      </c>
      <c r="C1130" s="2" t="s">
        <v>190</v>
      </c>
      <c r="D1130" s="2" t="s">
        <v>205</v>
      </c>
      <c r="E1130" s="2" t="s">
        <v>27</v>
      </c>
      <c r="F1130" s="4">
        <v>3</v>
      </c>
      <c r="G1130" s="4">
        <v>3020</v>
      </c>
      <c r="H1130" s="4">
        <v>7.2</v>
      </c>
      <c r="I1130" s="4">
        <v>8407.68</v>
      </c>
      <c r="J1130" s="2" t="s">
        <v>16</v>
      </c>
      <c r="K1130" s="2" t="s">
        <v>28</v>
      </c>
    </row>
    <row r="1131" spans="1:11" x14ac:dyDescent="0.35">
      <c r="A1131" s="2" t="s">
        <v>1545</v>
      </c>
      <c r="B1131" s="3">
        <v>45409</v>
      </c>
      <c r="C1131" s="2" t="s">
        <v>494</v>
      </c>
      <c r="D1131" s="2" t="s">
        <v>208</v>
      </c>
      <c r="E1131" s="2" t="s">
        <v>32</v>
      </c>
      <c r="F1131" s="4">
        <v>3</v>
      </c>
      <c r="G1131" s="4">
        <v>2660</v>
      </c>
      <c r="H1131" s="4">
        <v>0.2</v>
      </c>
      <c r="I1131" s="4">
        <v>7964.04</v>
      </c>
      <c r="J1131" s="2" t="s">
        <v>16</v>
      </c>
      <c r="K1131" s="2" t="s">
        <v>41</v>
      </c>
    </row>
    <row r="1132" spans="1:11" x14ac:dyDescent="0.35">
      <c r="A1132" s="2" t="s">
        <v>1546</v>
      </c>
      <c r="B1132" s="3">
        <v>45650</v>
      </c>
      <c r="C1132" s="2" t="s">
        <v>885</v>
      </c>
      <c r="D1132" s="2" t="s">
        <v>111</v>
      </c>
      <c r="E1132" s="2" t="s">
        <v>32</v>
      </c>
      <c r="F1132" s="4">
        <v>4</v>
      </c>
      <c r="G1132" s="4">
        <v>1010</v>
      </c>
      <c r="H1132" s="4">
        <v>3.1</v>
      </c>
      <c r="I1132" s="4">
        <v>3914.76</v>
      </c>
      <c r="J1132" s="2" t="s">
        <v>16</v>
      </c>
      <c r="K1132" s="2" t="s">
        <v>41</v>
      </c>
    </row>
    <row r="1133" spans="1:11" x14ac:dyDescent="0.35">
      <c r="A1133" s="2" t="s">
        <v>1547</v>
      </c>
      <c r="B1133" s="3">
        <v>45380</v>
      </c>
      <c r="C1133" s="2" t="s">
        <v>881</v>
      </c>
      <c r="D1133" s="2" t="s">
        <v>53</v>
      </c>
      <c r="E1133" s="2" t="s">
        <v>167</v>
      </c>
      <c r="F1133" s="4">
        <v>5</v>
      </c>
      <c r="G1133" s="4">
        <v>5490</v>
      </c>
      <c r="H1133" s="4">
        <v>3.6</v>
      </c>
      <c r="I1133" s="4">
        <v>26461.8</v>
      </c>
      <c r="J1133" s="2" t="s">
        <v>16</v>
      </c>
      <c r="K1133" s="2" t="s">
        <v>62</v>
      </c>
    </row>
    <row r="1134" spans="1:11" x14ac:dyDescent="0.35">
      <c r="A1134" s="2" t="s">
        <v>1548</v>
      </c>
      <c r="B1134" s="3">
        <v>45322</v>
      </c>
      <c r="C1134" s="2" t="s">
        <v>89</v>
      </c>
      <c r="D1134" s="2" t="s">
        <v>80</v>
      </c>
      <c r="E1134" s="2" t="s">
        <v>50</v>
      </c>
      <c r="F1134" s="4">
        <v>1</v>
      </c>
      <c r="G1134" s="4">
        <v>2400</v>
      </c>
      <c r="H1134" s="4">
        <v>24.3</v>
      </c>
      <c r="I1134" s="4">
        <v>1816.8</v>
      </c>
      <c r="J1134" s="2" t="s">
        <v>16</v>
      </c>
      <c r="K1134" s="2" t="s">
        <v>41</v>
      </c>
    </row>
    <row r="1135" spans="1:11" x14ac:dyDescent="0.35">
      <c r="A1135" s="2" t="s">
        <v>1549</v>
      </c>
      <c r="B1135" s="3">
        <v>45532</v>
      </c>
      <c r="C1135" s="2" t="s">
        <v>288</v>
      </c>
      <c r="D1135" s="2" t="s">
        <v>132</v>
      </c>
      <c r="E1135" s="2" t="s">
        <v>133</v>
      </c>
      <c r="F1135" s="4">
        <v>8</v>
      </c>
      <c r="G1135" s="4">
        <v>660</v>
      </c>
      <c r="H1135" s="4">
        <v>19.8</v>
      </c>
      <c r="I1135" s="4">
        <v>4234.5600000000004</v>
      </c>
      <c r="J1135" s="2" t="s">
        <v>16</v>
      </c>
      <c r="K1135" s="2" t="s">
        <v>28</v>
      </c>
    </row>
    <row r="1136" spans="1:11" x14ac:dyDescent="0.35">
      <c r="A1136" s="2" t="s">
        <v>1550</v>
      </c>
      <c r="B1136" s="3">
        <v>45504</v>
      </c>
      <c r="C1136" s="2" t="s">
        <v>1223</v>
      </c>
      <c r="D1136" s="2" t="s">
        <v>293</v>
      </c>
      <c r="E1136" s="2" t="s">
        <v>275</v>
      </c>
      <c r="F1136" s="4">
        <v>9</v>
      </c>
      <c r="G1136" s="4">
        <v>5330</v>
      </c>
      <c r="H1136" s="4">
        <v>16.5</v>
      </c>
      <c r="I1136" s="4">
        <v>40054.949999999997</v>
      </c>
      <c r="J1136" s="2" t="s">
        <v>16</v>
      </c>
      <c r="K1136" s="2" t="s">
        <v>23</v>
      </c>
    </row>
    <row r="1137" spans="1:11" x14ac:dyDescent="0.35">
      <c r="A1137" s="2" t="s">
        <v>1219</v>
      </c>
      <c r="B1137" s="3">
        <v>45516</v>
      </c>
      <c r="C1137" s="2" t="s">
        <v>518</v>
      </c>
      <c r="D1137" s="2" t="s">
        <v>67</v>
      </c>
      <c r="E1137" s="2" t="s">
        <v>15</v>
      </c>
      <c r="F1137" s="4">
        <v>5</v>
      </c>
      <c r="G1137" s="4">
        <v>2600</v>
      </c>
      <c r="H1137" s="4">
        <v>0.3</v>
      </c>
      <c r="I1137" s="4">
        <v>12961</v>
      </c>
      <c r="J1137" s="2" t="s">
        <v>16</v>
      </c>
      <c r="K1137" s="2" t="s">
        <v>23</v>
      </c>
    </row>
    <row r="1138" spans="1:11" x14ac:dyDescent="0.35">
      <c r="A1138" s="2" t="s">
        <v>1551</v>
      </c>
      <c r="B1138" s="3">
        <v>45462</v>
      </c>
      <c r="C1138" s="2" t="s">
        <v>1552</v>
      </c>
      <c r="D1138" s="2" t="s">
        <v>372</v>
      </c>
      <c r="E1138" s="2" t="s">
        <v>232</v>
      </c>
      <c r="F1138" s="4">
        <v>4</v>
      </c>
      <c r="G1138" s="4">
        <v>5080</v>
      </c>
      <c r="H1138" s="4">
        <v>13.8</v>
      </c>
      <c r="I1138" s="4">
        <v>17515.84</v>
      </c>
      <c r="J1138" s="2" t="s">
        <v>22</v>
      </c>
      <c r="K1138" s="2" t="s">
        <v>46</v>
      </c>
    </row>
    <row r="1139" spans="1:11" x14ac:dyDescent="0.35">
      <c r="A1139" s="2" t="s">
        <v>1553</v>
      </c>
      <c r="B1139" s="3">
        <v>45597</v>
      </c>
      <c r="C1139" s="2" t="s">
        <v>1179</v>
      </c>
      <c r="D1139" s="2" t="s">
        <v>296</v>
      </c>
      <c r="E1139" s="2" t="s">
        <v>226</v>
      </c>
      <c r="F1139" s="4">
        <v>7</v>
      </c>
      <c r="G1139" s="4">
        <v>2380</v>
      </c>
      <c r="H1139" s="4">
        <v>15.5</v>
      </c>
      <c r="I1139" s="4">
        <v>14077.7</v>
      </c>
      <c r="J1139" s="2" t="s">
        <v>16</v>
      </c>
      <c r="K1139" s="2" t="s">
        <v>17</v>
      </c>
    </row>
    <row r="1140" spans="1:11" x14ac:dyDescent="0.35">
      <c r="A1140" s="2" t="s">
        <v>1554</v>
      </c>
      <c r="B1140" s="3">
        <v>45648</v>
      </c>
      <c r="C1140" s="2" t="s">
        <v>176</v>
      </c>
      <c r="D1140" s="2" t="s">
        <v>113</v>
      </c>
      <c r="E1140" s="2" t="s">
        <v>32</v>
      </c>
      <c r="F1140" s="4">
        <v>3</v>
      </c>
      <c r="G1140" s="4">
        <v>4880</v>
      </c>
      <c r="H1140" s="4">
        <v>6.1</v>
      </c>
      <c r="I1140" s="4">
        <v>13746.96</v>
      </c>
      <c r="J1140" s="2" t="s">
        <v>16</v>
      </c>
      <c r="K1140" s="2" t="s">
        <v>46</v>
      </c>
    </row>
    <row r="1141" spans="1:11" x14ac:dyDescent="0.35">
      <c r="A1141" s="2" t="s">
        <v>1555</v>
      </c>
      <c r="B1141" s="3">
        <v>45355</v>
      </c>
      <c r="C1141" s="2" t="s">
        <v>693</v>
      </c>
      <c r="D1141" s="2" t="s">
        <v>108</v>
      </c>
      <c r="E1141" s="2" t="s">
        <v>133</v>
      </c>
      <c r="F1141" s="4">
        <v>2</v>
      </c>
      <c r="G1141" s="4">
        <v>3350</v>
      </c>
      <c r="H1141" s="4">
        <v>17.2</v>
      </c>
      <c r="I1141" s="4">
        <v>5547.6</v>
      </c>
      <c r="J1141" s="2" t="s">
        <v>16</v>
      </c>
      <c r="K1141" s="2" t="s">
        <v>23</v>
      </c>
    </row>
    <row r="1142" spans="1:11" x14ac:dyDescent="0.35">
      <c r="A1142" s="2" t="s">
        <v>1556</v>
      </c>
      <c r="B1142" s="3">
        <v>45331</v>
      </c>
      <c r="C1142" s="2" t="s">
        <v>1557</v>
      </c>
      <c r="D1142" s="2" t="s">
        <v>56</v>
      </c>
      <c r="E1142" s="2" t="s">
        <v>45</v>
      </c>
      <c r="F1142" s="4">
        <v>5</v>
      </c>
      <c r="G1142" s="4">
        <v>970</v>
      </c>
      <c r="H1142" s="4">
        <v>23.6</v>
      </c>
      <c r="I1142" s="4">
        <v>3705.4</v>
      </c>
      <c r="J1142" s="2" t="s">
        <v>16</v>
      </c>
      <c r="K1142" s="2" t="s">
        <v>23</v>
      </c>
    </row>
    <row r="1143" spans="1:11" x14ac:dyDescent="0.35">
      <c r="A1143" s="2" t="s">
        <v>1558</v>
      </c>
      <c r="B1143" s="3">
        <v>45632</v>
      </c>
      <c r="C1143" s="2" t="s">
        <v>247</v>
      </c>
      <c r="D1143" s="2" t="s">
        <v>211</v>
      </c>
      <c r="E1143" s="2" t="s">
        <v>214</v>
      </c>
      <c r="F1143" s="4">
        <v>5</v>
      </c>
      <c r="G1143" s="4">
        <v>300</v>
      </c>
      <c r="H1143" s="4">
        <v>3.8</v>
      </c>
      <c r="I1143" s="4">
        <v>1443</v>
      </c>
      <c r="J1143" s="2" t="s">
        <v>16</v>
      </c>
      <c r="K1143" s="2" t="s">
        <v>23</v>
      </c>
    </row>
    <row r="1144" spans="1:11" x14ac:dyDescent="0.35">
      <c r="A1144" s="2" t="s">
        <v>1559</v>
      </c>
      <c r="B1144" s="3">
        <v>45358</v>
      </c>
      <c r="C1144" s="2" t="s">
        <v>488</v>
      </c>
      <c r="D1144" s="2" t="s">
        <v>337</v>
      </c>
      <c r="E1144" s="2" t="s">
        <v>21</v>
      </c>
      <c r="F1144" s="4">
        <v>9</v>
      </c>
      <c r="G1144" s="4">
        <v>3970</v>
      </c>
      <c r="H1144" s="4">
        <v>0.8</v>
      </c>
      <c r="I1144" s="4">
        <v>35444.160000000003</v>
      </c>
      <c r="J1144" s="2" t="s">
        <v>16</v>
      </c>
      <c r="K1144" s="2" t="s">
        <v>17</v>
      </c>
    </row>
    <row r="1145" spans="1:11" x14ac:dyDescent="0.35">
      <c r="A1145" s="2" t="s">
        <v>1560</v>
      </c>
      <c r="B1145" s="3">
        <v>45440</v>
      </c>
      <c r="C1145" s="2" t="s">
        <v>1050</v>
      </c>
      <c r="D1145" s="2" t="s">
        <v>102</v>
      </c>
      <c r="E1145" s="2" t="s">
        <v>181</v>
      </c>
      <c r="F1145" s="4">
        <v>4</v>
      </c>
      <c r="G1145" s="4">
        <v>2720</v>
      </c>
      <c r="H1145" s="4">
        <v>12.7</v>
      </c>
      <c r="I1145" s="4">
        <v>9498.24</v>
      </c>
      <c r="J1145" s="2" t="s">
        <v>16</v>
      </c>
      <c r="K1145" s="2" t="s">
        <v>41</v>
      </c>
    </row>
    <row r="1146" spans="1:11" x14ac:dyDescent="0.35">
      <c r="A1146" s="2" t="s">
        <v>1561</v>
      </c>
      <c r="B1146" s="3">
        <v>45412</v>
      </c>
      <c r="C1146" s="2" t="s">
        <v>204</v>
      </c>
      <c r="D1146" s="2" t="s">
        <v>221</v>
      </c>
      <c r="E1146" s="2" t="s">
        <v>87</v>
      </c>
      <c r="F1146" s="4">
        <v>3</v>
      </c>
      <c r="G1146" s="4">
        <v>620</v>
      </c>
      <c r="H1146" s="4">
        <v>5.5</v>
      </c>
      <c r="I1146" s="4">
        <v>1757.7</v>
      </c>
      <c r="J1146" s="2" t="s">
        <v>16</v>
      </c>
      <c r="K1146" s="2" t="s">
        <v>17</v>
      </c>
    </row>
    <row r="1147" spans="1:11" x14ac:dyDescent="0.35">
      <c r="A1147" s="2" t="s">
        <v>1562</v>
      </c>
      <c r="B1147" s="3">
        <v>45479</v>
      </c>
      <c r="C1147" s="2" t="s">
        <v>107</v>
      </c>
      <c r="D1147" s="2" t="s">
        <v>188</v>
      </c>
      <c r="E1147" s="2" t="s">
        <v>45</v>
      </c>
      <c r="F1147" s="4">
        <v>2</v>
      </c>
      <c r="G1147" s="4">
        <v>1540</v>
      </c>
      <c r="H1147" s="4">
        <v>2.2000000000000002</v>
      </c>
      <c r="I1147" s="4">
        <v>3012.24</v>
      </c>
      <c r="J1147" s="2" t="s">
        <v>22</v>
      </c>
      <c r="K1147" s="2" t="s">
        <v>23</v>
      </c>
    </row>
    <row r="1148" spans="1:11" x14ac:dyDescent="0.35">
      <c r="A1148" s="2" t="s">
        <v>1563</v>
      </c>
      <c r="B1148" s="3">
        <v>45534</v>
      </c>
      <c r="C1148" s="2" t="s">
        <v>241</v>
      </c>
      <c r="D1148" s="2" t="s">
        <v>315</v>
      </c>
      <c r="E1148" s="2" t="s">
        <v>130</v>
      </c>
      <c r="F1148" s="4">
        <v>1</v>
      </c>
      <c r="G1148" s="4">
        <v>2290</v>
      </c>
      <c r="H1148" s="4">
        <v>24.4</v>
      </c>
      <c r="I1148" s="4">
        <v>1731.24</v>
      </c>
      <c r="J1148" s="2" t="s">
        <v>69</v>
      </c>
      <c r="K1148" s="2" t="s">
        <v>62</v>
      </c>
    </row>
    <row r="1149" spans="1:11" x14ac:dyDescent="0.35">
      <c r="A1149" s="2" t="s">
        <v>1564</v>
      </c>
      <c r="B1149" s="3">
        <v>45313</v>
      </c>
      <c r="C1149" s="2" t="s">
        <v>654</v>
      </c>
      <c r="D1149" s="2" t="s">
        <v>102</v>
      </c>
      <c r="E1149" s="2" t="s">
        <v>232</v>
      </c>
      <c r="F1149" s="4">
        <v>8</v>
      </c>
      <c r="G1149" s="4">
        <v>2720</v>
      </c>
      <c r="H1149" s="4">
        <v>1.7</v>
      </c>
      <c r="I1149" s="4">
        <v>21390.080000000002</v>
      </c>
      <c r="J1149" s="2" t="s">
        <v>16</v>
      </c>
      <c r="K1149" s="2" t="s">
        <v>28</v>
      </c>
    </row>
    <row r="1150" spans="1:11" x14ac:dyDescent="0.35">
      <c r="A1150" s="2" t="s">
        <v>1565</v>
      </c>
      <c r="B1150" s="3">
        <v>45390</v>
      </c>
      <c r="C1150" s="2" t="s">
        <v>1463</v>
      </c>
      <c r="D1150" s="2" t="s">
        <v>280</v>
      </c>
      <c r="E1150" s="2" t="s">
        <v>83</v>
      </c>
      <c r="F1150" s="4">
        <v>4</v>
      </c>
      <c r="G1150" s="4">
        <v>4060</v>
      </c>
      <c r="H1150" s="4">
        <v>19.600000000000001</v>
      </c>
      <c r="I1150" s="4">
        <v>13056.96</v>
      </c>
      <c r="J1150" s="2" t="s">
        <v>69</v>
      </c>
      <c r="K1150" s="2" t="s">
        <v>62</v>
      </c>
    </row>
    <row r="1151" spans="1:11" x14ac:dyDescent="0.35">
      <c r="A1151" s="2" t="s">
        <v>1566</v>
      </c>
      <c r="B1151" s="3">
        <v>45370</v>
      </c>
      <c r="C1151" s="2" t="s">
        <v>271</v>
      </c>
      <c r="D1151" s="2" t="s">
        <v>116</v>
      </c>
      <c r="E1151" s="2" t="s">
        <v>275</v>
      </c>
      <c r="F1151" s="4">
        <v>8</v>
      </c>
      <c r="G1151" s="4">
        <v>3570</v>
      </c>
      <c r="H1151" s="4">
        <v>10.8</v>
      </c>
      <c r="I1151" s="4">
        <v>25475.52</v>
      </c>
      <c r="J1151" s="2" t="s">
        <v>16</v>
      </c>
      <c r="K1151" s="2" t="s">
        <v>23</v>
      </c>
    </row>
    <row r="1152" spans="1:11" x14ac:dyDescent="0.35">
      <c r="A1152" s="2" t="s">
        <v>1567</v>
      </c>
      <c r="B1152" s="3">
        <v>45324</v>
      </c>
      <c r="C1152" s="2" t="s">
        <v>358</v>
      </c>
      <c r="D1152" s="2" t="s">
        <v>90</v>
      </c>
      <c r="E1152" s="2" t="s">
        <v>68</v>
      </c>
      <c r="F1152" s="4">
        <v>10</v>
      </c>
      <c r="G1152" s="4">
        <v>3450</v>
      </c>
      <c r="H1152" s="4">
        <v>13.5</v>
      </c>
      <c r="I1152" s="4">
        <v>29842.5</v>
      </c>
      <c r="J1152" s="2" t="s">
        <v>22</v>
      </c>
      <c r="K1152" s="2" t="s">
        <v>46</v>
      </c>
    </row>
    <row r="1153" spans="1:11" x14ac:dyDescent="0.35">
      <c r="A1153" s="2" t="s">
        <v>1568</v>
      </c>
      <c r="B1153" s="3">
        <v>45469</v>
      </c>
      <c r="C1153" s="2" t="s">
        <v>349</v>
      </c>
      <c r="D1153" s="2" t="s">
        <v>64</v>
      </c>
      <c r="E1153" s="2" t="s">
        <v>15</v>
      </c>
      <c r="F1153" s="4">
        <v>10</v>
      </c>
      <c r="G1153" s="4">
        <v>2640</v>
      </c>
      <c r="H1153" s="4">
        <v>29.8</v>
      </c>
      <c r="I1153" s="4">
        <v>18532.8</v>
      </c>
      <c r="J1153" s="2" t="s">
        <v>16</v>
      </c>
      <c r="K1153" s="2" t="s">
        <v>28</v>
      </c>
    </row>
    <row r="1154" spans="1:11" x14ac:dyDescent="0.35">
      <c r="A1154" s="2" t="s">
        <v>1569</v>
      </c>
      <c r="B1154" s="3">
        <v>45619</v>
      </c>
      <c r="C1154" s="2" t="s">
        <v>183</v>
      </c>
      <c r="D1154" s="2" t="s">
        <v>39</v>
      </c>
      <c r="E1154" s="2" t="s">
        <v>133</v>
      </c>
      <c r="F1154" s="4">
        <v>3</v>
      </c>
      <c r="G1154" s="4">
        <v>370</v>
      </c>
      <c r="H1154" s="4">
        <v>25.5</v>
      </c>
      <c r="I1154" s="4">
        <v>826.95</v>
      </c>
      <c r="J1154" s="2" t="s">
        <v>16</v>
      </c>
      <c r="K1154" s="2" t="s">
        <v>23</v>
      </c>
    </row>
    <row r="1155" spans="1:11" x14ac:dyDescent="0.35">
      <c r="A1155" s="2" t="s">
        <v>1570</v>
      </c>
      <c r="B1155" s="3">
        <v>45627</v>
      </c>
      <c r="C1155" s="2" t="s">
        <v>433</v>
      </c>
      <c r="D1155" s="2" t="s">
        <v>196</v>
      </c>
      <c r="E1155" s="2" t="s">
        <v>99</v>
      </c>
      <c r="F1155" s="4">
        <v>3</v>
      </c>
      <c r="G1155" s="4">
        <v>1220</v>
      </c>
      <c r="H1155" s="4">
        <v>7.7</v>
      </c>
      <c r="I1155" s="4">
        <v>3378.18</v>
      </c>
      <c r="J1155" s="2" t="s">
        <v>22</v>
      </c>
      <c r="K1155" s="2" t="s">
        <v>46</v>
      </c>
    </row>
    <row r="1156" spans="1:11" x14ac:dyDescent="0.35">
      <c r="A1156" s="2" t="s">
        <v>1571</v>
      </c>
      <c r="B1156" s="3">
        <v>45499</v>
      </c>
      <c r="C1156" s="2" t="s">
        <v>386</v>
      </c>
      <c r="D1156" s="2" t="s">
        <v>64</v>
      </c>
      <c r="E1156" s="2" t="s">
        <v>214</v>
      </c>
      <c r="F1156" s="4">
        <v>1</v>
      </c>
      <c r="G1156" s="4">
        <v>2640</v>
      </c>
      <c r="H1156" s="4">
        <v>23.6</v>
      </c>
      <c r="I1156" s="4">
        <v>2016.96</v>
      </c>
      <c r="J1156" s="2" t="s">
        <v>16</v>
      </c>
      <c r="K1156" s="2" t="s">
        <v>17</v>
      </c>
    </row>
    <row r="1157" spans="1:11" x14ac:dyDescent="0.35">
      <c r="A1157" s="2" t="s">
        <v>1572</v>
      </c>
      <c r="B1157" s="3">
        <v>45563</v>
      </c>
      <c r="C1157" s="2" t="s">
        <v>38</v>
      </c>
      <c r="D1157" s="2" t="s">
        <v>120</v>
      </c>
      <c r="E1157" s="2" t="s">
        <v>202</v>
      </c>
      <c r="F1157" s="4">
        <v>9</v>
      </c>
      <c r="G1157" s="4">
        <v>5100</v>
      </c>
      <c r="H1157" s="4">
        <v>9.5</v>
      </c>
      <c r="I1157" s="4">
        <v>41539.5</v>
      </c>
      <c r="J1157" s="2" t="s">
        <v>16</v>
      </c>
      <c r="K1157" s="2" t="s">
        <v>41</v>
      </c>
    </row>
    <row r="1158" spans="1:11" x14ac:dyDescent="0.35">
      <c r="A1158" s="2" t="s">
        <v>1573</v>
      </c>
      <c r="B1158" s="3">
        <v>45435</v>
      </c>
      <c r="C1158" s="2" t="s">
        <v>693</v>
      </c>
      <c r="D1158" s="2" t="s">
        <v>170</v>
      </c>
      <c r="E1158" s="2" t="s">
        <v>36</v>
      </c>
      <c r="F1158" s="4">
        <v>7</v>
      </c>
      <c r="G1158" s="4">
        <v>6080</v>
      </c>
      <c r="H1158" s="4">
        <v>17.5</v>
      </c>
      <c r="I1158" s="4">
        <v>35112</v>
      </c>
      <c r="J1158" s="2" t="s">
        <v>16</v>
      </c>
      <c r="K1158" s="2" t="s">
        <v>23</v>
      </c>
    </row>
    <row r="1159" spans="1:11" x14ac:dyDescent="0.35">
      <c r="A1159" s="2" t="s">
        <v>1574</v>
      </c>
      <c r="B1159" s="3">
        <v>45602</v>
      </c>
      <c r="C1159" s="2" t="s">
        <v>416</v>
      </c>
      <c r="D1159" s="2" t="s">
        <v>211</v>
      </c>
      <c r="E1159" s="2" t="s">
        <v>130</v>
      </c>
      <c r="F1159" s="4">
        <v>1</v>
      </c>
      <c r="G1159" s="4">
        <v>300</v>
      </c>
      <c r="H1159" s="4">
        <v>26.9</v>
      </c>
      <c r="I1159" s="4">
        <v>219.3</v>
      </c>
      <c r="J1159" s="2" t="s">
        <v>16</v>
      </c>
      <c r="K1159" s="2" t="s">
        <v>17</v>
      </c>
    </row>
    <row r="1160" spans="1:11" x14ac:dyDescent="0.35">
      <c r="A1160" s="2" t="s">
        <v>1575</v>
      </c>
      <c r="B1160" s="3">
        <v>45650</v>
      </c>
      <c r="C1160" s="2" t="s">
        <v>317</v>
      </c>
      <c r="D1160" s="2" t="s">
        <v>205</v>
      </c>
      <c r="E1160" s="2" t="s">
        <v>121</v>
      </c>
      <c r="F1160" s="4">
        <v>6</v>
      </c>
      <c r="G1160" s="4">
        <v>3020</v>
      </c>
      <c r="H1160" s="4">
        <v>28.5</v>
      </c>
      <c r="I1160" s="4">
        <v>12955.8</v>
      </c>
      <c r="J1160" s="2" t="s">
        <v>16</v>
      </c>
      <c r="K1160" s="2" t="s">
        <v>62</v>
      </c>
    </row>
    <row r="1161" spans="1:11" x14ac:dyDescent="0.35">
      <c r="A1161" s="2" t="s">
        <v>1576</v>
      </c>
      <c r="B1161" s="3">
        <v>45294</v>
      </c>
      <c r="C1161" s="2" t="s">
        <v>148</v>
      </c>
      <c r="D1161" s="2" t="s">
        <v>211</v>
      </c>
      <c r="E1161" s="2" t="s">
        <v>232</v>
      </c>
      <c r="F1161" s="4">
        <v>8</v>
      </c>
      <c r="G1161" s="4">
        <v>300</v>
      </c>
      <c r="H1161" s="4">
        <v>1.2</v>
      </c>
      <c r="I1161" s="4">
        <v>2371.1999999999998</v>
      </c>
      <c r="J1161" s="2" t="s">
        <v>16</v>
      </c>
      <c r="K1161" s="2" t="s">
        <v>28</v>
      </c>
    </row>
    <row r="1162" spans="1:11" x14ac:dyDescent="0.35">
      <c r="A1162" s="2" t="s">
        <v>1577</v>
      </c>
      <c r="B1162" s="3">
        <v>45523</v>
      </c>
      <c r="C1162" s="2" t="s">
        <v>766</v>
      </c>
      <c r="D1162" s="2" t="s">
        <v>108</v>
      </c>
      <c r="E1162" s="2" t="s">
        <v>202</v>
      </c>
      <c r="F1162" s="4">
        <v>9</v>
      </c>
      <c r="G1162" s="4">
        <v>3350</v>
      </c>
      <c r="H1162" s="4">
        <v>0.6</v>
      </c>
      <c r="I1162" s="4">
        <v>29969.1</v>
      </c>
      <c r="J1162" s="2" t="s">
        <v>73</v>
      </c>
      <c r="K1162" s="2" t="s">
        <v>46</v>
      </c>
    </row>
    <row r="1163" spans="1:11" x14ac:dyDescent="0.35">
      <c r="A1163" s="2" t="s">
        <v>1578</v>
      </c>
      <c r="B1163" s="3">
        <v>45479</v>
      </c>
      <c r="C1163" s="2" t="s">
        <v>932</v>
      </c>
      <c r="D1163" s="2" t="s">
        <v>193</v>
      </c>
      <c r="E1163" s="2" t="s">
        <v>45</v>
      </c>
      <c r="F1163" s="4">
        <v>4</v>
      </c>
      <c r="G1163" s="4">
        <v>4070</v>
      </c>
      <c r="H1163" s="4">
        <v>10.1</v>
      </c>
      <c r="I1163" s="4">
        <v>14635.72</v>
      </c>
      <c r="J1163" s="2" t="s">
        <v>16</v>
      </c>
      <c r="K1163" s="2" t="s">
        <v>28</v>
      </c>
    </row>
    <row r="1164" spans="1:11" x14ac:dyDescent="0.35">
      <c r="A1164" s="2" t="s">
        <v>1579</v>
      </c>
      <c r="B1164" s="3">
        <v>45614</v>
      </c>
      <c r="C1164" s="2" t="s">
        <v>1237</v>
      </c>
      <c r="D1164" s="2" t="s">
        <v>390</v>
      </c>
      <c r="E1164" s="2" t="s">
        <v>45</v>
      </c>
      <c r="F1164" s="4">
        <v>9</v>
      </c>
      <c r="G1164" s="4">
        <v>3780</v>
      </c>
      <c r="H1164" s="4">
        <v>27.8</v>
      </c>
      <c r="I1164" s="4">
        <v>24562.44</v>
      </c>
      <c r="J1164" s="2" t="s">
        <v>69</v>
      </c>
      <c r="K1164" s="2" t="s">
        <v>23</v>
      </c>
    </row>
    <row r="1165" spans="1:11" x14ac:dyDescent="0.35">
      <c r="A1165" s="2" t="s">
        <v>1580</v>
      </c>
      <c r="B1165" s="3">
        <v>45407</v>
      </c>
      <c r="C1165" s="2" t="s">
        <v>123</v>
      </c>
      <c r="D1165" s="2" t="s">
        <v>93</v>
      </c>
      <c r="E1165" s="2" t="s">
        <v>99</v>
      </c>
      <c r="F1165" s="4">
        <v>6</v>
      </c>
      <c r="G1165" s="4">
        <v>1080</v>
      </c>
      <c r="H1165" s="4">
        <v>17.5</v>
      </c>
      <c r="I1165" s="4">
        <v>5346</v>
      </c>
      <c r="J1165" s="2" t="s">
        <v>16</v>
      </c>
      <c r="K1165" s="2" t="s">
        <v>17</v>
      </c>
    </row>
    <row r="1166" spans="1:11" x14ac:dyDescent="0.35">
      <c r="A1166" s="2" t="s">
        <v>1581</v>
      </c>
      <c r="B1166" s="3">
        <v>45603</v>
      </c>
      <c r="C1166" s="2" t="s">
        <v>358</v>
      </c>
      <c r="D1166" s="2" t="s">
        <v>67</v>
      </c>
      <c r="E1166" s="2" t="s">
        <v>83</v>
      </c>
      <c r="F1166" s="4">
        <v>3</v>
      </c>
      <c r="G1166" s="4">
        <v>2600</v>
      </c>
      <c r="H1166" s="4">
        <v>1.9</v>
      </c>
      <c r="I1166" s="4">
        <v>7651.8</v>
      </c>
      <c r="J1166" s="2" t="s">
        <v>16</v>
      </c>
      <c r="K1166" s="2" t="s">
        <v>46</v>
      </c>
    </row>
    <row r="1167" spans="1:11" x14ac:dyDescent="0.35">
      <c r="A1167" s="2" t="s">
        <v>1582</v>
      </c>
      <c r="B1167" s="3">
        <v>45375</v>
      </c>
      <c r="C1167" s="2" t="s">
        <v>726</v>
      </c>
      <c r="D1167" s="2" t="s">
        <v>102</v>
      </c>
      <c r="E1167" s="2" t="s">
        <v>36</v>
      </c>
      <c r="F1167" s="4">
        <v>5</v>
      </c>
      <c r="G1167" s="4">
        <v>2720</v>
      </c>
      <c r="H1167" s="4">
        <v>1.8</v>
      </c>
      <c r="I1167" s="4">
        <v>13355.2</v>
      </c>
      <c r="J1167" s="2" t="s">
        <v>69</v>
      </c>
      <c r="K1167" s="2" t="s">
        <v>28</v>
      </c>
    </row>
    <row r="1168" spans="1:11" x14ac:dyDescent="0.35">
      <c r="A1168" s="2" t="s">
        <v>1583</v>
      </c>
      <c r="B1168" s="3">
        <v>45485</v>
      </c>
      <c r="C1168" s="2" t="s">
        <v>307</v>
      </c>
      <c r="D1168" s="2" t="s">
        <v>31</v>
      </c>
      <c r="E1168" s="2" t="s">
        <v>254</v>
      </c>
      <c r="F1168" s="4">
        <v>8</v>
      </c>
      <c r="G1168" s="4">
        <v>3660</v>
      </c>
      <c r="H1168" s="4">
        <v>29.5</v>
      </c>
      <c r="I1168" s="4">
        <v>20642.400000000001</v>
      </c>
      <c r="J1168" s="2" t="s">
        <v>16</v>
      </c>
      <c r="K1168" s="2" t="s">
        <v>23</v>
      </c>
    </row>
    <row r="1169" spans="1:11" x14ac:dyDescent="0.35">
      <c r="A1169" s="2" t="s">
        <v>1584</v>
      </c>
      <c r="B1169" s="3">
        <v>45567</v>
      </c>
      <c r="C1169" s="2" t="s">
        <v>314</v>
      </c>
      <c r="D1169" s="2" t="s">
        <v>105</v>
      </c>
      <c r="E1169" s="2" t="s">
        <v>21</v>
      </c>
      <c r="F1169" s="4">
        <v>9</v>
      </c>
      <c r="G1169" s="4">
        <v>1650</v>
      </c>
      <c r="H1169" s="4">
        <v>19.8</v>
      </c>
      <c r="I1169" s="4">
        <v>11909.7</v>
      </c>
      <c r="J1169" s="2" t="s">
        <v>73</v>
      </c>
      <c r="K1169" s="2" t="s">
        <v>46</v>
      </c>
    </row>
    <row r="1170" spans="1:11" x14ac:dyDescent="0.35">
      <c r="A1170" s="2" t="s">
        <v>1585</v>
      </c>
      <c r="B1170" s="3">
        <v>45502</v>
      </c>
      <c r="C1170" s="2" t="s">
        <v>262</v>
      </c>
      <c r="D1170" s="2" t="s">
        <v>124</v>
      </c>
      <c r="E1170" s="2" t="s">
        <v>50</v>
      </c>
      <c r="F1170" s="4">
        <v>3</v>
      </c>
      <c r="G1170" s="4">
        <v>2860</v>
      </c>
      <c r="H1170" s="4">
        <v>22.7</v>
      </c>
      <c r="I1170" s="4">
        <v>6632.34</v>
      </c>
      <c r="J1170" s="2" t="s">
        <v>16</v>
      </c>
      <c r="K1170" s="2" t="s">
        <v>62</v>
      </c>
    </row>
    <row r="1171" spans="1:11" x14ac:dyDescent="0.35">
      <c r="A1171" s="2" t="s">
        <v>1586</v>
      </c>
      <c r="B1171" s="3">
        <v>45429</v>
      </c>
      <c r="C1171" s="2" t="s">
        <v>976</v>
      </c>
      <c r="D1171" s="2" t="s">
        <v>90</v>
      </c>
      <c r="E1171" s="2" t="s">
        <v>40</v>
      </c>
      <c r="F1171" s="4">
        <v>4</v>
      </c>
      <c r="G1171" s="4">
        <v>3450</v>
      </c>
      <c r="H1171" s="4">
        <v>9.1999999999999993</v>
      </c>
      <c r="I1171" s="4">
        <v>12530.4</v>
      </c>
      <c r="J1171" s="2" t="s">
        <v>16</v>
      </c>
      <c r="K1171" s="2" t="s">
        <v>62</v>
      </c>
    </row>
    <row r="1172" spans="1:11" x14ac:dyDescent="0.35">
      <c r="A1172" s="2" t="s">
        <v>1587</v>
      </c>
      <c r="B1172" s="3">
        <v>45405</v>
      </c>
      <c r="C1172" s="2" t="s">
        <v>204</v>
      </c>
      <c r="D1172" s="2" t="s">
        <v>224</v>
      </c>
      <c r="E1172" s="2" t="s">
        <v>77</v>
      </c>
      <c r="F1172" s="4">
        <v>4</v>
      </c>
      <c r="G1172" s="4">
        <v>2030</v>
      </c>
      <c r="H1172" s="4">
        <v>17.100000000000001</v>
      </c>
      <c r="I1172" s="4">
        <v>6731.48</v>
      </c>
      <c r="J1172" s="2" t="s">
        <v>16</v>
      </c>
      <c r="K1172" s="2" t="s">
        <v>17</v>
      </c>
    </row>
    <row r="1173" spans="1:11" x14ac:dyDescent="0.35">
      <c r="A1173" s="2" t="s">
        <v>1588</v>
      </c>
      <c r="B1173" s="3">
        <v>45401</v>
      </c>
      <c r="C1173" s="2" t="s">
        <v>342</v>
      </c>
      <c r="D1173" s="2" t="s">
        <v>174</v>
      </c>
      <c r="E1173" s="2" t="s">
        <v>275</v>
      </c>
      <c r="F1173" s="4">
        <v>4</v>
      </c>
      <c r="G1173" s="4">
        <v>2270</v>
      </c>
      <c r="H1173" s="4">
        <v>27.3</v>
      </c>
      <c r="I1173" s="4">
        <v>6601.16</v>
      </c>
      <c r="J1173" s="2" t="s">
        <v>16</v>
      </c>
      <c r="K1173" s="2" t="s">
        <v>17</v>
      </c>
    </row>
    <row r="1174" spans="1:11" x14ac:dyDescent="0.35">
      <c r="A1174" s="2" t="s">
        <v>1589</v>
      </c>
      <c r="B1174" s="3">
        <v>45373</v>
      </c>
      <c r="C1174" s="2" t="s">
        <v>394</v>
      </c>
      <c r="D1174" s="2" t="s">
        <v>372</v>
      </c>
      <c r="E1174" s="2" t="s">
        <v>181</v>
      </c>
      <c r="F1174" s="4">
        <v>9</v>
      </c>
      <c r="G1174" s="4">
        <v>5080</v>
      </c>
      <c r="H1174" s="4">
        <v>10.9</v>
      </c>
      <c r="I1174" s="4">
        <v>40736.519999999997</v>
      </c>
      <c r="J1174" s="2" t="s">
        <v>16</v>
      </c>
      <c r="K1174" s="2" t="s">
        <v>41</v>
      </c>
    </row>
    <row r="1175" spans="1:11" x14ac:dyDescent="0.35">
      <c r="A1175" s="2" t="s">
        <v>1590</v>
      </c>
      <c r="B1175" s="3">
        <v>45602</v>
      </c>
      <c r="C1175" s="2" t="s">
        <v>714</v>
      </c>
      <c r="D1175" s="2" t="s">
        <v>193</v>
      </c>
      <c r="E1175" s="2" t="s">
        <v>158</v>
      </c>
      <c r="F1175" s="4">
        <v>8</v>
      </c>
      <c r="G1175" s="4">
        <v>4070</v>
      </c>
      <c r="H1175" s="4">
        <v>17.7</v>
      </c>
      <c r="I1175" s="4">
        <v>26796.880000000001</v>
      </c>
      <c r="J1175" s="2" t="s">
        <v>16</v>
      </c>
      <c r="K1175" s="2" t="s">
        <v>17</v>
      </c>
    </row>
    <row r="1176" spans="1:11" x14ac:dyDescent="0.35">
      <c r="A1176" s="2" t="s">
        <v>1591</v>
      </c>
      <c r="B1176" s="3">
        <v>45372</v>
      </c>
      <c r="C1176" s="2" t="s">
        <v>351</v>
      </c>
      <c r="D1176" s="2" t="s">
        <v>188</v>
      </c>
      <c r="E1176" s="2" t="s">
        <v>21</v>
      </c>
      <c r="F1176" s="4">
        <v>1</v>
      </c>
      <c r="G1176" s="4">
        <v>1540</v>
      </c>
      <c r="H1176" s="4">
        <v>0.9</v>
      </c>
      <c r="I1176" s="4">
        <v>1526.14</v>
      </c>
      <c r="J1176" s="2" t="s">
        <v>16</v>
      </c>
      <c r="K1176" s="2" t="s">
        <v>23</v>
      </c>
    </row>
    <row r="1177" spans="1:11" x14ac:dyDescent="0.35">
      <c r="A1177" s="2" t="s">
        <v>1592</v>
      </c>
      <c r="B1177" s="3">
        <v>45416</v>
      </c>
      <c r="C1177" s="2" t="s">
        <v>1593</v>
      </c>
      <c r="D1177" s="2" t="s">
        <v>120</v>
      </c>
      <c r="E1177" s="2" t="s">
        <v>45</v>
      </c>
      <c r="F1177" s="4">
        <v>10</v>
      </c>
      <c r="G1177" s="4">
        <v>5100</v>
      </c>
      <c r="H1177" s="4">
        <v>3</v>
      </c>
      <c r="I1177" s="4">
        <v>49470</v>
      </c>
      <c r="J1177" s="2" t="s">
        <v>16</v>
      </c>
      <c r="K1177" s="2" t="s">
        <v>46</v>
      </c>
    </row>
    <row r="1178" spans="1:11" x14ac:dyDescent="0.35">
      <c r="A1178" s="2" t="s">
        <v>1594</v>
      </c>
      <c r="B1178" s="3">
        <v>45656</v>
      </c>
      <c r="C1178" s="2" t="s">
        <v>509</v>
      </c>
      <c r="D1178" s="2" t="s">
        <v>14</v>
      </c>
      <c r="E1178" s="2" t="s">
        <v>32</v>
      </c>
      <c r="F1178" s="4">
        <v>6</v>
      </c>
      <c r="G1178" s="4">
        <v>3620</v>
      </c>
      <c r="H1178" s="4">
        <v>20.2</v>
      </c>
      <c r="I1178" s="4">
        <v>17332.560000000001</v>
      </c>
      <c r="J1178" s="2" t="s">
        <v>16</v>
      </c>
      <c r="K1178" s="2" t="s">
        <v>17</v>
      </c>
    </row>
    <row r="1179" spans="1:11" x14ac:dyDescent="0.35">
      <c r="A1179" s="2" t="s">
        <v>1595</v>
      </c>
      <c r="B1179" s="3">
        <v>45324</v>
      </c>
      <c r="C1179" s="2" t="s">
        <v>55</v>
      </c>
      <c r="D1179" s="2" t="s">
        <v>113</v>
      </c>
      <c r="E1179" s="2" t="s">
        <v>77</v>
      </c>
      <c r="F1179" s="4">
        <v>7</v>
      </c>
      <c r="G1179" s="4">
        <v>4880</v>
      </c>
      <c r="H1179" s="4">
        <v>5</v>
      </c>
      <c r="I1179" s="4">
        <v>32452</v>
      </c>
      <c r="J1179" s="2" t="s">
        <v>16</v>
      </c>
      <c r="K1179" s="2" t="s">
        <v>17</v>
      </c>
    </row>
    <row r="1180" spans="1:11" x14ac:dyDescent="0.35">
      <c r="A1180" s="2" t="s">
        <v>1596</v>
      </c>
      <c r="B1180" s="3">
        <v>45472</v>
      </c>
      <c r="C1180" s="2" t="s">
        <v>123</v>
      </c>
      <c r="D1180" s="2" t="s">
        <v>64</v>
      </c>
      <c r="E1180" s="2" t="s">
        <v>45</v>
      </c>
      <c r="F1180" s="4">
        <v>1</v>
      </c>
      <c r="G1180" s="4">
        <v>2640</v>
      </c>
      <c r="H1180" s="4">
        <v>4.0999999999999996</v>
      </c>
      <c r="I1180" s="4">
        <v>2531.7600000000002</v>
      </c>
      <c r="J1180" s="2" t="s">
        <v>16</v>
      </c>
      <c r="K1180" s="2" t="s">
        <v>17</v>
      </c>
    </row>
    <row r="1181" spans="1:11" x14ac:dyDescent="0.35">
      <c r="A1181" s="2" t="s">
        <v>1597</v>
      </c>
      <c r="B1181" s="3">
        <v>45508</v>
      </c>
      <c r="C1181" s="2" t="s">
        <v>192</v>
      </c>
      <c r="D1181" s="2" t="s">
        <v>193</v>
      </c>
      <c r="E1181" s="2" t="s">
        <v>121</v>
      </c>
      <c r="F1181" s="4">
        <v>9</v>
      </c>
      <c r="G1181" s="4">
        <v>4070</v>
      </c>
      <c r="H1181" s="4">
        <v>4.4000000000000004</v>
      </c>
      <c r="I1181" s="4">
        <v>35018.28</v>
      </c>
      <c r="J1181" s="2" t="s">
        <v>16</v>
      </c>
      <c r="K1181" s="2" t="s">
        <v>62</v>
      </c>
    </row>
    <row r="1182" spans="1:11" x14ac:dyDescent="0.35">
      <c r="A1182" s="2" t="s">
        <v>1598</v>
      </c>
      <c r="B1182" s="3">
        <v>45617</v>
      </c>
      <c r="C1182" s="2" t="s">
        <v>257</v>
      </c>
      <c r="D1182" s="2" t="s">
        <v>116</v>
      </c>
      <c r="E1182" s="2" t="s">
        <v>40</v>
      </c>
      <c r="F1182" s="4">
        <v>9</v>
      </c>
      <c r="G1182" s="4">
        <v>3570</v>
      </c>
      <c r="H1182" s="4">
        <v>24.8</v>
      </c>
      <c r="I1182" s="4">
        <v>24161.759999999998</v>
      </c>
      <c r="J1182" s="2" t="s">
        <v>16</v>
      </c>
      <c r="K1182" s="2" t="s">
        <v>23</v>
      </c>
    </row>
    <row r="1183" spans="1:11" x14ac:dyDescent="0.35">
      <c r="A1183" s="2" t="s">
        <v>1599</v>
      </c>
      <c r="B1183" s="3">
        <v>45470</v>
      </c>
      <c r="C1183" s="2" t="s">
        <v>201</v>
      </c>
      <c r="D1183" s="2" t="s">
        <v>108</v>
      </c>
      <c r="E1183" s="2" t="s">
        <v>21</v>
      </c>
      <c r="F1183" s="4">
        <v>10</v>
      </c>
      <c r="G1183" s="4">
        <v>3350</v>
      </c>
      <c r="H1183" s="4">
        <v>25.1</v>
      </c>
      <c r="I1183" s="4">
        <v>25091.5</v>
      </c>
      <c r="J1183" s="2" t="s">
        <v>69</v>
      </c>
      <c r="K1183" s="2" t="s">
        <v>23</v>
      </c>
    </row>
    <row r="1184" spans="1:11" x14ac:dyDescent="0.35">
      <c r="A1184" s="2" t="s">
        <v>1600</v>
      </c>
      <c r="B1184" s="3">
        <v>45307</v>
      </c>
      <c r="C1184" s="2" t="s">
        <v>646</v>
      </c>
      <c r="D1184" s="2" t="s">
        <v>390</v>
      </c>
      <c r="E1184" s="2" t="s">
        <v>40</v>
      </c>
      <c r="F1184" s="4">
        <v>3</v>
      </c>
      <c r="G1184" s="4">
        <v>3780</v>
      </c>
      <c r="H1184" s="4">
        <v>3.8</v>
      </c>
      <c r="I1184" s="4">
        <v>10909.08</v>
      </c>
      <c r="J1184" s="2" t="s">
        <v>16</v>
      </c>
      <c r="K1184" s="2" t="s">
        <v>23</v>
      </c>
    </row>
    <row r="1185" spans="1:11" x14ac:dyDescent="0.35">
      <c r="A1185" s="2" t="s">
        <v>1601</v>
      </c>
      <c r="B1185" s="3">
        <v>45651</v>
      </c>
      <c r="C1185" s="2" t="s">
        <v>632</v>
      </c>
      <c r="D1185" s="2" t="s">
        <v>116</v>
      </c>
      <c r="E1185" s="2" t="s">
        <v>36</v>
      </c>
      <c r="F1185" s="4">
        <v>4</v>
      </c>
      <c r="G1185" s="4">
        <v>3570</v>
      </c>
      <c r="H1185" s="4">
        <v>0.9</v>
      </c>
      <c r="I1185" s="4">
        <v>14151.48</v>
      </c>
      <c r="J1185" s="2" t="s">
        <v>22</v>
      </c>
      <c r="K1185" s="2" t="s">
        <v>17</v>
      </c>
    </row>
    <row r="1186" spans="1:11" x14ac:dyDescent="0.35">
      <c r="A1186" s="2" t="s">
        <v>1092</v>
      </c>
      <c r="B1186" s="3">
        <v>45436</v>
      </c>
      <c r="C1186" s="2" t="s">
        <v>349</v>
      </c>
      <c r="D1186" s="2" t="s">
        <v>124</v>
      </c>
      <c r="E1186" s="2" t="s">
        <v>45</v>
      </c>
      <c r="F1186" s="4">
        <v>5</v>
      </c>
      <c r="G1186" s="4">
        <v>2860</v>
      </c>
      <c r="H1186" s="4">
        <v>20.100000000000001</v>
      </c>
      <c r="I1186" s="4">
        <v>11425.7</v>
      </c>
      <c r="J1186" s="2" t="s">
        <v>16</v>
      </c>
      <c r="K1186" s="2" t="s">
        <v>28</v>
      </c>
    </row>
    <row r="1187" spans="1:11" x14ac:dyDescent="0.35">
      <c r="A1187" s="2" t="s">
        <v>1602</v>
      </c>
      <c r="B1187" s="3">
        <v>45518</v>
      </c>
      <c r="C1187" s="2" t="s">
        <v>613</v>
      </c>
      <c r="D1187" s="2" t="s">
        <v>221</v>
      </c>
      <c r="E1187" s="2" t="s">
        <v>77</v>
      </c>
      <c r="F1187" s="4">
        <v>1</v>
      </c>
      <c r="G1187" s="4">
        <v>620</v>
      </c>
      <c r="H1187" s="4">
        <v>1.1000000000000001</v>
      </c>
      <c r="I1187" s="4">
        <v>613.17999999999995</v>
      </c>
      <c r="J1187" s="2" t="s">
        <v>69</v>
      </c>
      <c r="K1187" s="2" t="s">
        <v>28</v>
      </c>
    </row>
    <row r="1188" spans="1:11" x14ac:dyDescent="0.35">
      <c r="A1188" s="2" t="s">
        <v>1603</v>
      </c>
      <c r="B1188" s="3">
        <v>45432</v>
      </c>
      <c r="C1188" s="2" t="s">
        <v>123</v>
      </c>
      <c r="D1188" s="2" t="s">
        <v>116</v>
      </c>
      <c r="E1188" s="2" t="s">
        <v>254</v>
      </c>
      <c r="F1188" s="4">
        <v>1</v>
      </c>
      <c r="G1188" s="4">
        <v>3570</v>
      </c>
      <c r="H1188" s="4">
        <v>11.1</v>
      </c>
      <c r="I1188" s="4">
        <v>3173.73</v>
      </c>
      <c r="J1188" s="2" t="s">
        <v>69</v>
      </c>
      <c r="K1188" s="2" t="s">
        <v>17</v>
      </c>
    </row>
    <row r="1189" spans="1:11" x14ac:dyDescent="0.35">
      <c r="A1189" s="2" t="s">
        <v>1604</v>
      </c>
      <c r="B1189" s="3">
        <v>45551</v>
      </c>
      <c r="C1189" s="2" t="s">
        <v>591</v>
      </c>
      <c r="D1189" s="2" t="s">
        <v>293</v>
      </c>
      <c r="E1189" s="2" t="s">
        <v>254</v>
      </c>
      <c r="F1189" s="4">
        <v>1</v>
      </c>
      <c r="G1189" s="4">
        <v>5330</v>
      </c>
      <c r="H1189" s="4">
        <v>3.5</v>
      </c>
      <c r="I1189" s="4">
        <v>5143.45</v>
      </c>
      <c r="J1189" s="2" t="s">
        <v>16</v>
      </c>
      <c r="K1189" s="2" t="s">
        <v>23</v>
      </c>
    </row>
    <row r="1190" spans="1:11" x14ac:dyDescent="0.35">
      <c r="A1190" s="2" t="s">
        <v>1605</v>
      </c>
      <c r="B1190" s="3">
        <v>45348</v>
      </c>
      <c r="C1190" s="2" t="s">
        <v>279</v>
      </c>
      <c r="D1190" s="2" t="s">
        <v>289</v>
      </c>
      <c r="E1190" s="2" t="s">
        <v>232</v>
      </c>
      <c r="F1190" s="4">
        <v>7</v>
      </c>
      <c r="G1190" s="4">
        <v>5410</v>
      </c>
      <c r="H1190" s="4">
        <v>26.2</v>
      </c>
      <c r="I1190" s="4">
        <v>27948.06</v>
      </c>
      <c r="J1190" s="2" t="s">
        <v>16</v>
      </c>
      <c r="K1190" s="2" t="s">
        <v>41</v>
      </c>
    </row>
    <row r="1191" spans="1:11" x14ac:dyDescent="0.35">
      <c r="A1191" s="2" t="s">
        <v>1606</v>
      </c>
      <c r="B1191" s="3">
        <v>45374</v>
      </c>
      <c r="C1191" s="2" t="s">
        <v>1160</v>
      </c>
      <c r="D1191" s="2" t="s">
        <v>372</v>
      </c>
      <c r="E1191" s="2" t="s">
        <v>275</v>
      </c>
      <c r="F1191" s="4">
        <v>10</v>
      </c>
      <c r="G1191" s="4">
        <v>5080</v>
      </c>
      <c r="H1191" s="4">
        <v>3.7</v>
      </c>
      <c r="I1191" s="4">
        <v>48920.4</v>
      </c>
      <c r="J1191" s="2" t="s">
        <v>22</v>
      </c>
      <c r="K1191" s="2" t="s">
        <v>17</v>
      </c>
    </row>
    <row r="1192" spans="1:11" x14ac:dyDescent="0.35">
      <c r="A1192" s="2" t="s">
        <v>1607</v>
      </c>
      <c r="B1192" s="3">
        <v>45370</v>
      </c>
      <c r="C1192" s="2" t="s">
        <v>643</v>
      </c>
      <c r="D1192" s="2" t="s">
        <v>116</v>
      </c>
      <c r="E1192" s="2" t="s">
        <v>21</v>
      </c>
      <c r="F1192" s="4">
        <v>9</v>
      </c>
      <c r="G1192" s="4">
        <v>3570</v>
      </c>
      <c r="H1192" s="4">
        <v>5.6</v>
      </c>
      <c r="I1192" s="4">
        <v>30330.720000000001</v>
      </c>
      <c r="J1192" s="2" t="s">
        <v>16</v>
      </c>
      <c r="K1192" s="2" t="s">
        <v>28</v>
      </c>
    </row>
    <row r="1193" spans="1:11" x14ac:dyDescent="0.35">
      <c r="A1193" s="2" t="s">
        <v>1608</v>
      </c>
      <c r="B1193" s="3">
        <v>45656</v>
      </c>
      <c r="C1193" s="2" t="s">
        <v>533</v>
      </c>
      <c r="D1193" s="2" t="s">
        <v>56</v>
      </c>
      <c r="E1193" s="2" t="s">
        <v>214</v>
      </c>
      <c r="F1193" s="4">
        <v>9</v>
      </c>
      <c r="G1193" s="4">
        <v>970</v>
      </c>
      <c r="H1193" s="4">
        <v>19.5</v>
      </c>
      <c r="I1193" s="4">
        <v>7027.65</v>
      </c>
      <c r="J1193" s="2" t="s">
        <v>16</v>
      </c>
      <c r="K1193" s="2" t="s">
        <v>46</v>
      </c>
    </row>
    <row r="1194" spans="1:11" x14ac:dyDescent="0.35">
      <c r="A1194" s="2" t="s">
        <v>1609</v>
      </c>
      <c r="B1194" s="3">
        <v>45357</v>
      </c>
      <c r="C1194" s="2" t="s">
        <v>349</v>
      </c>
      <c r="D1194" s="2" t="s">
        <v>211</v>
      </c>
      <c r="E1194" s="2" t="s">
        <v>133</v>
      </c>
      <c r="F1194" s="4">
        <v>10</v>
      </c>
      <c r="G1194" s="4">
        <v>300</v>
      </c>
      <c r="H1194" s="4">
        <v>23</v>
      </c>
      <c r="I1194" s="4">
        <v>2310</v>
      </c>
      <c r="J1194" s="2" t="s">
        <v>69</v>
      </c>
      <c r="K1194" s="2" t="s">
        <v>28</v>
      </c>
    </row>
    <row r="1195" spans="1:11" x14ac:dyDescent="0.35">
      <c r="A1195" s="2" t="s">
        <v>1610</v>
      </c>
      <c r="B1195" s="3">
        <v>45479</v>
      </c>
      <c r="C1195" s="2" t="s">
        <v>354</v>
      </c>
      <c r="D1195" s="2" t="s">
        <v>170</v>
      </c>
      <c r="E1195" s="2" t="s">
        <v>77</v>
      </c>
      <c r="F1195" s="4">
        <v>10</v>
      </c>
      <c r="G1195" s="4">
        <v>6080</v>
      </c>
      <c r="H1195" s="4">
        <v>3.9</v>
      </c>
      <c r="I1195" s="4">
        <v>58428.800000000003</v>
      </c>
      <c r="J1195" s="2" t="s">
        <v>16</v>
      </c>
      <c r="K1195" s="2" t="s">
        <v>23</v>
      </c>
    </row>
    <row r="1196" spans="1:11" x14ac:dyDescent="0.35">
      <c r="A1196" s="2" t="s">
        <v>838</v>
      </c>
      <c r="B1196" s="3">
        <v>45539</v>
      </c>
      <c r="C1196" s="2" t="s">
        <v>71</v>
      </c>
      <c r="D1196" s="2" t="s">
        <v>120</v>
      </c>
      <c r="E1196" s="2" t="s">
        <v>202</v>
      </c>
      <c r="F1196" s="4">
        <v>2</v>
      </c>
      <c r="G1196" s="4">
        <v>5100</v>
      </c>
      <c r="H1196" s="4">
        <v>11</v>
      </c>
      <c r="I1196" s="4">
        <v>9078</v>
      </c>
      <c r="J1196" s="2" t="s">
        <v>16</v>
      </c>
      <c r="K1196" s="2" t="s">
        <v>17</v>
      </c>
    </row>
    <row r="1197" spans="1:11" x14ac:dyDescent="0.35">
      <c r="A1197" s="2" t="s">
        <v>1611</v>
      </c>
      <c r="B1197" s="3">
        <v>45394</v>
      </c>
      <c r="C1197" s="2" t="s">
        <v>300</v>
      </c>
      <c r="D1197" s="2" t="s">
        <v>381</v>
      </c>
      <c r="E1197" s="2" t="s">
        <v>50</v>
      </c>
      <c r="F1197" s="4">
        <v>9</v>
      </c>
      <c r="G1197" s="4">
        <v>3450</v>
      </c>
      <c r="H1197" s="4">
        <v>23.7</v>
      </c>
      <c r="I1197" s="4">
        <v>23691.15</v>
      </c>
      <c r="J1197" s="2" t="s">
        <v>16</v>
      </c>
      <c r="K1197" s="2" t="s">
        <v>41</v>
      </c>
    </row>
    <row r="1198" spans="1:11" x14ac:dyDescent="0.35">
      <c r="A1198" s="2" t="s">
        <v>1612</v>
      </c>
      <c r="B1198" s="3">
        <v>45335</v>
      </c>
      <c r="C1198" s="2" t="s">
        <v>688</v>
      </c>
      <c r="D1198" s="2" t="s">
        <v>96</v>
      </c>
      <c r="E1198" s="2" t="s">
        <v>202</v>
      </c>
      <c r="F1198" s="4">
        <v>5</v>
      </c>
      <c r="G1198" s="4">
        <v>2480</v>
      </c>
      <c r="H1198" s="4">
        <v>20.399999999999999</v>
      </c>
      <c r="I1198" s="4">
        <v>9870.4</v>
      </c>
      <c r="J1198" s="2" t="s">
        <v>16</v>
      </c>
      <c r="K1198" s="2" t="s">
        <v>46</v>
      </c>
    </row>
    <row r="1199" spans="1:11" x14ac:dyDescent="0.35">
      <c r="A1199" s="2" t="s">
        <v>1613</v>
      </c>
      <c r="B1199" s="3">
        <v>45334</v>
      </c>
      <c r="C1199" s="2" t="s">
        <v>195</v>
      </c>
      <c r="D1199" s="2" t="s">
        <v>76</v>
      </c>
      <c r="E1199" s="2" t="s">
        <v>61</v>
      </c>
      <c r="F1199" s="4">
        <v>4</v>
      </c>
      <c r="G1199" s="4">
        <v>190</v>
      </c>
      <c r="H1199" s="4">
        <v>2.6</v>
      </c>
      <c r="I1199" s="4">
        <v>740.24</v>
      </c>
      <c r="J1199" s="2" t="s">
        <v>16</v>
      </c>
      <c r="K1199" s="2" t="s">
        <v>28</v>
      </c>
    </row>
    <row r="1200" spans="1:11" x14ac:dyDescent="0.35">
      <c r="A1200" s="2" t="s">
        <v>1614</v>
      </c>
      <c r="B1200" s="3">
        <v>45300</v>
      </c>
      <c r="C1200" s="2" t="s">
        <v>935</v>
      </c>
      <c r="D1200" s="2" t="s">
        <v>174</v>
      </c>
      <c r="E1200" s="2" t="s">
        <v>121</v>
      </c>
      <c r="F1200" s="4">
        <v>4</v>
      </c>
      <c r="G1200" s="4">
        <v>2270</v>
      </c>
      <c r="H1200" s="4">
        <v>8.1</v>
      </c>
      <c r="I1200" s="4">
        <v>8344.52</v>
      </c>
      <c r="J1200" s="2" t="s">
        <v>22</v>
      </c>
      <c r="K1200" s="2" t="s">
        <v>46</v>
      </c>
    </row>
    <row r="1201" spans="1:11" x14ac:dyDescent="0.35">
      <c r="A1201" s="2" t="s">
        <v>1615</v>
      </c>
      <c r="B1201" s="3">
        <v>45400</v>
      </c>
      <c r="C1201" s="2" t="s">
        <v>439</v>
      </c>
      <c r="D1201" s="2" t="s">
        <v>284</v>
      </c>
      <c r="E1201" s="2" t="s">
        <v>57</v>
      </c>
      <c r="F1201" s="4">
        <v>7</v>
      </c>
      <c r="G1201" s="4">
        <v>2510</v>
      </c>
      <c r="H1201" s="4">
        <v>25.5</v>
      </c>
      <c r="I1201" s="4">
        <v>13089.65</v>
      </c>
      <c r="J1201" s="2" t="s">
        <v>16</v>
      </c>
      <c r="K1201" s="2" t="s">
        <v>46</v>
      </c>
    </row>
    <row r="1202" spans="1:11" x14ac:dyDescent="0.35">
      <c r="A1202" s="2" t="s">
        <v>1616</v>
      </c>
      <c r="B1202" s="3">
        <v>45423</v>
      </c>
      <c r="C1202" s="2" t="s">
        <v>55</v>
      </c>
      <c r="D1202" s="2" t="s">
        <v>390</v>
      </c>
      <c r="E1202" s="2" t="s">
        <v>68</v>
      </c>
      <c r="F1202" s="4">
        <v>3</v>
      </c>
      <c r="G1202" s="4">
        <v>3780</v>
      </c>
      <c r="H1202" s="4">
        <v>16.8</v>
      </c>
      <c r="I1202" s="4">
        <v>9434.8799999999992</v>
      </c>
      <c r="J1202" s="2" t="s">
        <v>16</v>
      </c>
      <c r="K1202" s="2" t="s">
        <v>17</v>
      </c>
    </row>
    <row r="1203" spans="1:11" x14ac:dyDescent="0.35">
      <c r="A1203" s="2" t="s">
        <v>1617</v>
      </c>
      <c r="B1203" s="3">
        <v>45518</v>
      </c>
      <c r="C1203" s="2" t="s">
        <v>490</v>
      </c>
      <c r="D1203" s="2" t="s">
        <v>116</v>
      </c>
      <c r="E1203" s="2" t="s">
        <v>61</v>
      </c>
      <c r="F1203" s="4">
        <v>7</v>
      </c>
      <c r="G1203" s="4">
        <v>3570</v>
      </c>
      <c r="H1203" s="4">
        <v>23.7</v>
      </c>
      <c r="I1203" s="4">
        <v>19067.37</v>
      </c>
      <c r="J1203" s="2" t="s">
        <v>16</v>
      </c>
      <c r="K1203" s="2" t="s">
        <v>62</v>
      </c>
    </row>
    <row r="1204" spans="1:11" x14ac:dyDescent="0.35">
      <c r="A1204" s="2" t="s">
        <v>1618</v>
      </c>
      <c r="B1204" s="3">
        <v>45559</v>
      </c>
      <c r="C1204" s="2" t="s">
        <v>356</v>
      </c>
      <c r="D1204" s="2" t="s">
        <v>132</v>
      </c>
      <c r="E1204" s="2" t="s">
        <v>202</v>
      </c>
      <c r="F1204" s="4">
        <v>4</v>
      </c>
      <c r="G1204" s="4">
        <v>660</v>
      </c>
      <c r="H1204" s="4">
        <v>3.6</v>
      </c>
      <c r="I1204" s="4">
        <v>2544.96</v>
      </c>
      <c r="J1204" s="2" t="s">
        <v>16</v>
      </c>
      <c r="K1204" s="2" t="s">
        <v>17</v>
      </c>
    </row>
    <row r="1205" spans="1:11" x14ac:dyDescent="0.35">
      <c r="A1205" s="2" t="s">
        <v>1619</v>
      </c>
      <c r="B1205" s="3">
        <v>45501</v>
      </c>
      <c r="C1205" s="2" t="s">
        <v>980</v>
      </c>
      <c r="D1205" s="2" t="s">
        <v>56</v>
      </c>
      <c r="E1205" s="2" t="s">
        <v>61</v>
      </c>
      <c r="F1205" s="4">
        <v>7</v>
      </c>
      <c r="G1205" s="4">
        <v>970</v>
      </c>
      <c r="H1205" s="4">
        <v>23.7</v>
      </c>
      <c r="I1205" s="4">
        <v>5180.7700000000004</v>
      </c>
      <c r="J1205" s="2" t="s">
        <v>16</v>
      </c>
      <c r="K1205" s="2" t="s">
        <v>41</v>
      </c>
    </row>
    <row r="1206" spans="1:11" x14ac:dyDescent="0.35">
      <c r="A1206" s="2" t="s">
        <v>1620</v>
      </c>
      <c r="B1206" s="3">
        <v>45338</v>
      </c>
      <c r="C1206" s="2" t="s">
        <v>797</v>
      </c>
      <c r="D1206" s="2" t="s">
        <v>60</v>
      </c>
      <c r="E1206" s="2" t="s">
        <v>32</v>
      </c>
      <c r="F1206" s="4">
        <v>8</v>
      </c>
      <c r="G1206" s="4">
        <v>2270</v>
      </c>
      <c r="H1206" s="4">
        <v>6.8</v>
      </c>
      <c r="I1206" s="4">
        <v>16925.12</v>
      </c>
      <c r="J1206" s="2" t="s">
        <v>16</v>
      </c>
      <c r="K1206" s="2" t="s">
        <v>28</v>
      </c>
    </row>
    <row r="1207" spans="1:11" x14ac:dyDescent="0.35">
      <c r="A1207" s="2" t="s">
        <v>1621</v>
      </c>
      <c r="B1207" s="3">
        <v>45585</v>
      </c>
      <c r="C1207" s="2" t="s">
        <v>546</v>
      </c>
      <c r="D1207" s="2" t="s">
        <v>80</v>
      </c>
      <c r="E1207" s="2" t="s">
        <v>254</v>
      </c>
      <c r="F1207" s="4">
        <v>1</v>
      </c>
      <c r="G1207" s="4">
        <v>2400</v>
      </c>
      <c r="H1207" s="4">
        <v>26.5</v>
      </c>
      <c r="I1207" s="4">
        <v>1764</v>
      </c>
      <c r="J1207" s="2" t="s">
        <v>16</v>
      </c>
      <c r="K1207" s="2" t="s">
        <v>41</v>
      </c>
    </row>
    <row r="1208" spans="1:11" x14ac:dyDescent="0.35">
      <c r="A1208" s="2" t="s">
        <v>1622</v>
      </c>
      <c r="B1208" s="3">
        <v>45525</v>
      </c>
      <c r="C1208" s="2" t="s">
        <v>572</v>
      </c>
      <c r="D1208" s="2" t="s">
        <v>372</v>
      </c>
      <c r="E1208" s="2" t="s">
        <v>61</v>
      </c>
      <c r="F1208" s="4">
        <v>5</v>
      </c>
      <c r="G1208" s="4">
        <v>5080</v>
      </c>
      <c r="H1208" s="4">
        <v>29.6</v>
      </c>
      <c r="I1208" s="4">
        <v>17881.599999999999</v>
      </c>
      <c r="J1208" s="2" t="s">
        <v>16</v>
      </c>
      <c r="K1208" s="2" t="s">
        <v>41</v>
      </c>
    </row>
    <row r="1209" spans="1:11" x14ac:dyDescent="0.35">
      <c r="A1209" s="2" t="s">
        <v>1623</v>
      </c>
      <c r="B1209" s="3">
        <v>45351</v>
      </c>
      <c r="C1209" s="2" t="s">
        <v>239</v>
      </c>
      <c r="D1209" s="2" t="s">
        <v>108</v>
      </c>
      <c r="E1209" s="2" t="s">
        <v>27</v>
      </c>
      <c r="F1209" s="4">
        <v>9</v>
      </c>
      <c r="G1209" s="4">
        <v>3350</v>
      </c>
      <c r="H1209" s="4">
        <v>6.2</v>
      </c>
      <c r="I1209" s="4">
        <v>28280.7</v>
      </c>
      <c r="J1209" s="2" t="s">
        <v>16</v>
      </c>
      <c r="K1209" s="2" t="s">
        <v>46</v>
      </c>
    </row>
    <row r="1210" spans="1:11" x14ac:dyDescent="0.35">
      <c r="A1210" s="2" t="s">
        <v>1624</v>
      </c>
      <c r="B1210" s="3">
        <v>45560</v>
      </c>
      <c r="C1210" s="2" t="s">
        <v>724</v>
      </c>
      <c r="D1210" s="2" t="s">
        <v>188</v>
      </c>
      <c r="E1210" s="2" t="s">
        <v>144</v>
      </c>
      <c r="F1210" s="4">
        <v>4</v>
      </c>
      <c r="G1210" s="4">
        <v>1540</v>
      </c>
      <c r="H1210" s="4">
        <v>22.2</v>
      </c>
      <c r="I1210" s="4">
        <v>4792.4799999999996</v>
      </c>
      <c r="J1210" s="2" t="s">
        <v>16</v>
      </c>
      <c r="K1210" s="2" t="s">
        <v>23</v>
      </c>
    </row>
    <row r="1211" spans="1:11" x14ac:dyDescent="0.35">
      <c r="A1211" s="2" t="s">
        <v>1625</v>
      </c>
      <c r="B1211" s="3">
        <v>45431</v>
      </c>
      <c r="C1211" s="2" t="s">
        <v>486</v>
      </c>
      <c r="D1211" s="2" t="s">
        <v>372</v>
      </c>
      <c r="E1211" s="2" t="s">
        <v>226</v>
      </c>
      <c r="F1211" s="4">
        <v>10</v>
      </c>
      <c r="G1211" s="4">
        <v>5080</v>
      </c>
      <c r="H1211" s="4">
        <v>11.8</v>
      </c>
      <c r="I1211" s="4">
        <v>44805.599999999999</v>
      </c>
      <c r="J1211" s="2" t="s">
        <v>16</v>
      </c>
      <c r="K1211" s="2" t="s">
        <v>41</v>
      </c>
    </row>
    <row r="1212" spans="1:11" x14ac:dyDescent="0.35">
      <c r="A1212" s="2" t="s">
        <v>1626</v>
      </c>
      <c r="B1212" s="3">
        <v>45296</v>
      </c>
      <c r="C1212" s="2" t="s">
        <v>885</v>
      </c>
      <c r="D1212" s="2" t="s">
        <v>588</v>
      </c>
      <c r="E1212" s="2" t="s">
        <v>254</v>
      </c>
      <c r="F1212" s="4">
        <v>9</v>
      </c>
      <c r="G1212" s="4">
        <v>3560</v>
      </c>
      <c r="H1212" s="4">
        <v>15.9</v>
      </c>
      <c r="I1212" s="4">
        <v>26945.64</v>
      </c>
      <c r="J1212" s="2" t="s">
        <v>16</v>
      </c>
      <c r="K1212" s="2" t="s">
        <v>41</v>
      </c>
    </row>
    <row r="1213" spans="1:11" x14ac:dyDescent="0.35">
      <c r="A1213" s="2" t="s">
        <v>1627</v>
      </c>
      <c r="B1213" s="3">
        <v>45629</v>
      </c>
      <c r="C1213" s="2" t="s">
        <v>929</v>
      </c>
      <c r="D1213" s="2" t="s">
        <v>93</v>
      </c>
      <c r="E1213" s="2" t="s">
        <v>133</v>
      </c>
      <c r="F1213" s="4">
        <v>2</v>
      </c>
      <c r="G1213" s="4">
        <v>1080</v>
      </c>
      <c r="H1213" s="4">
        <v>21.1</v>
      </c>
      <c r="I1213" s="4">
        <v>1704.24</v>
      </c>
      <c r="J1213" s="2" t="s">
        <v>16</v>
      </c>
      <c r="K1213" s="2" t="s">
        <v>46</v>
      </c>
    </row>
    <row r="1214" spans="1:11" x14ac:dyDescent="0.35">
      <c r="A1214" s="2" t="s">
        <v>1628</v>
      </c>
      <c r="B1214" s="3">
        <v>45310</v>
      </c>
      <c r="C1214" s="2" t="s">
        <v>321</v>
      </c>
      <c r="D1214" s="2" t="s">
        <v>296</v>
      </c>
      <c r="E1214" s="2" t="s">
        <v>232</v>
      </c>
      <c r="F1214" s="4">
        <v>5</v>
      </c>
      <c r="G1214" s="4">
        <v>2380</v>
      </c>
      <c r="H1214" s="4">
        <v>20.5</v>
      </c>
      <c r="I1214" s="4">
        <v>9460.5</v>
      </c>
      <c r="J1214" s="2" t="s">
        <v>16</v>
      </c>
      <c r="K1214" s="2" t="s">
        <v>41</v>
      </c>
    </row>
    <row r="1215" spans="1:11" x14ac:dyDescent="0.35">
      <c r="A1215" s="2" t="s">
        <v>1629</v>
      </c>
      <c r="B1215" s="3">
        <v>45498</v>
      </c>
      <c r="C1215" s="2" t="s">
        <v>247</v>
      </c>
      <c r="D1215" s="2" t="s">
        <v>96</v>
      </c>
      <c r="E1215" s="2" t="s">
        <v>40</v>
      </c>
      <c r="F1215" s="4">
        <v>9</v>
      </c>
      <c r="G1215" s="4">
        <v>2480</v>
      </c>
      <c r="H1215" s="4">
        <v>1.2</v>
      </c>
      <c r="I1215" s="4">
        <v>22052.16</v>
      </c>
      <c r="J1215" s="2" t="s">
        <v>16</v>
      </c>
      <c r="K1215" s="2" t="s">
        <v>23</v>
      </c>
    </row>
    <row r="1216" spans="1:11" x14ac:dyDescent="0.35">
      <c r="A1216" s="2" t="s">
        <v>1630</v>
      </c>
      <c r="B1216" s="3">
        <v>45348</v>
      </c>
      <c r="C1216" s="2" t="s">
        <v>670</v>
      </c>
      <c r="D1216" s="2" t="s">
        <v>315</v>
      </c>
      <c r="E1216" s="2" t="s">
        <v>254</v>
      </c>
      <c r="F1216" s="4">
        <v>9</v>
      </c>
      <c r="G1216" s="4">
        <v>2290</v>
      </c>
      <c r="H1216" s="4">
        <v>0.9</v>
      </c>
      <c r="I1216" s="4">
        <v>20424.509999999998</v>
      </c>
      <c r="J1216" s="2" t="s">
        <v>16</v>
      </c>
      <c r="K1216" s="2" t="s">
        <v>62</v>
      </c>
    </row>
    <row r="1217" spans="1:11" x14ac:dyDescent="0.35">
      <c r="A1217" s="2" t="s">
        <v>1631</v>
      </c>
      <c r="B1217" s="3">
        <v>45382</v>
      </c>
      <c r="C1217" s="2" t="s">
        <v>457</v>
      </c>
      <c r="D1217" s="2" t="s">
        <v>381</v>
      </c>
      <c r="E1217" s="2" t="s">
        <v>202</v>
      </c>
      <c r="F1217" s="4">
        <v>3</v>
      </c>
      <c r="G1217" s="4">
        <v>3450</v>
      </c>
      <c r="H1217" s="4">
        <v>29.5</v>
      </c>
      <c r="I1217" s="4">
        <v>7296.75</v>
      </c>
      <c r="J1217" s="2" t="s">
        <v>16</v>
      </c>
      <c r="K1217" s="2" t="s">
        <v>41</v>
      </c>
    </row>
    <row r="1218" spans="1:11" x14ac:dyDescent="0.35">
      <c r="A1218" s="2" t="s">
        <v>1632</v>
      </c>
      <c r="B1218" s="3">
        <v>45569</v>
      </c>
      <c r="C1218" s="2" t="s">
        <v>66</v>
      </c>
      <c r="D1218" s="2" t="s">
        <v>86</v>
      </c>
      <c r="E1218" s="2" t="s">
        <v>45</v>
      </c>
      <c r="F1218" s="4">
        <v>9</v>
      </c>
      <c r="G1218" s="4">
        <v>3450</v>
      </c>
      <c r="H1218" s="4">
        <v>19.399999999999999</v>
      </c>
      <c r="I1218" s="4">
        <v>25026.3</v>
      </c>
      <c r="J1218" s="2" t="s">
        <v>16</v>
      </c>
      <c r="K1218" s="2" t="s">
        <v>28</v>
      </c>
    </row>
    <row r="1219" spans="1:11" x14ac:dyDescent="0.35">
      <c r="A1219" s="2" t="s">
        <v>1633</v>
      </c>
      <c r="B1219" s="3">
        <v>45516</v>
      </c>
      <c r="C1219" s="2" t="s">
        <v>260</v>
      </c>
      <c r="D1219" s="2" t="s">
        <v>67</v>
      </c>
      <c r="E1219" s="2" t="s">
        <v>99</v>
      </c>
      <c r="F1219" s="4">
        <v>2</v>
      </c>
      <c r="G1219" s="4">
        <v>2600</v>
      </c>
      <c r="H1219" s="4">
        <v>20.2</v>
      </c>
      <c r="I1219" s="4">
        <v>4149.6000000000004</v>
      </c>
      <c r="J1219" s="2" t="s">
        <v>69</v>
      </c>
      <c r="K1219" s="2" t="s">
        <v>46</v>
      </c>
    </row>
    <row r="1220" spans="1:11" x14ac:dyDescent="0.35">
      <c r="A1220" s="2" t="s">
        <v>1634</v>
      </c>
      <c r="B1220" s="3">
        <v>45519</v>
      </c>
      <c r="C1220" s="2" t="s">
        <v>945</v>
      </c>
      <c r="D1220" s="2" t="s">
        <v>129</v>
      </c>
      <c r="E1220" s="2" t="s">
        <v>40</v>
      </c>
      <c r="F1220" s="4">
        <v>1</v>
      </c>
      <c r="G1220" s="4">
        <v>2760</v>
      </c>
      <c r="H1220" s="4">
        <v>9.5</v>
      </c>
      <c r="I1220" s="4">
        <v>2497.8000000000002</v>
      </c>
      <c r="J1220" s="2" t="s">
        <v>16</v>
      </c>
      <c r="K1220" s="2" t="s">
        <v>46</v>
      </c>
    </row>
    <row r="1221" spans="1:11" x14ac:dyDescent="0.35">
      <c r="A1221" s="2" t="s">
        <v>1635</v>
      </c>
      <c r="B1221" s="3">
        <v>45593</v>
      </c>
      <c r="C1221" s="2" t="s">
        <v>528</v>
      </c>
      <c r="D1221" s="2" t="s">
        <v>199</v>
      </c>
      <c r="E1221" s="2" t="s">
        <v>77</v>
      </c>
      <c r="F1221" s="4">
        <v>4</v>
      </c>
      <c r="G1221" s="4">
        <v>4610</v>
      </c>
      <c r="H1221" s="4">
        <v>14.8</v>
      </c>
      <c r="I1221" s="4">
        <v>15710.88</v>
      </c>
      <c r="J1221" s="2" t="s">
        <v>16</v>
      </c>
      <c r="K1221" s="2" t="s">
        <v>46</v>
      </c>
    </row>
    <row r="1222" spans="1:11" x14ac:dyDescent="0.35">
      <c r="A1222" s="2" t="s">
        <v>1636</v>
      </c>
      <c r="B1222" s="3">
        <v>45532</v>
      </c>
      <c r="C1222" s="2" t="s">
        <v>59</v>
      </c>
      <c r="D1222" s="2" t="s">
        <v>96</v>
      </c>
      <c r="E1222" s="2" t="s">
        <v>45</v>
      </c>
      <c r="F1222" s="4">
        <v>3</v>
      </c>
      <c r="G1222" s="4">
        <v>2480</v>
      </c>
      <c r="H1222" s="4">
        <v>3.7</v>
      </c>
      <c r="I1222" s="4">
        <v>7164.72</v>
      </c>
      <c r="J1222" s="2" t="s">
        <v>16</v>
      </c>
      <c r="K1222" s="2" t="s">
        <v>62</v>
      </c>
    </row>
    <row r="1223" spans="1:11" x14ac:dyDescent="0.35">
      <c r="A1223" s="2" t="s">
        <v>1637</v>
      </c>
      <c r="B1223" s="3">
        <v>45610</v>
      </c>
      <c r="C1223" s="2" t="s">
        <v>670</v>
      </c>
      <c r="D1223" s="2" t="s">
        <v>444</v>
      </c>
      <c r="E1223" s="2" t="s">
        <v>202</v>
      </c>
      <c r="F1223" s="4">
        <v>5</v>
      </c>
      <c r="G1223" s="4">
        <v>6940</v>
      </c>
      <c r="H1223" s="4">
        <v>0.3</v>
      </c>
      <c r="I1223" s="4">
        <v>34595.9</v>
      </c>
      <c r="J1223" s="2" t="s">
        <v>16</v>
      </c>
      <c r="K1223" s="2" t="s">
        <v>62</v>
      </c>
    </row>
    <row r="1224" spans="1:11" x14ac:dyDescent="0.35">
      <c r="A1224" s="2" t="s">
        <v>1638</v>
      </c>
      <c r="B1224" s="3">
        <v>45560</v>
      </c>
      <c r="C1224" s="2" t="s">
        <v>462</v>
      </c>
      <c r="D1224" s="2" t="s">
        <v>174</v>
      </c>
      <c r="E1224" s="2" t="s">
        <v>83</v>
      </c>
      <c r="F1224" s="4">
        <v>8</v>
      </c>
      <c r="G1224" s="4">
        <v>2270</v>
      </c>
      <c r="H1224" s="4">
        <v>15.6</v>
      </c>
      <c r="I1224" s="4">
        <v>15327.04</v>
      </c>
      <c r="J1224" s="2" t="s">
        <v>22</v>
      </c>
      <c r="K1224" s="2" t="s">
        <v>28</v>
      </c>
    </row>
    <row r="1225" spans="1:11" x14ac:dyDescent="0.35">
      <c r="A1225" s="2" t="s">
        <v>1639</v>
      </c>
      <c r="B1225" s="3">
        <v>45431</v>
      </c>
      <c r="C1225" s="2" t="s">
        <v>912</v>
      </c>
      <c r="D1225" s="2" t="s">
        <v>120</v>
      </c>
      <c r="E1225" s="2" t="s">
        <v>99</v>
      </c>
      <c r="F1225" s="4">
        <v>5</v>
      </c>
      <c r="G1225" s="4">
        <v>5100</v>
      </c>
      <c r="H1225" s="4">
        <v>9.5</v>
      </c>
      <c r="I1225" s="4">
        <v>23077.5</v>
      </c>
      <c r="J1225" s="2" t="s">
        <v>16</v>
      </c>
      <c r="K1225" s="2" t="s">
        <v>46</v>
      </c>
    </row>
    <row r="1226" spans="1:11" x14ac:dyDescent="0.35">
      <c r="A1226" s="2" t="s">
        <v>1640</v>
      </c>
      <c r="B1226" s="3">
        <v>45594</v>
      </c>
      <c r="C1226" s="2" t="s">
        <v>223</v>
      </c>
      <c r="D1226" s="2" t="s">
        <v>72</v>
      </c>
      <c r="E1226" s="2" t="s">
        <v>202</v>
      </c>
      <c r="F1226" s="4">
        <v>5</v>
      </c>
      <c r="G1226" s="4">
        <v>3250</v>
      </c>
      <c r="H1226" s="4">
        <v>8.1</v>
      </c>
      <c r="I1226" s="4">
        <v>14933.75</v>
      </c>
      <c r="J1226" s="2" t="s">
        <v>16</v>
      </c>
      <c r="K1226" s="2" t="s">
        <v>62</v>
      </c>
    </row>
    <row r="1227" spans="1:11" x14ac:dyDescent="0.35">
      <c r="A1227" s="2" t="s">
        <v>1641</v>
      </c>
      <c r="B1227" s="3">
        <v>45609</v>
      </c>
      <c r="C1227" s="2" t="s">
        <v>332</v>
      </c>
      <c r="D1227" s="2" t="s">
        <v>337</v>
      </c>
      <c r="E1227" s="2" t="s">
        <v>77</v>
      </c>
      <c r="F1227" s="4">
        <v>6</v>
      </c>
      <c r="G1227" s="4">
        <v>3970</v>
      </c>
      <c r="H1227" s="4">
        <v>18.8</v>
      </c>
      <c r="I1227" s="4">
        <v>19341.84</v>
      </c>
      <c r="J1227" s="2" t="s">
        <v>22</v>
      </c>
      <c r="K1227" s="2" t="s">
        <v>46</v>
      </c>
    </row>
    <row r="1228" spans="1:11" x14ac:dyDescent="0.35">
      <c r="A1228" s="2" t="s">
        <v>1642</v>
      </c>
      <c r="B1228" s="3">
        <v>45546</v>
      </c>
      <c r="C1228" s="2" t="s">
        <v>411</v>
      </c>
      <c r="D1228" s="2" t="s">
        <v>293</v>
      </c>
      <c r="E1228" s="2" t="s">
        <v>40</v>
      </c>
      <c r="F1228" s="4">
        <v>4</v>
      </c>
      <c r="G1228" s="4">
        <v>5330</v>
      </c>
      <c r="H1228" s="4">
        <v>19.7</v>
      </c>
      <c r="I1228" s="4">
        <v>17119.96</v>
      </c>
      <c r="J1228" s="2" t="s">
        <v>16</v>
      </c>
      <c r="K1228" s="2" t="s">
        <v>62</v>
      </c>
    </row>
    <row r="1229" spans="1:11" x14ac:dyDescent="0.35">
      <c r="A1229" s="2" t="s">
        <v>1643</v>
      </c>
      <c r="B1229" s="3">
        <v>45607</v>
      </c>
      <c r="C1229" s="2" t="s">
        <v>239</v>
      </c>
      <c r="D1229" s="2" t="s">
        <v>208</v>
      </c>
      <c r="E1229" s="2" t="s">
        <v>68</v>
      </c>
      <c r="F1229" s="4">
        <v>7</v>
      </c>
      <c r="G1229" s="4">
        <v>2660</v>
      </c>
      <c r="H1229" s="4">
        <v>8.5</v>
      </c>
      <c r="I1229" s="4">
        <v>17037.3</v>
      </c>
      <c r="J1229" s="2" t="s">
        <v>16</v>
      </c>
      <c r="K1229" s="2" t="s">
        <v>46</v>
      </c>
    </row>
    <row r="1230" spans="1:11" x14ac:dyDescent="0.35">
      <c r="A1230" s="2" t="s">
        <v>1644</v>
      </c>
      <c r="B1230" s="3">
        <v>45422</v>
      </c>
      <c r="C1230" s="2" t="s">
        <v>19</v>
      </c>
      <c r="D1230" s="2" t="s">
        <v>35</v>
      </c>
      <c r="E1230" s="2" t="s">
        <v>158</v>
      </c>
      <c r="F1230" s="4">
        <v>5</v>
      </c>
      <c r="G1230" s="4">
        <v>3160</v>
      </c>
      <c r="H1230" s="4">
        <v>13.4</v>
      </c>
      <c r="I1230" s="4">
        <v>13682.8</v>
      </c>
      <c r="J1230" s="2" t="s">
        <v>22</v>
      </c>
      <c r="K1230" s="2" t="s">
        <v>23</v>
      </c>
    </row>
    <row r="1231" spans="1:11" x14ac:dyDescent="0.35">
      <c r="A1231" s="2" t="s">
        <v>1645</v>
      </c>
      <c r="B1231" s="3">
        <v>45634</v>
      </c>
      <c r="C1231" s="2" t="s">
        <v>243</v>
      </c>
      <c r="D1231" s="2" t="s">
        <v>111</v>
      </c>
      <c r="E1231" s="2" t="s">
        <v>50</v>
      </c>
      <c r="F1231" s="4">
        <v>10</v>
      </c>
      <c r="G1231" s="4">
        <v>1010</v>
      </c>
      <c r="H1231" s="4">
        <v>14</v>
      </c>
      <c r="I1231" s="4">
        <v>8686</v>
      </c>
      <c r="J1231" s="2" t="s">
        <v>16</v>
      </c>
      <c r="K1231" s="2" t="s">
        <v>17</v>
      </c>
    </row>
    <row r="1232" spans="1:11" x14ac:dyDescent="0.35">
      <c r="A1232" s="2" t="s">
        <v>1646</v>
      </c>
      <c r="B1232" s="3">
        <v>45376</v>
      </c>
      <c r="C1232" s="2" t="s">
        <v>66</v>
      </c>
      <c r="D1232" s="2" t="s">
        <v>188</v>
      </c>
      <c r="E1232" s="2" t="s">
        <v>77</v>
      </c>
      <c r="F1232" s="4">
        <v>3</v>
      </c>
      <c r="G1232" s="4">
        <v>1540</v>
      </c>
      <c r="H1232" s="4">
        <v>13.7</v>
      </c>
      <c r="I1232" s="4">
        <v>3987.06</v>
      </c>
      <c r="J1232" s="2" t="s">
        <v>22</v>
      </c>
      <c r="K1232" s="2" t="s">
        <v>28</v>
      </c>
    </row>
    <row r="1233" spans="1:11" x14ac:dyDescent="0.35">
      <c r="A1233" s="2" t="s">
        <v>1647</v>
      </c>
      <c r="B1233" s="3">
        <v>45313</v>
      </c>
      <c r="C1233" s="2" t="s">
        <v>609</v>
      </c>
      <c r="D1233" s="2" t="s">
        <v>120</v>
      </c>
      <c r="E1233" s="2" t="s">
        <v>133</v>
      </c>
      <c r="F1233" s="4">
        <v>10</v>
      </c>
      <c r="G1233" s="4">
        <v>5100</v>
      </c>
      <c r="H1233" s="4">
        <v>13.8</v>
      </c>
      <c r="I1233" s="4">
        <v>43962</v>
      </c>
      <c r="J1233" s="2" t="s">
        <v>16</v>
      </c>
      <c r="K1233" s="2" t="s">
        <v>23</v>
      </c>
    </row>
    <row r="1234" spans="1:11" x14ac:dyDescent="0.35">
      <c r="A1234" s="2" t="s">
        <v>1648</v>
      </c>
      <c r="B1234" s="3">
        <v>45457</v>
      </c>
      <c r="C1234" s="2" t="s">
        <v>724</v>
      </c>
      <c r="D1234" s="2" t="s">
        <v>49</v>
      </c>
      <c r="E1234" s="2" t="s">
        <v>99</v>
      </c>
      <c r="F1234" s="4">
        <v>3</v>
      </c>
      <c r="G1234" s="4">
        <v>1430</v>
      </c>
      <c r="H1234" s="4">
        <v>1.5</v>
      </c>
      <c r="I1234" s="4">
        <v>4225.6499999999996</v>
      </c>
      <c r="J1234" s="2" t="s">
        <v>16</v>
      </c>
      <c r="K1234" s="2" t="s">
        <v>23</v>
      </c>
    </row>
    <row r="1235" spans="1:11" x14ac:dyDescent="0.35">
      <c r="A1235" s="2" t="s">
        <v>1649</v>
      </c>
      <c r="B1235" s="3">
        <v>45620</v>
      </c>
      <c r="C1235" s="2" t="s">
        <v>837</v>
      </c>
      <c r="D1235" s="2" t="s">
        <v>53</v>
      </c>
      <c r="E1235" s="2" t="s">
        <v>181</v>
      </c>
      <c r="F1235" s="4">
        <v>8</v>
      </c>
      <c r="G1235" s="4">
        <v>5490</v>
      </c>
      <c r="H1235" s="4">
        <v>23.2</v>
      </c>
      <c r="I1235" s="4">
        <v>33730.559999999998</v>
      </c>
      <c r="J1235" s="2" t="s">
        <v>16</v>
      </c>
      <c r="K1235" s="2" t="s">
        <v>62</v>
      </c>
    </row>
    <row r="1236" spans="1:11" x14ac:dyDescent="0.35">
      <c r="A1236" s="2" t="s">
        <v>1650</v>
      </c>
      <c r="B1236" s="3">
        <v>45495</v>
      </c>
      <c r="C1236" s="2" t="s">
        <v>347</v>
      </c>
      <c r="D1236" s="2" t="s">
        <v>105</v>
      </c>
      <c r="E1236" s="2" t="s">
        <v>36</v>
      </c>
      <c r="F1236" s="4">
        <v>6</v>
      </c>
      <c r="G1236" s="4">
        <v>1650</v>
      </c>
      <c r="H1236" s="4">
        <v>16.8</v>
      </c>
      <c r="I1236" s="4">
        <v>8236.7999999999993</v>
      </c>
      <c r="J1236" s="2" t="s">
        <v>16</v>
      </c>
      <c r="K1236" s="2" t="s">
        <v>62</v>
      </c>
    </row>
    <row r="1237" spans="1:11" x14ac:dyDescent="0.35">
      <c r="A1237" s="2" t="s">
        <v>1651</v>
      </c>
      <c r="B1237" s="3">
        <v>45460</v>
      </c>
      <c r="C1237" s="2" t="s">
        <v>895</v>
      </c>
      <c r="D1237" s="2" t="s">
        <v>205</v>
      </c>
      <c r="E1237" s="2" t="s">
        <v>232</v>
      </c>
      <c r="F1237" s="4">
        <v>3</v>
      </c>
      <c r="G1237" s="4">
        <v>3020</v>
      </c>
      <c r="H1237" s="4">
        <v>14.5</v>
      </c>
      <c r="I1237" s="4">
        <v>7746.3</v>
      </c>
      <c r="J1237" s="2" t="s">
        <v>16</v>
      </c>
      <c r="K1237" s="2" t="s">
        <v>62</v>
      </c>
    </row>
    <row r="1238" spans="1:11" x14ac:dyDescent="0.35">
      <c r="A1238" s="2" t="s">
        <v>1652</v>
      </c>
      <c r="B1238" s="3">
        <v>45438</v>
      </c>
      <c r="C1238" s="2" t="s">
        <v>1653</v>
      </c>
      <c r="D1238" s="2" t="s">
        <v>188</v>
      </c>
      <c r="E1238" s="2" t="s">
        <v>77</v>
      </c>
      <c r="F1238" s="4">
        <v>5</v>
      </c>
      <c r="G1238" s="4">
        <v>1540</v>
      </c>
      <c r="H1238" s="4">
        <v>27.2</v>
      </c>
      <c r="I1238" s="4">
        <v>5605.6</v>
      </c>
      <c r="J1238" s="2" t="s">
        <v>16</v>
      </c>
      <c r="K1238" s="2" t="s">
        <v>46</v>
      </c>
    </row>
    <row r="1239" spans="1:11" x14ac:dyDescent="0.35">
      <c r="A1239" s="2" t="s">
        <v>700</v>
      </c>
      <c r="B1239" s="3">
        <v>45307</v>
      </c>
      <c r="C1239" s="2" t="s">
        <v>245</v>
      </c>
      <c r="D1239" s="2" t="s">
        <v>444</v>
      </c>
      <c r="E1239" s="2" t="s">
        <v>83</v>
      </c>
      <c r="F1239" s="4">
        <v>4</v>
      </c>
      <c r="G1239" s="4">
        <v>6940</v>
      </c>
      <c r="H1239" s="4">
        <v>3.2</v>
      </c>
      <c r="I1239" s="4">
        <v>26871.68</v>
      </c>
      <c r="J1239" s="2" t="s">
        <v>16</v>
      </c>
      <c r="K1239" s="2" t="s">
        <v>17</v>
      </c>
    </row>
    <row r="1240" spans="1:11" x14ac:dyDescent="0.35">
      <c r="A1240" s="2" t="s">
        <v>1654</v>
      </c>
      <c r="B1240" s="3">
        <v>45517</v>
      </c>
      <c r="C1240" s="2" t="s">
        <v>38</v>
      </c>
      <c r="D1240" s="2" t="s">
        <v>120</v>
      </c>
      <c r="E1240" s="2" t="s">
        <v>167</v>
      </c>
      <c r="F1240" s="4">
        <v>2</v>
      </c>
      <c r="G1240" s="4">
        <v>5100</v>
      </c>
      <c r="H1240" s="4">
        <v>18.100000000000001</v>
      </c>
      <c r="I1240" s="4">
        <v>8353.7999999999993</v>
      </c>
      <c r="J1240" s="2" t="s">
        <v>16</v>
      </c>
      <c r="K1240" s="2" t="s">
        <v>41</v>
      </c>
    </row>
    <row r="1241" spans="1:11" x14ac:dyDescent="0.35">
      <c r="A1241" s="2" t="s">
        <v>1655</v>
      </c>
      <c r="B1241" s="3">
        <v>45575</v>
      </c>
      <c r="C1241" s="2" t="s">
        <v>243</v>
      </c>
      <c r="D1241" s="2" t="s">
        <v>293</v>
      </c>
      <c r="E1241" s="2" t="s">
        <v>275</v>
      </c>
      <c r="F1241" s="4">
        <v>6</v>
      </c>
      <c r="G1241" s="4">
        <v>5330</v>
      </c>
      <c r="H1241" s="4">
        <v>0.3</v>
      </c>
      <c r="I1241" s="4">
        <v>31884.06</v>
      </c>
      <c r="J1241" s="2" t="s">
        <v>22</v>
      </c>
      <c r="K1241" s="2" t="s">
        <v>17</v>
      </c>
    </row>
    <row r="1242" spans="1:11" x14ac:dyDescent="0.35">
      <c r="A1242" s="2" t="s">
        <v>1656</v>
      </c>
      <c r="B1242" s="3">
        <v>45449</v>
      </c>
      <c r="C1242" s="2" t="s">
        <v>935</v>
      </c>
      <c r="D1242" s="2" t="s">
        <v>44</v>
      </c>
      <c r="E1242" s="2" t="s">
        <v>158</v>
      </c>
      <c r="F1242" s="4">
        <v>5</v>
      </c>
      <c r="G1242" s="4">
        <v>960</v>
      </c>
      <c r="H1242" s="4">
        <v>16.600000000000001</v>
      </c>
      <c r="I1242" s="4">
        <v>4003.2</v>
      </c>
      <c r="J1242" s="2" t="s">
        <v>16</v>
      </c>
      <c r="K1242" s="2" t="s">
        <v>46</v>
      </c>
    </row>
    <row r="1243" spans="1:11" x14ac:dyDescent="0.35">
      <c r="A1243" s="2" t="s">
        <v>1657</v>
      </c>
      <c r="B1243" s="3">
        <v>45481</v>
      </c>
      <c r="C1243" s="2" t="s">
        <v>234</v>
      </c>
      <c r="D1243" s="2" t="s">
        <v>14</v>
      </c>
      <c r="E1243" s="2" t="s">
        <v>214</v>
      </c>
      <c r="F1243" s="4">
        <v>7</v>
      </c>
      <c r="G1243" s="4">
        <v>3620</v>
      </c>
      <c r="H1243" s="4">
        <v>5.4</v>
      </c>
      <c r="I1243" s="4">
        <v>23971.64</v>
      </c>
      <c r="J1243" s="2" t="s">
        <v>16</v>
      </c>
      <c r="K1243" s="2" t="s">
        <v>62</v>
      </c>
    </row>
    <row r="1244" spans="1:11" x14ac:dyDescent="0.35">
      <c r="A1244" s="2" t="s">
        <v>1658</v>
      </c>
      <c r="B1244" s="3">
        <v>45368</v>
      </c>
      <c r="C1244" s="2" t="s">
        <v>1557</v>
      </c>
      <c r="D1244" s="2" t="s">
        <v>67</v>
      </c>
      <c r="E1244" s="2" t="s">
        <v>32</v>
      </c>
      <c r="F1244" s="4">
        <v>6</v>
      </c>
      <c r="G1244" s="4">
        <v>2600</v>
      </c>
      <c r="H1244" s="4">
        <v>25.9</v>
      </c>
      <c r="I1244" s="4">
        <v>11559.6</v>
      </c>
      <c r="J1244" s="2" t="s">
        <v>16</v>
      </c>
      <c r="K1244" s="2" t="s">
        <v>23</v>
      </c>
    </row>
    <row r="1245" spans="1:11" x14ac:dyDescent="0.35">
      <c r="A1245" s="2" t="s">
        <v>1659</v>
      </c>
      <c r="B1245" s="3">
        <v>45298</v>
      </c>
      <c r="C1245" s="2" t="s">
        <v>414</v>
      </c>
      <c r="D1245" s="2" t="s">
        <v>208</v>
      </c>
      <c r="E1245" s="2" t="s">
        <v>181</v>
      </c>
      <c r="F1245" s="4">
        <v>7</v>
      </c>
      <c r="G1245" s="4">
        <v>2660</v>
      </c>
      <c r="H1245" s="4">
        <v>20.2</v>
      </c>
      <c r="I1245" s="4">
        <v>14858.76</v>
      </c>
      <c r="J1245" s="2" t="s">
        <v>16</v>
      </c>
      <c r="K1245" s="2" t="s">
        <v>17</v>
      </c>
    </row>
    <row r="1246" spans="1:11" x14ac:dyDescent="0.35">
      <c r="A1246" s="2" t="s">
        <v>1660</v>
      </c>
      <c r="B1246" s="3">
        <v>45472</v>
      </c>
      <c r="C1246" s="2" t="s">
        <v>888</v>
      </c>
      <c r="D1246" s="2" t="s">
        <v>96</v>
      </c>
      <c r="E1246" s="2" t="s">
        <v>214</v>
      </c>
      <c r="F1246" s="4">
        <v>9</v>
      </c>
      <c r="G1246" s="4">
        <v>2480</v>
      </c>
      <c r="H1246" s="4">
        <v>14.7</v>
      </c>
      <c r="I1246" s="4">
        <v>19038.96</v>
      </c>
      <c r="J1246" s="2" t="s">
        <v>16</v>
      </c>
      <c r="K1246" s="2" t="s">
        <v>41</v>
      </c>
    </row>
    <row r="1247" spans="1:11" x14ac:dyDescent="0.35">
      <c r="A1247" s="2" t="s">
        <v>1661</v>
      </c>
      <c r="B1247" s="3">
        <v>45568</v>
      </c>
      <c r="C1247" s="2" t="s">
        <v>286</v>
      </c>
      <c r="D1247" s="2" t="s">
        <v>208</v>
      </c>
      <c r="E1247" s="2" t="s">
        <v>117</v>
      </c>
      <c r="F1247" s="4">
        <v>4</v>
      </c>
      <c r="G1247" s="4">
        <v>2660</v>
      </c>
      <c r="H1247" s="4">
        <v>8.9</v>
      </c>
      <c r="I1247" s="4">
        <v>9693.0400000000009</v>
      </c>
      <c r="J1247" s="2" t="s">
        <v>16</v>
      </c>
      <c r="K1247" s="2" t="s">
        <v>28</v>
      </c>
    </row>
    <row r="1248" spans="1:11" x14ac:dyDescent="0.35">
      <c r="A1248" s="2" t="s">
        <v>1662</v>
      </c>
      <c r="B1248" s="3">
        <v>45540</v>
      </c>
      <c r="C1248" s="2" t="s">
        <v>829</v>
      </c>
      <c r="D1248" s="2" t="s">
        <v>293</v>
      </c>
      <c r="E1248" s="2" t="s">
        <v>61</v>
      </c>
      <c r="F1248" s="4">
        <v>1</v>
      </c>
      <c r="G1248" s="4">
        <v>5330</v>
      </c>
      <c r="H1248" s="4">
        <v>26.8</v>
      </c>
      <c r="I1248" s="4">
        <v>3901.56</v>
      </c>
      <c r="J1248" s="2" t="s">
        <v>16</v>
      </c>
      <c r="K1248" s="2" t="s">
        <v>46</v>
      </c>
    </row>
    <row r="1249" spans="1:11" x14ac:dyDescent="0.35">
      <c r="A1249" s="2" t="s">
        <v>1663</v>
      </c>
      <c r="B1249" s="3">
        <v>45544</v>
      </c>
      <c r="C1249" s="2" t="s">
        <v>1552</v>
      </c>
      <c r="D1249" s="2" t="s">
        <v>90</v>
      </c>
      <c r="E1249" s="2" t="s">
        <v>272</v>
      </c>
      <c r="F1249" s="4">
        <v>6</v>
      </c>
      <c r="G1249" s="4">
        <v>3450</v>
      </c>
      <c r="H1249" s="4">
        <v>19.2</v>
      </c>
      <c r="I1249" s="4">
        <v>16725.599999999999</v>
      </c>
      <c r="J1249" s="2" t="s">
        <v>22</v>
      </c>
      <c r="K1249" s="2" t="s">
        <v>46</v>
      </c>
    </row>
    <row r="1250" spans="1:11" x14ac:dyDescent="0.35">
      <c r="A1250" s="2" t="s">
        <v>1664</v>
      </c>
      <c r="B1250" s="3">
        <v>45334</v>
      </c>
      <c r="C1250" s="2" t="s">
        <v>98</v>
      </c>
      <c r="D1250" s="2" t="s">
        <v>76</v>
      </c>
      <c r="E1250" s="2" t="s">
        <v>40</v>
      </c>
      <c r="F1250" s="4">
        <v>10</v>
      </c>
      <c r="G1250" s="4">
        <v>190</v>
      </c>
      <c r="H1250" s="4">
        <v>18.100000000000001</v>
      </c>
      <c r="I1250" s="4">
        <v>1556.1</v>
      </c>
      <c r="J1250" s="2" t="s">
        <v>16</v>
      </c>
      <c r="K1250" s="2" t="s">
        <v>41</v>
      </c>
    </row>
    <row r="1251" spans="1:11" x14ac:dyDescent="0.35">
      <c r="A1251" s="2" t="s">
        <v>1665</v>
      </c>
      <c r="B1251" s="3">
        <v>45584</v>
      </c>
      <c r="C1251" s="2" t="s">
        <v>550</v>
      </c>
      <c r="D1251" s="2" t="s">
        <v>337</v>
      </c>
      <c r="E1251" s="2" t="s">
        <v>133</v>
      </c>
      <c r="F1251" s="4">
        <v>9</v>
      </c>
      <c r="G1251" s="4">
        <v>3970</v>
      </c>
      <c r="H1251" s="4">
        <v>18.2</v>
      </c>
      <c r="I1251" s="4">
        <v>29227.14</v>
      </c>
      <c r="J1251" s="2" t="s">
        <v>22</v>
      </c>
      <c r="K1251" s="2" t="s">
        <v>23</v>
      </c>
    </row>
    <row r="1252" spans="1:11" x14ac:dyDescent="0.35">
      <c r="A1252" s="2" t="s">
        <v>1666</v>
      </c>
      <c r="B1252" s="3">
        <v>45404</v>
      </c>
      <c r="C1252" s="2" t="s">
        <v>59</v>
      </c>
      <c r="D1252" s="2" t="s">
        <v>199</v>
      </c>
      <c r="E1252" s="2" t="s">
        <v>226</v>
      </c>
      <c r="F1252" s="4">
        <v>4</v>
      </c>
      <c r="G1252" s="4">
        <v>4610</v>
      </c>
      <c r="H1252" s="4">
        <v>15.1</v>
      </c>
      <c r="I1252" s="4">
        <v>15655.56</v>
      </c>
      <c r="J1252" s="2" t="s">
        <v>69</v>
      </c>
      <c r="K1252" s="2" t="s">
        <v>62</v>
      </c>
    </row>
    <row r="1253" spans="1:11" x14ac:dyDescent="0.35">
      <c r="A1253" s="2" t="s">
        <v>1667</v>
      </c>
      <c r="B1253" s="3">
        <v>45476</v>
      </c>
      <c r="C1253" s="2" t="s">
        <v>321</v>
      </c>
      <c r="D1253" s="2" t="s">
        <v>221</v>
      </c>
      <c r="E1253" s="2" t="s">
        <v>40</v>
      </c>
      <c r="F1253" s="4">
        <v>2</v>
      </c>
      <c r="G1253" s="4">
        <v>620</v>
      </c>
      <c r="H1253" s="4">
        <v>3.3</v>
      </c>
      <c r="I1253" s="4">
        <v>1199.08</v>
      </c>
      <c r="J1253" s="2" t="s">
        <v>16</v>
      </c>
      <c r="K1253" s="2" t="s">
        <v>41</v>
      </c>
    </row>
    <row r="1254" spans="1:11" x14ac:dyDescent="0.35">
      <c r="A1254" s="2" t="s">
        <v>1668</v>
      </c>
      <c r="B1254" s="3">
        <v>45481</v>
      </c>
      <c r="C1254" s="2" t="s">
        <v>686</v>
      </c>
      <c r="D1254" s="2" t="s">
        <v>188</v>
      </c>
      <c r="E1254" s="2" t="s">
        <v>40</v>
      </c>
      <c r="F1254" s="4">
        <v>7</v>
      </c>
      <c r="G1254" s="4">
        <v>1540</v>
      </c>
      <c r="H1254" s="4">
        <v>27.5</v>
      </c>
      <c r="I1254" s="4">
        <v>7815.5</v>
      </c>
      <c r="J1254" s="2" t="s">
        <v>16</v>
      </c>
      <c r="K1254" s="2" t="s">
        <v>46</v>
      </c>
    </row>
    <row r="1255" spans="1:11" x14ac:dyDescent="0.35">
      <c r="A1255" s="2" t="s">
        <v>1669</v>
      </c>
      <c r="B1255" s="3">
        <v>45480</v>
      </c>
      <c r="C1255" s="2" t="s">
        <v>724</v>
      </c>
      <c r="D1255" s="2" t="s">
        <v>26</v>
      </c>
      <c r="E1255" s="2" t="s">
        <v>167</v>
      </c>
      <c r="F1255" s="4">
        <v>10</v>
      </c>
      <c r="G1255" s="4">
        <v>470</v>
      </c>
      <c r="H1255" s="4">
        <v>3.9</v>
      </c>
      <c r="I1255" s="4">
        <v>4516.7</v>
      </c>
      <c r="J1255" s="2" t="s">
        <v>16</v>
      </c>
      <c r="K1255" s="2" t="s">
        <v>23</v>
      </c>
    </row>
    <row r="1256" spans="1:11" x14ac:dyDescent="0.35">
      <c r="A1256" s="2" t="s">
        <v>1670</v>
      </c>
      <c r="B1256" s="3">
        <v>45603</v>
      </c>
      <c r="C1256" s="2" t="s">
        <v>897</v>
      </c>
      <c r="D1256" s="2" t="s">
        <v>113</v>
      </c>
      <c r="E1256" s="2" t="s">
        <v>226</v>
      </c>
      <c r="F1256" s="4">
        <v>5</v>
      </c>
      <c r="G1256" s="4">
        <v>4880</v>
      </c>
      <c r="H1256" s="4">
        <v>27.4</v>
      </c>
      <c r="I1256" s="4">
        <v>17714.400000000001</v>
      </c>
      <c r="J1256" s="2" t="s">
        <v>16</v>
      </c>
      <c r="K1256" s="2" t="s">
        <v>28</v>
      </c>
    </row>
    <row r="1257" spans="1:11" x14ac:dyDescent="0.35">
      <c r="A1257" s="2" t="s">
        <v>1671</v>
      </c>
      <c r="B1257" s="3">
        <v>45548</v>
      </c>
      <c r="C1257" s="2" t="s">
        <v>1001</v>
      </c>
      <c r="D1257" s="2" t="s">
        <v>289</v>
      </c>
      <c r="E1257" s="2" t="s">
        <v>158</v>
      </c>
      <c r="F1257" s="4">
        <v>1</v>
      </c>
      <c r="G1257" s="4">
        <v>5410</v>
      </c>
      <c r="H1257" s="4">
        <v>8.3000000000000007</v>
      </c>
      <c r="I1257" s="4">
        <v>4960.97</v>
      </c>
      <c r="J1257" s="2" t="s">
        <v>16</v>
      </c>
      <c r="K1257" s="2" t="s">
        <v>41</v>
      </c>
    </row>
    <row r="1258" spans="1:11" x14ac:dyDescent="0.35">
      <c r="A1258" s="2" t="s">
        <v>1672</v>
      </c>
      <c r="B1258" s="3">
        <v>45482</v>
      </c>
      <c r="C1258" s="2" t="s">
        <v>201</v>
      </c>
      <c r="D1258" s="2" t="s">
        <v>177</v>
      </c>
      <c r="E1258" s="2" t="s">
        <v>214</v>
      </c>
      <c r="F1258" s="4">
        <v>8</v>
      </c>
      <c r="G1258" s="4">
        <v>3870</v>
      </c>
      <c r="H1258" s="4">
        <v>9.3000000000000007</v>
      </c>
      <c r="I1258" s="4">
        <v>28080.720000000001</v>
      </c>
      <c r="J1258" s="2" t="s">
        <v>22</v>
      </c>
      <c r="K1258" s="2" t="s">
        <v>23</v>
      </c>
    </row>
    <row r="1259" spans="1:11" x14ac:dyDescent="0.35">
      <c r="A1259" s="2" t="s">
        <v>1673</v>
      </c>
      <c r="B1259" s="3">
        <v>45457</v>
      </c>
      <c r="C1259" s="2" t="s">
        <v>654</v>
      </c>
      <c r="D1259" s="2" t="s">
        <v>64</v>
      </c>
      <c r="E1259" s="2" t="s">
        <v>167</v>
      </c>
      <c r="F1259" s="4">
        <v>10</v>
      </c>
      <c r="G1259" s="4">
        <v>2640</v>
      </c>
      <c r="H1259" s="4">
        <v>19.899999999999999</v>
      </c>
      <c r="I1259" s="4">
        <v>21146.400000000001</v>
      </c>
      <c r="J1259" s="2" t="s">
        <v>16</v>
      </c>
      <c r="K1259" s="2" t="s">
        <v>28</v>
      </c>
    </row>
    <row r="1260" spans="1:11" x14ac:dyDescent="0.35">
      <c r="A1260" s="2" t="s">
        <v>1674</v>
      </c>
      <c r="B1260" s="3">
        <v>45508</v>
      </c>
      <c r="C1260" s="2" t="s">
        <v>550</v>
      </c>
      <c r="D1260" s="2" t="s">
        <v>372</v>
      </c>
      <c r="E1260" s="2" t="s">
        <v>15</v>
      </c>
      <c r="F1260" s="4">
        <v>1</v>
      </c>
      <c r="G1260" s="4">
        <v>5080</v>
      </c>
      <c r="H1260" s="4">
        <v>8.6</v>
      </c>
      <c r="I1260" s="4">
        <v>4643.12</v>
      </c>
      <c r="J1260" s="2" t="s">
        <v>16</v>
      </c>
      <c r="K1260" s="2" t="s">
        <v>23</v>
      </c>
    </row>
    <row r="1261" spans="1:11" x14ac:dyDescent="0.35">
      <c r="A1261" s="2" t="s">
        <v>1675</v>
      </c>
      <c r="B1261" s="3">
        <v>45399</v>
      </c>
      <c r="C1261" s="2" t="s">
        <v>629</v>
      </c>
      <c r="D1261" s="2" t="s">
        <v>72</v>
      </c>
      <c r="E1261" s="2" t="s">
        <v>232</v>
      </c>
      <c r="F1261" s="4">
        <v>9</v>
      </c>
      <c r="G1261" s="4">
        <v>3250</v>
      </c>
      <c r="H1261" s="4">
        <v>18.2</v>
      </c>
      <c r="I1261" s="4">
        <v>23926.5</v>
      </c>
      <c r="J1261" s="2" t="s">
        <v>22</v>
      </c>
      <c r="K1261" s="2" t="s">
        <v>23</v>
      </c>
    </row>
    <row r="1262" spans="1:11" x14ac:dyDescent="0.35">
      <c r="A1262" s="2" t="s">
        <v>1676</v>
      </c>
      <c r="B1262" s="3">
        <v>45607</v>
      </c>
      <c r="C1262" s="2" t="s">
        <v>92</v>
      </c>
      <c r="D1262" s="2" t="s">
        <v>337</v>
      </c>
      <c r="E1262" s="2" t="s">
        <v>226</v>
      </c>
      <c r="F1262" s="4">
        <v>8</v>
      </c>
      <c r="G1262" s="4">
        <v>3970</v>
      </c>
      <c r="H1262" s="4">
        <v>22.4</v>
      </c>
      <c r="I1262" s="4">
        <v>24645.759999999998</v>
      </c>
      <c r="J1262" s="2" t="s">
        <v>16</v>
      </c>
      <c r="K1262" s="2" t="s">
        <v>23</v>
      </c>
    </row>
    <row r="1263" spans="1:11" x14ac:dyDescent="0.35">
      <c r="A1263" s="2" t="s">
        <v>1677</v>
      </c>
      <c r="B1263" s="3">
        <v>45407</v>
      </c>
      <c r="C1263" s="2" t="s">
        <v>386</v>
      </c>
      <c r="D1263" s="2" t="s">
        <v>132</v>
      </c>
      <c r="E1263" s="2" t="s">
        <v>167</v>
      </c>
      <c r="F1263" s="4">
        <v>3</v>
      </c>
      <c r="G1263" s="4">
        <v>660</v>
      </c>
      <c r="H1263" s="4">
        <v>3.1</v>
      </c>
      <c r="I1263" s="4">
        <v>1918.62</v>
      </c>
      <c r="J1263" s="2" t="s">
        <v>16</v>
      </c>
      <c r="K1263" s="2" t="s">
        <v>17</v>
      </c>
    </row>
    <row r="1264" spans="1:11" x14ac:dyDescent="0.35">
      <c r="A1264" s="2" t="s">
        <v>1678</v>
      </c>
      <c r="B1264" s="3">
        <v>45357</v>
      </c>
      <c r="C1264" s="2" t="s">
        <v>1160</v>
      </c>
      <c r="D1264" s="2" t="s">
        <v>67</v>
      </c>
      <c r="E1264" s="2" t="s">
        <v>214</v>
      </c>
      <c r="F1264" s="4">
        <v>7</v>
      </c>
      <c r="G1264" s="4">
        <v>2600</v>
      </c>
      <c r="H1264" s="4">
        <v>15.4</v>
      </c>
      <c r="I1264" s="4">
        <v>15397.2</v>
      </c>
      <c r="J1264" s="2" t="s">
        <v>16</v>
      </c>
      <c r="K1264" s="2" t="s">
        <v>17</v>
      </c>
    </row>
    <row r="1265" spans="1:11" x14ac:dyDescent="0.35">
      <c r="A1265" s="2" t="s">
        <v>1679</v>
      </c>
      <c r="B1265" s="3">
        <v>45565</v>
      </c>
      <c r="C1265" s="2" t="s">
        <v>537</v>
      </c>
      <c r="D1265" s="2" t="s">
        <v>132</v>
      </c>
      <c r="E1265" s="2" t="s">
        <v>117</v>
      </c>
      <c r="F1265" s="4">
        <v>9</v>
      </c>
      <c r="G1265" s="4">
        <v>660</v>
      </c>
      <c r="H1265" s="4">
        <v>23.7</v>
      </c>
      <c r="I1265" s="4">
        <v>4532.22</v>
      </c>
      <c r="J1265" s="2" t="s">
        <v>16</v>
      </c>
      <c r="K1265" s="2" t="s">
        <v>17</v>
      </c>
    </row>
    <row r="1266" spans="1:11" x14ac:dyDescent="0.35">
      <c r="A1266" s="2" t="s">
        <v>1680</v>
      </c>
      <c r="B1266" s="3">
        <v>45395</v>
      </c>
      <c r="C1266" s="2" t="s">
        <v>187</v>
      </c>
      <c r="D1266" s="2" t="s">
        <v>296</v>
      </c>
      <c r="E1266" s="2" t="s">
        <v>87</v>
      </c>
      <c r="F1266" s="4">
        <v>3</v>
      </c>
      <c r="G1266" s="4">
        <v>2380</v>
      </c>
      <c r="H1266" s="4">
        <v>19.5</v>
      </c>
      <c r="I1266" s="4">
        <v>5747.7</v>
      </c>
      <c r="J1266" s="2" t="s">
        <v>69</v>
      </c>
      <c r="K1266" s="2" t="s">
        <v>28</v>
      </c>
    </row>
    <row r="1267" spans="1:11" x14ac:dyDescent="0.35">
      <c r="A1267" s="2" t="s">
        <v>1681</v>
      </c>
      <c r="B1267" s="3">
        <v>45624</v>
      </c>
      <c r="C1267" s="2" t="s">
        <v>257</v>
      </c>
      <c r="D1267" s="2" t="s">
        <v>105</v>
      </c>
      <c r="E1267" s="2" t="s">
        <v>61</v>
      </c>
      <c r="F1267" s="4">
        <v>9</v>
      </c>
      <c r="G1267" s="4">
        <v>1650</v>
      </c>
      <c r="H1267" s="4">
        <v>2.5</v>
      </c>
      <c r="I1267" s="4">
        <v>14478.75</v>
      </c>
      <c r="J1267" s="2" t="s">
        <v>16</v>
      </c>
      <c r="K1267" s="2" t="s">
        <v>23</v>
      </c>
    </row>
    <row r="1268" spans="1:11" x14ac:dyDescent="0.35">
      <c r="A1268" s="2" t="s">
        <v>1682</v>
      </c>
      <c r="B1268" s="3">
        <v>45650</v>
      </c>
      <c r="C1268" s="2" t="s">
        <v>1683</v>
      </c>
      <c r="D1268" s="2" t="s">
        <v>64</v>
      </c>
      <c r="E1268" s="2" t="s">
        <v>32</v>
      </c>
      <c r="F1268" s="4">
        <v>8</v>
      </c>
      <c r="G1268" s="4">
        <v>2640</v>
      </c>
      <c r="H1268" s="4">
        <v>24.4</v>
      </c>
      <c r="I1268" s="4">
        <v>15966.72</v>
      </c>
      <c r="J1268" s="2" t="s">
        <v>16</v>
      </c>
      <c r="K1268" s="2" t="s">
        <v>41</v>
      </c>
    </row>
    <row r="1269" spans="1:11" x14ac:dyDescent="0.35">
      <c r="A1269" s="2" t="s">
        <v>1684</v>
      </c>
      <c r="B1269" s="3">
        <v>45370</v>
      </c>
      <c r="C1269" s="2" t="s">
        <v>526</v>
      </c>
      <c r="D1269" s="2" t="s">
        <v>296</v>
      </c>
      <c r="E1269" s="2" t="s">
        <v>181</v>
      </c>
      <c r="F1269" s="4">
        <v>8</v>
      </c>
      <c r="G1269" s="4">
        <v>2380</v>
      </c>
      <c r="H1269" s="4">
        <v>24.2</v>
      </c>
      <c r="I1269" s="4">
        <v>14432.32</v>
      </c>
      <c r="J1269" s="2" t="s">
        <v>16</v>
      </c>
      <c r="K1269" s="2" t="s">
        <v>41</v>
      </c>
    </row>
    <row r="1270" spans="1:11" x14ac:dyDescent="0.35">
      <c r="A1270" s="2" t="s">
        <v>1685</v>
      </c>
      <c r="B1270" s="3">
        <v>45373</v>
      </c>
      <c r="C1270" s="2" t="s">
        <v>187</v>
      </c>
      <c r="D1270" s="2" t="s">
        <v>267</v>
      </c>
      <c r="E1270" s="2" t="s">
        <v>15</v>
      </c>
      <c r="F1270" s="4">
        <v>10</v>
      </c>
      <c r="G1270" s="4">
        <v>2210</v>
      </c>
      <c r="H1270" s="4">
        <v>3.6</v>
      </c>
      <c r="I1270" s="4">
        <v>21304.400000000001</v>
      </c>
      <c r="J1270" s="2" t="s">
        <v>16</v>
      </c>
      <c r="K1270" s="2" t="s">
        <v>28</v>
      </c>
    </row>
    <row r="1271" spans="1:11" x14ac:dyDescent="0.35">
      <c r="A1271" s="2" t="s">
        <v>1686</v>
      </c>
      <c r="B1271" s="3">
        <v>45391</v>
      </c>
      <c r="C1271" s="2" t="s">
        <v>764</v>
      </c>
      <c r="D1271" s="2" t="s">
        <v>170</v>
      </c>
      <c r="E1271" s="2" t="s">
        <v>232</v>
      </c>
      <c r="F1271" s="4">
        <v>9</v>
      </c>
      <c r="G1271" s="4">
        <v>6080</v>
      </c>
      <c r="H1271" s="4">
        <v>17.2</v>
      </c>
      <c r="I1271" s="4">
        <v>45308.160000000003</v>
      </c>
      <c r="J1271" s="2" t="s">
        <v>22</v>
      </c>
      <c r="K1271" s="2" t="s">
        <v>46</v>
      </c>
    </row>
    <row r="1272" spans="1:11" x14ac:dyDescent="0.35">
      <c r="A1272" s="2" t="s">
        <v>1687</v>
      </c>
      <c r="B1272" s="3">
        <v>45332</v>
      </c>
      <c r="C1272" s="2" t="s">
        <v>626</v>
      </c>
      <c r="D1272" s="2" t="s">
        <v>111</v>
      </c>
      <c r="E1272" s="2" t="s">
        <v>214</v>
      </c>
      <c r="F1272" s="4">
        <v>8</v>
      </c>
      <c r="G1272" s="4">
        <v>1010</v>
      </c>
      <c r="H1272" s="4">
        <v>12.3</v>
      </c>
      <c r="I1272" s="4">
        <v>7086.16</v>
      </c>
      <c r="J1272" s="2" t="s">
        <v>16</v>
      </c>
      <c r="K1272" s="2" t="s">
        <v>62</v>
      </c>
    </row>
    <row r="1273" spans="1:11" x14ac:dyDescent="0.35">
      <c r="A1273" s="2" t="s">
        <v>1688</v>
      </c>
      <c r="B1273" s="3">
        <v>45582</v>
      </c>
      <c r="C1273" s="2" t="s">
        <v>877</v>
      </c>
      <c r="D1273" s="2" t="s">
        <v>31</v>
      </c>
      <c r="E1273" s="2" t="s">
        <v>202</v>
      </c>
      <c r="F1273" s="4">
        <v>8</v>
      </c>
      <c r="G1273" s="4">
        <v>3660</v>
      </c>
      <c r="H1273" s="4">
        <v>8.4</v>
      </c>
      <c r="I1273" s="4">
        <v>26820.48</v>
      </c>
      <c r="J1273" s="2" t="s">
        <v>16</v>
      </c>
      <c r="K1273" s="2" t="s">
        <v>17</v>
      </c>
    </row>
    <row r="1274" spans="1:11" x14ac:dyDescent="0.35">
      <c r="A1274" s="2" t="s">
        <v>1689</v>
      </c>
      <c r="B1274" s="3">
        <v>45443</v>
      </c>
      <c r="C1274" s="2" t="s">
        <v>945</v>
      </c>
      <c r="D1274" s="2" t="s">
        <v>199</v>
      </c>
      <c r="E1274" s="2" t="s">
        <v>158</v>
      </c>
      <c r="F1274" s="4">
        <v>8</v>
      </c>
      <c r="G1274" s="4">
        <v>4610</v>
      </c>
      <c r="H1274" s="4">
        <v>15.4</v>
      </c>
      <c r="I1274" s="4">
        <v>31200.48</v>
      </c>
      <c r="J1274" s="2" t="s">
        <v>69</v>
      </c>
      <c r="K1274" s="2" t="s">
        <v>46</v>
      </c>
    </row>
    <row r="1275" spans="1:11" x14ac:dyDescent="0.35">
      <c r="A1275" s="2" t="s">
        <v>1690</v>
      </c>
      <c r="B1275" s="3">
        <v>45525</v>
      </c>
      <c r="C1275" s="2" t="s">
        <v>945</v>
      </c>
      <c r="D1275" s="2" t="s">
        <v>120</v>
      </c>
      <c r="E1275" s="2" t="s">
        <v>32</v>
      </c>
      <c r="F1275" s="4">
        <v>9</v>
      </c>
      <c r="G1275" s="4">
        <v>5100</v>
      </c>
      <c r="H1275" s="4">
        <v>25.2</v>
      </c>
      <c r="I1275" s="4">
        <v>34333.199999999997</v>
      </c>
      <c r="J1275" s="2" t="s">
        <v>69</v>
      </c>
      <c r="K1275" s="2" t="s">
        <v>46</v>
      </c>
    </row>
    <row r="1276" spans="1:11" x14ac:dyDescent="0.35">
      <c r="A1276" s="2" t="s">
        <v>1691</v>
      </c>
      <c r="B1276" s="3">
        <v>45377</v>
      </c>
      <c r="C1276" s="2" t="s">
        <v>332</v>
      </c>
      <c r="D1276" s="2" t="s">
        <v>205</v>
      </c>
      <c r="E1276" s="2" t="s">
        <v>50</v>
      </c>
      <c r="F1276" s="4">
        <v>5</v>
      </c>
      <c r="G1276" s="4">
        <v>3020</v>
      </c>
      <c r="H1276" s="4">
        <v>23</v>
      </c>
      <c r="I1276" s="4">
        <v>11627</v>
      </c>
      <c r="J1276" s="2" t="s">
        <v>16</v>
      </c>
      <c r="K1276" s="2" t="s">
        <v>46</v>
      </c>
    </row>
    <row r="1277" spans="1:11" x14ac:dyDescent="0.35">
      <c r="A1277" s="2" t="s">
        <v>1692</v>
      </c>
      <c r="B1277" s="3">
        <v>45413</v>
      </c>
      <c r="C1277" s="2" t="s">
        <v>535</v>
      </c>
      <c r="D1277" s="2" t="s">
        <v>390</v>
      </c>
      <c r="E1277" s="2" t="s">
        <v>117</v>
      </c>
      <c r="F1277" s="4">
        <v>8</v>
      </c>
      <c r="G1277" s="4">
        <v>3780</v>
      </c>
      <c r="H1277" s="4">
        <v>17.100000000000001</v>
      </c>
      <c r="I1277" s="4">
        <v>25068.959999999999</v>
      </c>
      <c r="J1277" s="2" t="s">
        <v>16</v>
      </c>
      <c r="K1277" s="2" t="s">
        <v>41</v>
      </c>
    </row>
    <row r="1278" spans="1:11" x14ac:dyDescent="0.35">
      <c r="A1278" s="2" t="s">
        <v>1693</v>
      </c>
      <c r="B1278" s="3">
        <v>45437</v>
      </c>
      <c r="C1278" s="2" t="s">
        <v>126</v>
      </c>
      <c r="D1278" s="2" t="s">
        <v>267</v>
      </c>
      <c r="E1278" s="2" t="s">
        <v>144</v>
      </c>
      <c r="F1278" s="4">
        <v>10</v>
      </c>
      <c r="G1278" s="4">
        <v>2210</v>
      </c>
      <c r="H1278" s="4">
        <v>8.5</v>
      </c>
      <c r="I1278" s="4">
        <v>20221.5</v>
      </c>
      <c r="J1278" s="2" t="s">
        <v>16</v>
      </c>
      <c r="K1278" s="2" t="s">
        <v>17</v>
      </c>
    </row>
    <row r="1279" spans="1:11" x14ac:dyDescent="0.35">
      <c r="A1279" s="2" t="s">
        <v>1694</v>
      </c>
      <c r="B1279" s="3">
        <v>45604</v>
      </c>
      <c r="C1279" s="2" t="s">
        <v>1160</v>
      </c>
      <c r="D1279" s="2" t="s">
        <v>267</v>
      </c>
      <c r="E1279" s="2" t="s">
        <v>117</v>
      </c>
      <c r="F1279" s="4">
        <v>4</v>
      </c>
      <c r="G1279" s="4">
        <v>2210</v>
      </c>
      <c r="H1279" s="4">
        <v>3.1</v>
      </c>
      <c r="I1279" s="4">
        <v>8565.9599999999991</v>
      </c>
      <c r="J1279" s="2" t="s">
        <v>16</v>
      </c>
      <c r="K1279" s="2" t="s">
        <v>17</v>
      </c>
    </row>
    <row r="1280" spans="1:11" x14ac:dyDescent="0.35">
      <c r="A1280" s="2" t="s">
        <v>1695</v>
      </c>
      <c r="B1280" s="3">
        <v>45540</v>
      </c>
      <c r="C1280" s="2" t="s">
        <v>389</v>
      </c>
      <c r="D1280" s="2" t="s">
        <v>105</v>
      </c>
      <c r="E1280" s="2" t="s">
        <v>117</v>
      </c>
      <c r="F1280" s="4">
        <v>1</v>
      </c>
      <c r="G1280" s="4">
        <v>1650</v>
      </c>
      <c r="H1280" s="4">
        <v>10</v>
      </c>
      <c r="I1280" s="4">
        <v>1485</v>
      </c>
      <c r="J1280" s="2" t="s">
        <v>16</v>
      </c>
      <c r="K1280" s="2" t="s">
        <v>17</v>
      </c>
    </row>
    <row r="1281" spans="1:11" x14ac:dyDescent="0.35">
      <c r="A1281" s="2" t="s">
        <v>1696</v>
      </c>
      <c r="B1281" s="3">
        <v>45597</v>
      </c>
      <c r="C1281" s="2" t="s">
        <v>340</v>
      </c>
      <c r="D1281" s="2" t="s">
        <v>76</v>
      </c>
      <c r="E1281" s="2" t="s">
        <v>21</v>
      </c>
      <c r="F1281" s="4">
        <v>6</v>
      </c>
      <c r="G1281" s="4">
        <v>190</v>
      </c>
      <c r="H1281" s="4">
        <v>3.5</v>
      </c>
      <c r="I1281" s="4">
        <v>1100.0999999999999</v>
      </c>
      <c r="J1281" s="2" t="s">
        <v>69</v>
      </c>
      <c r="K1281" s="2" t="s">
        <v>41</v>
      </c>
    </row>
    <row r="1282" spans="1:11" x14ac:dyDescent="0.35">
      <c r="A1282" s="2" t="s">
        <v>1697</v>
      </c>
      <c r="B1282" s="3">
        <v>45589</v>
      </c>
      <c r="C1282" s="2" t="s">
        <v>323</v>
      </c>
      <c r="D1282" s="2" t="s">
        <v>124</v>
      </c>
      <c r="E1282" s="2" t="s">
        <v>272</v>
      </c>
      <c r="F1282" s="4">
        <v>8</v>
      </c>
      <c r="G1282" s="4">
        <v>2860</v>
      </c>
      <c r="H1282" s="4">
        <v>14.7</v>
      </c>
      <c r="I1282" s="4">
        <v>19516.64</v>
      </c>
      <c r="J1282" s="2" t="s">
        <v>16</v>
      </c>
      <c r="K1282" s="2" t="s">
        <v>46</v>
      </c>
    </row>
    <row r="1283" spans="1:11" x14ac:dyDescent="0.35">
      <c r="A1283" s="2" t="s">
        <v>1698</v>
      </c>
      <c r="B1283" s="3">
        <v>45448</v>
      </c>
      <c r="C1283" s="2" t="s">
        <v>148</v>
      </c>
      <c r="D1283" s="2" t="s">
        <v>211</v>
      </c>
      <c r="E1283" s="2" t="s">
        <v>99</v>
      </c>
      <c r="F1283" s="4">
        <v>9</v>
      </c>
      <c r="G1283" s="4">
        <v>300</v>
      </c>
      <c r="H1283" s="4">
        <v>19.5</v>
      </c>
      <c r="I1283" s="4">
        <v>2173.5</v>
      </c>
      <c r="J1283" s="2" t="s">
        <v>16</v>
      </c>
      <c r="K1283" s="2" t="s">
        <v>28</v>
      </c>
    </row>
    <row r="1284" spans="1:11" x14ac:dyDescent="0.35">
      <c r="A1284" s="2" t="s">
        <v>1699</v>
      </c>
      <c r="B1284" s="3">
        <v>45608</v>
      </c>
      <c r="C1284" s="2" t="s">
        <v>899</v>
      </c>
      <c r="D1284" s="2" t="s">
        <v>309</v>
      </c>
      <c r="E1284" s="2" t="s">
        <v>15</v>
      </c>
      <c r="F1284" s="4">
        <v>10</v>
      </c>
      <c r="G1284" s="4">
        <v>960</v>
      </c>
      <c r="H1284" s="4">
        <v>9.6999999999999993</v>
      </c>
      <c r="I1284" s="4">
        <v>8668.7999999999993</v>
      </c>
      <c r="J1284" s="2" t="s">
        <v>16</v>
      </c>
      <c r="K1284" s="2" t="s">
        <v>41</v>
      </c>
    </row>
    <row r="1285" spans="1:11" x14ac:dyDescent="0.35">
      <c r="A1285" s="2" t="s">
        <v>1700</v>
      </c>
      <c r="B1285" s="3">
        <v>45421</v>
      </c>
      <c r="C1285" s="2" t="s">
        <v>874</v>
      </c>
      <c r="D1285" s="2" t="s">
        <v>20</v>
      </c>
      <c r="E1285" s="2" t="s">
        <v>181</v>
      </c>
      <c r="F1285" s="4">
        <v>5</v>
      </c>
      <c r="G1285" s="4">
        <v>820</v>
      </c>
      <c r="H1285" s="4">
        <v>0.5</v>
      </c>
      <c r="I1285" s="4">
        <v>4079.5</v>
      </c>
      <c r="J1285" s="2" t="s">
        <v>16</v>
      </c>
      <c r="K1285" s="2" t="s">
        <v>17</v>
      </c>
    </row>
    <row r="1286" spans="1:11" x14ac:dyDescent="0.35">
      <c r="A1286" s="2" t="s">
        <v>1701</v>
      </c>
      <c r="B1286" s="3">
        <v>45383</v>
      </c>
      <c r="C1286" s="2" t="s">
        <v>213</v>
      </c>
      <c r="D1286" s="2" t="s">
        <v>39</v>
      </c>
      <c r="E1286" s="2" t="s">
        <v>68</v>
      </c>
      <c r="F1286" s="4">
        <v>2</v>
      </c>
      <c r="G1286" s="4">
        <v>370</v>
      </c>
      <c r="H1286" s="4">
        <v>10.5</v>
      </c>
      <c r="I1286" s="4">
        <v>662.3</v>
      </c>
      <c r="J1286" s="2" t="s">
        <v>22</v>
      </c>
      <c r="K1286" s="2" t="s">
        <v>23</v>
      </c>
    </row>
    <row r="1287" spans="1:11" x14ac:dyDescent="0.35">
      <c r="A1287" s="2" t="s">
        <v>1702</v>
      </c>
      <c r="B1287" s="3">
        <v>45453</v>
      </c>
      <c r="C1287" s="2" t="s">
        <v>615</v>
      </c>
      <c r="D1287" s="2" t="s">
        <v>53</v>
      </c>
      <c r="E1287" s="2" t="s">
        <v>83</v>
      </c>
      <c r="F1287" s="4">
        <v>9</v>
      </c>
      <c r="G1287" s="4">
        <v>5490</v>
      </c>
      <c r="H1287" s="4">
        <v>14.2</v>
      </c>
      <c r="I1287" s="4">
        <v>42393.78</v>
      </c>
      <c r="J1287" s="2" t="s">
        <v>69</v>
      </c>
      <c r="K1287" s="2" t="s">
        <v>41</v>
      </c>
    </row>
    <row r="1288" spans="1:11" x14ac:dyDescent="0.35">
      <c r="A1288" s="2" t="s">
        <v>1703</v>
      </c>
      <c r="B1288" s="3">
        <v>45398</v>
      </c>
      <c r="C1288" s="2" t="s">
        <v>812</v>
      </c>
      <c r="D1288" s="2" t="s">
        <v>39</v>
      </c>
      <c r="E1288" s="2" t="s">
        <v>232</v>
      </c>
      <c r="F1288" s="4">
        <v>3</v>
      </c>
      <c r="G1288" s="4">
        <v>370</v>
      </c>
      <c r="H1288" s="4">
        <v>18.399999999999999</v>
      </c>
      <c r="I1288" s="4">
        <v>905.76</v>
      </c>
      <c r="J1288" s="2" t="s">
        <v>16</v>
      </c>
      <c r="K1288" s="2" t="s">
        <v>62</v>
      </c>
    </row>
    <row r="1289" spans="1:11" x14ac:dyDescent="0.35">
      <c r="A1289" s="2" t="s">
        <v>1704</v>
      </c>
      <c r="B1289" s="3">
        <v>45584</v>
      </c>
      <c r="C1289" s="2" t="s">
        <v>524</v>
      </c>
      <c r="D1289" s="2" t="s">
        <v>76</v>
      </c>
      <c r="E1289" s="2" t="s">
        <v>232</v>
      </c>
      <c r="F1289" s="4">
        <v>6</v>
      </c>
      <c r="G1289" s="4">
        <v>190</v>
      </c>
      <c r="H1289" s="4">
        <v>12.9</v>
      </c>
      <c r="I1289" s="4">
        <v>992.94</v>
      </c>
      <c r="J1289" s="2" t="s">
        <v>16</v>
      </c>
      <c r="K1289" s="2" t="s">
        <v>28</v>
      </c>
    </row>
    <row r="1290" spans="1:11" x14ac:dyDescent="0.35">
      <c r="A1290" s="2" t="s">
        <v>1705</v>
      </c>
      <c r="B1290" s="3">
        <v>45397</v>
      </c>
      <c r="C1290" s="2" t="s">
        <v>305</v>
      </c>
      <c r="D1290" s="2" t="s">
        <v>267</v>
      </c>
      <c r="E1290" s="2" t="s">
        <v>83</v>
      </c>
      <c r="F1290" s="4">
        <v>8</v>
      </c>
      <c r="G1290" s="4">
        <v>2210</v>
      </c>
      <c r="H1290" s="4">
        <v>9.8000000000000007</v>
      </c>
      <c r="I1290" s="4">
        <v>15947.36</v>
      </c>
      <c r="J1290" s="2" t="s">
        <v>16</v>
      </c>
      <c r="K1290" s="2" t="s">
        <v>46</v>
      </c>
    </row>
    <row r="1291" spans="1:11" x14ac:dyDescent="0.35">
      <c r="A1291" s="2" t="s">
        <v>1706</v>
      </c>
      <c r="B1291" s="3">
        <v>45453</v>
      </c>
      <c r="C1291" s="2" t="s">
        <v>358</v>
      </c>
      <c r="D1291" s="2" t="s">
        <v>105</v>
      </c>
      <c r="E1291" s="2" t="s">
        <v>133</v>
      </c>
      <c r="F1291" s="4">
        <v>7</v>
      </c>
      <c r="G1291" s="4">
        <v>1650</v>
      </c>
      <c r="H1291" s="4">
        <v>8.4</v>
      </c>
      <c r="I1291" s="4">
        <v>10579.8</v>
      </c>
      <c r="J1291" s="2" t="s">
        <v>16</v>
      </c>
      <c r="K1291" s="2" t="s">
        <v>46</v>
      </c>
    </row>
    <row r="1292" spans="1:11" x14ac:dyDescent="0.35">
      <c r="A1292" s="2" t="s">
        <v>1707</v>
      </c>
      <c r="B1292" s="3">
        <v>45359</v>
      </c>
      <c r="C1292" s="2" t="s">
        <v>752</v>
      </c>
      <c r="D1292" s="2" t="s">
        <v>132</v>
      </c>
      <c r="E1292" s="2" t="s">
        <v>181</v>
      </c>
      <c r="F1292" s="4">
        <v>8</v>
      </c>
      <c r="G1292" s="4">
        <v>660</v>
      </c>
      <c r="H1292" s="4">
        <v>7.5</v>
      </c>
      <c r="I1292" s="4">
        <v>4884</v>
      </c>
      <c r="J1292" s="2" t="s">
        <v>16</v>
      </c>
      <c r="K1292" s="2" t="s">
        <v>23</v>
      </c>
    </row>
    <row r="1293" spans="1:11" x14ac:dyDescent="0.35">
      <c r="A1293" s="2" t="s">
        <v>1708</v>
      </c>
      <c r="B1293" s="3">
        <v>45644</v>
      </c>
      <c r="C1293" s="2" t="s">
        <v>935</v>
      </c>
      <c r="D1293" s="2" t="s">
        <v>199</v>
      </c>
      <c r="E1293" s="2" t="s">
        <v>68</v>
      </c>
      <c r="F1293" s="4">
        <v>3</v>
      </c>
      <c r="G1293" s="4">
        <v>4610</v>
      </c>
      <c r="H1293" s="4">
        <v>29.6</v>
      </c>
      <c r="I1293" s="4">
        <v>9736.32</v>
      </c>
      <c r="J1293" s="2" t="s">
        <v>16</v>
      </c>
      <c r="K1293" s="2" t="s">
        <v>46</v>
      </c>
    </row>
    <row r="1294" spans="1:11" x14ac:dyDescent="0.35">
      <c r="A1294" s="2" t="s">
        <v>1709</v>
      </c>
      <c r="B1294" s="3">
        <v>45325</v>
      </c>
      <c r="C1294" s="2" t="s">
        <v>279</v>
      </c>
      <c r="D1294" s="2" t="s">
        <v>267</v>
      </c>
      <c r="E1294" s="2" t="s">
        <v>40</v>
      </c>
      <c r="F1294" s="4">
        <v>6</v>
      </c>
      <c r="G1294" s="4">
        <v>2210</v>
      </c>
      <c r="H1294" s="4">
        <v>9.5</v>
      </c>
      <c r="I1294" s="4">
        <v>12000.3</v>
      </c>
      <c r="J1294" s="2" t="s">
        <v>16</v>
      </c>
      <c r="K1294" s="2" t="s">
        <v>41</v>
      </c>
    </row>
    <row r="1295" spans="1:11" x14ac:dyDescent="0.35">
      <c r="A1295" s="2" t="s">
        <v>1710</v>
      </c>
      <c r="B1295" s="3">
        <v>45533</v>
      </c>
      <c r="C1295" s="2" t="s">
        <v>298</v>
      </c>
      <c r="D1295" s="2" t="s">
        <v>315</v>
      </c>
      <c r="E1295" s="2" t="s">
        <v>167</v>
      </c>
      <c r="F1295" s="4">
        <v>4</v>
      </c>
      <c r="G1295" s="4">
        <v>2290</v>
      </c>
      <c r="H1295" s="4">
        <v>3.3</v>
      </c>
      <c r="I1295" s="4">
        <v>8857.7199999999993</v>
      </c>
      <c r="J1295" s="2" t="s">
        <v>16</v>
      </c>
      <c r="K1295" s="2" t="s">
        <v>23</v>
      </c>
    </row>
    <row r="1296" spans="1:11" x14ac:dyDescent="0.35">
      <c r="A1296" s="2" t="s">
        <v>1711</v>
      </c>
      <c r="B1296" s="3">
        <v>45369</v>
      </c>
      <c r="C1296" s="2" t="s">
        <v>30</v>
      </c>
      <c r="D1296" s="2" t="s">
        <v>93</v>
      </c>
      <c r="E1296" s="2" t="s">
        <v>130</v>
      </c>
      <c r="F1296" s="4">
        <v>5</v>
      </c>
      <c r="G1296" s="4">
        <v>1080</v>
      </c>
      <c r="H1296" s="4">
        <v>26.1</v>
      </c>
      <c r="I1296" s="4">
        <v>3990.6</v>
      </c>
      <c r="J1296" s="2" t="s">
        <v>16</v>
      </c>
      <c r="K1296" s="2" t="s">
        <v>28</v>
      </c>
    </row>
    <row r="1297" spans="1:11" x14ac:dyDescent="0.35">
      <c r="A1297" s="2" t="s">
        <v>1712</v>
      </c>
      <c r="B1297" s="3">
        <v>45312</v>
      </c>
      <c r="C1297" s="2" t="s">
        <v>369</v>
      </c>
      <c r="D1297" s="2" t="s">
        <v>44</v>
      </c>
      <c r="E1297" s="2" t="s">
        <v>61</v>
      </c>
      <c r="F1297" s="4">
        <v>7</v>
      </c>
      <c r="G1297" s="4">
        <v>960</v>
      </c>
      <c r="H1297" s="4">
        <v>17.7</v>
      </c>
      <c r="I1297" s="4">
        <v>5530.56</v>
      </c>
      <c r="J1297" s="2" t="s">
        <v>16</v>
      </c>
      <c r="K1297" s="2" t="s">
        <v>17</v>
      </c>
    </row>
    <row r="1298" spans="1:11" x14ac:dyDescent="0.35">
      <c r="A1298" s="2" t="s">
        <v>1713</v>
      </c>
      <c r="B1298" s="3">
        <v>45445</v>
      </c>
      <c r="C1298" s="2" t="s">
        <v>956</v>
      </c>
      <c r="D1298" s="2" t="s">
        <v>80</v>
      </c>
      <c r="E1298" s="2" t="s">
        <v>36</v>
      </c>
      <c r="F1298" s="4">
        <v>1</v>
      </c>
      <c r="G1298" s="4">
        <v>2400</v>
      </c>
      <c r="H1298" s="4">
        <v>29.9</v>
      </c>
      <c r="I1298" s="4">
        <v>1682.4</v>
      </c>
      <c r="J1298" s="2" t="s">
        <v>16</v>
      </c>
      <c r="K1298" s="2" t="s">
        <v>41</v>
      </c>
    </row>
    <row r="1299" spans="1:11" x14ac:dyDescent="0.35">
      <c r="A1299" s="2" t="s">
        <v>1714</v>
      </c>
      <c r="B1299" s="3">
        <v>45636</v>
      </c>
      <c r="C1299" s="2" t="s">
        <v>1279</v>
      </c>
      <c r="D1299" s="2" t="s">
        <v>315</v>
      </c>
      <c r="E1299" s="2" t="s">
        <v>61</v>
      </c>
      <c r="F1299" s="4">
        <v>9</v>
      </c>
      <c r="G1299" s="4">
        <v>2290</v>
      </c>
      <c r="H1299" s="4">
        <v>28.8</v>
      </c>
      <c r="I1299" s="4">
        <v>14674.32</v>
      </c>
      <c r="J1299" s="2" t="s">
        <v>16</v>
      </c>
      <c r="K1299" s="2" t="s">
        <v>41</v>
      </c>
    </row>
    <row r="1300" spans="1:11" x14ac:dyDescent="0.35">
      <c r="A1300" s="2" t="s">
        <v>1715</v>
      </c>
      <c r="B1300" s="3">
        <v>45294</v>
      </c>
      <c r="C1300" s="2" t="s">
        <v>154</v>
      </c>
      <c r="D1300" s="2" t="s">
        <v>93</v>
      </c>
      <c r="E1300" s="2" t="s">
        <v>232</v>
      </c>
      <c r="F1300" s="4">
        <v>9</v>
      </c>
      <c r="G1300" s="4">
        <v>1080</v>
      </c>
      <c r="H1300" s="4">
        <v>10.3</v>
      </c>
      <c r="I1300" s="4">
        <v>8718.84</v>
      </c>
      <c r="J1300" s="2" t="s">
        <v>16</v>
      </c>
      <c r="K1300" s="2" t="s">
        <v>23</v>
      </c>
    </row>
    <row r="1301" spans="1:11" x14ac:dyDescent="0.35">
      <c r="A1301" s="2" t="s">
        <v>1716</v>
      </c>
      <c r="B1301" s="3">
        <v>45449</v>
      </c>
      <c r="C1301" s="2" t="s">
        <v>839</v>
      </c>
      <c r="D1301" s="2" t="s">
        <v>431</v>
      </c>
      <c r="E1301" s="2" t="s">
        <v>68</v>
      </c>
      <c r="F1301" s="4">
        <v>1</v>
      </c>
      <c r="G1301" s="4">
        <v>1090</v>
      </c>
      <c r="H1301" s="4">
        <v>5.8</v>
      </c>
      <c r="I1301" s="4">
        <v>1026.78</v>
      </c>
      <c r="J1301" s="2" t="s">
        <v>69</v>
      </c>
      <c r="K1301" s="2" t="s">
        <v>28</v>
      </c>
    </row>
    <row r="1302" spans="1:11" x14ac:dyDescent="0.35">
      <c r="A1302" s="2" t="s">
        <v>1717</v>
      </c>
      <c r="B1302" s="3">
        <v>45560</v>
      </c>
      <c r="C1302" s="2" t="s">
        <v>831</v>
      </c>
      <c r="D1302" s="2" t="s">
        <v>267</v>
      </c>
      <c r="E1302" s="2" t="s">
        <v>232</v>
      </c>
      <c r="F1302" s="4">
        <v>3</v>
      </c>
      <c r="G1302" s="4">
        <v>2210</v>
      </c>
      <c r="H1302" s="4">
        <v>18.2</v>
      </c>
      <c r="I1302" s="4">
        <v>5423.34</v>
      </c>
      <c r="J1302" s="2" t="s">
        <v>22</v>
      </c>
      <c r="K1302" s="2" t="s">
        <v>41</v>
      </c>
    </row>
    <row r="1303" spans="1:11" x14ac:dyDescent="0.35">
      <c r="A1303" s="2" t="s">
        <v>1718</v>
      </c>
      <c r="B1303" s="3">
        <v>45588</v>
      </c>
      <c r="C1303" s="2" t="s">
        <v>126</v>
      </c>
      <c r="D1303" s="2" t="s">
        <v>14</v>
      </c>
      <c r="E1303" s="2" t="s">
        <v>117</v>
      </c>
      <c r="F1303" s="4">
        <v>8</v>
      </c>
      <c r="G1303" s="4">
        <v>3620</v>
      </c>
      <c r="H1303" s="4">
        <v>1.4</v>
      </c>
      <c r="I1303" s="4">
        <v>28554.560000000001</v>
      </c>
      <c r="J1303" s="2" t="s">
        <v>16</v>
      </c>
      <c r="K1303" s="2" t="s">
        <v>17</v>
      </c>
    </row>
    <row r="1304" spans="1:11" x14ac:dyDescent="0.35">
      <c r="A1304" s="2" t="s">
        <v>1719</v>
      </c>
      <c r="B1304" s="3">
        <v>45360</v>
      </c>
      <c r="C1304" s="2" t="s">
        <v>137</v>
      </c>
      <c r="D1304" s="2" t="s">
        <v>224</v>
      </c>
      <c r="E1304" s="2" t="s">
        <v>202</v>
      </c>
      <c r="F1304" s="4">
        <v>7</v>
      </c>
      <c r="G1304" s="4">
        <v>2030</v>
      </c>
      <c r="H1304" s="4">
        <v>27.7</v>
      </c>
      <c r="I1304" s="4">
        <v>10273.83</v>
      </c>
      <c r="J1304" s="2" t="s">
        <v>16</v>
      </c>
      <c r="K1304" s="2" t="s">
        <v>62</v>
      </c>
    </row>
    <row r="1305" spans="1:11" x14ac:dyDescent="0.35">
      <c r="A1305" s="2" t="s">
        <v>1720</v>
      </c>
      <c r="B1305" s="3">
        <v>45316</v>
      </c>
      <c r="C1305" s="2" t="s">
        <v>528</v>
      </c>
      <c r="D1305" s="2" t="s">
        <v>177</v>
      </c>
      <c r="E1305" s="2" t="s">
        <v>83</v>
      </c>
      <c r="F1305" s="4">
        <v>1</v>
      </c>
      <c r="G1305" s="4">
        <v>3870</v>
      </c>
      <c r="H1305" s="4">
        <v>29.6</v>
      </c>
      <c r="I1305" s="4">
        <v>2724.48</v>
      </c>
      <c r="J1305" s="2" t="s">
        <v>16</v>
      </c>
      <c r="K1305" s="2" t="s">
        <v>46</v>
      </c>
    </row>
    <row r="1306" spans="1:11" x14ac:dyDescent="0.35">
      <c r="A1306" s="2" t="s">
        <v>1721</v>
      </c>
      <c r="B1306" s="3">
        <v>45324</v>
      </c>
      <c r="C1306" s="2" t="s">
        <v>764</v>
      </c>
      <c r="D1306" s="2" t="s">
        <v>116</v>
      </c>
      <c r="E1306" s="2" t="s">
        <v>27</v>
      </c>
      <c r="F1306" s="4">
        <v>5</v>
      </c>
      <c r="G1306" s="4">
        <v>3570</v>
      </c>
      <c r="H1306" s="4">
        <v>11.8</v>
      </c>
      <c r="I1306" s="4">
        <v>15743.7</v>
      </c>
      <c r="J1306" s="2" t="s">
        <v>73</v>
      </c>
      <c r="K1306" s="2" t="s">
        <v>46</v>
      </c>
    </row>
    <row r="1307" spans="1:11" x14ac:dyDescent="0.35">
      <c r="A1307" s="2" t="s">
        <v>1722</v>
      </c>
      <c r="B1307" s="3">
        <v>45650</v>
      </c>
      <c r="C1307" s="2" t="s">
        <v>1033</v>
      </c>
      <c r="D1307" s="2" t="s">
        <v>293</v>
      </c>
      <c r="E1307" s="2" t="s">
        <v>50</v>
      </c>
      <c r="F1307" s="4">
        <v>7</v>
      </c>
      <c r="G1307" s="4">
        <v>5330</v>
      </c>
      <c r="H1307" s="4">
        <v>8.1999999999999993</v>
      </c>
      <c r="I1307" s="4">
        <v>34250.58</v>
      </c>
      <c r="J1307" s="2" t="s">
        <v>16</v>
      </c>
      <c r="K1307" s="2" t="s">
        <v>46</v>
      </c>
    </row>
    <row r="1308" spans="1:11" x14ac:dyDescent="0.35">
      <c r="A1308" s="2" t="s">
        <v>1723</v>
      </c>
      <c r="B1308" s="3">
        <v>45564</v>
      </c>
      <c r="C1308" s="2" t="s">
        <v>736</v>
      </c>
      <c r="D1308" s="2" t="s">
        <v>196</v>
      </c>
      <c r="E1308" s="2" t="s">
        <v>133</v>
      </c>
      <c r="F1308" s="4">
        <v>5</v>
      </c>
      <c r="G1308" s="4">
        <v>1220</v>
      </c>
      <c r="H1308" s="4">
        <v>17.8</v>
      </c>
      <c r="I1308" s="4">
        <v>5014.2</v>
      </c>
      <c r="J1308" s="2" t="s">
        <v>73</v>
      </c>
      <c r="K1308" s="2" t="s">
        <v>17</v>
      </c>
    </row>
    <row r="1309" spans="1:11" x14ac:dyDescent="0.35">
      <c r="A1309" s="2" t="s">
        <v>1724</v>
      </c>
      <c r="B1309" s="3">
        <v>45587</v>
      </c>
      <c r="C1309" s="2" t="s">
        <v>92</v>
      </c>
      <c r="D1309" s="2" t="s">
        <v>381</v>
      </c>
      <c r="E1309" s="2" t="s">
        <v>50</v>
      </c>
      <c r="F1309" s="4">
        <v>7</v>
      </c>
      <c r="G1309" s="4">
        <v>3450</v>
      </c>
      <c r="H1309" s="4">
        <v>29.3</v>
      </c>
      <c r="I1309" s="4">
        <v>17074.05</v>
      </c>
      <c r="J1309" s="2" t="s">
        <v>16</v>
      </c>
      <c r="K1309" s="2" t="s">
        <v>23</v>
      </c>
    </row>
    <row r="1310" spans="1:11" x14ac:dyDescent="0.35">
      <c r="A1310" s="2" t="s">
        <v>1725</v>
      </c>
      <c r="B1310" s="3">
        <v>45538</v>
      </c>
      <c r="C1310" s="2" t="s">
        <v>546</v>
      </c>
      <c r="D1310" s="2" t="s">
        <v>588</v>
      </c>
      <c r="E1310" s="2" t="s">
        <v>181</v>
      </c>
      <c r="F1310" s="4">
        <v>6</v>
      </c>
      <c r="G1310" s="4">
        <v>3560</v>
      </c>
      <c r="H1310" s="4">
        <v>9.4</v>
      </c>
      <c r="I1310" s="4">
        <v>19352.16</v>
      </c>
      <c r="J1310" s="2" t="s">
        <v>22</v>
      </c>
      <c r="K1310" s="2" t="s">
        <v>41</v>
      </c>
    </row>
    <row r="1311" spans="1:11" x14ac:dyDescent="0.35">
      <c r="A1311" s="2" t="s">
        <v>1726</v>
      </c>
      <c r="B1311" s="3">
        <v>45385</v>
      </c>
      <c r="C1311" s="2" t="s">
        <v>433</v>
      </c>
      <c r="D1311" s="2" t="s">
        <v>39</v>
      </c>
      <c r="E1311" s="2" t="s">
        <v>21</v>
      </c>
      <c r="F1311" s="4">
        <v>4</v>
      </c>
      <c r="G1311" s="4">
        <v>370</v>
      </c>
      <c r="H1311" s="4">
        <v>4.9000000000000004</v>
      </c>
      <c r="I1311" s="4">
        <v>1407.48</v>
      </c>
      <c r="J1311" s="2" t="s">
        <v>16</v>
      </c>
      <c r="K1311" s="2" t="s">
        <v>46</v>
      </c>
    </row>
    <row r="1312" spans="1:11" x14ac:dyDescent="0.35">
      <c r="A1312" s="2" t="s">
        <v>1727</v>
      </c>
      <c r="B1312" s="3">
        <v>45647</v>
      </c>
      <c r="C1312" s="2" t="s">
        <v>649</v>
      </c>
      <c r="D1312" s="2" t="s">
        <v>196</v>
      </c>
      <c r="E1312" s="2" t="s">
        <v>77</v>
      </c>
      <c r="F1312" s="4">
        <v>1</v>
      </c>
      <c r="G1312" s="4">
        <v>1220</v>
      </c>
      <c r="H1312" s="4">
        <v>15.2</v>
      </c>
      <c r="I1312" s="4">
        <v>1034.56</v>
      </c>
      <c r="J1312" s="2" t="s">
        <v>16</v>
      </c>
      <c r="K1312" s="2" t="s">
        <v>17</v>
      </c>
    </row>
    <row r="1313" spans="1:11" x14ac:dyDescent="0.35">
      <c r="A1313" s="2" t="s">
        <v>1728</v>
      </c>
      <c r="B1313" s="3">
        <v>45466</v>
      </c>
      <c r="C1313" s="2" t="s">
        <v>731</v>
      </c>
      <c r="D1313" s="2" t="s">
        <v>166</v>
      </c>
      <c r="E1313" s="2" t="s">
        <v>32</v>
      </c>
      <c r="F1313" s="4">
        <v>3</v>
      </c>
      <c r="G1313" s="4">
        <v>3640</v>
      </c>
      <c r="H1313" s="4">
        <v>12.3</v>
      </c>
      <c r="I1313" s="4">
        <v>9576.84</v>
      </c>
      <c r="J1313" s="2" t="s">
        <v>22</v>
      </c>
      <c r="K1313" s="2" t="s">
        <v>23</v>
      </c>
    </row>
    <row r="1314" spans="1:11" x14ac:dyDescent="0.35">
      <c r="A1314" s="2" t="s">
        <v>1729</v>
      </c>
      <c r="B1314" s="3">
        <v>45559</v>
      </c>
      <c r="C1314" s="2" t="s">
        <v>801</v>
      </c>
      <c r="D1314" s="2" t="s">
        <v>205</v>
      </c>
      <c r="E1314" s="2" t="s">
        <v>61</v>
      </c>
      <c r="F1314" s="4">
        <v>8</v>
      </c>
      <c r="G1314" s="4">
        <v>3020</v>
      </c>
      <c r="H1314" s="4">
        <v>28.2</v>
      </c>
      <c r="I1314" s="4">
        <v>17346.88</v>
      </c>
      <c r="J1314" s="2" t="s">
        <v>22</v>
      </c>
      <c r="K1314" s="2" t="s">
        <v>41</v>
      </c>
    </row>
    <row r="1315" spans="1:11" x14ac:dyDescent="0.35">
      <c r="A1315" s="2" t="s">
        <v>1730</v>
      </c>
      <c r="B1315" s="3">
        <v>45469</v>
      </c>
      <c r="C1315" s="2" t="s">
        <v>584</v>
      </c>
      <c r="D1315" s="2" t="s">
        <v>120</v>
      </c>
      <c r="E1315" s="2" t="s">
        <v>36</v>
      </c>
      <c r="F1315" s="4">
        <v>3</v>
      </c>
      <c r="G1315" s="4">
        <v>5100</v>
      </c>
      <c r="H1315" s="4">
        <v>7.8</v>
      </c>
      <c r="I1315" s="4">
        <v>14106.6</v>
      </c>
      <c r="J1315" s="2" t="s">
        <v>16</v>
      </c>
      <c r="K1315" s="2" t="s">
        <v>62</v>
      </c>
    </row>
    <row r="1316" spans="1:11" x14ac:dyDescent="0.35">
      <c r="A1316" s="2" t="s">
        <v>1731</v>
      </c>
      <c r="B1316" s="3">
        <v>45407</v>
      </c>
      <c r="C1316" s="2" t="s">
        <v>414</v>
      </c>
      <c r="D1316" s="2" t="s">
        <v>211</v>
      </c>
      <c r="E1316" s="2" t="s">
        <v>144</v>
      </c>
      <c r="F1316" s="4">
        <v>9</v>
      </c>
      <c r="G1316" s="4">
        <v>300</v>
      </c>
      <c r="H1316" s="4">
        <v>19</v>
      </c>
      <c r="I1316" s="4">
        <v>2187</v>
      </c>
      <c r="J1316" s="2" t="s">
        <v>16</v>
      </c>
      <c r="K1316" s="2" t="s">
        <v>17</v>
      </c>
    </row>
    <row r="1317" spans="1:11" x14ac:dyDescent="0.35">
      <c r="A1317" s="2" t="s">
        <v>1732</v>
      </c>
      <c r="B1317" s="3">
        <v>45634</v>
      </c>
      <c r="C1317" s="2" t="s">
        <v>123</v>
      </c>
      <c r="D1317" s="2" t="s">
        <v>315</v>
      </c>
      <c r="E1317" s="2" t="s">
        <v>15</v>
      </c>
      <c r="F1317" s="4">
        <v>10</v>
      </c>
      <c r="G1317" s="4">
        <v>2290</v>
      </c>
      <c r="H1317" s="4">
        <v>27.7</v>
      </c>
      <c r="I1317" s="4">
        <v>16556.7</v>
      </c>
      <c r="J1317" s="2" t="s">
        <v>16</v>
      </c>
      <c r="K1317" s="2" t="s">
        <v>17</v>
      </c>
    </row>
    <row r="1318" spans="1:11" x14ac:dyDescent="0.35">
      <c r="A1318" s="2" t="s">
        <v>1733</v>
      </c>
      <c r="B1318" s="3">
        <v>45454</v>
      </c>
      <c r="C1318" s="2" t="s">
        <v>107</v>
      </c>
      <c r="D1318" s="2" t="s">
        <v>166</v>
      </c>
      <c r="E1318" s="2" t="s">
        <v>45</v>
      </c>
      <c r="F1318" s="4">
        <v>9</v>
      </c>
      <c r="G1318" s="4">
        <v>3640</v>
      </c>
      <c r="H1318" s="4">
        <v>20.100000000000001</v>
      </c>
      <c r="I1318" s="4">
        <v>26175.24</v>
      </c>
      <c r="J1318" s="2" t="s">
        <v>16</v>
      </c>
      <c r="K1318" s="2" t="s">
        <v>23</v>
      </c>
    </row>
    <row r="1319" spans="1:11" x14ac:dyDescent="0.35">
      <c r="A1319" s="2" t="s">
        <v>1734</v>
      </c>
      <c r="B1319" s="3">
        <v>45565</v>
      </c>
      <c r="C1319" s="2" t="s">
        <v>535</v>
      </c>
      <c r="D1319" s="2" t="s">
        <v>20</v>
      </c>
      <c r="E1319" s="2" t="s">
        <v>214</v>
      </c>
      <c r="F1319" s="4">
        <v>4</v>
      </c>
      <c r="G1319" s="4">
        <v>820</v>
      </c>
      <c r="H1319" s="4">
        <v>7.6</v>
      </c>
      <c r="I1319" s="4">
        <v>3030.72</v>
      </c>
      <c r="J1319" s="2" t="s">
        <v>16</v>
      </c>
      <c r="K1319" s="2" t="s">
        <v>41</v>
      </c>
    </row>
    <row r="1320" spans="1:11" x14ac:dyDescent="0.35">
      <c r="A1320" s="2" t="s">
        <v>1735</v>
      </c>
      <c r="B1320" s="3">
        <v>45443</v>
      </c>
      <c r="C1320" s="2" t="s">
        <v>1287</v>
      </c>
      <c r="D1320" s="2" t="s">
        <v>56</v>
      </c>
      <c r="E1320" s="2" t="s">
        <v>27</v>
      </c>
      <c r="F1320" s="4">
        <v>1</v>
      </c>
      <c r="G1320" s="4">
        <v>970</v>
      </c>
      <c r="H1320" s="4">
        <v>1.7</v>
      </c>
      <c r="I1320" s="4">
        <v>953.51</v>
      </c>
      <c r="J1320" s="2" t="s">
        <v>16</v>
      </c>
      <c r="K1320" s="2" t="s">
        <v>41</v>
      </c>
    </row>
    <row r="1321" spans="1:11" x14ac:dyDescent="0.35">
      <c r="A1321" s="2" t="s">
        <v>1736</v>
      </c>
      <c r="B1321" s="3">
        <v>45318</v>
      </c>
      <c r="C1321" s="2" t="s">
        <v>59</v>
      </c>
      <c r="D1321" s="2" t="s">
        <v>588</v>
      </c>
      <c r="E1321" s="2" t="s">
        <v>50</v>
      </c>
      <c r="F1321" s="4">
        <v>5</v>
      </c>
      <c r="G1321" s="4">
        <v>3560</v>
      </c>
      <c r="H1321" s="4">
        <v>10.5</v>
      </c>
      <c r="I1321" s="4">
        <v>15931</v>
      </c>
      <c r="J1321" s="2" t="s">
        <v>16</v>
      </c>
      <c r="K1321" s="2" t="s">
        <v>62</v>
      </c>
    </row>
    <row r="1322" spans="1:11" x14ac:dyDescent="0.35">
      <c r="A1322" s="2" t="s">
        <v>1737</v>
      </c>
      <c r="B1322" s="3">
        <v>45308</v>
      </c>
      <c r="C1322" s="2" t="s">
        <v>282</v>
      </c>
      <c r="D1322" s="2" t="s">
        <v>431</v>
      </c>
      <c r="E1322" s="2" t="s">
        <v>133</v>
      </c>
      <c r="F1322" s="4">
        <v>6</v>
      </c>
      <c r="G1322" s="4">
        <v>1090</v>
      </c>
      <c r="H1322" s="4">
        <v>2.4</v>
      </c>
      <c r="I1322" s="4">
        <v>6383.04</v>
      </c>
      <c r="J1322" s="2" t="s">
        <v>22</v>
      </c>
      <c r="K1322" s="2" t="s">
        <v>23</v>
      </c>
    </row>
    <row r="1323" spans="1:11" x14ac:dyDescent="0.35">
      <c r="A1323" s="2" t="s">
        <v>1738</v>
      </c>
      <c r="B1323" s="3">
        <v>45306</v>
      </c>
      <c r="C1323" s="2" t="s">
        <v>636</v>
      </c>
      <c r="D1323" s="2" t="s">
        <v>208</v>
      </c>
      <c r="E1323" s="2" t="s">
        <v>167</v>
      </c>
      <c r="F1323" s="4">
        <v>6</v>
      </c>
      <c r="G1323" s="4">
        <v>2660</v>
      </c>
      <c r="H1323" s="4">
        <v>6.4</v>
      </c>
      <c r="I1323" s="4">
        <v>14938.56</v>
      </c>
      <c r="J1323" s="2" t="s">
        <v>16</v>
      </c>
      <c r="K1323" s="2" t="s">
        <v>41</v>
      </c>
    </row>
    <row r="1324" spans="1:11" x14ac:dyDescent="0.35">
      <c r="A1324" s="2" t="s">
        <v>1739</v>
      </c>
      <c r="B1324" s="3">
        <v>45432</v>
      </c>
      <c r="C1324" s="2" t="s">
        <v>253</v>
      </c>
      <c r="D1324" s="2" t="s">
        <v>337</v>
      </c>
      <c r="E1324" s="2" t="s">
        <v>144</v>
      </c>
      <c r="F1324" s="4">
        <v>5</v>
      </c>
      <c r="G1324" s="4">
        <v>3970</v>
      </c>
      <c r="H1324" s="4">
        <v>18.8</v>
      </c>
      <c r="I1324" s="4">
        <v>16118.2</v>
      </c>
      <c r="J1324" s="2" t="s">
        <v>22</v>
      </c>
      <c r="K1324" s="2" t="s">
        <v>62</v>
      </c>
    </row>
    <row r="1325" spans="1:11" x14ac:dyDescent="0.35">
      <c r="A1325" s="2" t="s">
        <v>1740</v>
      </c>
      <c r="B1325" s="3">
        <v>45369</v>
      </c>
      <c r="C1325" s="2" t="s">
        <v>265</v>
      </c>
      <c r="D1325" s="2" t="s">
        <v>444</v>
      </c>
      <c r="E1325" s="2" t="s">
        <v>87</v>
      </c>
      <c r="F1325" s="4">
        <v>7</v>
      </c>
      <c r="G1325" s="4">
        <v>6940</v>
      </c>
      <c r="H1325" s="4">
        <v>23.8</v>
      </c>
      <c r="I1325" s="4">
        <v>37017.96</v>
      </c>
      <c r="J1325" s="2" t="s">
        <v>73</v>
      </c>
      <c r="K1325" s="2" t="s">
        <v>41</v>
      </c>
    </row>
    <row r="1326" spans="1:11" x14ac:dyDescent="0.35">
      <c r="A1326" s="2" t="s">
        <v>1741</v>
      </c>
      <c r="B1326" s="3">
        <v>45544</v>
      </c>
      <c r="C1326" s="2" t="s">
        <v>572</v>
      </c>
      <c r="D1326" s="2" t="s">
        <v>80</v>
      </c>
      <c r="E1326" s="2" t="s">
        <v>68</v>
      </c>
      <c r="F1326" s="4">
        <v>3</v>
      </c>
      <c r="G1326" s="4">
        <v>2400</v>
      </c>
      <c r="H1326" s="4">
        <v>9.8000000000000007</v>
      </c>
      <c r="I1326" s="4">
        <v>6494.4</v>
      </c>
      <c r="J1326" s="2" t="s">
        <v>16</v>
      </c>
      <c r="K1326" s="2" t="s">
        <v>41</v>
      </c>
    </row>
    <row r="1327" spans="1:11" x14ac:dyDescent="0.35">
      <c r="A1327" s="2" t="s">
        <v>1742</v>
      </c>
      <c r="B1327" s="3">
        <v>45395</v>
      </c>
      <c r="C1327" s="2" t="s">
        <v>1179</v>
      </c>
      <c r="D1327" s="2" t="s">
        <v>90</v>
      </c>
      <c r="E1327" s="2" t="s">
        <v>83</v>
      </c>
      <c r="F1327" s="4">
        <v>8</v>
      </c>
      <c r="G1327" s="4">
        <v>3450</v>
      </c>
      <c r="H1327" s="4">
        <v>26.6</v>
      </c>
      <c r="I1327" s="4">
        <v>20258.400000000001</v>
      </c>
      <c r="J1327" s="2" t="s">
        <v>69</v>
      </c>
      <c r="K1327" s="2" t="s">
        <v>17</v>
      </c>
    </row>
    <row r="1328" spans="1:11" x14ac:dyDescent="0.35">
      <c r="A1328" s="2" t="s">
        <v>1743</v>
      </c>
      <c r="B1328" s="3">
        <v>45389</v>
      </c>
      <c r="C1328" s="2" t="s">
        <v>369</v>
      </c>
      <c r="D1328" s="2" t="s">
        <v>196</v>
      </c>
      <c r="E1328" s="2" t="s">
        <v>68</v>
      </c>
      <c r="F1328" s="4">
        <v>4</v>
      </c>
      <c r="G1328" s="4">
        <v>1220</v>
      </c>
      <c r="H1328" s="4">
        <v>5.5</v>
      </c>
      <c r="I1328" s="4">
        <v>4611.6000000000004</v>
      </c>
      <c r="J1328" s="2" t="s">
        <v>16</v>
      </c>
      <c r="K1328" s="2" t="s">
        <v>17</v>
      </c>
    </row>
    <row r="1329" spans="1:11" x14ac:dyDescent="0.35">
      <c r="A1329" s="2" t="s">
        <v>1744</v>
      </c>
      <c r="B1329" s="3">
        <v>45536</v>
      </c>
      <c r="C1329" s="2" t="s">
        <v>1745</v>
      </c>
      <c r="D1329" s="2" t="s">
        <v>221</v>
      </c>
      <c r="E1329" s="2" t="s">
        <v>15</v>
      </c>
      <c r="F1329" s="4">
        <v>1</v>
      </c>
      <c r="G1329" s="4">
        <v>620</v>
      </c>
      <c r="H1329" s="4">
        <v>22.3</v>
      </c>
      <c r="I1329" s="4">
        <v>481.74</v>
      </c>
      <c r="J1329" s="2" t="s">
        <v>22</v>
      </c>
      <c r="K1329" s="2" t="s">
        <v>28</v>
      </c>
    </row>
    <row r="1330" spans="1:11" x14ac:dyDescent="0.35">
      <c r="A1330" s="2" t="s">
        <v>1746</v>
      </c>
      <c r="B1330" s="3">
        <v>45348</v>
      </c>
      <c r="C1330" s="2" t="s">
        <v>160</v>
      </c>
      <c r="D1330" s="2" t="s">
        <v>211</v>
      </c>
      <c r="E1330" s="2" t="s">
        <v>83</v>
      </c>
      <c r="F1330" s="4">
        <v>1</v>
      </c>
      <c r="G1330" s="4">
        <v>300</v>
      </c>
      <c r="H1330" s="4">
        <v>12.5</v>
      </c>
      <c r="I1330" s="4">
        <v>262.5</v>
      </c>
      <c r="J1330" s="2" t="s">
        <v>16</v>
      </c>
      <c r="K1330" s="2" t="s">
        <v>46</v>
      </c>
    </row>
    <row r="1331" spans="1:11" x14ac:dyDescent="0.35">
      <c r="A1331" s="2" t="s">
        <v>1747</v>
      </c>
      <c r="B1331" s="3">
        <v>45502</v>
      </c>
      <c r="C1331" s="2" t="s">
        <v>829</v>
      </c>
      <c r="D1331" s="2" t="s">
        <v>111</v>
      </c>
      <c r="E1331" s="2" t="s">
        <v>121</v>
      </c>
      <c r="F1331" s="4">
        <v>3</v>
      </c>
      <c r="G1331" s="4">
        <v>1010</v>
      </c>
      <c r="H1331" s="4">
        <v>14.1</v>
      </c>
      <c r="I1331" s="4">
        <v>2602.77</v>
      </c>
      <c r="J1331" s="2" t="s">
        <v>16</v>
      </c>
      <c r="K1331" s="2" t="s">
        <v>46</v>
      </c>
    </row>
    <row r="1332" spans="1:11" x14ac:dyDescent="0.35">
      <c r="A1332" s="2" t="s">
        <v>1748</v>
      </c>
      <c r="B1332" s="3">
        <v>45600</v>
      </c>
      <c r="C1332" s="2" t="s">
        <v>726</v>
      </c>
      <c r="D1332" s="2" t="s">
        <v>372</v>
      </c>
      <c r="E1332" s="2" t="s">
        <v>272</v>
      </c>
      <c r="F1332" s="4">
        <v>2</v>
      </c>
      <c r="G1332" s="4">
        <v>5080</v>
      </c>
      <c r="H1332" s="4">
        <v>16.8</v>
      </c>
      <c r="I1332" s="4">
        <v>8453.1200000000008</v>
      </c>
      <c r="J1332" s="2" t="s">
        <v>16</v>
      </c>
      <c r="K1332" s="2" t="s">
        <v>28</v>
      </c>
    </row>
    <row r="1333" spans="1:11" x14ac:dyDescent="0.35">
      <c r="A1333" s="2" t="s">
        <v>1749</v>
      </c>
      <c r="B1333" s="3">
        <v>45416</v>
      </c>
      <c r="C1333" s="2" t="s">
        <v>104</v>
      </c>
      <c r="D1333" s="2" t="s">
        <v>35</v>
      </c>
      <c r="E1333" s="2" t="s">
        <v>272</v>
      </c>
      <c r="F1333" s="4">
        <v>2</v>
      </c>
      <c r="G1333" s="4">
        <v>3160</v>
      </c>
      <c r="H1333" s="4">
        <v>21.4</v>
      </c>
      <c r="I1333" s="4">
        <v>4967.5200000000004</v>
      </c>
      <c r="J1333" s="2" t="s">
        <v>16</v>
      </c>
      <c r="K1333" s="2" t="s">
        <v>1750</v>
      </c>
    </row>
    <row r="1334" spans="1:11" x14ac:dyDescent="0.35">
      <c r="A1334" s="2" t="s">
        <v>1751</v>
      </c>
      <c r="B1334" s="3">
        <v>45535</v>
      </c>
      <c r="C1334" s="2" t="s">
        <v>945</v>
      </c>
      <c r="D1334" s="2" t="s">
        <v>86</v>
      </c>
      <c r="E1334" s="2" t="s">
        <v>275</v>
      </c>
      <c r="F1334" s="4">
        <v>7</v>
      </c>
      <c r="G1334" s="4">
        <v>3450</v>
      </c>
      <c r="H1334" s="4">
        <v>21.3</v>
      </c>
      <c r="I1334" s="4">
        <v>19006.05</v>
      </c>
      <c r="J1334" s="2" t="s">
        <v>16</v>
      </c>
      <c r="K1334" s="2" t="s">
        <v>46</v>
      </c>
    </row>
    <row r="1335" spans="1:11" x14ac:dyDescent="0.35">
      <c r="A1335" s="2" t="s">
        <v>1752</v>
      </c>
      <c r="B1335" s="3">
        <v>45322</v>
      </c>
      <c r="C1335" s="2" t="s">
        <v>499</v>
      </c>
      <c r="D1335" s="2" t="s">
        <v>293</v>
      </c>
      <c r="E1335" s="2" t="s">
        <v>32</v>
      </c>
      <c r="F1335" s="4">
        <v>2</v>
      </c>
      <c r="G1335" s="4">
        <v>5330</v>
      </c>
      <c r="H1335" s="4">
        <v>4.3</v>
      </c>
      <c r="I1335" s="4">
        <v>10201.620000000001</v>
      </c>
      <c r="J1335" s="2" t="s">
        <v>16</v>
      </c>
      <c r="K1335" s="2" t="s">
        <v>28</v>
      </c>
    </row>
    <row r="1336" spans="1:11" x14ac:dyDescent="0.35">
      <c r="A1336" s="2" t="s">
        <v>1753</v>
      </c>
      <c r="B1336" s="3">
        <v>45626</v>
      </c>
      <c r="C1336" s="2" t="s">
        <v>542</v>
      </c>
      <c r="D1336" s="2" t="s">
        <v>444</v>
      </c>
      <c r="E1336" s="2" t="s">
        <v>27</v>
      </c>
      <c r="F1336" s="4">
        <v>5</v>
      </c>
      <c r="G1336" s="4">
        <v>6940</v>
      </c>
      <c r="H1336" s="4">
        <v>2.9</v>
      </c>
      <c r="I1336" s="4">
        <v>33693.699999999997</v>
      </c>
      <c r="J1336" s="2" t="s">
        <v>16</v>
      </c>
      <c r="K1336" s="2" t="s">
        <v>41</v>
      </c>
    </row>
    <row r="1337" spans="1:11" x14ac:dyDescent="0.35">
      <c r="A1337" s="2" t="s">
        <v>1754</v>
      </c>
      <c r="B1337" s="3">
        <v>45534</v>
      </c>
      <c r="C1337" s="2" t="s">
        <v>533</v>
      </c>
      <c r="D1337" s="2" t="s">
        <v>132</v>
      </c>
      <c r="E1337" s="2" t="s">
        <v>57</v>
      </c>
      <c r="F1337" s="4">
        <v>5</v>
      </c>
      <c r="G1337" s="4">
        <v>660</v>
      </c>
      <c r="H1337" s="4">
        <v>15.8</v>
      </c>
      <c r="I1337" s="4">
        <v>2778.6</v>
      </c>
      <c r="J1337" s="2" t="s">
        <v>16</v>
      </c>
      <c r="K1337" s="2" t="s">
        <v>46</v>
      </c>
    </row>
    <row r="1338" spans="1:11" x14ac:dyDescent="0.35">
      <c r="A1338" s="2" t="s">
        <v>1755</v>
      </c>
      <c r="B1338" s="3">
        <v>45519</v>
      </c>
      <c r="C1338" s="2" t="s">
        <v>915</v>
      </c>
      <c r="D1338" s="2" t="s">
        <v>120</v>
      </c>
      <c r="E1338" s="2" t="s">
        <v>181</v>
      </c>
      <c r="F1338" s="4">
        <v>9</v>
      </c>
      <c r="G1338" s="4">
        <v>5100</v>
      </c>
      <c r="H1338" s="4">
        <v>0.4</v>
      </c>
      <c r="I1338" s="4">
        <v>45716.4</v>
      </c>
      <c r="J1338" s="2" t="s">
        <v>16</v>
      </c>
      <c r="K1338" s="2" t="s">
        <v>23</v>
      </c>
    </row>
    <row r="1339" spans="1:11" x14ac:dyDescent="0.35">
      <c r="A1339" s="2" t="s">
        <v>1756</v>
      </c>
      <c r="B1339" s="3">
        <v>45315</v>
      </c>
      <c r="C1339" s="2" t="s">
        <v>1757</v>
      </c>
      <c r="D1339" s="2" t="s">
        <v>105</v>
      </c>
      <c r="E1339" s="2" t="s">
        <v>27</v>
      </c>
      <c r="F1339" s="4">
        <v>5</v>
      </c>
      <c r="G1339" s="4">
        <v>1650</v>
      </c>
      <c r="H1339" s="4">
        <v>0.8</v>
      </c>
      <c r="I1339" s="4">
        <v>8184</v>
      </c>
      <c r="J1339" s="2" t="s">
        <v>22</v>
      </c>
      <c r="K1339" s="2" t="s">
        <v>23</v>
      </c>
    </row>
    <row r="1340" spans="1:11" x14ac:dyDescent="0.35">
      <c r="A1340" s="2" t="s">
        <v>1758</v>
      </c>
      <c r="B1340" s="3">
        <v>45566</v>
      </c>
      <c r="C1340" s="2" t="s">
        <v>646</v>
      </c>
      <c r="D1340" s="2" t="s">
        <v>166</v>
      </c>
      <c r="E1340" s="2" t="s">
        <v>232</v>
      </c>
      <c r="F1340" s="4">
        <v>7</v>
      </c>
      <c r="G1340" s="4">
        <v>3640</v>
      </c>
      <c r="H1340" s="4">
        <v>25.5</v>
      </c>
      <c r="I1340" s="4">
        <v>18982.599999999999</v>
      </c>
      <c r="J1340" s="2" t="s">
        <v>16</v>
      </c>
      <c r="K1340" s="2" t="s">
        <v>23</v>
      </c>
    </row>
    <row r="1341" spans="1:11" x14ac:dyDescent="0.35">
      <c r="A1341" s="2" t="s">
        <v>1759</v>
      </c>
      <c r="B1341" s="3">
        <v>45643</v>
      </c>
      <c r="C1341" s="2" t="s">
        <v>165</v>
      </c>
      <c r="D1341" s="2" t="s">
        <v>113</v>
      </c>
      <c r="E1341" s="2" t="s">
        <v>158</v>
      </c>
      <c r="F1341" s="4">
        <v>6</v>
      </c>
      <c r="G1341" s="4">
        <v>4880</v>
      </c>
      <c r="H1341" s="4">
        <v>12.6</v>
      </c>
      <c r="I1341" s="4">
        <v>25590.720000000001</v>
      </c>
      <c r="J1341" s="2" t="s">
        <v>69</v>
      </c>
      <c r="K1341" s="2" t="s">
        <v>62</v>
      </c>
    </row>
    <row r="1342" spans="1:11" x14ac:dyDescent="0.35">
      <c r="A1342" s="2" t="s">
        <v>1760</v>
      </c>
      <c r="B1342" s="3">
        <v>45422</v>
      </c>
      <c r="C1342" s="2" t="s">
        <v>829</v>
      </c>
      <c r="D1342" s="2" t="s">
        <v>293</v>
      </c>
      <c r="E1342" s="2" t="s">
        <v>57</v>
      </c>
      <c r="F1342" s="4">
        <v>4</v>
      </c>
      <c r="G1342" s="4">
        <v>5330</v>
      </c>
      <c r="H1342" s="4">
        <v>16.2</v>
      </c>
      <c r="I1342" s="4">
        <v>17866.16</v>
      </c>
      <c r="J1342" s="2" t="s">
        <v>16</v>
      </c>
      <c r="K1342" s="2" t="s">
        <v>46</v>
      </c>
    </row>
    <row r="1343" spans="1:11" x14ac:dyDescent="0.35">
      <c r="A1343" s="2" t="s">
        <v>1761</v>
      </c>
      <c r="B1343" s="3">
        <v>45400</v>
      </c>
      <c r="C1343" s="2" t="s">
        <v>408</v>
      </c>
      <c r="D1343" s="2" t="s">
        <v>53</v>
      </c>
      <c r="E1343" s="2" t="s">
        <v>83</v>
      </c>
      <c r="F1343" s="4">
        <v>3</v>
      </c>
      <c r="G1343" s="4">
        <v>5490</v>
      </c>
      <c r="H1343" s="4">
        <v>26.7</v>
      </c>
      <c r="I1343" s="4">
        <v>12072.51</v>
      </c>
      <c r="J1343" s="2" t="s">
        <v>16</v>
      </c>
      <c r="K1343" s="2" t="s">
        <v>17</v>
      </c>
    </row>
    <row r="1344" spans="1:11" x14ac:dyDescent="0.35">
      <c r="A1344" s="2" t="s">
        <v>1762</v>
      </c>
      <c r="B1344" s="3">
        <v>45564</v>
      </c>
      <c r="C1344" s="2" t="s">
        <v>107</v>
      </c>
      <c r="D1344" s="2" t="s">
        <v>76</v>
      </c>
      <c r="E1344" s="2" t="s">
        <v>226</v>
      </c>
      <c r="F1344" s="4">
        <v>7</v>
      </c>
      <c r="G1344" s="4">
        <v>190</v>
      </c>
      <c r="H1344" s="4">
        <v>11.6</v>
      </c>
      <c r="I1344" s="4">
        <v>1175.72</v>
      </c>
      <c r="J1344" s="2" t="s">
        <v>16</v>
      </c>
      <c r="K1344" s="2" t="s">
        <v>23</v>
      </c>
    </row>
    <row r="1345" spans="1:11" x14ac:dyDescent="0.35">
      <c r="A1345" s="2" t="s">
        <v>1763</v>
      </c>
      <c r="B1345" s="3">
        <v>45437</v>
      </c>
      <c r="C1345" s="2" t="s">
        <v>43</v>
      </c>
      <c r="D1345" s="2" t="s">
        <v>35</v>
      </c>
      <c r="E1345" s="2" t="s">
        <v>275</v>
      </c>
      <c r="F1345" s="4">
        <v>5</v>
      </c>
      <c r="G1345" s="4">
        <v>3160</v>
      </c>
      <c r="H1345" s="4">
        <v>24.1</v>
      </c>
      <c r="I1345" s="4">
        <v>11992.2</v>
      </c>
      <c r="J1345" s="2" t="s">
        <v>16</v>
      </c>
      <c r="K1345" s="2" t="s">
        <v>46</v>
      </c>
    </row>
    <row r="1346" spans="1:11" x14ac:dyDescent="0.35">
      <c r="A1346" s="2" t="s">
        <v>1764</v>
      </c>
      <c r="B1346" s="3">
        <v>45395</v>
      </c>
      <c r="C1346" s="2" t="s">
        <v>314</v>
      </c>
      <c r="D1346" s="2" t="s">
        <v>431</v>
      </c>
      <c r="E1346" s="2" t="s">
        <v>83</v>
      </c>
      <c r="F1346" s="4">
        <v>1</v>
      </c>
      <c r="G1346" s="4">
        <v>1090</v>
      </c>
      <c r="H1346" s="4">
        <v>9.6</v>
      </c>
      <c r="I1346" s="4">
        <v>985.36</v>
      </c>
      <c r="J1346" s="2" t="s">
        <v>73</v>
      </c>
      <c r="K1346" s="2" t="s">
        <v>46</v>
      </c>
    </row>
    <row r="1347" spans="1:11" x14ac:dyDescent="0.35">
      <c r="A1347" s="2" t="s">
        <v>1765</v>
      </c>
      <c r="B1347" s="3">
        <v>45447</v>
      </c>
      <c r="C1347" s="2" t="s">
        <v>311</v>
      </c>
      <c r="D1347" s="2" t="s">
        <v>39</v>
      </c>
      <c r="E1347" s="2" t="s">
        <v>68</v>
      </c>
      <c r="F1347" s="4">
        <v>9</v>
      </c>
      <c r="G1347" s="4">
        <v>370</v>
      </c>
      <c r="H1347" s="4">
        <v>4</v>
      </c>
      <c r="I1347" s="4">
        <v>3196.8</v>
      </c>
      <c r="J1347" s="2" t="s">
        <v>16</v>
      </c>
      <c r="K1347" s="2" t="s">
        <v>28</v>
      </c>
    </row>
    <row r="1348" spans="1:11" x14ac:dyDescent="0.35">
      <c r="A1348" s="2" t="s">
        <v>1766</v>
      </c>
      <c r="B1348" s="3">
        <v>45300</v>
      </c>
      <c r="C1348" s="2" t="s">
        <v>146</v>
      </c>
      <c r="D1348" s="2" t="s">
        <v>208</v>
      </c>
      <c r="E1348" s="2" t="s">
        <v>226</v>
      </c>
      <c r="F1348" s="4">
        <v>5</v>
      </c>
      <c r="G1348" s="4">
        <v>2660</v>
      </c>
      <c r="H1348" s="4">
        <v>24.6</v>
      </c>
      <c r="I1348" s="4">
        <v>10028.200000000001</v>
      </c>
      <c r="J1348" s="2" t="s">
        <v>69</v>
      </c>
      <c r="K1348" s="2" t="s">
        <v>23</v>
      </c>
    </row>
    <row r="1349" spans="1:11" x14ac:dyDescent="0.35">
      <c r="A1349" s="2" t="s">
        <v>1767</v>
      </c>
      <c r="B1349" s="3">
        <v>45327</v>
      </c>
      <c r="C1349" s="2" t="s">
        <v>1290</v>
      </c>
      <c r="D1349" s="2" t="s">
        <v>588</v>
      </c>
      <c r="E1349" s="2" t="s">
        <v>232</v>
      </c>
      <c r="F1349" s="4">
        <v>4</v>
      </c>
      <c r="G1349" s="4">
        <v>3560</v>
      </c>
      <c r="H1349" s="4">
        <v>25.7</v>
      </c>
      <c r="I1349" s="4">
        <v>10580.32</v>
      </c>
      <c r="J1349" s="2" t="s">
        <v>16</v>
      </c>
      <c r="K1349" s="2" t="s">
        <v>23</v>
      </c>
    </row>
    <row r="1350" spans="1:11" x14ac:dyDescent="0.35">
      <c r="A1350" s="2" t="s">
        <v>1768</v>
      </c>
      <c r="B1350" s="3">
        <v>45410</v>
      </c>
      <c r="C1350" s="2" t="s">
        <v>915</v>
      </c>
      <c r="D1350" s="2" t="s">
        <v>309</v>
      </c>
      <c r="E1350" s="2" t="s">
        <v>21</v>
      </c>
      <c r="F1350" s="4">
        <v>8</v>
      </c>
      <c r="G1350" s="4">
        <v>960</v>
      </c>
      <c r="H1350" s="4">
        <v>0.1</v>
      </c>
      <c r="I1350" s="4">
        <v>7672.32</v>
      </c>
      <c r="J1350" s="2" t="s">
        <v>16</v>
      </c>
      <c r="K1350" s="2" t="s">
        <v>23</v>
      </c>
    </row>
    <row r="1351" spans="1:11" x14ac:dyDescent="0.35">
      <c r="A1351" s="2" t="s">
        <v>1769</v>
      </c>
      <c r="B1351" s="3">
        <v>45644</v>
      </c>
      <c r="C1351" s="2" t="s">
        <v>154</v>
      </c>
      <c r="D1351" s="2" t="s">
        <v>39</v>
      </c>
      <c r="E1351" s="2" t="s">
        <v>45</v>
      </c>
      <c r="F1351" s="4">
        <v>10</v>
      </c>
      <c r="G1351" s="4">
        <v>370</v>
      </c>
      <c r="H1351" s="4">
        <v>16.399999999999999</v>
      </c>
      <c r="I1351" s="4">
        <v>3093.2</v>
      </c>
      <c r="J1351" s="2" t="s">
        <v>69</v>
      </c>
      <c r="K1351" s="2" t="s">
        <v>23</v>
      </c>
    </row>
    <row r="1352" spans="1:11" x14ac:dyDescent="0.35">
      <c r="A1352" s="2" t="s">
        <v>1770</v>
      </c>
      <c r="B1352" s="3">
        <v>45399</v>
      </c>
      <c r="C1352" s="2" t="s">
        <v>766</v>
      </c>
      <c r="D1352" s="2" t="s">
        <v>102</v>
      </c>
      <c r="E1352" s="2" t="s">
        <v>158</v>
      </c>
      <c r="F1352" s="4">
        <v>4</v>
      </c>
      <c r="G1352" s="4">
        <v>2720</v>
      </c>
      <c r="H1352" s="4">
        <v>3.1</v>
      </c>
      <c r="I1352" s="4">
        <v>10542.72</v>
      </c>
      <c r="J1352" s="2" t="s">
        <v>16</v>
      </c>
      <c r="K1352" s="2" t="s">
        <v>46</v>
      </c>
    </row>
    <row r="1353" spans="1:11" x14ac:dyDescent="0.35">
      <c r="A1353" s="2" t="s">
        <v>1771</v>
      </c>
      <c r="B1353" s="3">
        <v>45441</v>
      </c>
      <c r="C1353" s="2" t="s">
        <v>334</v>
      </c>
      <c r="D1353" s="2" t="s">
        <v>372</v>
      </c>
      <c r="E1353" s="2" t="s">
        <v>21</v>
      </c>
      <c r="F1353" s="4">
        <v>10</v>
      </c>
      <c r="G1353" s="4">
        <v>5080</v>
      </c>
      <c r="H1353" s="4">
        <v>6.8</v>
      </c>
      <c r="I1353" s="4">
        <v>47345.599999999999</v>
      </c>
      <c r="J1353" s="2" t="s">
        <v>16</v>
      </c>
      <c r="K1353" s="2" t="s">
        <v>23</v>
      </c>
    </row>
    <row r="1354" spans="1:11" x14ac:dyDescent="0.35">
      <c r="A1354" s="2" t="s">
        <v>1772</v>
      </c>
      <c r="B1354" s="3">
        <v>45379</v>
      </c>
      <c r="C1354" s="2" t="s">
        <v>1463</v>
      </c>
      <c r="D1354" s="2" t="s">
        <v>315</v>
      </c>
      <c r="E1354" s="2" t="s">
        <v>36</v>
      </c>
      <c r="F1354" s="4">
        <v>6</v>
      </c>
      <c r="G1354" s="4">
        <v>2290</v>
      </c>
      <c r="H1354" s="4">
        <v>22.6</v>
      </c>
      <c r="I1354" s="4">
        <v>10634.76</v>
      </c>
      <c r="J1354" s="2" t="s">
        <v>16</v>
      </c>
      <c r="K1354" s="2" t="s">
        <v>62</v>
      </c>
    </row>
    <row r="1355" spans="1:11" x14ac:dyDescent="0.35">
      <c r="A1355" s="2" t="s">
        <v>1773</v>
      </c>
      <c r="B1355" s="3">
        <v>45502</v>
      </c>
      <c r="C1355" s="2" t="s">
        <v>697</v>
      </c>
      <c r="D1355" s="2" t="s">
        <v>129</v>
      </c>
      <c r="E1355" s="2" t="s">
        <v>32</v>
      </c>
      <c r="F1355" s="4">
        <v>4</v>
      </c>
      <c r="G1355" s="4">
        <v>2760</v>
      </c>
      <c r="H1355" s="4">
        <v>27.2</v>
      </c>
      <c r="I1355" s="4">
        <v>8037.12</v>
      </c>
      <c r="J1355" s="2" t="s">
        <v>73</v>
      </c>
      <c r="K1355" s="2" t="s">
        <v>17</v>
      </c>
    </row>
    <row r="1356" spans="1:11" x14ac:dyDescent="0.35">
      <c r="A1356" s="2" t="s">
        <v>1774</v>
      </c>
      <c r="B1356" s="3">
        <v>45466</v>
      </c>
      <c r="C1356" s="2" t="s">
        <v>371</v>
      </c>
      <c r="D1356" s="2" t="s">
        <v>60</v>
      </c>
      <c r="E1356" s="2" t="s">
        <v>272</v>
      </c>
      <c r="F1356" s="4">
        <v>9</v>
      </c>
      <c r="G1356" s="4">
        <v>2270</v>
      </c>
      <c r="H1356" s="4">
        <v>5.2</v>
      </c>
      <c r="I1356" s="4">
        <v>19367.64</v>
      </c>
      <c r="J1356" s="2" t="s">
        <v>16</v>
      </c>
      <c r="K1356" s="2" t="s">
        <v>17</v>
      </c>
    </row>
    <row r="1357" spans="1:11" x14ac:dyDescent="0.35">
      <c r="A1357" s="2" t="s">
        <v>1775</v>
      </c>
      <c r="B1357" s="3">
        <v>45500</v>
      </c>
      <c r="C1357" s="2" t="s">
        <v>307</v>
      </c>
      <c r="D1357" s="2" t="s">
        <v>284</v>
      </c>
      <c r="E1357" s="2" t="s">
        <v>36</v>
      </c>
      <c r="F1357" s="4">
        <v>3</v>
      </c>
      <c r="G1357" s="4">
        <v>2510</v>
      </c>
      <c r="H1357" s="4">
        <v>16.399999999999999</v>
      </c>
      <c r="I1357" s="4">
        <v>6295.08</v>
      </c>
      <c r="J1357" s="2" t="s">
        <v>16</v>
      </c>
      <c r="K1357" s="2" t="s">
        <v>23</v>
      </c>
    </row>
    <row r="1358" spans="1:11" x14ac:dyDescent="0.35">
      <c r="A1358" s="2" t="s">
        <v>1776</v>
      </c>
      <c r="B1358" s="3">
        <v>45337</v>
      </c>
      <c r="C1358" s="2" t="s">
        <v>241</v>
      </c>
      <c r="D1358" s="2" t="s">
        <v>296</v>
      </c>
      <c r="E1358" s="2" t="s">
        <v>254</v>
      </c>
      <c r="F1358" s="4">
        <v>1</v>
      </c>
      <c r="G1358" s="4">
        <v>2380</v>
      </c>
      <c r="H1358" s="4">
        <v>23.5</v>
      </c>
      <c r="I1358" s="4">
        <v>1820.7</v>
      </c>
      <c r="J1358" s="2" t="s">
        <v>16</v>
      </c>
      <c r="K1358" s="2" t="s">
        <v>62</v>
      </c>
    </row>
    <row r="1359" spans="1:11" x14ac:dyDescent="0.35">
      <c r="A1359" s="2" t="s">
        <v>1777</v>
      </c>
      <c r="B1359" s="3">
        <v>45447</v>
      </c>
      <c r="C1359" s="2" t="s">
        <v>766</v>
      </c>
      <c r="D1359" s="2" t="s">
        <v>390</v>
      </c>
      <c r="E1359" s="2" t="s">
        <v>50</v>
      </c>
      <c r="F1359" s="4">
        <v>2</v>
      </c>
      <c r="G1359" s="4">
        <v>3780</v>
      </c>
      <c r="H1359" s="4">
        <v>29.1</v>
      </c>
      <c r="I1359" s="4">
        <v>5360.04</v>
      </c>
      <c r="J1359" s="2" t="s">
        <v>16</v>
      </c>
      <c r="K1359" s="2" t="s">
        <v>46</v>
      </c>
    </row>
    <row r="1360" spans="1:11" x14ac:dyDescent="0.35">
      <c r="A1360" s="2" t="s">
        <v>1778</v>
      </c>
      <c r="B1360" s="3">
        <v>45546</v>
      </c>
      <c r="C1360" s="2" t="s">
        <v>881</v>
      </c>
      <c r="D1360" s="2" t="s">
        <v>381</v>
      </c>
      <c r="E1360" s="2" t="s">
        <v>130</v>
      </c>
      <c r="F1360" s="4">
        <v>1</v>
      </c>
      <c r="G1360" s="4">
        <v>3450</v>
      </c>
      <c r="H1360" s="4">
        <v>17.8</v>
      </c>
      <c r="I1360" s="4">
        <v>2835.9</v>
      </c>
      <c r="J1360" s="2" t="s">
        <v>16</v>
      </c>
      <c r="K1360" s="2" t="s">
        <v>62</v>
      </c>
    </row>
    <row r="1361" spans="1:11" x14ac:dyDescent="0.35">
      <c r="A1361" s="2" t="s">
        <v>1779</v>
      </c>
      <c r="B1361" s="3">
        <v>45451</v>
      </c>
      <c r="C1361" s="2" t="s">
        <v>317</v>
      </c>
      <c r="D1361" s="2" t="s">
        <v>113</v>
      </c>
      <c r="E1361" s="2" t="s">
        <v>32</v>
      </c>
      <c r="F1361" s="4">
        <v>6</v>
      </c>
      <c r="G1361" s="4">
        <v>4880</v>
      </c>
      <c r="H1361" s="4">
        <v>15.6</v>
      </c>
      <c r="I1361" s="4">
        <v>24712.32</v>
      </c>
      <c r="J1361" s="2" t="s">
        <v>22</v>
      </c>
      <c r="K1361" s="2" t="s">
        <v>62</v>
      </c>
    </row>
    <row r="1362" spans="1:11" x14ac:dyDescent="0.35">
      <c r="A1362" s="2" t="s">
        <v>1780</v>
      </c>
      <c r="B1362" s="3">
        <v>45427</v>
      </c>
      <c r="C1362" s="2" t="s">
        <v>104</v>
      </c>
      <c r="D1362" s="2" t="s">
        <v>309</v>
      </c>
      <c r="E1362" s="2" t="s">
        <v>275</v>
      </c>
      <c r="F1362" s="4">
        <v>6</v>
      </c>
      <c r="G1362" s="4">
        <v>960</v>
      </c>
      <c r="H1362" s="4">
        <v>7.5</v>
      </c>
      <c r="I1362" s="4">
        <v>5328</v>
      </c>
      <c r="J1362" s="2" t="s">
        <v>22</v>
      </c>
      <c r="K1362" s="2" t="s">
        <v>62</v>
      </c>
    </row>
    <row r="1363" spans="1:11" x14ac:dyDescent="0.35">
      <c r="A1363" s="2" t="s">
        <v>1781</v>
      </c>
      <c r="B1363" s="3">
        <v>45532</v>
      </c>
      <c r="C1363" s="2" t="s">
        <v>342</v>
      </c>
      <c r="D1363" s="2" t="s">
        <v>588</v>
      </c>
      <c r="E1363" s="2" t="s">
        <v>83</v>
      </c>
      <c r="F1363" s="4">
        <v>1</v>
      </c>
      <c r="G1363" s="4">
        <v>3560</v>
      </c>
      <c r="H1363" s="4">
        <v>12.9</v>
      </c>
      <c r="I1363" s="4">
        <v>3100.76</v>
      </c>
      <c r="J1363" s="2" t="s">
        <v>16</v>
      </c>
      <c r="K1363" s="2" t="s">
        <v>17</v>
      </c>
    </row>
    <row r="1364" spans="1:11" x14ac:dyDescent="0.35">
      <c r="A1364" s="2" t="s">
        <v>1782</v>
      </c>
      <c r="B1364" s="3">
        <v>45466</v>
      </c>
      <c r="C1364" s="2" t="s">
        <v>514</v>
      </c>
      <c r="D1364" s="2" t="s">
        <v>280</v>
      </c>
      <c r="E1364" s="2" t="s">
        <v>21</v>
      </c>
      <c r="F1364" s="4">
        <v>5</v>
      </c>
      <c r="G1364" s="4">
        <v>4060</v>
      </c>
      <c r="H1364" s="4">
        <v>18.100000000000001</v>
      </c>
      <c r="I1364" s="4">
        <v>16625.7</v>
      </c>
      <c r="J1364" s="2" t="s">
        <v>22</v>
      </c>
      <c r="K1364" s="2" t="s">
        <v>23</v>
      </c>
    </row>
    <row r="1365" spans="1:11" x14ac:dyDescent="0.35">
      <c r="A1365" s="2" t="s">
        <v>1783</v>
      </c>
      <c r="B1365" s="3">
        <v>45545</v>
      </c>
      <c r="C1365" s="2" t="s">
        <v>30</v>
      </c>
      <c r="D1365" s="2" t="s">
        <v>102</v>
      </c>
      <c r="E1365" s="2" t="s">
        <v>121</v>
      </c>
      <c r="F1365" s="4">
        <v>10</v>
      </c>
      <c r="G1365" s="4">
        <v>2720</v>
      </c>
      <c r="H1365" s="4">
        <v>23.2</v>
      </c>
      <c r="I1365" s="4">
        <v>20889.599999999999</v>
      </c>
      <c r="J1365" s="2" t="s">
        <v>16</v>
      </c>
      <c r="K1365" s="2" t="s">
        <v>28</v>
      </c>
    </row>
    <row r="1366" spans="1:11" x14ac:dyDescent="0.35">
      <c r="A1366" s="2" t="s">
        <v>1657</v>
      </c>
      <c r="B1366" s="3">
        <v>45547</v>
      </c>
      <c r="C1366" s="2" t="s">
        <v>490</v>
      </c>
      <c r="D1366" s="2" t="s">
        <v>267</v>
      </c>
      <c r="E1366" s="2" t="s">
        <v>214</v>
      </c>
      <c r="F1366" s="4">
        <v>1</v>
      </c>
      <c r="G1366" s="4">
        <v>2210</v>
      </c>
      <c r="H1366" s="4">
        <v>5.8</v>
      </c>
      <c r="I1366" s="4">
        <v>2081.8200000000002</v>
      </c>
      <c r="J1366" s="2" t="s">
        <v>22</v>
      </c>
      <c r="K1366" s="2" t="s">
        <v>62</v>
      </c>
    </row>
    <row r="1367" spans="1:11" x14ac:dyDescent="0.35">
      <c r="A1367" s="2" t="s">
        <v>1784</v>
      </c>
      <c r="B1367" s="3">
        <v>45547</v>
      </c>
      <c r="C1367" s="2" t="s">
        <v>89</v>
      </c>
      <c r="D1367" s="2" t="s">
        <v>86</v>
      </c>
      <c r="E1367" s="2" t="s">
        <v>181</v>
      </c>
      <c r="F1367" s="4">
        <v>5</v>
      </c>
      <c r="G1367" s="4">
        <v>3450</v>
      </c>
      <c r="H1367" s="4">
        <v>27.9</v>
      </c>
      <c r="I1367" s="4">
        <v>12437.25</v>
      </c>
      <c r="J1367" s="2" t="s">
        <v>22</v>
      </c>
      <c r="K1367" s="2" t="s">
        <v>41</v>
      </c>
    </row>
    <row r="1368" spans="1:11" x14ac:dyDescent="0.35">
      <c r="A1368" s="2" t="s">
        <v>1785</v>
      </c>
      <c r="B1368" s="3">
        <v>45550</v>
      </c>
      <c r="C1368" s="2" t="s">
        <v>141</v>
      </c>
      <c r="D1368" s="2" t="s">
        <v>296</v>
      </c>
      <c r="E1368" s="2" t="s">
        <v>83</v>
      </c>
      <c r="F1368" s="4">
        <v>9</v>
      </c>
      <c r="G1368" s="4">
        <v>2380</v>
      </c>
      <c r="H1368" s="4">
        <v>15.2</v>
      </c>
      <c r="I1368" s="4">
        <v>18164.16</v>
      </c>
      <c r="J1368" s="2" t="s">
        <v>73</v>
      </c>
      <c r="K1368" s="2" t="s">
        <v>41</v>
      </c>
    </row>
    <row r="1369" spans="1:11" x14ac:dyDescent="0.35">
      <c r="A1369" s="2" t="s">
        <v>1786</v>
      </c>
      <c r="B1369" s="3">
        <v>45551</v>
      </c>
      <c r="C1369" s="2" t="s">
        <v>328</v>
      </c>
      <c r="D1369" s="2" t="s">
        <v>296</v>
      </c>
      <c r="E1369" s="2" t="s">
        <v>226</v>
      </c>
      <c r="F1369" s="4">
        <v>2</v>
      </c>
      <c r="G1369" s="4">
        <v>2380</v>
      </c>
      <c r="H1369" s="4">
        <v>24.3</v>
      </c>
      <c r="I1369" s="4">
        <v>3603.32</v>
      </c>
      <c r="J1369" s="2" t="s">
        <v>16</v>
      </c>
      <c r="K1369" s="2" t="s">
        <v>28</v>
      </c>
    </row>
    <row r="1370" spans="1:11" x14ac:dyDescent="0.35">
      <c r="A1370" s="2" t="s">
        <v>1787</v>
      </c>
      <c r="B1370" s="3">
        <v>45560</v>
      </c>
      <c r="C1370" s="2" t="s">
        <v>30</v>
      </c>
      <c r="D1370" s="2" t="s">
        <v>588</v>
      </c>
      <c r="E1370" s="2" t="s">
        <v>254</v>
      </c>
      <c r="F1370" s="4">
        <v>9</v>
      </c>
      <c r="G1370" s="4">
        <v>3560</v>
      </c>
      <c r="H1370" s="4">
        <v>6.6</v>
      </c>
      <c r="I1370" s="4">
        <v>29925.360000000001</v>
      </c>
      <c r="J1370" s="2" t="s">
        <v>73</v>
      </c>
      <c r="K1370" s="2" t="s">
        <v>28</v>
      </c>
    </row>
    <row r="1371" spans="1:11" x14ac:dyDescent="0.35">
      <c r="A1371" s="2" t="s">
        <v>1788</v>
      </c>
      <c r="B1371" s="3">
        <v>45330</v>
      </c>
      <c r="C1371" s="2" t="s">
        <v>401</v>
      </c>
      <c r="D1371" s="2" t="s">
        <v>196</v>
      </c>
      <c r="E1371" s="2" t="s">
        <v>232</v>
      </c>
      <c r="F1371" s="4">
        <v>7</v>
      </c>
      <c r="G1371" s="4">
        <v>1220</v>
      </c>
      <c r="H1371" s="4">
        <v>29.4</v>
      </c>
      <c r="I1371" s="4">
        <v>6029.24</v>
      </c>
      <c r="J1371" s="2" t="s">
        <v>16</v>
      </c>
      <c r="K1371" s="2" t="s">
        <v>23</v>
      </c>
    </row>
    <row r="1372" spans="1:11" x14ac:dyDescent="0.35">
      <c r="A1372" s="2" t="s">
        <v>1789</v>
      </c>
      <c r="B1372" s="3">
        <v>45560</v>
      </c>
      <c r="C1372" s="2" t="s">
        <v>484</v>
      </c>
      <c r="D1372" s="2" t="s">
        <v>444</v>
      </c>
      <c r="E1372" s="2" t="s">
        <v>167</v>
      </c>
      <c r="F1372" s="4">
        <v>7</v>
      </c>
      <c r="G1372" s="4">
        <v>6940</v>
      </c>
      <c r="H1372" s="4">
        <v>9.6</v>
      </c>
      <c r="I1372" s="4">
        <v>43916.32</v>
      </c>
      <c r="J1372" s="2" t="s">
        <v>16</v>
      </c>
      <c r="K1372" s="2" t="s">
        <v>41</v>
      </c>
    </row>
    <row r="1373" spans="1:11" x14ac:dyDescent="0.35">
      <c r="A1373" s="2" t="s">
        <v>1790</v>
      </c>
      <c r="B1373" s="3">
        <v>45395</v>
      </c>
      <c r="C1373" s="2" t="s">
        <v>834</v>
      </c>
      <c r="D1373" s="2" t="s">
        <v>431</v>
      </c>
      <c r="E1373" s="2" t="s">
        <v>214</v>
      </c>
      <c r="F1373" s="4">
        <v>2</v>
      </c>
      <c r="G1373" s="4">
        <v>1090</v>
      </c>
      <c r="H1373" s="4">
        <v>17</v>
      </c>
      <c r="I1373" s="4">
        <v>1809.4</v>
      </c>
      <c r="J1373" s="2" t="s">
        <v>16</v>
      </c>
      <c r="K1373" s="2" t="s">
        <v>41</v>
      </c>
    </row>
    <row r="1374" spans="1:11" x14ac:dyDescent="0.35">
      <c r="A1374" s="2" t="s">
        <v>1791</v>
      </c>
      <c r="B1374" s="3">
        <v>45486</v>
      </c>
      <c r="C1374" s="2" t="s">
        <v>714</v>
      </c>
      <c r="D1374" s="2" t="s">
        <v>296</v>
      </c>
      <c r="E1374" s="2" t="s">
        <v>57</v>
      </c>
      <c r="F1374" s="4">
        <v>4</v>
      </c>
      <c r="G1374" s="4">
        <v>2380</v>
      </c>
      <c r="H1374" s="4">
        <v>18.899999999999999</v>
      </c>
      <c r="I1374" s="4">
        <v>7720.72</v>
      </c>
      <c r="J1374" s="2" t="s">
        <v>22</v>
      </c>
      <c r="K1374" s="2" t="s">
        <v>17</v>
      </c>
    </row>
    <row r="1375" spans="1:11" x14ac:dyDescent="0.35">
      <c r="A1375" s="2" t="s">
        <v>1792</v>
      </c>
      <c r="B1375" s="3">
        <v>45578</v>
      </c>
      <c r="C1375" s="2" t="s">
        <v>834</v>
      </c>
      <c r="D1375" s="2" t="s">
        <v>60</v>
      </c>
      <c r="E1375" s="2" t="s">
        <v>68</v>
      </c>
      <c r="F1375" s="4">
        <v>6</v>
      </c>
      <c r="G1375" s="4">
        <v>2270</v>
      </c>
      <c r="H1375" s="4">
        <v>20.9</v>
      </c>
      <c r="I1375" s="4">
        <v>10773.42</v>
      </c>
      <c r="J1375" s="2" t="s">
        <v>22</v>
      </c>
      <c r="K1375" s="2" t="s">
        <v>41</v>
      </c>
    </row>
    <row r="1376" spans="1:11" x14ac:dyDescent="0.35">
      <c r="A1376" s="2" t="s">
        <v>1793</v>
      </c>
      <c r="B1376" s="3">
        <v>45581</v>
      </c>
      <c r="C1376" s="2" t="s">
        <v>745</v>
      </c>
      <c r="D1376" s="2" t="s">
        <v>224</v>
      </c>
      <c r="E1376" s="2" t="s">
        <v>50</v>
      </c>
      <c r="F1376" s="4">
        <v>10</v>
      </c>
      <c r="G1376" s="4">
        <v>2030</v>
      </c>
      <c r="H1376" s="4">
        <v>25</v>
      </c>
      <c r="I1376" s="4">
        <v>15225</v>
      </c>
      <c r="J1376" s="2" t="s">
        <v>16</v>
      </c>
      <c r="K1376" s="2" t="s">
        <v>17</v>
      </c>
    </row>
    <row r="1377" spans="1:11" x14ac:dyDescent="0.35">
      <c r="A1377" s="2" t="s">
        <v>1794</v>
      </c>
      <c r="B1377" s="3">
        <v>45508</v>
      </c>
      <c r="C1377" s="2" t="s">
        <v>319</v>
      </c>
      <c r="D1377" s="2" t="s">
        <v>431</v>
      </c>
      <c r="E1377" s="2" t="s">
        <v>272</v>
      </c>
      <c r="F1377" s="4">
        <v>3</v>
      </c>
      <c r="G1377" s="4">
        <v>1090</v>
      </c>
      <c r="H1377" s="4">
        <v>12.1</v>
      </c>
      <c r="I1377" s="4">
        <v>2874.33</v>
      </c>
      <c r="J1377" s="2" t="s">
        <v>16</v>
      </c>
      <c r="K1377" s="2" t="s">
        <v>17</v>
      </c>
    </row>
    <row r="1378" spans="1:11" x14ac:dyDescent="0.35">
      <c r="A1378" s="2" t="s">
        <v>1795</v>
      </c>
      <c r="B1378" s="3">
        <v>45303</v>
      </c>
      <c r="C1378" s="2" t="s">
        <v>834</v>
      </c>
      <c r="D1378" s="2" t="s">
        <v>284</v>
      </c>
      <c r="E1378" s="2" t="s">
        <v>167</v>
      </c>
      <c r="F1378" s="4">
        <v>3</v>
      </c>
      <c r="G1378" s="4">
        <v>2510</v>
      </c>
      <c r="H1378" s="4">
        <v>28.7</v>
      </c>
      <c r="I1378" s="4">
        <v>5368.89</v>
      </c>
      <c r="J1378" s="2" t="s">
        <v>16</v>
      </c>
      <c r="K1378" s="2" t="s">
        <v>41</v>
      </c>
    </row>
    <row r="1379" spans="1:11" x14ac:dyDescent="0.35">
      <c r="A1379" s="2" t="s">
        <v>1796</v>
      </c>
      <c r="B1379" s="3">
        <v>45412</v>
      </c>
      <c r="C1379" s="2" t="s">
        <v>1552</v>
      </c>
      <c r="D1379" s="2" t="s">
        <v>60</v>
      </c>
      <c r="E1379" s="2" t="s">
        <v>130</v>
      </c>
      <c r="F1379" s="4">
        <v>9</v>
      </c>
      <c r="G1379" s="4">
        <v>2270</v>
      </c>
      <c r="H1379" s="4">
        <v>25.4</v>
      </c>
      <c r="I1379" s="4">
        <v>15240.78</v>
      </c>
      <c r="J1379" s="2" t="s">
        <v>22</v>
      </c>
      <c r="K1379" s="2" t="s">
        <v>46</v>
      </c>
    </row>
    <row r="1380" spans="1:11" x14ac:dyDescent="0.35">
      <c r="A1380" s="2" t="s">
        <v>1797</v>
      </c>
      <c r="B1380" s="3">
        <v>45400</v>
      </c>
      <c r="C1380" s="2" t="s">
        <v>30</v>
      </c>
      <c r="D1380" s="2" t="s">
        <v>337</v>
      </c>
      <c r="E1380" s="2" t="s">
        <v>158</v>
      </c>
      <c r="F1380" s="4">
        <v>9</v>
      </c>
      <c r="G1380" s="4">
        <v>3970</v>
      </c>
      <c r="H1380" s="4">
        <v>10.1</v>
      </c>
      <c r="I1380" s="4">
        <v>32121.27</v>
      </c>
      <c r="J1380" s="2" t="s">
        <v>69</v>
      </c>
      <c r="K1380" s="2" t="s">
        <v>28</v>
      </c>
    </row>
    <row r="1381" spans="1:11" x14ac:dyDescent="0.35">
      <c r="A1381" s="2" t="s">
        <v>1798</v>
      </c>
      <c r="B1381" s="3">
        <v>45570</v>
      </c>
      <c r="C1381" s="2" t="s">
        <v>546</v>
      </c>
      <c r="D1381" s="2" t="s">
        <v>267</v>
      </c>
      <c r="E1381" s="2" t="s">
        <v>27</v>
      </c>
      <c r="F1381" s="4">
        <v>6</v>
      </c>
      <c r="G1381" s="4">
        <v>2210</v>
      </c>
      <c r="H1381" s="4">
        <v>7.4</v>
      </c>
      <c r="I1381" s="4">
        <v>12278.76</v>
      </c>
      <c r="J1381" s="2" t="s">
        <v>16</v>
      </c>
      <c r="K1381" s="2" t="s">
        <v>41</v>
      </c>
    </row>
    <row r="1382" spans="1:11" x14ac:dyDescent="0.35">
      <c r="A1382" s="2" t="s">
        <v>1799</v>
      </c>
      <c r="B1382" s="3">
        <v>45360</v>
      </c>
      <c r="C1382" s="2" t="s">
        <v>204</v>
      </c>
      <c r="D1382" s="2" t="s">
        <v>188</v>
      </c>
      <c r="E1382" s="2" t="s">
        <v>167</v>
      </c>
      <c r="F1382" s="4">
        <v>7</v>
      </c>
      <c r="G1382" s="4">
        <v>1540</v>
      </c>
      <c r="H1382" s="4">
        <v>20.6</v>
      </c>
      <c r="I1382" s="4">
        <v>8559.32</v>
      </c>
      <c r="J1382" s="2" t="s">
        <v>16</v>
      </c>
      <c r="K1382" s="2" t="s">
        <v>17</v>
      </c>
    </row>
    <row r="1383" spans="1:11" x14ac:dyDescent="0.35">
      <c r="A1383" s="2" t="s">
        <v>1800</v>
      </c>
      <c r="B1383" s="3">
        <v>45334</v>
      </c>
      <c r="C1383" s="2" t="s">
        <v>726</v>
      </c>
      <c r="D1383" s="2" t="s">
        <v>199</v>
      </c>
      <c r="E1383" s="2" t="s">
        <v>272</v>
      </c>
      <c r="F1383" s="4">
        <v>9</v>
      </c>
      <c r="G1383" s="4">
        <v>4610</v>
      </c>
      <c r="H1383" s="4">
        <v>2.1</v>
      </c>
      <c r="I1383" s="4">
        <v>40618.71</v>
      </c>
      <c r="J1383" s="2" t="s">
        <v>16</v>
      </c>
      <c r="K1383" s="2" t="s">
        <v>28</v>
      </c>
    </row>
    <row r="1384" spans="1:11" x14ac:dyDescent="0.35">
      <c r="A1384" s="2" t="s">
        <v>1801</v>
      </c>
      <c r="B1384" s="3">
        <v>45527</v>
      </c>
      <c r="C1384" s="2" t="s">
        <v>658</v>
      </c>
      <c r="D1384" s="2" t="s">
        <v>337</v>
      </c>
      <c r="E1384" s="2" t="s">
        <v>226</v>
      </c>
      <c r="F1384" s="4">
        <v>10</v>
      </c>
      <c r="G1384" s="4">
        <v>3970</v>
      </c>
      <c r="H1384" s="4">
        <v>13.3</v>
      </c>
      <c r="I1384" s="4">
        <v>34419.9</v>
      </c>
      <c r="J1384" s="2" t="s">
        <v>22</v>
      </c>
      <c r="K1384" s="2" t="s">
        <v>41</v>
      </c>
    </row>
    <row r="1385" spans="1:11" x14ac:dyDescent="0.35">
      <c r="A1385" s="2" t="s">
        <v>1802</v>
      </c>
      <c r="B1385" s="3">
        <v>45534</v>
      </c>
      <c r="C1385" s="2" t="s">
        <v>613</v>
      </c>
      <c r="D1385" s="2" t="s">
        <v>208</v>
      </c>
      <c r="E1385" s="2" t="s">
        <v>36</v>
      </c>
      <c r="F1385" s="4">
        <v>8</v>
      </c>
      <c r="G1385" s="4">
        <v>2660</v>
      </c>
      <c r="H1385" s="4">
        <v>16.8</v>
      </c>
      <c r="I1385" s="4">
        <v>17704.96</v>
      </c>
      <c r="J1385" s="2" t="s">
        <v>16</v>
      </c>
      <c r="K1385" s="2" t="s">
        <v>28</v>
      </c>
    </row>
    <row r="1386" spans="1:11" x14ac:dyDescent="0.35">
      <c r="A1386" s="2" t="s">
        <v>1803</v>
      </c>
      <c r="B1386" s="3">
        <v>45329</v>
      </c>
      <c r="C1386" s="2" t="s">
        <v>1804</v>
      </c>
      <c r="D1386" s="2" t="s">
        <v>86</v>
      </c>
      <c r="E1386" s="2" t="s">
        <v>87</v>
      </c>
      <c r="F1386" s="4">
        <v>6</v>
      </c>
      <c r="G1386" s="4">
        <v>3450</v>
      </c>
      <c r="H1386" s="4">
        <v>23.4</v>
      </c>
      <c r="I1386" s="4">
        <v>15856.2</v>
      </c>
      <c r="J1386" s="2" t="s">
        <v>16</v>
      </c>
      <c r="K1386" s="2" t="s">
        <v>23</v>
      </c>
    </row>
    <row r="1387" spans="1:11" x14ac:dyDescent="0.35">
      <c r="A1387" s="2" t="s">
        <v>1805</v>
      </c>
      <c r="B1387" s="3">
        <v>45621</v>
      </c>
      <c r="C1387" s="2" t="s">
        <v>524</v>
      </c>
      <c r="D1387" s="2" t="s">
        <v>26</v>
      </c>
      <c r="E1387" s="2" t="s">
        <v>15</v>
      </c>
      <c r="F1387" s="4">
        <v>10</v>
      </c>
      <c r="G1387" s="4">
        <v>470</v>
      </c>
      <c r="H1387" s="4">
        <v>21.2</v>
      </c>
      <c r="I1387" s="4">
        <v>3703.6</v>
      </c>
      <c r="J1387" s="2" t="s">
        <v>16</v>
      </c>
      <c r="K1387" s="2" t="s">
        <v>28</v>
      </c>
    </row>
    <row r="1388" spans="1:11" x14ac:dyDescent="0.35">
      <c r="A1388" s="2" t="s">
        <v>405</v>
      </c>
      <c r="B1388" s="3">
        <v>45334</v>
      </c>
      <c r="C1388" s="2" t="s">
        <v>342</v>
      </c>
      <c r="D1388" s="2" t="s">
        <v>390</v>
      </c>
      <c r="E1388" s="2" t="s">
        <v>214</v>
      </c>
      <c r="F1388" s="4">
        <v>7</v>
      </c>
      <c r="G1388" s="4">
        <v>3780</v>
      </c>
      <c r="H1388" s="4">
        <v>10.1</v>
      </c>
      <c r="I1388" s="4">
        <v>23787.54</v>
      </c>
      <c r="J1388" s="2" t="s">
        <v>16</v>
      </c>
      <c r="K1388" s="2" t="s">
        <v>17</v>
      </c>
    </row>
    <row r="1389" spans="1:11" x14ac:dyDescent="0.35">
      <c r="A1389" s="2" t="s">
        <v>1806</v>
      </c>
      <c r="B1389" s="3">
        <v>45324</v>
      </c>
      <c r="C1389" s="2" t="s">
        <v>912</v>
      </c>
      <c r="D1389" s="2" t="s">
        <v>14</v>
      </c>
      <c r="E1389" s="2" t="s">
        <v>272</v>
      </c>
      <c r="F1389" s="4">
        <v>3</v>
      </c>
      <c r="G1389" s="4">
        <v>3620</v>
      </c>
      <c r="H1389" s="4">
        <v>4.2</v>
      </c>
      <c r="I1389" s="4">
        <v>10403.879999999999</v>
      </c>
      <c r="J1389" s="2" t="s">
        <v>16</v>
      </c>
      <c r="K1389" s="2" t="s">
        <v>46</v>
      </c>
    </row>
    <row r="1390" spans="1:11" x14ac:dyDescent="0.35">
      <c r="A1390" s="2" t="s">
        <v>1807</v>
      </c>
      <c r="B1390" s="3">
        <v>45541</v>
      </c>
      <c r="C1390" s="2" t="s">
        <v>192</v>
      </c>
      <c r="D1390" s="2" t="s">
        <v>309</v>
      </c>
      <c r="E1390" s="2" t="s">
        <v>57</v>
      </c>
      <c r="F1390" s="4">
        <v>7</v>
      </c>
      <c r="G1390" s="4">
        <v>960</v>
      </c>
      <c r="H1390" s="4">
        <v>9</v>
      </c>
      <c r="I1390" s="4">
        <v>6115.2</v>
      </c>
      <c r="J1390" s="2" t="s">
        <v>16</v>
      </c>
      <c r="K1390" s="2" t="s">
        <v>62</v>
      </c>
    </row>
    <row r="1391" spans="1:11" x14ac:dyDescent="0.35">
      <c r="A1391" s="2" t="s">
        <v>1808</v>
      </c>
      <c r="B1391" s="3">
        <v>45344</v>
      </c>
      <c r="C1391" s="2" t="s">
        <v>618</v>
      </c>
      <c r="D1391" s="2" t="s">
        <v>108</v>
      </c>
      <c r="E1391" s="2" t="s">
        <v>15</v>
      </c>
      <c r="F1391" s="4">
        <v>10</v>
      </c>
      <c r="G1391" s="4">
        <v>3350</v>
      </c>
      <c r="H1391" s="4">
        <v>1.2</v>
      </c>
      <c r="I1391" s="4">
        <v>33098</v>
      </c>
      <c r="J1391" s="2" t="s">
        <v>69</v>
      </c>
      <c r="K1391" s="2" t="s">
        <v>62</v>
      </c>
    </row>
    <row r="1392" spans="1:11" x14ac:dyDescent="0.35">
      <c r="A1392" s="2" t="s">
        <v>1809</v>
      </c>
      <c r="B1392" s="3">
        <v>45388</v>
      </c>
      <c r="C1392" s="2" t="s">
        <v>288</v>
      </c>
      <c r="D1392" s="2" t="s">
        <v>80</v>
      </c>
      <c r="E1392" s="2" t="s">
        <v>99</v>
      </c>
      <c r="F1392" s="4">
        <v>3</v>
      </c>
      <c r="G1392" s="4">
        <v>2400</v>
      </c>
      <c r="H1392" s="4">
        <v>15.4</v>
      </c>
      <c r="I1392" s="4">
        <v>6091.2</v>
      </c>
      <c r="J1392" s="2" t="s">
        <v>16</v>
      </c>
      <c r="K1392" s="2" t="s">
        <v>28</v>
      </c>
    </row>
    <row r="1393" spans="1:11" x14ac:dyDescent="0.35">
      <c r="A1393" s="2" t="s">
        <v>1810</v>
      </c>
      <c r="B1393" s="3">
        <v>45407</v>
      </c>
      <c r="C1393" s="2" t="s">
        <v>688</v>
      </c>
      <c r="D1393" s="2" t="s">
        <v>124</v>
      </c>
      <c r="E1393" s="2" t="s">
        <v>226</v>
      </c>
      <c r="F1393" s="4">
        <v>2</v>
      </c>
      <c r="G1393" s="4">
        <v>2860</v>
      </c>
      <c r="H1393" s="4">
        <v>10.5</v>
      </c>
      <c r="I1393" s="4">
        <v>5119.3999999999996</v>
      </c>
      <c r="J1393" s="2" t="s">
        <v>16</v>
      </c>
      <c r="K1393" s="2" t="s">
        <v>46</v>
      </c>
    </row>
    <row r="1394" spans="1:11" x14ac:dyDescent="0.35">
      <c r="A1394" s="2" t="s">
        <v>1811</v>
      </c>
      <c r="B1394" s="3">
        <v>45620</v>
      </c>
      <c r="C1394" s="2" t="s">
        <v>629</v>
      </c>
      <c r="D1394" s="2" t="s">
        <v>315</v>
      </c>
      <c r="E1394" s="2" t="s">
        <v>36</v>
      </c>
      <c r="F1394" s="4">
        <v>4</v>
      </c>
      <c r="G1394" s="4">
        <v>2290</v>
      </c>
      <c r="H1394" s="4">
        <v>5.9</v>
      </c>
      <c r="I1394" s="4">
        <v>8619.56</v>
      </c>
      <c r="J1394" s="2" t="s">
        <v>16</v>
      </c>
      <c r="K1394" s="2" t="s">
        <v>23</v>
      </c>
    </row>
    <row r="1395" spans="1:11" x14ac:dyDescent="0.35">
      <c r="A1395" s="2" t="s">
        <v>1812</v>
      </c>
      <c r="B1395" s="3">
        <v>45499</v>
      </c>
      <c r="C1395" s="2" t="s">
        <v>321</v>
      </c>
      <c r="D1395" s="2" t="s">
        <v>293</v>
      </c>
      <c r="E1395" s="2" t="s">
        <v>83</v>
      </c>
      <c r="F1395" s="4">
        <v>7</v>
      </c>
      <c r="G1395" s="4">
        <v>5330</v>
      </c>
      <c r="H1395" s="4">
        <v>3.5</v>
      </c>
      <c r="I1395" s="4">
        <v>36004.15</v>
      </c>
      <c r="J1395" s="2" t="s">
        <v>69</v>
      </c>
      <c r="K1395" s="2" t="s">
        <v>41</v>
      </c>
    </row>
    <row r="1396" spans="1:11" x14ac:dyDescent="0.35">
      <c r="A1396" s="2" t="s">
        <v>1813</v>
      </c>
      <c r="B1396" s="3">
        <v>45585</v>
      </c>
      <c r="C1396" s="2" t="s">
        <v>230</v>
      </c>
      <c r="D1396" s="2" t="s">
        <v>166</v>
      </c>
      <c r="E1396" s="2" t="s">
        <v>232</v>
      </c>
      <c r="F1396" s="4">
        <v>10</v>
      </c>
      <c r="G1396" s="4">
        <v>3640</v>
      </c>
      <c r="H1396" s="4">
        <v>20.100000000000001</v>
      </c>
      <c r="I1396" s="4">
        <v>29083.599999999999</v>
      </c>
      <c r="J1396" s="2" t="s">
        <v>16</v>
      </c>
      <c r="K1396" s="2" t="s">
        <v>23</v>
      </c>
    </row>
    <row r="1397" spans="1:11" x14ac:dyDescent="0.35">
      <c r="A1397" s="2" t="s">
        <v>1814</v>
      </c>
      <c r="B1397" s="3">
        <v>45633</v>
      </c>
      <c r="C1397" s="2" t="s">
        <v>135</v>
      </c>
      <c r="D1397" s="2" t="s">
        <v>372</v>
      </c>
      <c r="E1397" s="2" t="s">
        <v>45</v>
      </c>
      <c r="F1397" s="4">
        <v>10</v>
      </c>
      <c r="G1397" s="4">
        <v>5080</v>
      </c>
      <c r="H1397" s="4">
        <v>2.1</v>
      </c>
      <c r="I1397" s="4">
        <v>49733.2</v>
      </c>
      <c r="J1397" s="2" t="s">
        <v>16</v>
      </c>
      <c r="K1397" s="2" t="s">
        <v>62</v>
      </c>
    </row>
    <row r="1398" spans="1:11" x14ac:dyDescent="0.35">
      <c r="A1398" s="2" t="s">
        <v>1815</v>
      </c>
      <c r="B1398" s="3">
        <v>45517</v>
      </c>
      <c r="C1398" s="2" t="s">
        <v>654</v>
      </c>
      <c r="D1398" s="2" t="s">
        <v>431</v>
      </c>
      <c r="E1398" s="2" t="s">
        <v>232</v>
      </c>
      <c r="F1398" s="4">
        <v>4</v>
      </c>
      <c r="G1398" s="4">
        <v>1090</v>
      </c>
      <c r="H1398" s="4">
        <v>18.5</v>
      </c>
      <c r="I1398" s="4">
        <v>3553.4</v>
      </c>
      <c r="J1398" s="2" t="s">
        <v>73</v>
      </c>
      <c r="K1398" s="2" t="s">
        <v>28</v>
      </c>
    </row>
    <row r="1399" spans="1:11" x14ac:dyDescent="0.35">
      <c r="A1399" s="2" t="s">
        <v>1816</v>
      </c>
      <c r="B1399" s="3">
        <v>45645</v>
      </c>
      <c r="C1399" s="2" t="s">
        <v>499</v>
      </c>
      <c r="D1399" s="2" t="s">
        <v>86</v>
      </c>
      <c r="E1399" s="2" t="s">
        <v>99</v>
      </c>
      <c r="F1399" s="4">
        <v>10</v>
      </c>
      <c r="G1399" s="4">
        <v>3450</v>
      </c>
      <c r="H1399" s="4">
        <v>26.5</v>
      </c>
      <c r="I1399" s="4">
        <v>25357.5</v>
      </c>
      <c r="J1399" s="2" t="s">
        <v>73</v>
      </c>
      <c r="K1399" s="2" t="s">
        <v>28</v>
      </c>
    </row>
    <row r="1400" spans="1:11" x14ac:dyDescent="0.35">
      <c r="A1400" s="2" t="s">
        <v>1817</v>
      </c>
      <c r="B1400" s="3">
        <v>45483</v>
      </c>
      <c r="C1400" s="2" t="s">
        <v>192</v>
      </c>
      <c r="D1400" s="2" t="s">
        <v>289</v>
      </c>
      <c r="E1400" s="2" t="s">
        <v>133</v>
      </c>
      <c r="F1400" s="4">
        <v>9</v>
      </c>
      <c r="G1400" s="4">
        <v>5410</v>
      </c>
      <c r="H1400" s="4">
        <v>11.5</v>
      </c>
      <c r="I1400" s="4">
        <v>43090.65</v>
      </c>
      <c r="J1400" s="2" t="s">
        <v>16</v>
      </c>
      <c r="K1400" s="2" t="s">
        <v>62</v>
      </c>
    </row>
    <row r="1401" spans="1:11" x14ac:dyDescent="0.35">
      <c r="A1401" s="2" t="s">
        <v>1818</v>
      </c>
      <c r="B1401" s="3">
        <v>45445</v>
      </c>
      <c r="C1401" s="2" t="s">
        <v>1819</v>
      </c>
      <c r="D1401" s="2" t="s">
        <v>381</v>
      </c>
      <c r="E1401" s="2" t="s">
        <v>99</v>
      </c>
      <c r="F1401" s="4">
        <v>9</v>
      </c>
      <c r="G1401" s="4">
        <v>3450</v>
      </c>
      <c r="H1401" s="4">
        <v>0.3</v>
      </c>
      <c r="I1401" s="4">
        <v>30956.85</v>
      </c>
      <c r="J1401" s="2" t="s">
        <v>73</v>
      </c>
      <c r="K1401" s="2" t="s">
        <v>62</v>
      </c>
    </row>
    <row r="1402" spans="1:11" x14ac:dyDescent="0.35">
      <c r="A1402" s="2" t="s">
        <v>1820</v>
      </c>
      <c r="B1402" s="3">
        <v>45614</v>
      </c>
      <c r="C1402" s="2" t="s">
        <v>386</v>
      </c>
      <c r="D1402" s="2" t="s">
        <v>35</v>
      </c>
      <c r="E1402" s="2" t="s">
        <v>40</v>
      </c>
      <c r="F1402" s="4">
        <v>10</v>
      </c>
      <c r="G1402" s="4">
        <v>3160</v>
      </c>
      <c r="H1402" s="4">
        <v>13.6</v>
      </c>
      <c r="I1402" s="4">
        <v>27302.400000000001</v>
      </c>
      <c r="J1402" s="2" t="s">
        <v>16</v>
      </c>
      <c r="K1402" s="2" t="s">
        <v>17</v>
      </c>
    </row>
    <row r="1403" spans="1:11" x14ac:dyDescent="0.35">
      <c r="A1403" s="2" t="s">
        <v>1821</v>
      </c>
      <c r="B1403" s="3">
        <v>45433</v>
      </c>
      <c r="C1403" s="2" t="s">
        <v>48</v>
      </c>
      <c r="D1403" s="2" t="s">
        <v>188</v>
      </c>
      <c r="E1403" s="2" t="s">
        <v>130</v>
      </c>
      <c r="F1403" s="4">
        <v>3</v>
      </c>
      <c r="G1403" s="4">
        <v>1540</v>
      </c>
      <c r="H1403" s="4">
        <v>21.2</v>
      </c>
      <c r="I1403" s="4">
        <v>3640.56</v>
      </c>
      <c r="J1403" s="2" t="s">
        <v>16</v>
      </c>
      <c r="K1403" s="2" t="s">
        <v>46</v>
      </c>
    </row>
    <row r="1404" spans="1:11" x14ac:dyDescent="0.35">
      <c r="A1404" s="2" t="s">
        <v>1822</v>
      </c>
      <c r="B1404" s="3">
        <v>45402</v>
      </c>
      <c r="C1404" s="2" t="s">
        <v>319</v>
      </c>
      <c r="D1404" s="2" t="s">
        <v>166</v>
      </c>
      <c r="E1404" s="2" t="s">
        <v>214</v>
      </c>
      <c r="F1404" s="4">
        <v>5</v>
      </c>
      <c r="G1404" s="4">
        <v>3640</v>
      </c>
      <c r="H1404" s="4">
        <v>17.5</v>
      </c>
      <c r="I1404" s="4">
        <v>15015</v>
      </c>
      <c r="J1404" s="2" t="s">
        <v>16</v>
      </c>
      <c r="K1404" s="2" t="s">
        <v>17</v>
      </c>
    </row>
    <row r="1405" spans="1:11" x14ac:dyDescent="0.35">
      <c r="A1405" s="2" t="s">
        <v>1823</v>
      </c>
      <c r="B1405" s="3">
        <v>45302</v>
      </c>
      <c r="C1405" s="2" t="s">
        <v>59</v>
      </c>
      <c r="D1405" s="2" t="s">
        <v>390</v>
      </c>
      <c r="E1405" s="2" t="s">
        <v>226</v>
      </c>
      <c r="F1405" s="4">
        <v>4</v>
      </c>
      <c r="G1405" s="4">
        <v>3780</v>
      </c>
      <c r="H1405" s="4">
        <v>9</v>
      </c>
      <c r="I1405" s="4">
        <v>13759.2</v>
      </c>
      <c r="J1405" s="2" t="s">
        <v>22</v>
      </c>
      <c r="K1405" s="2" t="s">
        <v>62</v>
      </c>
    </row>
    <row r="1406" spans="1:11" x14ac:dyDescent="0.35">
      <c r="A1406" s="2" t="s">
        <v>1824</v>
      </c>
      <c r="B1406" s="3">
        <v>45526</v>
      </c>
      <c r="C1406" s="2" t="s">
        <v>332</v>
      </c>
      <c r="D1406" s="2" t="s">
        <v>102</v>
      </c>
      <c r="E1406" s="2" t="s">
        <v>40</v>
      </c>
      <c r="F1406" s="4">
        <v>9</v>
      </c>
      <c r="G1406" s="4">
        <v>2720</v>
      </c>
      <c r="H1406" s="4">
        <v>8.9</v>
      </c>
      <c r="I1406" s="4">
        <v>22301.279999999999</v>
      </c>
      <c r="J1406" s="2" t="s">
        <v>16</v>
      </c>
      <c r="K1406" s="2" t="s">
        <v>46</v>
      </c>
    </row>
    <row r="1407" spans="1:11" x14ac:dyDescent="0.35">
      <c r="A1407" s="2" t="s">
        <v>1825</v>
      </c>
      <c r="B1407" s="3">
        <v>45648</v>
      </c>
      <c r="C1407" s="2" t="s">
        <v>994</v>
      </c>
      <c r="D1407" s="2" t="s">
        <v>14</v>
      </c>
      <c r="E1407" s="2" t="s">
        <v>68</v>
      </c>
      <c r="F1407" s="4">
        <v>4</v>
      </c>
      <c r="G1407" s="4">
        <v>3620</v>
      </c>
      <c r="H1407" s="4">
        <v>8</v>
      </c>
      <c r="I1407" s="4">
        <v>13321.6</v>
      </c>
      <c r="J1407" s="2" t="s">
        <v>22</v>
      </c>
      <c r="K1407" s="2" t="s">
        <v>23</v>
      </c>
    </row>
    <row r="1408" spans="1:11" x14ac:dyDescent="0.35">
      <c r="A1408" s="2" t="s">
        <v>1826</v>
      </c>
      <c r="B1408" s="3">
        <v>45325</v>
      </c>
      <c r="C1408" s="2" t="s">
        <v>441</v>
      </c>
      <c r="D1408" s="2" t="s">
        <v>381</v>
      </c>
      <c r="E1408" s="2" t="s">
        <v>68</v>
      </c>
      <c r="F1408" s="4">
        <v>1</v>
      </c>
      <c r="G1408" s="4">
        <v>3450</v>
      </c>
      <c r="H1408" s="4">
        <v>0.2</v>
      </c>
      <c r="I1408" s="4">
        <v>3443.1</v>
      </c>
      <c r="J1408" s="2" t="s">
        <v>16</v>
      </c>
      <c r="K1408" s="2" t="s">
        <v>62</v>
      </c>
    </row>
    <row r="1409" spans="1:11" x14ac:dyDescent="0.35">
      <c r="A1409" s="2" t="s">
        <v>1827</v>
      </c>
      <c r="B1409" s="3">
        <v>45640</v>
      </c>
      <c r="C1409" s="2" t="s">
        <v>475</v>
      </c>
      <c r="D1409" s="2" t="s">
        <v>166</v>
      </c>
      <c r="E1409" s="2" t="s">
        <v>27</v>
      </c>
      <c r="F1409" s="4">
        <v>7</v>
      </c>
      <c r="G1409" s="4">
        <v>3640</v>
      </c>
      <c r="H1409" s="4">
        <v>4.5999999999999996</v>
      </c>
      <c r="I1409" s="4">
        <v>24307.919999999998</v>
      </c>
      <c r="J1409" s="2" t="s">
        <v>16</v>
      </c>
      <c r="K1409" s="2" t="s">
        <v>28</v>
      </c>
    </row>
    <row r="1410" spans="1:11" x14ac:dyDescent="0.35">
      <c r="A1410" s="2" t="s">
        <v>1828</v>
      </c>
      <c r="B1410" s="3">
        <v>45423</v>
      </c>
      <c r="C1410" s="2" t="s">
        <v>965</v>
      </c>
      <c r="D1410" s="2" t="s">
        <v>221</v>
      </c>
      <c r="E1410" s="2" t="s">
        <v>83</v>
      </c>
      <c r="F1410" s="4">
        <v>9</v>
      </c>
      <c r="G1410" s="4">
        <v>620</v>
      </c>
      <c r="H1410" s="4">
        <v>8.5</v>
      </c>
      <c r="I1410" s="4">
        <v>5105.7</v>
      </c>
      <c r="J1410" s="2" t="s">
        <v>16</v>
      </c>
      <c r="K1410" s="2" t="s">
        <v>41</v>
      </c>
    </row>
    <row r="1411" spans="1:11" x14ac:dyDescent="0.35">
      <c r="A1411" s="2" t="s">
        <v>1829</v>
      </c>
      <c r="B1411" s="3">
        <v>45423</v>
      </c>
      <c r="C1411" s="2" t="s">
        <v>643</v>
      </c>
      <c r="D1411" s="2" t="s">
        <v>390</v>
      </c>
      <c r="E1411" s="2" t="s">
        <v>275</v>
      </c>
      <c r="F1411" s="4">
        <v>10</v>
      </c>
      <c r="G1411" s="4">
        <v>3780</v>
      </c>
      <c r="H1411" s="4">
        <v>5.8</v>
      </c>
      <c r="I1411" s="4">
        <v>35607.599999999999</v>
      </c>
      <c r="J1411" s="2" t="s">
        <v>16</v>
      </c>
      <c r="K1411" s="2" t="s">
        <v>28</v>
      </c>
    </row>
    <row r="1412" spans="1:11" x14ac:dyDescent="0.35">
      <c r="A1412" s="2" t="s">
        <v>1830</v>
      </c>
      <c r="B1412" s="3">
        <v>45518</v>
      </c>
      <c r="C1412" s="2" t="s">
        <v>451</v>
      </c>
      <c r="D1412" s="2" t="s">
        <v>116</v>
      </c>
      <c r="E1412" s="2" t="s">
        <v>133</v>
      </c>
      <c r="F1412" s="4">
        <v>7</v>
      </c>
      <c r="G1412" s="4">
        <v>3570</v>
      </c>
      <c r="H1412" s="4">
        <v>26.1</v>
      </c>
      <c r="I1412" s="4">
        <v>18467.61</v>
      </c>
      <c r="J1412" s="2" t="s">
        <v>16</v>
      </c>
      <c r="K1412" s="2" t="s">
        <v>28</v>
      </c>
    </row>
    <row r="1413" spans="1:11" x14ac:dyDescent="0.35">
      <c r="A1413" s="2" t="s">
        <v>1831</v>
      </c>
      <c r="B1413" s="3">
        <v>45306</v>
      </c>
      <c r="C1413" s="2" t="s">
        <v>643</v>
      </c>
      <c r="D1413" s="2" t="s">
        <v>105</v>
      </c>
      <c r="E1413" s="2" t="s">
        <v>226</v>
      </c>
      <c r="F1413" s="4">
        <v>2</v>
      </c>
      <c r="G1413" s="4">
        <v>1650</v>
      </c>
      <c r="H1413" s="4">
        <v>3.8</v>
      </c>
      <c r="I1413" s="4">
        <v>3174.6</v>
      </c>
      <c r="J1413" s="2" t="s">
        <v>16</v>
      </c>
      <c r="K1413" s="2" t="s">
        <v>28</v>
      </c>
    </row>
    <row r="1414" spans="1:11" x14ac:dyDescent="0.35">
      <c r="A1414" s="2" t="s">
        <v>1832</v>
      </c>
      <c r="B1414" s="3">
        <v>45346</v>
      </c>
      <c r="C1414" s="2" t="s">
        <v>1653</v>
      </c>
      <c r="D1414" s="2" t="s">
        <v>309</v>
      </c>
      <c r="E1414" s="2" t="s">
        <v>254</v>
      </c>
      <c r="F1414" s="4">
        <v>2</v>
      </c>
      <c r="G1414" s="4">
        <v>960</v>
      </c>
      <c r="H1414" s="4">
        <v>6.8</v>
      </c>
      <c r="I1414" s="4">
        <v>1789.44</v>
      </c>
      <c r="J1414" s="2" t="s">
        <v>16</v>
      </c>
      <c r="K1414" s="2" t="s">
        <v>46</v>
      </c>
    </row>
    <row r="1415" spans="1:11" x14ac:dyDescent="0.35">
      <c r="A1415" s="2" t="s">
        <v>1833</v>
      </c>
      <c r="B1415" s="3">
        <v>45376</v>
      </c>
      <c r="C1415" s="2" t="s">
        <v>801</v>
      </c>
      <c r="D1415" s="2" t="s">
        <v>211</v>
      </c>
      <c r="E1415" s="2" t="s">
        <v>32</v>
      </c>
      <c r="F1415" s="4">
        <v>2</v>
      </c>
      <c r="G1415" s="4">
        <v>300</v>
      </c>
      <c r="H1415" s="4">
        <v>2.8</v>
      </c>
      <c r="I1415" s="4">
        <v>583.20000000000005</v>
      </c>
      <c r="J1415" s="2" t="s">
        <v>16</v>
      </c>
      <c r="K1415" s="2" t="s">
        <v>41</v>
      </c>
    </row>
    <row r="1416" spans="1:11" x14ac:dyDescent="0.35">
      <c r="A1416" s="2" t="s">
        <v>1834</v>
      </c>
      <c r="B1416" s="3">
        <v>45561</v>
      </c>
      <c r="C1416" s="2" t="s">
        <v>422</v>
      </c>
      <c r="D1416" s="2" t="s">
        <v>280</v>
      </c>
      <c r="E1416" s="2" t="s">
        <v>272</v>
      </c>
      <c r="F1416" s="4">
        <v>10</v>
      </c>
      <c r="G1416" s="4">
        <v>4060</v>
      </c>
      <c r="H1416" s="4">
        <v>15.1</v>
      </c>
      <c r="I1416" s="4">
        <v>34469.4</v>
      </c>
      <c r="J1416" s="2" t="s">
        <v>16</v>
      </c>
      <c r="K1416" s="2" t="s">
        <v>17</v>
      </c>
    </row>
    <row r="1417" spans="1:11" x14ac:dyDescent="0.35">
      <c r="A1417" s="2" t="s">
        <v>1835</v>
      </c>
      <c r="B1417" s="3">
        <v>45320</v>
      </c>
      <c r="C1417" s="2" t="s">
        <v>1120</v>
      </c>
      <c r="D1417" s="2" t="s">
        <v>293</v>
      </c>
      <c r="E1417" s="2" t="s">
        <v>214</v>
      </c>
      <c r="F1417" s="4">
        <v>6</v>
      </c>
      <c r="G1417" s="4">
        <v>5330</v>
      </c>
      <c r="H1417" s="4">
        <v>2</v>
      </c>
      <c r="I1417" s="4">
        <v>31340.400000000001</v>
      </c>
      <c r="J1417" s="2" t="s">
        <v>16</v>
      </c>
      <c r="K1417" s="2" t="s">
        <v>46</v>
      </c>
    </row>
    <row r="1418" spans="1:11" x14ac:dyDescent="0.35">
      <c r="A1418" s="2" t="s">
        <v>1836</v>
      </c>
      <c r="B1418" s="3">
        <v>45572</v>
      </c>
      <c r="C1418" s="2" t="s">
        <v>349</v>
      </c>
      <c r="D1418" s="2" t="s">
        <v>155</v>
      </c>
      <c r="E1418" s="2" t="s">
        <v>87</v>
      </c>
      <c r="F1418" s="4">
        <v>9</v>
      </c>
      <c r="G1418" s="4">
        <v>3730</v>
      </c>
      <c r="H1418" s="4">
        <v>24.5</v>
      </c>
      <c r="I1418" s="4">
        <v>25345.35</v>
      </c>
      <c r="J1418" s="2" t="s">
        <v>73</v>
      </c>
      <c r="K1418" s="2" t="s">
        <v>28</v>
      </c>
    </row>
    <row r="1419" spans="1:11" x14ac:dyDescent="0.35">
      <c r="A1419" s="2" t="s">
        <v>1837</v>
      </c>
      <c r="B1419" s="3">
        <v>45611</v>
      </c>
      <c r="C1419" s="2" t="s">
        <v>282</v>
      </c>
      <c r="D1419" s="2" t="s">
        <v>170</v>
      </c>
      <c r="E1419" s="2" t="s">
        <v>99</v>
      </c>
      <c r="F1419" s="4">
        <v>1</v>
      </c>
      <c r="G1419" s="4">
        <v>6080</v>
      </c>
      <c r="H1419" s="4">
        <v>4.4000000000000004</v>
      </c>
      <c r="I1419" s="4">
        <v>5812.48</v>
      </c>
      <c r="J1419" s="2" t="s">
        <v>69</v>
      </c>
      <c r="K1419" s="2" t="s">
        <v>23</v>
      </c>
    </row>
    <row r="1420" spans="1:11" x14ac:dyDescent="0.35">
      <c r="A1420" s="2" t="s">
        <v>1838</v>
      </c>
      <c r="B1420" s="3">
        <v>45524</v>
      </c>
      <c r="C1420" s="2" t="s">
        <v>636</v>
      </c>
      <c r="D1420" s="2" t="s">
        <v>102</v>
      </c>
      <c r="E1420" s="2" t="s">
        <v>40</v>
      </c>
      <c r="F1420" s="4">
        <v>5</v>
      </c>
      <c r="G1420" s="4">
        <v>2720</v>
      </c>
      <c r="H1420" s="4">
        <v>9.1999999999999993</v>
      </c>
      <c r="I1420" s="4">
        <v>12348.8</v>
      </c>
      <c r="J1420" s="2" t="s">
        <v>16</v>
      </c>
      <c r="K1420" s="2" t="s">
        <v>41</v>
      </c>
    </row>
    <row r="1421" spans="1:11" x14ac:dyDescent="0.35">
      <c r="A1421" s="2" t="s">
        <v>1839</v>
      </c>
      <c r="B1421" s="3">
        <v>45438</v>
      </c>
      <c r="C1421" s="2" t="s">
        <v>340</v>
      </c>
      <c r="D1421" s="2" t="s">
        <v>381</v>
      </c>
      <c r="E1421" s="2" t="s">
        <v>83</v>
      </c>
      <c r="F1421" s="4">
        <v>1</v>
      </c>
      <c r="G1421" s="4">
        <v>3450</v>
      </c>
      <c r="H1421" s="4">
        <v>15.6</v>
      </c>
      <c r="I1421" s="4">
        <v>2911.8</v>
      </c>
      <c r="J1421" s="2" t="s">
        <v>16</v>
      </c>
      <c r="K1421" s="2" t="s">
        <v>41</v>
      </c>
    </row>
    <row r="1422" spans="1:11" x14ac:dyDescent="0.35">
      <c r="A1422" s="2" t="s">
        <v>1840</v>
      </c>
      <c r="B1422" s="3">
        <v>45484</v>
      </c>
      <c r="C1422" s="2" t="s">
        <v>1552</v>
      </c>
      <c r="D1422" s="2" t="s">
        <v>431</v>
      </c>
      <c r="E1422" s="2" t="s">
        <v>214</v>
      </c>
      <c r="F1422" s="4">
        <v>2</v>
      </c>
      <c r="G1422" s="4">
        <v>1090</v>
      </c>
      <c r="H1422" s="4">
        <v>0.4</v>
      </c>
      <c r="I1422" s="4">
        <v>2171.2800000000002</v>
      </c>
      <c r="J1422" s="2" t="s">
        <v>73</v>
      </c>
      <c r="K1422" s="2" t="s">
        <v>46</v>
      </c>
    </row>
    <row r="1423" spans="1:11" x14ac:dyDescent="0.35">
      <c r="A1423" s="2" t="s">
        <v>1841</v>
      </c>
      <c r="B1423" s="3">
        <v>45643</v>
      </c>
      <c r="C1423" s="2" t="s">
        <v>468</v>
      </c>
      <c r="D1423" s="2" t="s">
        <v>116</v>
      </c>
      <c r="E1423" s="2" t="s">
        <v>167</v>
      </c>
      <c r="F1423" s="4">
        <v>2</v>
      </c>
      <c r="G1423" s="4">
        <v>3570</v>
      </c>
      <c r="H1423" s="4">
        <v>9</v>
      </c>
      <c r="I1423" s="4">
        <v>6497.4</v>
      </c>
      <c r="J1423" s="2" t="s">
        <v>16</v>
      </c>
      <c r="K1423" s="2" t="s">
        <v>62</v>
      </c>
    </row>
    <row r="1424" spans="1:11" x14ac:dyDescent="0.35">
      <c r="A1424" s="2" t="s">
        <v>1842</v>
      </c>
      <c r="B1424" s="3">
        <v>45437</v>
      </c>
      <c r="C1424" s="2" t="s">
        <v>451</v>
      </c>
      <c r="D1424" s="2" t="s">
        <v>96</v>
      </c>
      <c r="E1424" s="2" t="s">
        <v>27</v>
      </c>
      <c r="F1424" s="4">
        <v>9</v>
      </c>
      <c r="G1424" s="4">
        <v>2480</v>
      </c>
      <c r="H1424" s="4">
        <v>3.6</v>
      </c>
      <c r="I1424" s="4">
        <v>21516.48</v>
      </c>
      <c r="J1424" s="2" t="s">
        <v>22</v>
      </c>
      <c r="K1424" s="2" t="s">
        <v>28</v>
      </c>
    </row>
    <row r="1425" spans="1:11" x14ac:dyDescent="0.35">
      <c r="A1425" s="2" t="s">
        <v>1843</v>
      </c>
      <c r="B1425" s="3">
        <v>45303</v>
      </c>
      <c r="C1425" s="2" t="s">
        <v>473</v>
      </c>
      <c r="D1425" s="2" t="s">
        <v>163</v>
      </c>
      <c r="E1425" s="2" t="s">
        <v>214</v>
      </c>
      <c r="F1425" s="4">
        <v>9</v>
      </c>
      <c r="G1425" s="4">
        <v>3780</v>
      </c>
      <c r="H1425" s="4">
        <v>4.5</v>
      </c>
      <c r="I1425" s="4">
        <v>32489.1</v>
      </c>
      <c r="J1425" s="2" t="s">
        <v>16</v>
      </c>
      <c r="K1425" s="2" t="s">
        <v>62</v>
      </c>
    </row>
    <row r="1426" spans="1:11" x14ac:dyDescent="0.35">
      <c r="A1426" s="2" t="s">
        <v>1844</v>
      </c>
      <c r="B1426" s="3">
        <v>45631</v>
      </c>
      <c r="C1426" s="2" t="s">
        <v>288</v>
      </c>
      <c r="D1426" s="2" t="s">
        <v>280</v>
      </c>
      <c r="E1426" s="2" t="s">
        <v>61</v>
      </c>
      <c r="F1426" s="4">
        <v>5</v>
      </c>
      <c r="G1426" s="4">
        <v>4060</v>
      </c>
      <c r="H1426" s="4">
        <v>2.7</v>
      </c>
      <c r="I1426" s="4">
        <v>19751.900000000001</v>
      </c>
      <c r="J1426" s="2" t="s">
        <v>16</v>
      </c>
      <c r="K1426" s="2" t="s">
        <v>28</v>
      </c>
    </row>
    <row r="1427" spans="1:11" x14ac:dyDescent="0.35">
      <c r="A1427" s="2" t="s">
        <v>1845</v>
      </c>
      <c r="B1427" s="3">
        <v>45564</v>
      </c>
      <c r="C1427" s="2" t="s">
        <v>537</v>
      </c>
      <c r="D1427" s="2" t="s">
        <v>211</v>
      </c>
      <c r="E1427" s="2" t="s">
        <v>226</v>
      </c>
      <c r="F1427" s="4">
        <v>8</v>
      </c>
      <c r="G1427" s="4">
        <v>300</v>
      </c>
      <c r="H1427" s="4">
        <v>19.8</v>
      </c>
      <c r="I1427" s="4">
        <v>1924.8</v>
      </c>
      <c r="J1427" s="2" t="s">
        <v>69</v>
      </c>
      <c r="K1427" s="2" t="s">
        <v>17</v>
      </c>
    </row>
    <row r="1428" spans="1:11" x14ac:dyDescent="0.35">
      <c r="A1428" s="2" t="s">
        <v>1846</v>
      </c>
      <c r="B1428" s="3">
        <v>45454</v>
      </c>
      <c r="C1428" s="2" t="s">
        <v>279</v>
      </c>
      <c r="D1428" s="2" t="s">
        <v>72</v>
      </c>
      <c r="E1428" s="2" t="s">
        <v>226</v>
      </c>
      <c r="F1428" s="4">
        <v>10</v>
      </c>
      <c r="G1428" s="4">
        <v>3250</v>
      </c>
      <c r="H1428" s="4">
        <v>21.3</v>
      </c>
      <c r="I1428" s="4">
        <v>25577.5</v>
      </c>
      <c r="J1428" s="2" t="s">
        <v>69</v>
      </c>
      <c r="K1428" s="2" t="s">
        <v>41</v>
      </c>
    </row>
    <row r="1429" spans="1:11" x14ac:dyDescent="0.35">
      <c r="A1429" s="2" t="s">
        <v>1847</v>
      </c>
      <c r="B1429" s="3">
        <v>45616</v>
      </c>
      <c r="C1429" s="2" t="s">
        <v>34</v>
      </c>
      <c r="D1429" s="2" t="s">
        <v>124</v>
      </c>
      <c r="E1429" s="2" t="s">
        <v>133</v>
      </c>
      <c r="F1429" s="4">
        <v>2</v>
      </c>
      <c r="G1429" s="4">
        <v>2860</v>
      </c>
      <c r="H1429" s="4">
        <v>13.7</v>
      </c>
      <c r="I1429" s="4">
        <v>4936.3599999999997</v>
      </c>
      <c r="J1429" s="2" t="s">
        <v>16</v>
      </c>
      <c r="K1429" s="2" t="s">
        <v>23</v>
      </c>
    </row>
    <row r="1430" spans="1:11" x14ac:dyDescent="0.35">
      <c r="A1430" s="2" t="s">
        <v>1848</v>
      </c>
      <c r="B1430" s="3">
        <v>45523</v>
      </c>
      <c r="C1430" s="2" t="s">
        <v>643</v>
      </c>
      <c r="D1430" s="2" t="s">
        <v>196</v>
      </c>
      <c r="E1430" s="2" t="s">
        <v>167</v>
      </c>
      <c r="F1430" s="4">
        <v>10</v>
      </c>
      <c r="G1430" s="4">
        <v>1220</v>
      </c>
      <c r="H1430" s="4">
        <v>15.4</v>
      </c>
      <c r="I1430" s="4">
        <v>10321.200000000001</v>
      </c>
      <c r="J1430" s="2" t="s">
        <v>16</v>
      </c>
      <c r="K1430" s="2" t="s">
        <v>28</v>
      </c>
    </row>
    <row r="1431" spans="1:11" x14ac:dyDescent="0.35">
      <c r="A1431" s="2" t="s">
        <v>1849</v>
      </c>
      <c r="B1431" s="3">
        <v>45439</v>
      </c>
      <c r="C1431" s="2" t="s">
        <v>185</v>
      </c>
      <c r="D1431" s="2" t="s">
        <v>163</v>
      </c>
      <c r="E1431" s="2" t="s">
        <v>61</v>
      </c>
      <c r="F1431" s="4">
        <v>3</v>
      </c>
      <c r="G1431" s="4">
        <v>3780</v>
      </c>
      <c r="H1431" s="4">
        <v>1.9</v>
      </c>
      <c r="I1431" s="4">
        <v>11124.54</v>
      </c>
      <c r="J1431" s="2" t="s">
        <v>16</v>
      </c>
      <c r="K1431" s="2" t="s">
        <v>62</v>
      </c>
    </row>
    <row r="1432" spans="1:11" x14ac:dyDescent="0.35">
      <c r="A1432" s="2" t="s">
        <v>1850</v>
      </c>
      <c r="B1432" s="3">
        <v>45579</v>
      </c>
      <c r="C1432" s="2" t="s">
        <v>897</v>
      </c>
      <c r="D1432" s="2" t="s">
        <v>53</v>
      </c>
      <c r="E1432" s="2" t="s">
        <v>232</v>
      </c>
      <c r="F1432" s="4">
        <v>6</v>
      </c>
      <c r="G1432" s="4">
        <v>5490</v>
      </c>
      <c r="H1432" s="4">
        <v>0.5</v>
      </c>
      <c r="I1432" s="4">
        <v>32775.300000000003</v>
      </c>
      <c r="J1432" s="2" t="s">
        <v>22</v>
      </c>
      <c r="K1432" s="2" t="s">
        <v>28</v>
      </c>
    </row>
    <row r="1433" spans="1:11" x14ac:dyDescent="0.35">
      <c r="A1433" s="2" t="s">
        <v>1851</v>
      </c>
      <c r="B1433" s="3">
        <v>45495</v>
      </c>
      <c r="C1433" s="2" t="s">
        <v>1804</v>
      </c>
      <c r="D1433" s="2" t="s">
        <v>174</v>
      </c>
      <c r="E1433" s="2" t="s">
        <v>158</v>
      </c>
      <c r="F1433" s="4">
        <v>6</v>
      </c>
      <c r="G1433" s="4">
        <v>2270</v>
      </c>
      <c r="H1433" s="4">
        <v>21.5</v>
      </c>
      <c r="I1433" s="4">
        <v>10691.7</v>
      </c>
      <c r="J1433" s="2" t="s">
        <v>16</v>
      </c>
      <c r="K1433" s="2" t="s">
        <v>23</v>
      </c>
    </row>
    <row r="1434" spans="1:11" x14ac:dyDescent="0.35">
      <c r="A1434" s="2" t="s">
        <v>1852</v>
      </c>
      <c r="B1434" s="3">
        <v>45600</v>
      </c>
      <c r="C1434" s="2" t="s">
        <v>334</v>
      </c>
      <c r="D1434" s="2" t="s">
        <v>267</v>
      </c>
      <c r="E1434" s="2" t="s">
        <v>83</v>
      </c>
      <c r="F1434" s="4">
        <v>7</v>
      </c>
      <c r="G1434" s="4">
        <v>2210</v>
      </c>
      <c r="H1434" s="4">
        <v>10.3</v>
      </c>
      <c r="I1434" s="4">
        <v>13876.59</v>
      </c>
      <c r="J1434" s="2" t="s">
        <v>16</v>
      </c>
      <c r="K1434" s="2" t="s">
        <v>23</v>
      </c>
    </row>
    <row r="1435" spans="1:11" x14ac:dyDescent="0.35">
      <c r="A1435" s="2" t="s">
        <v>1853</v>
      </c>
      <c r="B1435" s="3">
        <v>45605</v>
      </c>
      <c r="C1435" s="2" t="s">
        <v>1854</v>
      </c>
      <c r="D1435" s="2" t="s">
        <v>431</v>
      </c>
      <c r="E1435" s="2" t="s">
        <v>133</v>
      </c>
      <c r="F1435" s="4">
        <v>8</v>
      </c>
      <c r="G1435" s="4">
        <v>1090</v>
      </c>
      <c r="H1435" s="4">
        <v>21.7</v>
      </c>
      <c r="I1435" s="4">
        <v>6827.76</v>
      </c>
      <c r="J1435" s="2" t="s">
        <v>16</v>
      </c>
      <c r="K1435" s="2" t="s">
        <v>17</v>
      </c>
    </row>
    <row r="1436" spans="1:11" x14ac:dyDescent="0.35">
      <c r="A1436" s="2" t="s">
        <v>1855</v>
      </c>
      <c r="B1436" s="3">
        <v>45598</v>
      </c>
      <c r="C1436" s="2" t="s">
        <v>770</v>
      </c>
      <c r="D1436" s="2" t="s">
        <v>588</v>
      </c>
      <c r="E1436" s="2" t="s">
        <v>226</v>
      </c>
      <c r="F1436" s="4">
        <v>5</v>
      </c>
      <c r="G1436" s="4">
        <v>3560</v>
      </c>
      <c r="H1436" s="4">
        <v>19.399999999999999</v>
      </c>
      <c r="I1436" s="4">
        <v>14346.8</v>
      </c>
      <c r="J1436" s="2" t="s">
        <v>22</v>
      </c>
      <c r="K1436" s="2" t="s">
        <v>46</v>
      </c>
    </row>
    <row r="1437" spans="1:11" x14ac:dyDescent="0.35">
      <c r="A1437" s="2" t="s">
        <v>1856</v>
      </c>
      <c r="B1437" s="3">
        <v>45452</v>
      </c>
      <c r="C1437" s="2" t="s">
        <v>1101</v>
      </c>
      <c r="D1437" s="2" t="s">
        <v>111</v>
      </c>
      <c r="E1437" s="2" t="s">
        <v>57</v>
      </c>
      <c r="F1437" s="4">
        <v>7</v>
      </c>
      <c r="G1437" s="4">
        <v>1010</v>
      </c>
      <c r="H1437" s="4">
        <v>28.2</v>
      </c>
      <c r="I1437" s="4">
        <v>5076.26</v>
      </c>
      <c r="J1437" s="2" t="s">
        <v>16</v>
      </c>
      <c r="K1437" s="2" t="s">
        <v>17</v>
      </c>
    </row>
    <row r="1438" spans="1:11" x14ac:dyDescent="0.35">
      <c r="A1438" s="2" t="s">
        <v>1857</v>
      </c>
      <c r="B1438" s="3">
        <v>45470</v>
      </c>
      <c r="C1438" s="2" t="s">
        <v>641</v>
      </c>
      <c r="D1438" s="2" t="s">
        <v>224</v>
      </c>
      <c r="E1438" s="2" t="s">
        <v>117</v>
      </c>
      <c r="F1438" s="4">
        <v>2</v>
      </c>
      <c r="G1438" s="4">
        <v>2030</v>
      </c>
      <c r="H1438" s="4">
        <v>27.3</v>
      </c>
      <c r="I1438" s="4">
        <v>2951.62</v>
      </c>
      <c r="J1438" s="2" t="s">
        <v>73</v>
      </c>
      <c r="K1438" s="2" t="s">
        <v>41</v>
      </c>
    </row>
    <row r="1439" spans="1:11" x14ac:dyDescent="0.35">
      <c r="A1439" s="2" t="s">
        <v>1858</v>
      </c>
      <c r="B1439" s="3">
        <v>45350</v>
      </c>
      <c r="C1439" s="2" t="s">
        <v>139</v>
      </c>
      <c r="D1439" s="2" t="s">
        <v>293</v>
      </c>
      <c r="E1439" s="2" t="s">
        <v>254</v>
      </c>
      <c r="F1439" s="4">
        <v>6</v>
      </c>
      <c r="G1439" s="4">
        <v>5330</v>
      </c>
      <c r="H1439" s="4">
        <v>0.6</v>
      </c>
      <c r="I1439" s="4">
        <v>31788.12</v>
      </c>
      <c r="J1439" s="2" t="s">
        <v>16</v>
      </c>
      <c r="K1439" s="2" t="s">
        <v>28</v>
      </c>
    </row>
    <row r="1440" spans="1:11" x14ac:dyDescent="0.35">
      <c r="A1440" s="2" t="s">
        <v>1859</v>
      </c>
      <c r="B1440" s="3">
        <v>45514</v>
      </c>
      <c r="C1440" s="2" t="s">
        <v>239</v>
      </c>
      <c r="D1440" s="2" t="s">
        <v>64</v>
      </c>
      <c r="E1440" s="2" t="s">
        <v>15</v>
      </c>
      <c r="F1440" s="4">
        <v>2</v>
      </c>
      <c r="G1440" s="4">
        <v>2640</v>
      </c>
      <c r="H1440" s="4">
        <v>26</v>
      </c>
      <c r="I1440" s="4">
        <v>3907.2</v>
      </c>
      <c r="J1440" s="2" t="s">
        <v>22</v>
      </c>
      <c r="K1440" s="2" t="s">
        <v>46</v>
      </c>
    </row>
    <row r="1441" spans="1:11" x14ac:dyDescent="0.35">
      <c r="A1441" s="2" t="s">
        <v>1860</v>
      </c>
      <c r="B1441" s="3">
        <v>45447</v>
      </c>
      <c r="C1441" s="2" t="s">
        <v>279</v>
      </c>
      <c r="D1441" s="2" t="s">
        <v>208</v>
      </c>
      <c r="E1441" s="2" t="s">
        <v>254</v>
      </c>
      <c r="F1441" s="4">
        <v>8</v>
      </c>
      <c r="G1441" s="4">
        <v>2660</v>
      </c>
      <c r="H1441" s="4">
        <v>2.9</v>
      </c>
      <c r="I1441" s="4">
        <v>20662.88</v>
      </c>
      <c r="J1441" s="2" t="s">
        <v>16</v>
      </c>
      <c r="K1441" s="2" t="s">
        <v>41</v>
      </c>
    </row>
    <row r="1442" spans="1:11" x14ac:dyDescent="0.35">
      <c r="A1442" s="2" t="s">
        <v>1861</v>
      </c>
      <c r="B1442" s="3">
        <v>45390</v>
      </c>
      <c r="C1442" s="2" t="s">
        <v>1001</v>
      </c>
      <c r="D1442" s="2" t="s">
        <v>72</v>
      </c>
      <c r="E1442" s="2" t="s">
        <v>83</v>
      </c>
      <c r="F1442" s="4">
        <v>6</v>
      </c>
      <c r="G1442" s="4">
        <v>3250</v>
      </c>
      <c r="H1442" s="4">
        <v>11.1</v>
      </c>
      <c r="I1442" s="4">
        <v>17335.5</v>
      </c>
      <c r="J1442" s="2" t="s">
        <v>16</v>
      </c>
      <c r="K1442" s="2" t="s">
        <v>41</v>
      </c>
    </row>
    <row r="1443" spans="1:11" x14ac:dyDescent="0.35">
      <c r="A1443" s="2" t="s">
        <v>1862</v>
      </c>
      <c r="B1443" s="3">
        <v>45307</v>
      </c>
      <c r="C1443" s="2" t="s">
        <v>210</v>
      </c>
      <c r="D1443" s="2" t="s">
        <v>267</v>
      </c>
      <c r="E1443" s="2" t="s">
        <v>68</v>
      </c>
      <c r="F1443" s="4">
        <v>1</v>
      </c>
      <c r="G1443" s="4">
        <v>2210</v>
      </c>
      <c r="H1443" s="4">
        <v>3.5</v>
      </c>
      <c r="I1443" s="4">
        <v>2132.65</v>
      </c>
      <c r="J1443" s="2" t="s">
        <v>16</v>
      </c>
      <c r="K1443" s="2" t="s">
        <v>17</v>
      </c>
    </row>
    <row r="1444" spans="1:11" x14ac:dyDescent="0.35">
      <c r="A1444" s="2" t="s">
        <v>1863</v>
      </c>
      <c r="B1444" s="3">
        <v>45432</v>
      </c>
      <c r="C1444" s="2" t="s">
        <v>422</v>
      </c>
      <c r="D1444" s="2" t="s">
        <v>39</v>
      </c>
      <c r="E1444" s="2" t="s">
        <v>50</v>
      </c>
      <c r="F1444" s="4">
        <v>9</v>
      </c>
      <c r="G1444" s="4">
        <v>370</v>
      </c>
      <c r="H1444" s="4">
        <v>12.4</v>
      </c>
      <c r="I1444" s="4">
        <v>2917.08</v>
      </c>
      <c r="J1444" s="2" t="s">
        <v>16</v>
      </c>
      <c r="K1444" s="2" t="s">
        <v>17</v>
      </c>
    </row>
    <row r="1445" spans="1:11" x14ac:dyDescent="0.35">
      <c r="A1445" s="2" t="s">
        <v>1864</v>
      </c>
      <c r="B1445" s="3">
        <v>45453</v>
      </c>
      <c r="C1445" s="2" t="s">
        <v>646</v>
      </c>
      <c r="D1445" s="2" t="s">
        <v>390</v>
      </c>
      <c r="E1445" s="2" t="s">
        <v>214</v>
      </c>
      <c r="F1445" s="4">
        <v>3</v>
      </c>
      <c r="G1445" s="4">
        <v>3780</v>
      </c>
      <c r="H1445" s="4">
        <v>8.5</v>
      </c>
      <c r="I1445" s="4">
        <v>10376.1</v>
      </c>
      <c r="J1445" s="2" t="s">
        <v>22</v>
      </c>
      <c r="K1445" s="2" t="s">
        <v>23</v>
      </c>
    </row>
    <row r="1446" spans="1:11" x14ac:dyDescent="0.35">
      <c r="A1446" s="2" t="s">
        <v>352</v>
      </c>
      <c r="B1446" s="3">
        <v>45397</v>
      </c>
      <c r="C1446" s="2" t="s">
        <v>347</v>
      </c>
      <c r="D1446" s="2" t="s">
        <v>111</v>
      </c>
      <c r="E1446" s="2" t="s">
        <v>226</v>
      </c>
      <c r="F1446" s="4">
        <v>2</v>
      </c>
      <c r="G1446" s="4">
        <v>1010</v>
      </c>
      <c r="H1446" s="4">
        <v>2.7</v>
      </c>
      <c r="I1446" s="4">
        <v>1965.46</v>
      </c>
      <c r="J1446" s="2" t="s">
        <v>16</v>
      </c>
      <c r="K1446" s="2" t="s">
        <v>62</v>
      </c>
    </row>
    <row r="1447" spans="1:11" x14ac:dyDescent="0.35">
      <c r="A1447" s="2" t="s">
        <v>1865</v>
      </c>
      <c r="B1447" s="3">
        <v>45639</v>
      </c>
      <c r="C1447" s="2" t="s">
        <v>919</v>
      </c>
      <c r="D1447" s="2" t="s">
        <v>20</v>
      </c>
      <c r="E1447" s="2" t="s">
        <v>254</v>
      </c>
      <c r="F1447" s="4">
        <v>2</v>
      </c>
      <c r="G1447" s="4">
        <v>820</v>
      </c>
      <c r="H1447" s="4">
        <v>13.2</v>
      </c>
      <c r="I1447" s="4">
        <v>1423.52</v>
      </c>
      <c r="J1447" s="2" t="s">
        <v>22</v>
      </c>
      <c r="K1447" s="2" t="s">
        <v>46</v>
      </c>
    </row>
    <row r="1448" spans="1:11" x14ac:dyDescent="0.35">
      <c r="A1448" s="2" t="s">
        <v>1866</v>
      </c>
      <c r="B1448" s="3">
        <v>45482</v>
      </c>
      <c r="C1448" s="2" t="s">
        <v>162</v>
      </c>
      <c r="D1448" s="2" t="s">
        <v>31</v>
      </c>
      <c r="E1448" s="2" t="s">
        <v>254</v>
      </c>
      <c r="F1448" s="4">
        <v>1</v>
      </c>
      <c r="G1448" s="4">
        <v>3660</v>
      </c>
      <c r="H1448" s="4">
        <v>14</v>
      </c>
      <c r="I1448" s="4">
        <v>3147.6</v>
      </c>
      <c r="J1448" s="2" t="s">
        <v>73</v>
      </c>
      <c r="K1448" s="2" t="s">
        <v>17</v>
      </c>
    </row>
    <row r="1449" spans="1:11" x14ac:dyDescent="0.35">
      <c r="A1449" s="2" t="s">
        <v>1867</v>
      </c>
      <c r="B1449" s="3">
        <v>45447</v>
      </c>
      <c r="C1449" s="2" t="s">
        <v>154</v>
      </c>
      <c r="D1449" s="2" t="s">
        <v>174</v>
      </c>
      <c r="E1449" s="2" t="s">
        <v>167</v>
      </c>
      <c r="F1449" s="4">
        <v>6</v>
      </c>
      <c r="G1449" s="4">
        <v>2270</v>
      </c>
      <c r="H1449" s="4">
        <v>16</v>
      </c>
      <c r="I1449" s="4">
        <v>11440.8</v>
      </c>
      <c r="J1449" s="2" t="s">
        <v>16</v>
      </c>
      <c r="K1449" s="2" t="s">
        <v>23</v>
      </c>
    </row>
    <row r="1450" spans="1:11" x14ac:dyDescent="0.35">
      <c r="A1450" s="2" t="s">
        <v>1868</v>
      </c>
      <c r="B1450" s="3">
        <v>45598</v>
      </c>
      <c r="C1450" s="2" t="s">
        <v>376</v>
      </c>
      <c r="D1450" s="2" t="s">
        <v>309</v>
      </c>
      <c r="E1450" s="2" t="s">
        <v>50</v>
      </c>
      <c r="F1450" s="4">
        <v>7</v>
      </c>
      <c r="G1450" s="4">
        <v>960</v>
      </c>
      <c r="H1450" s="4">
        <v>28.8</v>
      </c>
      <c r="I1450" s="4">
        <v>4784.6400000000003</v>
      </c>
      <c r="J1450" s="2" t="s">
        <v>73</v>
      </c>
      <c r="K1450" s="2" t="s">
        <v>41</v>
      </c>
    </row>
    <row r="1451" spans="1:11" x14ac:dyDescent="0.35">
      <c r="A1451" s="2" t="s">
        <v>1869</v>
      </c>
      <c r="B1451" s="3">
        <v>45645</v>
      </c>
      <c r="C1451" s="2" t="s">
        <v>336</v>
      </c>
      <c r="D1451" s="2" t="s">
        <v>224</v>
      </c>
      <c r="E1451" s="2" t="s">
        <v>40</v>
      </c>
      <c r="F1451" s="4">
        <v>9</v>
      </c>
      <c r="G1451" s="4">
        <v>2030</v>
      </c>
      <c r="H1451" s="4">
        <v>3.4</v>
      </c>
      <c r="I1451" s="4">
        <v>17648.82</v>
      </c>
      <c r="J1451" s="2" t="s">
        <v>16</v>
      </c>
      <c r="K1451" s="2" t="s">
        <v>17</v>
      </c>
    </row>
    <row r="1452" spans="1:11" x14ac:dyDescent="0.35">
      <c r="A1452" s="2" t="s">
        <v>1870</v>
      </c>
      <c r="B1452" s="3">
        <v>45299</v>
      </c>
      <c r="C1452" s="2" t="s">
        <v>945</v>
      </c>
      <c r="D1452" s="2" t="s">
        <v>296</v>
      </c>
      <c r="E1452" s="2" t="s">
        <v>21</v>
      </c>
      <c r="F1452" s="4">
        <v>6</v>
      </c>
      <c r="G1452" s="4">
        <v>2380</v>
      </c>
      <c r="H1452" s="4">
        <v>13.2</v>
      </c>
      <c r="I1452" s="4">
        <v>12395.04</v>
      </c>
      <c r="J1452" s="2" t="s">
        <v>16</v>
      </c>
      <c r="K1452" s="2" t="s">
        <v>46</v>
      </c>
    </row>
    <row r="1453" spans="1:11" x14ac:dyDescent="0.35">
      <c r="A1453" s="2" t="s">
        <v>1871</v>
      </c>
      <c r="B1453" s="3">
        <v>45308</v>
      </c>
      <c r="C1453" s="2" t="s">
        <v>330</v>
      </c>
      <c r="D1453" s="2" t="s">
        <v>86</v>
      </c>
      <c r="E1453" s="2" t="s">
        <v>133</v>
      </c>
      <c r="F1453" s="4">
        <v>10</v>
      </c>
      <c r="G1453" s="4">
        <v>3450</v>
      </c>
      <c r="H1453" s="4">
        <v>8.6999999999999993</v>
      </c>
      <c r="I1453" s="4">
        <v>31498.5</v>
      </c>
      <c r="J1453" s="2" t="s">
        <v>16</v>
      </c>
      <c r="K1453" s="2" t="s">
        <v>23</v>
      </c>
    </row>
    <row r="1454" spans="1:11" x14ac:dyDescent="0.35">
      <c r="A1454" s="2" t="s">
        <v>1872</v>
      </c>
      <c r="B1454" s="3">
        <v>45487</v>
      </c>
      <c r="C1454" s="2" t="s">
        <v>1552</v>
      </c>
      <c r="D1454" s="2" t="s">
        <v>309</v>
      </c>
      <c r="E1454" s="2" t="s">
        <v>87</v>
      </c>
      <c r="F1454" s="4">
        <v>6</v>
      </c>
      <c r="G1454" s="4">
        <v>960</v>
      </c>
      <c r="H1454" s="4">
        <v>20.6</v>
      </c>
      <c r="I1454" s="4">
        <v>4573.4399999999996</v>
      </c>
      <c r="J1454" s="2" t="s">
        <v>22</v>
      </c>
      <c r="K1454" s="2" t="s">
        <v>46</v>
      </c>
    </row>
    <row r="1455" spans="1:11" x14ac:dyDescent="0.35">
      <c r="A1455" s="2" t="s">
        <v>1873</v>
      </c>
      <c r="B1455" s="3">
        <v>45341</v>
      </c>
      <c r="C1455" s="2" t="s">
        <v>726</v>
      </c>
      <c r="D1455" s="2" t="s">
        <v>588</v>
      </c>
      <c r="E1455" s="2" t="s">
        <v>181</v>
      </c>
      <c r="F1455" s="4">
        <v>10</v>
      </c>
      <c r="G1455" s="4">
        <v>3560</v>
      </c>
      <c r="H1455" s="4">
        <v>1.4</v>
      </c>
      <c r="I1455" s="4">
        <v>35101.599999999999</v>
      </c>
      <c r="J1455" s="2" t="s">
        <v>22</v>
      </c>
      <c r="K1455" s="2" t="s">
        <v>28</v>
      </c>
    </row>
    <row r="1456" spans="1:11" x14ac:dyDescent="0.35">
      <c r="A1456" s="2" t="s">
        <v>1874</v>
      </c>
      <c r="B1456" s="3">
        <v>45354</v>
      </c>
      <c r="C1456" s="2" t="s">
        <v>152</v>
      </c>
      <c r="D1456" s="2" t="s">
        <v>102</v>
      </c>
      <c r="E1456" s="2" t="s">
        <v>27</v>
      </c>
      <c r="F1456" s="4">
        <v>4</v>
      </c>
      <c r="G1456" s="4">
        <v>2720</v>
      </c>
      <c r="H1456" s="4">
        <v>19.399999999999999</v>
      </c>
      <c r="I1456" s="4">
        <v>8769.2800000000007</v>
      </c>
      <c r="J1456" s="2" t="s">
        <v>73</v>
      </c>
      <c r="K1456" s="2" t="s">
        <v>28</v>
      </c>
    </row>
    <row r="1457" spans="1:11" x14ac:dyDescent="0.35">
      <c r="A1457" s="2" t="s">
        <v>1875</v>
      </c>
      <c r="B1457" s="3">
        <v>45458</v>
      </c>
      <c r="C1457" s="2" t="s">
        <v>670</v>
      </c>
      <c r="D1457" s="2" t="s">
        <v>196</v>
      </c>
      <c r="E1457" s="2" t="s">
        <v>158</v>
      </c>
      <c r="F1457" s="4">
        <v>5</v>
      </c>
      <c r="G1457" s="4">
        <v>1220</v>
      </c>
      <c r="H1457" s="4">
        <v>15.6</v>
      </c>
      <c r="I1457" s="4">
        <v>5148.3999999999996</v>
      </c>
      <c r="J1457" s="2" t="s">
        <v>16</v>
      </c>
      <c r="K1457" s="2" t="s">
        <v>62</v>
      </c>
    </row>
    <row r="1458" spans="1:11" x14ac:dyDescent="0.35">
      <c r="A1458" s="2" t="s">
        <v>1876</v>
      </c>
      <c r="B1458" s="3">
        <v>45364</v>
      </c>
      <c r="C1458" s="2" t="s">
        <v>185</v>
      </c>
      <c r="D1458" s="2" t="s">
        <v>431</v>
      </c>
      <c r="E1458" s="2" t="s">
        <v>130</v>
      </c>
      <c r="F1458" s="4">
        <v>5</v>
      </c>
      <c r="G1458" s="4">
        <v>1090</v>
      </c>
      <c r="H1458" s="4">
        <v>15</v>
      </c>
      <c r="I1458" s="4">
        <v>4632.5</v>
      </c>
      <c r="J1458" s="2" t="s">
        <v>16</v>
      </c>
      <c r="K1458" s="2" t="s">
        <v>62</v>
      </c>
    </row>
    <row r="1459" spans="1:11" x14ac:dyDescent="0.35">
      <c r="A1459" s="2" t="s">
        <v>1877</v>
      </c>
      <c r="B1459" s="3">
        <v>45618</v>
      </c>
      <c r="C1459" s="2" t="s">
        <v>991</v>
      </c>
      <c r="D1459" s="2" t="s">
        <v>39</v>
      </c>
      <c r="E1459" s="2" t="s">
        <v>158</v>
      </c>
      <c r="F1459" s="4">
        <v>9</v>
      </c>
      <c r="G1459" s="4">
        <v>370</v>
      </c>
      <c r="H1459" s="4">
        <v>25.4</v>
      </c>
      <c r="I1459" s="4">
        <v>2484.1799999999998</v>
      </c>
      <c r="J1459" s="2" t="s">
        <v>16</v>
      </c>
      <c r="K1459" s="2" t="s">
        <v>41</v>
      </c>
    </row>
    <row r="1460" spans="1:11" x14ac:dyDescent="0.35">
      <c r="A1460" s="2" t="s">
        <v>1878</v>
      </c>
      <c r="B1460" s="3">
        <v>45456</v>
      </c>
      <c r="C1460" s="2" t="s">
        <v>834</v>
      </c>
      <c r="D1460" s="2" t="s">
        <v>124</v>
      </c>
      <c r="E1460" s="2" t="s">
        <v>15</v>
      </c>
      <c r="F1460" s="4">
        <v>7</v>
      </c>
      <c r="G1460" s="4">
        <v>2860</v>
      </c>
      <c r="H1460" s="4">
        <v>14</v>
      </c>
      <c r="I1460" s="4">
        <v>17217.2</v>
      </c>
      <c r="J1460" s="2" t="s">
        <v>16</v>
      </c>
      <c r="K1460" s="2" t="s">
        <v>41</v>
      </c>
    </row>
    <row r="1461" spans="1:11" x14ac:dyDescent="0.35">
      <c r="A1461" s="2" t="s">
        <v>1879</v>
      </c>
      <c r="B1461" s="3">
        <v>45490</v>
      </c>
      <c r="C1461" s="2" t="s">
        <v>528</v>
      </c>
      <c r="D1461" s="2" t="s">
        <v>267</v>
      </c>
      <c r="E1461" s="2" t="s">
        <v>130</v>
      </c>
      <c r="F1461" s="4">
        <v>1</v>
      </c>
      <c r="G1461" s="4">
        <v>2210</v>
      </c>
      <c r="H1461" s="4">
        <v>1.7</v>
      </c>
      <c r="I1461" s="4">
        <v>2172.4299999999998</v>
      </c>
      <c r="J1461" s="2" t="s">
        <v>16</v>
      </c>
      <c r="K1461" s="2" t="s">
        <v>46</v>
      </c>
    </row>
    <row r="1462" spans="1:11" x14ac:dyDescent="0.35">
      <c r="A1462" s="2" t="s">
        <v>1880</v>
      </c>
      <c r="B1462" s="3">
        <v>45584</v>
      </c>
      <c r="C1462" s="2" t="s">
        <v>492</v>
      </c>
      <c r="D1462" s="2" t="s">
        <v>56</v>
      </c>
      <c r="E1462" s="2" t="s">
        <v>40</v>
      </c>
      <c r="F1462" s="4">
        <v>3</v>
      </c>
      <c r="G1462" s="4">
        <v>970</v>
      </c>
      <c r="H1462" s="4">
        <v>20.3</v>
      </c>
      <c r="I1462" s="4">
        <v>2319.27</v>
      </c>
      <c r="J1462" s="2" t="s">
        <v>22</v>
      </c>
      <c r="K1462" s="2" t="s">
        <v>17</v>
      </c>
    </row>
    <row r="1463" spans="1:11" x14ac:dyDescent="0.35">
      <c r="A1463" s="2" t="s">
        <v>1881</v>
      </c>
      <c r="B1463" s="3">
        <v>45476</v>
      </c>
      <c r="C1463" s="2" t="s">
        <v>929</v>
      </c>
      <c r="D1463" s="2" t="s">
        <v>588</v>
      </c>
      <c r="E1463" s="2" t="s">
        <v>87</v>
      </c>
      <c r="F1463" s="4">
        <v>5</v>
      </c>
      <c r="G1463" s="4">
        <v>3560</v>
      </c>
      <c r="H1463" s="4">
        <v>17.100000000000001</v>
      </c>
      <c r="I1463" s="4">
        <v>14756.2</v>
      </c>
      <c r="J1463" s="2" t="s">
        <v>16</v>
      </c>
      <c r="K1463" s="2" t="s">
        <v>46</v>
      </c>
    </row>
    <row r="1464" spans="1:11" x14ac:dyDescent="0.35">
      <c r="A1464" s="2" t="s">
        <v>1882</v>
      </c>
      <c r="B1464" s="3">
        <v>45387</v>
      </c>
      <c r="C1464" s="2" t="s">
        <v>119</v>
      </c>
      <c r="D1464" s="2" t="s">
        <v>93</v>
      </c>
      <c r="E1464" s="2" t="s">
        <v>83</v>
      </c>
      <c r="F1464" s="4">
        <v>10</v>
      </c>
      <c r="G1464" s="4">
        <v>1080</v>
      </c>
      <c r="H1464" s="4">
        <v>12.8</v>
      </c>
      <c r="I1464" s="4">
        <v>9417.6</v>
      </c>
      <c r="J1464" s="2" t="s">
        <v>16</v>
      </c>
      <c r="K1464" s="2" t="s">
        <v>62</v>
      </c>
    </row>
    <row r="1465" spans="1:11" x14ac:dyDescent="0.35">
      <c r="A1465" s="2" t="s">
        <v>1883</v>
      </c>
      <c r="B1465" s="3">
        <v>45324</v>
      </c>
      <c r="C1465" s="2" t="s">
        <v>436</v>
      </c>
      <c r="D1465" s="2" t="s">
        <v>196</v>
      </c>
      <c r="E1465" s="2" t="s">
        <v>202</v>
      </c>
      <c r="F1465" s="4">
        <v>3</v>
      </c>
      <c r="G1465" s="4">
        <v>1220</v>
      </c>
      <c r="H1465" s="4">
        <v>1.9</v>
      </c>
      <c r="I1465" s="4">
        <v>3590.46</v>
      </c>
      <c r="J1465" s="2" t="s">
        <v>16</v>
      </c>
      <c r="K1465" s="2" t="s">
        <v>17</v>
      </c>
    </row>
    <row r="1466" spans="1:11" x14ac:dyDescent="0.35">
      <c r="A1466" s="2" t="s">
        <v>1884</v>
      </c>
      <c r="B1466" s="3">
        <v>45479</v>
      </c>
      <c r="C1466" s="2" t="s">
        <v>1885</v>
      </c>
      <c r="D1466" s="2" t="s">
        <v>155</v>
      </c>
      <c r="E1466" s="2" t="s">
        <v>133</v>
      </c>
      <c r="F1466" s="4">
        <v>1</v>
      </c>
      <c r="G1466" s="4">
        <v>3730</v>
      </c>
      <c r="H1466" s="4">
        <v>14.7</v>
      </c>
      <c r="I1466" s="4">
        <v>3181.69</v>
      </c>
      <c r="J1466" s="2" t="s">
        <v>22</v>
      </c>
      <c r="K1466" s="2" t="s">
        <v>17</v>
      </c>
    </row>
    <row r="1467" spans="1:11" x14ac:dyDescent="0.35">
      <c r="A1467" s="2" t="s">
        <v>1886</v>
      </c>
      <c r="B1467" s="3">
        <v>45628</v>
      </c>
      <c r="C1467" s="2" t="s">
        <v>115</v>
      </c>
      <c r="D1467" s="2" t="s">
        <v>49</v>
      </c>
      <c r="E1467" s="2" t="s">
        <v>144</v>
      </c>
      <c r="F1467" s="4">
        <v>3</v>
      </c>
      <c r="G1467" s="4">
        <v>1430</v>
      </c>
      <c r="H1467" s="4">
        <v>13.2</v>
      </c>
      <c r="I1467" s="4">
        <v>3723.72</v>
      </c>
      <c r="J1467" s="2" t="s">
        <v>16</v>
      </c>
      <c r="K1467" s="2" t="s">
        <v>23</v>
      </c>
    </row>
    <row r="1468" spans="1:11" x14ac:dyDescent="0.35">
      <c r="A1468" s="2" t="s">
        <v>1887</v>
      </c>
      <c r="B1468" s="3">
        <v>45413</v>
      </c>
      <c r="C1468" s="2" t="s">
        <v>119</v>
      </c>
      <c r="D1468" s="2" t="s">
        <v>170</v>
      </c>
      <c r="E1468" s="2" t="s">
        <v>232</v>
      </c>
      <c r="F1468" s="4">
        <v>2</v>
      </c>
      <c r="G1468" s="4">
        <v>6080</v>
      </c>
      <c r="H1468" s="4">
        <v>21.8</v>
      </c>
      <c r="I1468" s="4">
        <v>9509.1200000000008</v>
      </c>
      <c r="J1468" s="2" t="s">
        <v>69</v>
      </c>
      <c r="K1468" s="2" t="s">
        <v>62</v>
      </c>
    </row>
    <row r="1469" spans="1:11" x14ac:dyDescent="0.35">
      <c r="A1469" s="2" t="s">
        <v>1888</v>
      </c>
      <c r="B1469" s="3">
        <v>45343</v>
      </c>
      <c r="C1469" s="2" t="s">
        <v>609</v>
      </c>
      <c r="D1469" s="2" t="s">
        <v>120</v>
      </c>
      <c r="E1469" s="2" t="s">
        <v>117</v>
      </c>
      <c r="F1469" s="4">
        <v>9</v>
      </c>
      <c r="G1469" s="4">
        <v>5100</v>
      </c>
      <c r="H1469" s="4">
        <v>29.3</v>
      </c>
      <c r="I1469" s="4">
        <v>32451.3</v>
      </c>
      <c r="J1469" s="2" t="s">
        <v>16</v>
      </c>
      <c r="K1469" s="2" t="s">
        <v>23</v>
      </c>
    </row>
    <row r="1470" spans="1:11" x14ac:dyDescent="0.35">
      <c r="A1470" s="2" t="s">
        <v>1889</v>
      </c>
      <c r="B1470" s="3">
        <v>45424</v>
      </c>
      <c r="C1470" s="2" t="s">
        <v>834</v>
      </c>
      <c r="D1470" s="2" t="s">
        <v>381</v>
      </c>
      <c r="E1470" s="2" t="s">
        <v>27</v>
      </c>
      <c r="F1470" s="4">
        <v>5</v>
      </c>
      <c r="G1470" s="4">
        <v>3450</v>
      </c>
      <c r="H1470" s="4">
        <v>5.3</v>
      </c>
      <c r="I1470" s="4">
        <v>16335.75</v>
      </c>
      <c r="J1470" s="2" t="s">
        <v>16</v>
      </c>
      <c r="K1470" s="2" t="s">
        <v>41</v>
      </c>
    </row>
    <row r="1471" spans="1:11" x14ac:dyDescent="0.35">
      <c r="A1471" s="2" t="s">
        <v>1890</v>
      </c>
      <c r="B1471" s="3">
        <v>45632</v>
      </c>
      <c r="C1471" s="2" t="s">
        <v>317</v>
      </c>
      <c r="D1471" s="2" t="s">
        <v>116</v>
      </c>
      <c r="E1471" s="2" t="s">
        <v>226</v>
      </c>
      <c r="F1471" s="4">
        <v>6</v>
      </c>
      <c r="G1471" s="4">
        <v>3570</v>
      </c>
      <c r="H1471" s="4">
        <v>17.3</v>
      </c>
      <c r="I1471" s="4">
        <v>17714.34</v>
      </c>
      <c r="J1471" s="2" t="s">
        <v>16</v>
      </c>
      <c r="K1471" s="2" t="s">
        <v>62</v>
      </c>
    </row>
    <row r="1472" spans="1:11" x14ac:dyDescent="0.35">
      <c r="A1472" s="2" t="s">
        <v>1891</v>
      </c>
      <c r="B1472" s="3">
        <v>45444</v>
      </c>
      <c r="C1472" s="2" t="s">
        <v>218</v>
      </c>
      <c r="D1472" s="2" t="s">
        <v>155</v>
      </c>
      <c r="E1472" s="2" t="s">
        <v>232</v>
      </c>
      <c r="F1472" s="4">
        <v>6</v>
      </c>
      <c r="G1472" s="4">
        <v>3730</v>
      </c>
      <c r="H1472" s="4">
        <v>1</v>
      </c>
      <c r="I1472" s="4">
        <v>22156.2</v>
      </c>
      <c r="J1472" s="2" t="s">
        <v>16</v>
      </c>
      <c r="K1472" s="2" t="s">
        <v>23</v>
      </c>
    </row>
    <row r="1473" spans="1:11" x14ac:dyDescent="0.35">
      <c r="A1473" s="2" t="s">
        <v>1892</v>
      </c>
      <c r="B1473" s="3">
        <v>45545</v>
      </c>
      <c r="C1473" s="2" t="s">
        <v>967</v>
      </c>
      <c r="D1473" s="2" t="s">
        <v>390</v>
      </c>
      <c r="E1473" s="2" t="s">
        <v>50</v>
      </c>
      <c r="F1473" s="4">
        <v>4</v>
      </c>
      <c r="G1473" s="4">
        <v>3780</v>
      </c>
      <c r="H1473" s="4">
        <v>13.1</v>
      </c>
      <c r="I1473" s="4">
        <v>13139.28</v>
      </c>
      <c r="J1473" s="2" t="s">
        <v>16</v>
      </c>
      <c r="K1473" s="2" t="s">
        <v>46</v>
      </c>
    </row>
    <row r="1474" spans="1:11" x14ac:dyDescent="0.35">
      <c r="A1474" s="2" t="s">
        <v>1893</v>
      </c>
      <c r="B1474" s="3">
        <v>45511</v>
      </c>
      <c r="C1474" s="2" t="s">
        <v>539</v>
      </c>
      <c r="D1474" s="2" t="s">
        <v>284</v>
      </c>
      <c r="E1474" s="2" t="s">
        <v>202</v>
      </c>
      <c r="F1474" s="4">
        <v>1</v>
      </c>
      <c r="G1474" s="4">
        <v>2510</v>
      </c>
      <c r="H1474" s="4">
        <v>27.8</v>
      </c>
      <c r="I1474" s="4">
        <v>1812.22</v>
      </c>
      <c r="J1474" s="2" t="s">
        <v>69</v>
      </c>
      <c r="K1474" s="2" t="s">
        <v>46</v>
      </c>
    </row>
    <row r="1475" spans="1:11" x14ac:dyDescent="0.35">
      <c r="A1475" s="2" t="s">
        <v>1894</v>
      </c>
      <c r="B1475" s="3">
        <v>45577</v>
      </c>
      <c r="C1475" s="2" t="s">
        <v>726</v>
      </c>
      <c r="D1475" s="2" t="s">
        <v>132</v>
      </c>
      <c r="E1475" s="2" t="s">
        <v>15</v>
      </c>
      <c r="F1475" s="4">
        <v>9</v>
      </c>
      <c r="G1475" s="4">
        <v>660</v>
      </c>
      <c r="H1475" s="4">
        <v>29.3</v>
      </c>
      <c r="I1475" s="4">
        <v>4199.58</v>
      </c>
      <c r="J1475" s="2" t="s">
        <v>16</v>
      </c>
      <c r="K1475" s="2" t="s">
        <v>28</v>
      </c>
    </row>
    <row r="1476" spans="1:11" x14ac:dyDescent="0.35">
      <c r="A1476" s="2" t="s">
        <v>1895</v>
      </c>
      <c r="B1476" s="3">
        <v>45507</v>
      </c>
      <c r="C1476" s="2" t="s">
        <v>965</v>
      </c>
      <c r="D1476" s="2" t="s">
        <v>166</v>
      </c>
      <c r="E1476" s="2" t="s">
        <v>99</v>
      </c>
      <c r="F1476" s="4">
        <v>7</v>
      </c>
      <c r="G1476" s="4">
        <v>3640</v>
      </c>
      <c r="H1476" s="4">
        <v>11.6</v>
      </c>
      <c r="I1476" s="4">
        <v>22524.32</v>
      </c>
      <c r="J1476" s="2" t="s">
        <v>16</v>
      </c>
      <c r="K1476" s="2" t="s">
        <v>41</v>
      </c>
    </row>
    <row r="1477" spans="1:11" x14ac:dyDescent="0.35">
      <c r="A1477" s="2" t="s">
        <v>1896</v>
      </c>
      <c r="B1477" s="3">
        <v>45415</v>
      </c>
      <c r="C1477" s="2" t="s">
        <v>915</v>
      </c>
      <c r="D1477" s="2" t="s">
        <v>289</v>
      </c>
      <c r="E1477" s="2" t="s">
        <v>50</v>
      </c>
      <c r="F1477" s="4">
        <v>8</v>
      </c>
      <c r="G1477" s="4">
        <v>5410</v>
      </c>
      <c r="H1477" s="4">
        <v>25.6</v>
      </c>
      <c r="I1477" s="4">
        <v>32200.32</v>
      </c>
      <c r="J1477" s="2" t="s">
        <v>16</v>
      </c>
      <c r="K1477" s="2" t="s">
        <v>23</v>
      </c>
    </row>
    <row r="1478" spans="1:11" x14ac:dyDescent="0.35">
      <c r="A1478" s="2" t="s">
        <v>1897</v>
      </c>
      <c r="B1478" s="3">
        <v>45342</v>
      </c>
      <c r="C1478" s="2" t="s">
        <v>899</v>
      </c>
      <c r="D1478" s="2" t="s">
        <v>80</v>
      </c>
      <c r="E1478" s="2" t="s">
        <v>36</v>
      </c>
      <c r="F1478" s="4">
        <v>4</v>
      </c>
      <c r="G1478" s="4">
        <v>2400</v>
      </c>
      <c r="H1478" s="4">
        <v>10.4</v>
      </c>
      <c r="I1478" s="4">
        <v>8601.6</v>
      </c>
      <c r="J1478" s="2" t="s">
        <v>16</v>
      </c>
      <c r="K1478" s="2" t="s">
        <v>41</v>
      </c>
    </row>
    <row r="1479" spans="1:11" x14ac:dyDescent="0.35">
      <c r="A1479" s="2" t="s">
        <v>1898</v>
      </c>
      <c r="B1479" s="3">
        <v>45333</v>
      </c>
      <c r="C1479" s="2" t="s">
        <v>401</v>
      </c>
      <c r="D1479" s="2" t="s">
        <v>53</v>
      </c>
      <c r="E1479" s="2" t="s">
        <v>57</v>
      </c>
      <c r="F1479" s="4">
        <v>2</v>
      </c>
      <c r="G1479" s="4">
        <v>5490</v>
      </c>
      <c r="H1479" s="4">
        <v>5.4</v>
      </c>
      <c r="I1479" s="4">
        <v>10387.08</v>
      </c>
      <c r="J1479" s="2" t="s">
        <v>16</v>
      </c>
      <c r="K1479" s="2" t="s">
        <v>23</v>
      </c>
    </row>
    <row r="1480" spans="1:11" x14ac:dyDescent="0.35">
      <c r="A1480" s="2" t="s">
        <v>1899</v>
      </c>
      <c r="B1480" s="3">
        <v>45516</v>
      </c>
      <c r="C1480" s="2" t="s">
        <v>1160</v>
      </c>
      <c r="D1480" s="2" t="s">
        <v>188</v>
      </c>
      <c r="E1480" s="2" t="s">
        <v>275</v>
      </c>
      <c r="F1480" s="4">
        <v>6</v>
      </c>
      <c r="G1480" s="4">
        <v>1540</v>
      </c>
      <c r="H1480" s="4">
        <v>0.6</v>
      </c>
      <c r="I1480" s="4">
        <v>9184.56</v>
      </c>
      <c r="J1480" s="2" t="s">
        <v>16</v>
      </c>
      <c r="K1480" s="2" t="s">
        <v>17</v>
      </c>
    </row>
    <row r="1481" spans="1:11" x14ac:dyDescent="0.35">
      <c r="A1481" s="2" t="s">
        <v>1900</v>
      </c>
      <c r="B1481" s="3">
        <v>45343</v>
      </c>
      <c r="C1481" s="2" t="s">
        <v>837</v>
      </c>
      <c r="D1481" s="2" t="s">
        <v>293</v>
      </c>
      <c r="E1481" s="2" t="s">
        <v>144</v>
      </c>
      <c r="F1481" s="4">
        <v>3</v>
      </c>
      <c r="G1481" s="4">
        <v>5330</v>
      </c>
      <c r="H1481" s="4">
        <v>1</v>
      </c>
      <c r="I1481" s="4">
        <v>15830.1</v>
      </c>
      <c r="J1481" s="2" t="s">
        <v>22</v>
      </c>
      <c r="K1481" s="2" t="s">
        <v>62</v>
      </c>
    </row>
    <row r="1482" spans="1:11" x14ac:dyDescent="0.35">
      <c r="A1482" s="2" t="s">
        <v>1901</v>
      </c>
      <c r="B1482" s="3">
        <v>45522</v>
      </c>
      <c r="C1482" s="2" t="s">
        <v>1504</v>
      </c>
      <c r="D1482" s="2" t="s">
        <v>124</v>
      </c>
      <c r="E1482" s="2" t="s">
        <v>254</v>
      </c>
      <c r="F1482" s="4">
        <v>6</v>
      </c>
      <c r="G1482" s="4">
        <v>2860</v>
      </c>
      <c r="H1482" s="4">
        <v>13.3</v>
      </c>
      <c r="I1482" s="4">
        <v>14877.72</v>
      </c>
      <c r="J1482" s="2" t="s">
        <v>16</v>
      </c>
      <c r="K1482" s="2" t="s">
        <v>62</v>
      </c>
    </row>
    <row r="1483" spans="1:11" x14ac:dyDescent="0.35">
      <c r="A1483" s="2" t="s">
        <v>1902</v>
      </c>
      <c r="B1483" s="3">
        <v>45305</v>
      </c>
      <c r="C1483" s="2" t="s">
        <v>535</v>
      </c>
      <c r="D1483" s="2" t="s">
        <v>113</v>
      </c>
      <c r="E1483" s="2" t="s">
        <v>32</v>
      </c>
      <c r="F1483" s="4">
        <v>3</v>
      </c>
      <c r="G1483" s="4">
        <v>4880</v>
      </c>
      <c r="H1483" s="4">
        <v>12.1</v>
      </c>
      <c r="I1483" s="4">
        <v>12868.56</v>
      </c>
      <c r="J1483" s="2" t="s">
        <v>16</v>
      </c>
      <c r="K1483" s="2" t="s">
        <v>41</v>
      </c>
    </row>
    <row r="1484" spans="1:11" x14ac:dyDescent="0.35">
      <c r="A1484" s="2" t="s">
        <v>1903</v>
      </c>
      <c r="B1484" s="3">
        <v>45353</v>
      </c>
      <c r="C1484" s="2" t="s">
        <v>403</v>
      </c>
      <c r="D1484" s="2" t="s">
        <v>284</v>
      </c>
      <c r="E1484" s="2" t="s">
        <v>21</v>
      </c>
      <c r="F1484" s="4">
        <v>5</v>
      </c>
      <c r="G1484" s="4">
        <v>2510</v>
      </c>
      <c r="H1484" s="4">
        <v>2.9</v>
      </c>
      <c r="I1484" s="4">
        <v>12186.05</v>
      </c>
      <c r="J1484" s="2" t="s">
        <v>22</v>
      </c>
      <c r="K1484" s="2" t="s">
        <v>28</v>
      </c>
    </row>
    <row r="1485" spans="1:11" x14ac:dyDescent="0.35">
      <c r="A1485" s="2" t="s">
        <v>1904</v>
      </c>
      <c r="B1485" s="3">
        <v>45525</v>
      </c>
      <c r="C1485" s="2" t="s">
        <v>1905</v>
      </c>
      <c r="D1485" s="2" t="s">
        <v>337</v>
      </c>
      <c r="E1485" s="2" t="s">
        <v>121</v>
      </c>
      <c r="F1485" s="4">
        <v>9</v>
      </c>
      <c r="G1485" s="4">
        <v>3970</v>
      </c>
      <c r="H1485" s="4">
        <v>28</v>
      </c>
      <c r="I1485" s="4">
        <v>25725.599999999999</v>
      </c>
      <c r="J1485" s="2" t="s">
        <v>16</v>
      </c>
      <c r="K1485" s="2" t="s">
        <v>17</v>
      </c>
    </row>
    <row r="1486" spans="1:11" x14ac:dyDescent="0.35">
      <c r="A1486" s="2" t="s">
        <v>1906</v>
      </c>
      <c r="B1486" s="3">
        <v>45593</v>
      </c>
      <c r="C1486" s="2" t="s">
        <v>1146</v>
      </c>
      <c r="D1486" s="2" t="s">
        <v>26</v>
      </c>
      <c r="E1486" s="2" t="s">
        <v>272</v>
      </c>
      <c r="F1486" s="4">
        <v>4</v>
      </c>
      <c r="G1486" s="4">
        <v>470</v>
      </c>
      <c r="H1486" s="4">
        <v>19.100000000000001</v>
      </c>
      <c r="I1486" s="4">
        <v>1520.92</v>
      </c>
      <c r="J1486" s="2" t="s">
        <v>22</v>
      </c>
      <c r="K1486" s="2" t="s">
        <v>41</v>
      </c>
    </row>
    <row r="1487" spans="1:11" x14ac:dyDescent="0.35">
      <c r="A1487" s="2" t="s">
        <v>1907</v>
      </c>
      <c r="B1487" s="3">
        <v>45550</v>
      </c>
      <c r="C1487" s="2" t="s">
        <v>228</v>
      </c>
      <c r="D1487" s="2" t="s">
        <v>293</v>
      </c>
      <c r="E1487" s="2" t="s">
        <v>40</v>
      </c>
      <c r="F1487" s="4">
        <v>7</v>
      </c>
      <c r="G1487" s="4">
        <v>5330</v>
      </c>
      <c r="H1487" s="4">
        <v>17.2</v>
      </c>
      <c r="I1487" s="4">
        <v>30892.68</v>
      </c>
      <c r="J1487" s="2" t="s">
        <v>69</v>
      </c>
      <c r="K1487" s="2" t="s">
        <v>62</v>
      </c>
    </row>
    <row r="1488" spans="1:11" x14ac:dyDescent="0.35">
      <c r="A1488" s="2" t="s">
        <v>1908</v>
      </c>
      <c r="B1488" s="3">
        <v>45511</v>
      </c>
      <c r="C1488" s="2" t="s">
        <v>82</v>
      </c>
      <c r="D1488" s="2" t="s">
        <v>431</v>
      </c>
      <c r="E1488" s="2" t="s">
        <v>254</v>
      </c>
      <c r="F1488" s="4">
        <v>4</v>
      </c>
      <c r="G1488" s="4">
        <v>1090</v>
      </c>
      <c r="H1488" s="4">
        <v>4.9000000000000004</v>
      </c>
      <c r="I1488" s="4">
        <v>4146.3599999999997</v>
      </c>
      <c r="J1488" s="2" t="s">
        <v>69</v>
      </c>
      <c r="K1488" s="2" t="s">
        <v>46</v>
      </c>
    </row>
    <row r="1489" spans="1:11" x14ac:dyDescent="0.35">
      <c r="A1489" s="2" t="s">
        <v>1909</v>
      </c>
      <c r="B1489" s="3">
        <v>45456</v>
      </c>
      <c r="C1489" s="2" t="s">
        <v>369</v>
      </c>
      <c r="D1489" s="2" t="s">
        <v>111</v>
      </c>
      <c r="E1489" s="2" t="s">
        <v>133</v>
      </c>
      <c r="F1489" s="4">
        <v>2</v>
      </c>
      <c r="G1489" s="4">
        <v>1010</v>
      </c>
      <c r="H1489" s="4">
        <v>14</v>
      </c>
      <c r="I1489" s="4">
        <v>1737.2</v>
      </c>
      <c r="J1489" s="2" t="s">
        <v>16</v>
      </c>
      <c r="K1489" s="2" t="s">
        <v>17</v>
      </c>
    </row>
    <row r="1490" spans="1:11" x14ac:dyDescent="0.35">
      <c r="A1490" s="2" t="s">
        <v>1910</v>
      </c>
      <c r="B1490" s="3">
        <v>45343</v>
      </c>
      <c r="C1490" s="2" t="s">
        <v>537</v>
      </c>
      <c r="D1490" s="2" t="s">
        <v>177</v>
      </c>
      <c r="E1490" s="2" t="s">
        <v>275</v>
      </c>
      <c r="F1490" s="4">
        <v>9</v>
      </c>
      <c r="G1490" s="4">
        <v>3870</v>
      </c>
      <c r="H1490" s="4">
        <v>8.1999999999999993</v>
      </c>
      <c r="I1490" s="4">
        <v>31973.94</v>
      </c>
      <c r="J1490" s="2" t="s">
        <v>16</v>
      </c>
      <c r="K1490" s="2" t="s">
        <v>715</v>
      </c>
    </row>
    <row r="1491" spans="1:11" x14ac:dyDescent="0.35">
      <c r="A1491" s="2" t="s">
        <v>1911</v>
      </c>
      <c r="B1491" s="3">
        <v>45491</v>
      </c>
      <c r="C1491" s="2" t="s">
        <v>976</v>
      </c>
      <c r="D1491" s="2" t="s">
        <v>208</v>
      </c>
      <c r="E1491" s="2" t="s">
        <v>181</v>
      </c>
      <c r="F1491" s="4">
        <v>7</v>
      </c>
      <c r="G1491" s="4">
        <v>2660</v>
      </c>
      <c r="H1491" s="4">
        <v>15.9</v>
      </c>
      <c r="I1491" s="4">
        <v>15659.42</v>
      </c>
      <c r="J1491" s="2" t="s">
        <v>16</v>
      </c>
      <c r="K1491" s="2" t="s">
        <v>62</v>
      </c>
    </row>
    <row r="1492" spans="1:11" x14ac:dyDescent="0.35">
      <c r="A1492" s="2" t="s">
        <v>1912</v>
      </c>
      <c r="B1492" s="3">
        <v>45619</v>
      </c>
      <c r="C1492" s="2" t="s">
        <v>453</v>
      </c>
      <c r="D1492" s="2" t="s">
        <v>49</v>
      </c>
      <c r="E1492" s="2" t="s">
        <v>50</v>
      </c>
      <c r="F1492" s="4">
        <v>4</v>
      </c>
      <c r="G1492" s="4">
        <v>1430</v>
      </c>
      <c r="H1492" s="4">
        <v>25.6</v>
      </c>
      <c r="I1492" s="4">
        <v>4255.68</v>
      </c>
      <c r="J1492" s="2" t="s">
        <v>16</v>
      </c>
      <c r="K1492" s="2" t="s">
        <v>41</v>
      </c>
    </row>
    <row r="1493" spans="1:11" x14ac:dyDescent="0.35">
      <c r="A1493" s="2" t="s">
        <v>1913</v>
      </c>
      <c r="B1493" s="3">
        <v>45374</v>
      </c>
      <c r="C1493" s="2" t="s">
        <v>433</v>
      </c>
      <c r="D1493" s="2" t="s">
        <v>113</v>
      </c>
      <c r="E1493" s="2" t="s">
        <v>83</v>
      </c>
      <c r="F1493" s="4">
        <v>4</v>
      </c>
      <c r="G1493" s="4">
        <v>4880</v>
      </c>
      <c r="H1493" s="4">
        <v>19.399999999999999</v>
      </c>
      <c r="I1493" s="4">
        <v>15733.12</v>
      </c>
      <c r="J1493" s="2" t="s">
        <v>69</v>
      </c>
      <c r="K1493" s="2" t="s">
        <v>46</v>
      </c>
    </row>
    <row r="1494" spans="1:11" x14ac:dyDescent="0.35">
      <c r="A1494" s="2" t="s">
        <v>1914</v>
      </c>
      <c r="B1494" s="3">
        <v>45566</v>
      </c>
      <c r="C1494" s="2" t="s">
        <v>392</v>
      </c>
      <c r="D1494" s="2" t="s">
        <v>76</v>
      </c>
      <c r="E1494" s="2" t="s">
        <v>144</v>
      </c>
      <c r="F1494" s="4">
        <v>2</v>
      </c>
      <c r="G1494" s="4">
        <v>190</v>
      </c>
      <c r="H1494" s="4">
        <v>9</v>
      </c>
      <c r="I1494" s="4">
        <v>345.8</v>
      </c>
      <c r="J1494" s="2" t="s">
        <v>16</v>
      </c>
      <c r="K1494" s="2" t="s">
        <v>46</v>
      </c>
    </row>
    <row r="1495" spans="1:11" x14ac:dyDescent="0.35">
      <c r="A1495" s="2" t="s">
        <v>1915</v>
      </c>
      <c r="B1495" s="3">
        <v>45415</v>
      </c>
      <c r="C1495" s="2" t="s">
        <v>363</v>
      </c>
      <c r="D1495" s="2" t="s">
        <v>205</v>
      </c>
      <c r="E1495" s="2" t="s">
        <v>50</v>
      </c>
      <c r="F1495" s="4">
        <v>1</v>
      </c>
      <c r="G1495" s="4">
        <v>3020</v>
      </c>
      <c r="H1495" s="4">
        <v>3.6</v>
      </c>
      <c r="I1495" s="4">
        <v>2911.28</v>
      </c>
      <c r="J1495" s="2" t="s">
        <v>73</v>
      </c>
      <c r="K1495" s="2" t="s">
        <v>28</v>
      </c>
    </row>
    <row r="1496" spans="1:11" x14ac:dyDescent="0.35">
      <c r="A1496" s="2" t="s">
        <v>1916</v>
      </c>
      <c r="B1496" s="3">
        <v>45601</v>
      </c>
      <c r="C1496" s="2" t="s">
        <v>48</v>
      </c>
      <c r="D1496" s="2" t="s">
        <v>113</v>
      </c>
      <c r="E1496" s="2" t="s">
        <v>50</v>
      </c>
      <c r="F1496" s="4">
        <v>2</v>
      </c>
      <c r="G1496" s="4">
        <v>4880</v>
      </c>
      <c r="H1496" s="4">
        <v>2</v>
      </c>
      <c r="I1496" s="4">
        <v>9564.7999999999993</v>
      </c>
      <c r="J1496" s="2" t="s">
        <v>69</v>
      </c>
      <c r="K1496" s="2" t="s">
        <v>46</v>
      </c>
    </row>
    <row r="1497" spans="1:11" x14ac:dyDescent="0.35">
      <c r="A1497" s="2" t="s">
        <v>1917</v>
      </c>
      <c r="B1497" s="3">
        <v>45319</v>
      </c>
      <c r="C1497" s="2" t="s">
        <v>770</v>
      </c>
      <c r="D1497" s="2" t="s">
        <v>80</v>
      </c>
      <c r="E1497" s="2" t="s">
        <v>272</v>
      </c>
      <c r="F1497" s="4">
        <v>4</v>
      </c>
      <c r="G1497" s="4">
        <v>2400</v>
      </c>
      <c r="H1497" s="4">
        <v>11.5</v>
      </c>
      <c r="I1497" s="4">
        <v>8496</v>
      </c>
      <c r="J1497" s="2" t="s">
        <v>16</v>
      </c>
      <c r="K1497" s="2" t="s">
        <v>46</v>
      </c>
    </row>
    <row r="1498" spans="1:11" x14ac:dyDescent="0.35">
      <c r="A1498" s="2" t="s">
        <v>1918</v>
      </c>
      <c r="B1498" s="3">
        <v>45357</v>
      </c>
      <c r="C1498" s="2" t="s">
        <v>486</v>
      </c>
      <c r="D1498" s="2" t="s">
        <v>170</v>
      </c>
      <c r="E1498" s="2" t="s">
        <v>226</v>
      </c>
      <c r="F1498" s="4">
        <v>2</v>
      </c>
      <c r="G1498" s="4">
        <v>6080</v>
      </c>
      <c r="H1498" s="4">
        <v>0.5</v>
      </c>
      <c r="I1498" s="4">
        <v>12099.2</v>
      </c>
      <c r="J1498" s="2" t="s">
        <v>69</v>
      </c>
      <c r="K1498" s="2" t="s">
        <v>41</v>
      </c>
    </row>
    <row r="1499" spans="1:11" x14ac:dyDescent="0.35">
      <c r="A1499" s="2" t="s">
        <v>1919</v>
      </c>
      <c r="B1499" s="3">
        <v>45384</v>
      </c>
      <c r="C1499" s="2" t="s">
        <v>752</v>
      </c>
      <c r="D1499" s="2" t="s">
        <v>296</v>
      </c>
      <c r="E1499" s="2" t="s">
        <v>83</v>
      </c>
      <c r="F1499" s="4">
        <v>7</v>
      </c>
      <c r="G1499" s="4">
        <v>2380</v>
      </c>
      <c r="H1499" s="4">
        <v>12.3</v>
      </c>
      <c r="I1499" s="4">
        <v>14610.82</v>
      </c>
      <c r="J1499" s="2" t="s">
        <v>16</v>
      </c>
      <c r="K1499" s="2" t="s">
        <v>23</v>
      </c>
    </row>
    <row r="1500" spans="1:11" x14ac:dyDescent="0.35">
      <c r="A1500" s="2" t="s">
        <v>1920</v>
      </c>
      <c r="B1500" s="3">
        <v>45509</v>
      </c>
      <c r="C1500" s="2" t="s">
        <v>298</v>
      </c>
      <c r="D1500" s="2" t="s">
        <v>188</v>
      </c>
      <c r="E1500" s="2" t="s">
        <v>144</v>
      </c>
      <c r="F1500" s="4">
        <v>10</v>
      </c>
      <c r="G1500" s="4">
        <v>1540</v>
      </c>
      <c r="H1500" s="4">
        <v>20.6</v>
      </c>
      <c r="I1500" s="4">
        <v>12227.6</v>
      </c>
      <c r="J1500" s="2" t="s">
        <v>16</v>
      </c>
      <c r="K1500" s="2" t="s">
        <v>23</v>
      </c>
    </row>
    <row r="1501" spans="1:11" x14ac:dyDescent="0.35">
      <c r="A1501" s="2" t="s">
        <v>1921</v>
      </c>
      <c r="B1501" s="3">
        <v>45520</v>
      </c>
      <c r="C1501" s="2" t="s">
        <v>92</v>
      </c>
      <c r="D1501" s="2" t="s">
        <v>177</v>
      </c>
      <c r="E1501" s="2" t="s">
        <v>57</v>
      </c>
      <c r="F1501" s="4">
        <v>7</v>
      </c>
      <c r="G1501" s="4">
        <v>3870</v>
      </c>
      <c r="H1501" s="4">
        <v>6.1</v>
      </c>
      <c r="I1501" s="4">
        <v>25437.51</v>
      </c>
      <c r="J1501" s="2" t="s">
        <v>16</v>
      </c>
      <c r="K1501" s="2" t="s">
        <v>23</v>
      </c>
    </row>
    <row r="1502" spans="1:11" x14ac:dyDescent="0.35">
      <c r="A1502" s="2" t="s">
        <v>1922</v>
      </c>
      <c r="B1502" s="3">
        <v>45383</v>
      </c>
      <c r="C1502" s="2" t="s">
        <v>509</v>
      </c>
      <c r="D1502" s="2" t="s">
        <v>39</v>
      </c>
      <c r="E1502" s="2" t="s">
        <v>87</v>
      </c>
      <c r="F1502" s="4">
        <v>3</v>
      </c>
      <c r="G1502" s="4">
        <v>370</v>
      </c>
      <c r="H1502" s="4">
        <v>13.7</v>
      </c>
      <c r="I1502" s="4">
        <v>957.93</v>
      </c>
      <c r="J1502" s="2" t="s">
        <v>16</v>
      </c>
      <c r="K1502" s="2" t="s">
        <v>17</v>
      </c>
    </row>
    <row r="1503" spans="1:11" x14ac:dyDescent="0.35">
      <c r="A1503" s="2" t="s">
        <v>1923</v>
      </c>
      <c r="B1503" s="3">
        <v>45328</v>
      </c>
      <c r="C1503" s="2" t="s">
        <v>300</v>
      </c>
      <c r="D1503" s="2" t="s">
        <v>76</v>
      </c>
      <c r="E1503" s="2" t="s">
        <v>272</v>
      </c>
      <c r="F1503" s="4">
        <v>8</v>
      </c>
      <c r="G1503" s="4">
        <v>190</v>
      </c>
      <c r="H1503" s="4">
        <v>0.2</v>
      </c>
      <c r="I1503" s="4">
        <v>1516.96</v>
      </c>
      <c r="J1503" s="2" t="s">
        <v>16</v>
      </c>
      <c r="K1503" s="2" t="s">
        <v>41</v>
      </c>
    </row>
    <row r="1504" spans="1:11" x14ac:dyDescent="0.35">
      <c r="A1504" s="2" t="s">
        <v>1924</v>
      </c>
      <c r="B1504" s="3">
        <v>45501</v>
      </c>
      <c r="C1504" s="2" t="s">
        <v>19</v>
      </c>
      <c r="D1504" s="2" t="s">
        <v>49</v>
      </c>
      <c r="E1504" s="2" t="s">
        <v>202</v>
      </c>
      <c r="F1504" s="4">
        <v>6</v>
      </c>
      <c r="G1504" s="4">
        <v>1430</v>
      </c>
      <c r="H1504" s="4">
        <v>0.1</v>
      </c>
      <c r="I1504" s="4">
        <v>8571.42</v>
      </c>
      <c r="J1504" s="2" t="s">
        <v>16</v>
      </c>
      <c r="K1504" s="2" t="s">
        <v>23</v>
      </c>
    </row>
    <row r="1505" spans="1:11" x14ac:dyDescent="0.35">
      <c r="A1505" s="2" t="s">
        <v>1925</v>
      </c>
      <c r="B1505" s="3">
        <v>45346</v>
      </c>
      <c r="C1505" s="2" t="s">
        <v>401</v>
      </c>
      <c r="D1505" s="2" t="s">
        <v>26</v>
      </c>
      <c r="E1505" s="2" t="s">
        <v>121</v>
      </c>
      <c r="F1505" s="4">
        <v>4</v>
      </c>
      <c r="G1505" s="4">
        <v>470</v>
      </c>
      <c r="H1505" s="4">
        <v>3</v>
      </c>
      <c r="I1505" s="4">
        <v>1823.6</v>
      </c>
      <c r="J1505" s="2" t="s">
        <v>16</v>
      </c>
      <c r="K1505" s="2" t="s">
        <v>23</v>
      </c>
    </row>
    <row r="1506" spans="1:11" x14ac:dyDescent="0.35">
      <c r="A1506" s="2" t="s">
        <v>1926</v>
      </c>
      <c r="B1506" s="3">
        <v>45446</v>
      </c>
      <c r="C1506" s="2" t="s">
        <v>414</v>
      </c>
      <c r="D1506" s="2" t="s">
        <v>588</v>
      </c>
      <c r="E1506" s="2" t="s">
        <v>68</v>
      </c>
      <c r="F1506" s="4">
        <v>4</v>
      </c>
      <c r="G1506" s="4">
        <v>3560</v>
      </c>
      <c r="H1506" s="4">
        <v>1.1000000000000001</v>
      </c>
      <c r="I1506" s="4">
        <v>14083.36</v>
      </c>
      <c r="J1506" s="2" t="s">
        <v>16</v>
      </c>
      <c r="K1506" s="2" t="s">
        <v>17</v>
      </c>
    </row>
    <row r="1507" spans="1:11" x14ac:dyDescent="0.35">
      <c r="A1507" s="2" t="s">
        <v>1927</v>
      </c>
      <c r="B1507" s="3">
        <v>45521</v>
      </c>
      <c r="C1507" s="2" t="s">
        <v>564</v>
      </c>
      <c r="D1507" s="2" t="s">
        <v>113</v>
      </c>
      <c r="E1507" s="2" t="s">
        <v>254</v>
      </c>
      <c r="F1507" s="4">
        <v>5</v>
      </c>
      <c r="G1507" s="4">
        <v>4880</v>
      </c>
      <c r="H1507" s="4">
        <v>17</v>
      </c>
      <c r="I1507" s="4">
        <v>20252</v>
      </c>
      <c r="J1507" s="2" t="s">
        <v>16</v>
      </c>
      <c r="K1507" s="2" t="s">
        <v>28</v>
      </c>
    </row>
    <row r="1508" spans="1:11" x14ac:dyDescent="0.35">
      <c r="A1508" s="2" t="s">
        <v>1928</v>
      </c>
      <c r="B1508" s="3">
        <v>45483</v>
      </c>
      <c r="C1508" s="2" t="s">
        <v>609</v>
      </c>
      <c r="D1508" s="2" t="s">
        <v>116</v>
      </c>
      <c r="E1508" s="2" t="s">
        <v>133</v>
      </c>
      <c r="F1508" s="4">
        <v>9</v>
      </c>
      <c r="G1508" s="4">
        <v>3570</v>
      </c>
      <c r="H1508" s="4">
        <v>12</v>
      </c>
      <c r="I1508" s="4">
        <v>28274.400000000001</v>
      </c>
      <c r="J1508" s="2" t="s">
        <v>16</v>
      </c>
      <c r="K1508" s="2" t="s">
        <v>23</v>
      </c>
    </row>
    <row r="1509" spans="1:11" x14ac:dyDescent="0.35">
      <c r="A1509" s="2" t="s">
        <v>1929</v>
      </c>
      <c r="B1509" s="3">
        <v>45370</v>
      </c>
      <c r="C1509" s="2" t="s">
        <v>1290</v>
      </c>
      <c r="D1509" s="2" t="s">
        <v>90</v>
      </c>
      <c r="E1509" s="2" t="s">
        <v>40</v>
      </c>
      <c r="F1509" s="4">
        <v>6</v>
      </c>
      <c r="G1509" s="4">
        <v>3450</v>
      </c>
      <c r="H1509" s="4">
        <v>22.7</v>
      </c>
      <c r="I1509" s="4">
        <v>16001.1</v>
      </c>
      <c r="J1509" s="2" t="s">
        <v>69</v>
      </c>
      <c r="K1509" s="2" t="s">
        <v>23</v>
      </c>
    </row>
    <row r="1510" spans="1:11" x14ac:dyDescent="0.35">
      <c r="A1510" s="2" t="s">
        <v>1930</v>
      </c>
      <c r="B1510" s="3">
        <v>45456</v>
      </c>
      <c r="C1510" s="2" t="s">
        <v>107</v>
      </c>
      <c r="D1510" s="2" t="s">
        <v>93</v>
      </c>
      <c r="E1510" s="2" t="s">
        <v>226</v>
      </c>
      <c r="F1510" s="4">
        <v>10</v>
      </c>
      <c r="G1510" s="4">
        <v>1080</v>
      </c>
      <c r="H1510" s="4">
        <v>27.4</v>
      </c>
      <c r="I1510" s="4">
        <v>7840.8</v>
      </c>
      <c r="J1510" s="2" t="s">
        <v>16</v>
      </c>
      <c r="K1510" s="2" t="s">
        <v>23</v>
      </c>
    </row>
    <row r="1511" spans="1:11" x14ac:dyDescent="0.35">
      <c r="A1511" s="2" t="s">
        <v>1931</v>
      </c>
      <c r="B1511" s="3">
        <v>45605</v>
      </c>
      <c r="C1511" s="2" t="s">
        <v>785</v>
      </c>
      <c r="D1511" s="2" t="s">
        <v>188</v>
      </c>
      <c r="E1511" s="2" t="s">
        <v>40</v>
      </c>
      <c r="F1511" s="4">
        <v>6</v>
      </c>
      <c r="G1511" s="4">
        <v>1540</v>
      </c>
      <c r="H1511" s="4">
        <v>17.100000000000001</v>
      </c>
      <c r="I1511" s="4">
        <v>7659.96</v>
      </c>
      <c r="J1511" s="2" t="s">
        <v>16</v>
      </c>
      <c r="K1511" s="2" t="s">
        <v>17</v>
      </c>
    </row>
    <row r="1512" spans="1:11" x14ac:dyDescent="0.35">
      <c r="A1512" s="2" t="s">
        <v>1932</v>
      </c>
      <c r="B1512" s="3">
        <v>45556</v>
      </c>
      <c r="C1512" s="2" t="s">
        <v>1933</v>
      </c>
      <c r="D1512" s="2" t="s">
        <v>102</v>
      </c>
      <c r="E1512" s="2" t="s">
        <v>181</v>
      </c>
      <c r="F1512" s="4">
        <v>6</v>
      </c>
      <c r="G1512" s="4">
        <v>2720</v>
      </c>
      <c r="H1512" s="4">
        <v>28.1</v>
      </c>
      <c r="I1512" s="4">
        <v>11734.08</v>
      </c>
      <c r="J1512" s="2" t="s">
        <v>16</v>
      </c>
      <c r="K1512" s="2" t="s">
        <v>41</v>
      </c>
    </row>
    <row r="1513" spans="1:11" x14ac:dyDescent="0.35">
      <c r="A1513" s="2" t="s">
        <v>1934</v>
      </c>
      <c r="B1513" s="3">
        <v>45569</v>
      </c>
      <c r="C1513" s="2" t="s">
        <v>185</v>
      </c>
      <c r="D1513" s="2" t="s">
        <v>372</v>
      </c>
      <c r="E1513" s="2" t="s">
        <v>21</v>
      </c>
      <c r="F1513" s="4">
        <v>2</v>
      </c>
      <c r="G1513" s="4">
        <v>5080</v>
      </c>
      <c r="H1513" s="4">
        <v>11.1</v>
      </c>
      <c r="I1513" s="4">
        <v>9032.24</v>
      </c>
      <c r="J1513" s="2" t="s">
        <v>16</v>
      </c>
      <c r="K1513" s="2" t="s">
        <v>62</v>
      </c>
    </row>
    <row r="1514" spans="1:11" x14ac:dyDescent="0.35">
      <c r="A1514" s="2" t="s">
        <v>1935</v>
      </c>
      <c r="B1514" s="3">
        <v>45329</v>
      </c>
      <c r="C1514" s="2" t="s">
        <v>1936</v>
      </c>
      <c r="D1514" s="2" t="s">
        <v>221</v>
      </c>
      <c r="E1514" s="2" t="s">
        <v>36</v>
      </c>
      <c r="F1514" s="4">
        <v>5</v>
      </c>
      <c r="G1514" s="4">
        <v>620</v>
      </c>
      <c r="H1514" s="4">
        <v>10.9</v>
      </c>
      <c r="I1514" s="4">
        <v>2762.1</v>
      </c>
      <c r="J1514" s="2" t="s">
        <v>22</v>
      </c>
      <c r="K1514" s="2" t="s">
        <v>23</v>
      </c>
    </row>
    <row r="1515" spans="1:11" x14ac:dyDescent="0.35">
      <c r="A1515" s="2" t="s">
        <v>1937</v>
      </c>
      <c r="B1515" s="3">
        <v>45377</v>
      </c>
      <c r="C1515" s="2" t="s">
        <v>237</v>
      </c>
      <c r="D1515" s="2" t="s">
        <v>96</v>
      </c>
      <c r="E1515" s="2" t="s">
        <v>77</v>
      </c>
      <c r="F1515" s="4">
        <v>3</v>
      </c>
      <c r="G1515" s="4">
        <v>2480</v>
      </c>
      <c r="H1515" s="4">
        <v>5</v>
      </c>
      <c r="I1515" s="4">
        <v>7068</v>
      </c>
      <c r="J1515" s="2" t="s">
        <v>16</v>
      </c>
      <c r="K1515" s="2" t="s">
        <v>17</v>
      </c>
    </row>
    <row r="1516" spans="1:11" x14ac:dyDescent="0.35">
      <c r="A1516" s="2" t="s">
        <v>1938</v>
      </c>
      <c r="B1516" s="3">
        <v>45537</v>
      </c>
      <c r="C1516" s="2" t="s">
        <v>453</v>
      </c>
      <c r="D1516" s="2" t="s">
        <v>111</v>
      </c>
      <c r="E1516" s="2" t="s">
        <v>21</v>
      </c>
      <c r="F1516" s="4">
        <v>9</v>
      </c>
      <c r="G1516" s="4">
        <v>1010</v>
      </c>
      <c r="H1516" s="4">
        <v>21.9</v>
      </c>
      <c r="I1516" s="4">
        <v>7099.29</v>
      </c>
      <c r="J1516" s="2" t="s">
        <v>16</v>
      </c>
      <c r="K1516" s="2" t="s">
        <v>41</v>
      </c>
    </row>
    <row r="1517" spans="1:11" x14ac:dyDescent="0.35">
      <c r="A1517" s="2" t="s">
        <v>1939</v>
      </c>
      <c r="B1517" s="3">
        <v>45550</v>
      </c>
      <c r="C1517" s="2" t="s">
        <v>342</v>
      </c>
      <c r="D1517" s="2" t="s">
        <v>93</v>
      </c>
      <c r="E1517" s="2" t="s">
        <v>68</v>
      </c>
      <c r="F1517" s="4">
        <v>2</v>
      </c>
      <c r="G1517" s="4">
        <v>1080</v>
      </c>
      <c r="H1517" s="4">
        <v>8.5</v>
      </c>
      <c r="I1517" s="4">
        <v>1976.4</v>
      </c>
      <c r="J1517" s="2" t="s">
        <v>16</v>
      </c>
      <c r="K1517" s="2" t="s">
        <v>17</v>
      </c>
    </row>
    <row r="1518" spans="1:11" x14ac:dyDescent="0.35">
      <c r="A1518" s="2" t="s">
        <v>1940</v>
      </c>
      <c r="B1518" s="3">
        <v>45325</v>
      </c>
      <c r="C1518" s="2" t="s">
        <v>152</v>
      </c>
      <c r="D1518" s="2" t="s">
        <v>26</v>
      </c>
      <c r="E1518" s="2" t="s">
        <v>40</v>
      </c>
      <c r="F1518" s="4">
        <v>5</v>
      </c>
      <c r="G1518" s="4">
        <v>470</v>
      </c>
      <c r="H1518" s="4">
        <v>8</v>
      </c>
      <c r="I1518" s="4">
        <v>2162</v>
      </c>
      <c r="J1518" s="2" t="s">
        <v>16</v>
      </c>
      <c r="K1518" s="2" t="s">
        <v>28</v>
      </c>
    </row>
    <row r="1519" spans="1:11" x14ac:dyDescent="0.35">
      <c r="A1519" s="2" t="s">
        <v>1941</v>
      </c>
      <c r="B1519" s="3">
        <v>45375</v>
      </c>
      <c r="C1519" s="2" t="s">
        <v>269</v>
      </c>
      <c r="D1519" s="2" t="s">
        <v>337</v>
      </c>
      <c r="E1519" s="2" t="s">
        <v>121</v>
      </c>
      <c r="F1519" s="4">
        <v>9</v>
      </c>
      <c r="G1519" s="4">
        <v>3970</v>
      </c>
      <c r="H1519" s="4">
        <v>18.5</v>
      </c>
      <c r="I1519" s="4">
        <v>29119.95</v>
      </c>
      <c r="J1519" s="2" t="s">
        <v>16</v>
      </c>
      <c r="K1519" s="2" t="s">
        <v>17</v>
      </c>
    </row>
    <row r="1520" spans="1:11" x14ac:dyDescent="0.35">
      <c r="A1520" s="2" t="s">
        <v>1942</v>
      </c>
      <c r="B1520" s="3">
        <v>45614</v>
      </c>
      <c r="C1520" s="2" t="s">
        <v>1163</v>
      </c>
      <c r="D1520" s="2" t="s">
        <v>105</v>
      </c>
      <c r="E1520" s="2" t="s">
        <v>61</v>
      </c>
      <c r="F1520" s="4">
        <v>9</v>
      </c>
      <c r="G1520" s="4">
        <v>1650</v>
      </c>
      <c r="H1520" s="4">
        <v>19.5</v>
      </c>
      <c r="I1520" s="4">
        <v>11954.25</v>
      </c>
      <c r="J1520" s="2" t="s">
        <v>16</v>
      </c>
      <c r="K1520" s="2" t="s">
        <v>41</v>
      </c>
    </row>
    <row r="1521" spans="1:11" x14ac:dyDescent="0.35">
      <c r="A1521" s="2" t="s">
        <v>1943</v>
      </c>
      <c r="B1521" s="3">
        <v>45364</v>
      </c>
      <c r="C1521" s="2" t="s">
        <v>598</v>
      </c>
      <c r="D1521" s="2" t="s">
        <v>108</v>
      </c>
      <c r="E1521" s="2" t="s">
        <v>32</v>
      </c>
      <c r="F1521" s="4">
        <v>9</v>
      </c>
      <c r="G1521" s="4">
        <v>3350</v>
      </c>
      <c r="H1521" s="4">
        <v>4.0999999999999996</v>
      </c>
      <c r="I1521" s="4">
        <v>28913.85</v>
      </c>
      <c r="J1521" s="2" t="s">
        <v>16</v>
      </c>
      <c r="K1521" s="2" t="s">
        <v>62</v>
      </c>
    </row>
    <row r="1522" spans="1:11" x14ac:dyDescent="0.35">
      <c r="A1522" s="2" t="s">
        <v>1944</v>
      </c>
      <c r="B1522" s="3">
        <v>45342</v>
      </c>
      <c r="C1522" s="2" t="s">
        <v>195</v>
      </c>
      <c r="D1522" s="2" t="s">
        <v>337</v>
      </c>
      <c r="E1522" s="2" t="s">
        <v>83</v>
      </c>
      <c r="F1522" s="4">
        <v>7</v>
      </c>
      <c r="G1522" s="4">
        <v>3970</v>
      </c>
      <c r="H1522" s="4">
        <v>15.6</v>
      </c>
      <c r="I1522" s="4">
        <v>23454.76</v>
      </c>
      <c r="J1522" s="2" t="s">
        <v>16</v>
      </c>
      <c r="K1522" s="2" t="s">
        <v>28</v>
      </c>
    </row>
    <row r="1523" spans="1:11" x14ac:dyDescent="0.35">
      <c r="A1523" s="2" t="s">
        <v>1945</v>
      </c>
      <c r="B1523" s="3">
        <v>45454</v>
      </c>
      <c r="C1523" s="2" t="s">
        <v>667</v>
      </c>
      <c r="D1523" s="2" t="s">
        <v>163</v>
      </c>
      <c r="E1523" s="2" t="s">
        <v>232</v>
      </c>
      <c r="F1523" s="4">
        <v>7</v>
      </c>
      <c r="G1523" s="4">
        <v>3780</v>
      </c>
      <c r="H1523" s="4">
        <v>18.7</v>
      </c>
      <c r="I1523" s="4">
        <v>21511.98</v>
      </c>
      <c r="J1523" s="2" t="s">
        <v>16</v>
      </c>
      <c r="K1523" s="2" t="s">
        <v>17</v>
      </c>
    </row>
    <row r="1524" spans="1:11" x14ac:dyDescent="0.35">
      <c r="A1524" s="2" t="s">
        <v>1946</v>
      </c>
      <c r="B1524" s="3">
        <v>45625</v>
      </c>
      <c r="C1524" s="2" t="s">
        <v>564</v>
      </c>
      <c r="D1524" s="2" t="s">
        <v>20</v>
      </c>
      <c r="E1524" s="2" t="s">
        <v>181</v>
      </c>
      <c r="F1524" s="4">
        <v>4</v>
      </c>
      <c r="G1524" s="4">
        <v>820</v>
      </c>
      <c r="H1524" s="4">
        <v>18.8</v>
      </c>
      <c r="I1524" s="4">
        <v>2663.36</v>
      </c>
      <c r="J1524" s="2" t="s">
        <v>69</v>
      </c>
      <c r="K1524" s="2" t="s">
        <v>28</v>
      </c>
    </row>
    <row r="1525" spans="1:11" x14ac:dyDescent="0.35">
      <c r="A1525" s="2" t="s">
        <v>1947</v>
      </c>
      <c r="B1525" s="3">
        <v>45600</v>
      </c>
      <c r="C1525" s="2" t="s">
        <v>658</v>
      </c>
      <c r="D1525" s="2" t="s">
        <v>105</v>
      </c>
      <c r="E1525" s="2" t="s">
        <v>214</v>
      </c>
      <c r="F1525" s="4">
        <v>1</v>
      </c>
      <c r="G1525" s="4">
        <v>1650</v>
      </c>
      <c r="H1525" s="4">
        <v>18.8</v>
      </c>
      <c r="I1525" s="4">
        <v>1339.8</v>
      </c>
      <c r="J1525" s="2" t="s">
        <v>69</v>
      </c>
      <c r="K1525" s="2" t="s">
        <v>41</v>
      </c>
    </row>
    <row r="1526" spans="1:11" x14ac:dyDescent="0.35">
      <c r="A1526" s="2" t="s">
        <v>1948</v>
      </c>
      <c r="B1526" s="3">
        <v>45397</v>
      </c>
      <c r="C1526" s="2" t="s">
        <v>269</v>
      </c>
      <c r="D1526" s="2" t="s">
        <v>163</v>
      </c>
      <c r="E1526" s="2" t="s">
        <v>87</v>
      </c>
      <c r="F1526" s="4">
        <v>2</v>
      </c>
      <c r="G1526" s="4">
        <v>3780</v>
      </c>
      <c r="H1526" s="4">
        <v>1</v>
      </c>
      <c r="I1526" s="4">
        <v>7484.4</v>
      </c>
      <c r="J1526" s="2" t="s">
        <v>73</v>
      </c>
      <c r="K1526" s="2" t="s">
        <v>17</v>
      </c>
    </row>
    <row r="1527" spans="1:11" x14ac:dyDescent="0.35">
      <c r="A1527" s="2" t="s">
        <v>1949</v>
      </c>
      <c r="B1527" s="3">
        <v>45417</v>
      </c>
      <c r="C1527" s="2" t="s">
        <v>376</v>
      </c>
      <c r="D1527" s="2" t="s">
        <v>267</v>
      </c>
      <c r="E1527" s="2" t="s">
        <v>272</v>
      </c>
      <c r="F1527" s="4">
        <v>5</v>
      </c>
      <c r="G1527" s="4">
        <v>2210</v>
      </c>
      <c r="H1527" s="4">
        <v>16.600000000000001</v>
      </c>
      <c r="I1527" s="4">
        <v>9215.7000000000007</v>
      </c>
      <c r="J1527" s="2" t="s">
        <v>16</v>
      </c>
      <c r="K1527" s="2" t="s">
        <v>41</v>
      </c>
    </row>
    <row r="1528" spans="1:11" x14ac:dyDescent="0.35">
      <c r="A1528" s="2" t="s">
        <v>1950</v>
      </c>
      <c r="B1528" s="3">
        <v>45487</v>
      </c>
      <c r="C1528" s="2" t="s">
        <v>584</v>
      </c>
      <c r="D1528" s="2" t="s">
        <v>444</v>
      </c>
      <c r="E1528" s="2" t="s">
        <v>61</v>
      </c>
      <c r="F1528" s="4">
        <v>10</v>
      </c>
      <c r="G1528" s="4">
        <v>6940</v>
      </c>
      <c r="H1528" s="4">
        <v>10.6</v>
      </c>
      <c r="I1528" s="4">
        <v>62043.6</v>
      </c>
      <c r="J1528" s="2" t="s">
        <v>16</v>
      </c>
      <c r="K1528" s="2" t="s">
        <v>62</v>
      </c>
    </row>
    <row r="1529" spans="1:11" x14ac:dyDescent="0.35">
      <c r="A1529" s="2" t="s">
        <v>1951</v>
      </c>
      <c r="B1529" s="3">
        <v>45454</v>
      </c>
      <c r="C1529" s="2" t="s">
        <v>298</v>
      </c>
      <c r="D1529" s="2" t="s">
        <v>315</v>
      </c>
      <c r="E1529" s="2" t="s">
        <v>21</v>
      </c>
      <c r="F1529" s="4">
        <v>8</v>
      </c>
      <c r="G1529" s="4">
        <v>2290</v>
      </c>
      <c r="H1529" s="4">
        <v>12.2</v>
      </c>
      <c r="I1529" s="4">
        <v>16084.96</v>
      </c>
      <c r="J1529" s="2" t="s">
        <v>16</v>
      </c>
      <c r="K1529" s="2" t="s">
        <v>23</v>
      </c>
    </row>
    <row r="1530" spans="1:11" x14ac:dyDescent="0.35">
      <c r="A1530" s="2" t="s">
        <v>1952</v>
      </c>
      <c r="B1530" s="3">
        <v>45529</v>
      </c>
      <c r="C1530" s="2" t="s">
        <v>271</v>
      </c>
      <c r="D1530" s="2" t="s">
        <v>224</v>
      </c>
      <c r="E1530" s="2" t="s">
        <v>40</v>
      </c>
      <c r="F1530" s="4">
        <v>5</v>
      </c>
      <c r="G1530" s="4">
        <v>2030</v>
      </c>
      <c r="H1530" s="4">
        <v>23.8</v>
      </c>
      <c r="I1530" s="4">
        <v>7734.3</v>
      </c>
      <c r="J1530" s="2" t="s">
        <v>69</v>
      </c>
      <c r="K1530" s="2" t="s">
        <v>23</v>
      </c>
    </row>
    <row r="1531" spans="1:11" x14ac:dyDescent="0.35">
      <c r="A1531" s="2" t="s">
        <v>1953</v>
      </c>
      <c r="B1531" s="3">
        <v>45546</v>
      </c>
      <c r="C1531" s="2" t="s">
        <v>369</v>
      </c>
      <c r="D1531" s="2" t="s">
        <v>337</v>
      </c>
      <c r="E1531" s="2" t="s">
        <v>158</v>
      </c>
      <c r="F1531" s="4">
        <v>3</v>
      </c>
      <c r="G1531" s="4">
        <v>3970</v>
      </c>
      <c r="H1531" s="4">
        <v>7.7</v>
      </c>
      <c r="I1531" s="4">
        <v>10992.93</v>
      </c>
      <c r="J1531" s="2" t="s">
        <v>16</v>
      </c>
      <c r="K1531" s="2" t="s">
        <v>17</v>
      </c>
    </row>
    <row r="1532" spans="1:11" x14ac:dyDescent="0.35">
      <c r="A1532" s="2" t="s">
        <v>1954</v>
      </c>
      <c r="B1532" s="3">
        <v>45481</v>
      </c>
      <c r="C1532" s="2" t="s">
        <v>641</v>
      </c>
      <c r="D1532" s="2" t="s">
        <v>20</v>
      </c>
      <c r="E1532" s="2" t="s">
        <v>275</v>
      </c>
      <c r="F1532" s="4">
        <v>1</v>
      </c>
      <c r="G1532" s="4">
        <v>820</v>
      </c>
      <c r="H1532" s="4">
        <v>5.4</v>
      </c>
      <c r="I1532" s="4">
        <v>775.72</v>
      </c>
      <c r="J1532" s="2" t="s">
        <v>16</v>
      </c>
      <c r="K1532" s="2" t="s">
        <v>41</v>
      </c>
    </row>
    <row r="1533" spans="1:11" x14ac:dyDescent="0.35">
      <c r="A1533" s="2" t="s">
        <v>1955</v>
      </c>
      <c r="B1533" s="3">
        <v>45472</v>
      </c>
      <c r="C1533" s="2" t="s">
        <v>251</v>
      </c>
      <c r="D1533" s="2" t="s">
        <v>177</v>
      </c>
      <c r="E1533" s="2" t="s">
        <v>40</v>
      </c>
      <c r="F1533" s="4">
        <v>3</v>
      </c>
      <c r="G1533" s="4">
        <v>3870</v>
      </c>
      <c r="H1533" s="4">
        <v>1.9</v>
      </c>
      <c r="I1533" s="4">
        <v>11389.41</v>
      </c>
      <c r="J1533" s="2" t="s">
        <v>16</v>
      </c>
      <c r="K1533" s="2" t="s">
        <v>28</v>
      </c>
    </row>
    <row r="1534" spans="1:11" x14ac:dyDescent="0.35">
      <c r="A1534" s="2" t="s">
        <v>1956</v>
      </c>
      <c r="B1534" s="3">
        <v>45296</v>
      </c>
      <c r="C1534" s="2" t="s">
        <v>457</v>
      </c>
      <c r="D1534" s="2" t="s">
        <v>56</v>
      </c>
      <c r="E1534" s="2" t="s">
        <v>214</v>
      </c>
      <c r="F1534" s="4">
        <v>6</v>
      </c>
      <c r="G1534" s="4">
        <v>970</v>
      </c>
      <c r="H1534" s="4">
        <v>27.1</v>
      </c>
      <c r="I1534" s="4">
        <v>4242.78</v>
      </c>
      <c r="J1534" s="2" t="s">
        <v>16</v>
      </c>
      <c r="K1534" s="2" t="s">
        <v>41</v>
      </c>
    </row>
    <row r="1535" spans="1:11" x14ac:dyDescent="0.35">
      <c r="A1535" s="2" t="s">
        <v>1957</v>
      </c>
      <c r="B1535" s="3">
        <v>45567</v>
      </c>
      <c r="C1535" s="2" t="s">
        <v>223</v>
      </c>
      <c r="D1535" s="2" t="s">
        <v>113</v>
      </c>
      <c r="E1535" s="2" t="s">
        <v>40</v>
      </c>
      <c r="F1535" s="4">
        <v>1</v>
      </c>
      <c r="G1535" s="4">
        <v>4880</v>
      </c>
      <c r="H1535" s="4">
        <v>26.8</v>
      </c>
      <c r="I1535" s="4">
        <v>3572.16</v>
      </c>
      <c r="J1535" s="2" t="s">
        <v>16</v>
      </c>
      <c r="K1535" s="2" t="s">
        <v>62</v>
      </c>
    </row>
    <row r="1536" spans="1:11" x14ac:dyDescent="0.35">
      <c r="A1536" s="2" t="s">
        <v>1958</v>
      </c>
      <c r="B1536" s="3">
        <v>45337</v>
      </c>
      <c r="C1536" s="2" t="s">
        <v>770</v>
      </c>
      <c r="D1536" s="2" t="s">
        <v>174</v>
      </c>
      <c r="E1536" s="2" t="s">
        <v>83</v>
      </c>
      <c r="F1536" s="4">
        <v>1</v>
      </c>
      <c r="G1536" s="4">
        <v>2270</v>
      </c>
      <c r="H1536" s="4">
        <v>22.2</v>
      </c>
      <c r="I1536" s="4">
        <v>1766.06</v>
      </c>
      <c r="J1536" s="2" t="s">
        <v>16</v>
      </c>
      <c r="K1536" s="2" t="s">
        <v>46</v>
      </c>
    </row>
    <row r="1537" spans="1:11" x14ac:dyDescent="0.35">
      <c r="A1537" s="2" t="s">
        <v>1959</v>
      </c>
      <c r="B1537" s="3">
        <v>45376</v>
      </c>
      <c r="C1537" s="2" t="s">
        <v>82</v>
      </c>
      <c r="D1537" s="2" t="s">
        <v>86</v>
      </c>
      <c r="E1537" s="2" t="s">
        <v>130</v>
      </c>
      <c r="F1537" s="4">
        <v>10</v>
      </c>
      <c r="G1537" s="4">
        <v>3450</v>
      </c>
      <c r="H1537" s="4">
        <v>21.9</v>
      </c>
      <c r="I1537" s="4">
        <v>26944.5</v>
      </c>
      <c r="J1537" s="2" t="s">
        <v>16</v>
      </c>
      <c r="K1537" s="2" t="s">
        <v>46</v>
      </c>
    </row>
    <row r="1538" spans="1:11" x14ac:dyDescent="0.35">
      <c r="A1538" s="2" t="s">
        <v>1960</v>
      </c>
      <c r="B1538" s="3">
        <v>45616</v>
      </c>
      <c r="C1538" s="2" t="s">
        <v>490</v>
      </c>
      <c r="D1538" s="2" t="s">
        <v>174</v>
      </c>
      <c r="E1538" s="2" t="s">
        <v>202</v>
      </c>
      <c r="F1538" s="4">
        <v>3</v>
      </c>
      <c r="G1538" s="4">
        <v>2270</v>
      </c>
      <c r="H1538" s="4">
        <v>19.100000000000001</v>
      </c>
      <c r="I1538" s="4">
        <v>5509.29</v>
      </c>
      <c r="J1538" s="2" t="s">
        <v>69</v>
      </c>
      <c r="K1538" s="2" t="s">
        <v>62</v>
      </c>
    </row>
    <row r="1539" spans="1:11" x14ac:dyDescent="0.35">
      <c r="A1539" s="2" t="s">
        <v>1961</v>
      </c>
      <c r="B1539" s="3">
        <v>45360</v>
      </c>
      <c r="C1539" s="2" t="s">
        <v>850</v>
      </c>
      <c r="D1539" s="2" t="s">
        <v>267</v>
      </c>
      <c r="E1539" s="2" t="s">
        <v>99</v>
      </c>
      <c r="F1539" s="4">
        <v>10</v>
      </c>
      <c r="G1539" s="4">
        <v>2210</v>
      </c>
      <c r="H1539" s="4">
        <v>22.3</v>
      </c>
      <c r="I1539" s="4">
        <v>17171.7</v>
      </c>
      <c r="J1539" s="2" t="s">
        <v>16</v>
      </c>
      <c r="K1539" s="2" t="s">
        <v>46</v>
      </c>
    </row>
    <row r="1540" spans="1:11" x14ac:dyDescent="0.35">
      <c r="A1540" s="2" t="s">
        <v>1962</v>
      </c>
      <c r="B1540" s="3">
        <v>45465</v>
      </c>
      <c r="C1540" s="2" t="s">
        <v>403</v>
      </c>
      <c r="D1540" s="2" t="s">
        <v>224</v>
      </c>
      <c r="E1540" s="2" t="s">
        <v>202</v>
      </c>
      <c r="F1540" s="4">
        <v>9</v>
      </c>
      <c r="G1540" s="4">
        <v>2030</v>
      </c>
      <c r="H1540" s="4">
        <v>24.8</v>
      </c>
      <c r="I1540" s="4">
        <v>13739.04</v>
      </c>
      <c r="J1540" s="2" t="s">
        <v>16</v>
      </c>
      <c r="K1540" s="2" t="s">
        <v>28</v>
      </c>
    </row>
    <row r="1541" spans="1:11" x14ac:dyDescent="0.35">
      <c r="A1541" s="2" t="s">
        <v>1963</v>
      </c>
      <c r="B1541" s="3">
        <v>45380</v>
      </c>
      <c r="C1541" s="2" t="s">
        <v>317</v>
      </c>
      <c r="D1541" s="2" t="s">
        <v>108</v>
      </c>
      <c r="E1541" s="2" t="s">
        <v>83</v>
      </c>
      <c r="F1541" s="4">
        <v>5</v>
      </c>
      <c r="G1541" s="4">
        <v>3350</v>
      </c>
      <c r="H1541" s="4">
        <v>18.2</v>
      </c>
      <c r="I1541" s="4">
        <v>13701.5</v>
      </c>
      <c r="J1541" s="2" t="s">
        <v>16</v>
      </c>
      <c r="K1541" s="2" t="s">
        <v>62</v>
      </c>
    </row>
    <row r="1542" spans="1:11" x14ac:dyDescent="0.35">
      <c r="A1542" s="2" t="s">
        <v>1964</v>
      </c>
      <c r="B1542" s="3">
        <v>45358</v>
      </c>
      <c r="C1542" s="2" t="s">
        <v>1557</v>
      </c>
      <c r="D1542" s="2" t="s">
        <v>166</v>
      </c>
      <c r="E1542" s="2" t="s">
        <v>36</v>
      </c>
      <c r="F1542" s="4">
        <v>7</v>
      </c>
      <c r="G1542" s="4">
        <v>3640</v>
      </c>
      <c r="H1542" s="4">
        <v>14.4</v>
      </c>
      <c r="I1542" s="4">
        <v>21810.880000000001</v>
      </c>
      <c r="J1542" s="2" t="s">
        <v>16</v>
      </c>
      <c r="K1542" s="2" t="s">
        <v>23</v>
      </c>
    </row>
    <row r="1543" spans="1:11" x14ac:dyDescent="0.35">
      <c r="A1543" s="2" t="s">
        <v>1965</v>
      </c>
      <c r="B1543" s="3">
        <v>45385</v>
      </c>
      <c r="C1543" s="2" t="s">
        <v>831</v>
      </c>
      <c r="D1543" s="2" t="s">
        <v>90</v>
      </c>
      <c r="E1543" s="2" t="s">
        <v>232</v>
      </c>
      <c r="F1543" s="4">
        <v>9</v>
      </c>
      <c r="G1543" s="4">
        <v>3450</v>
      </c>
      <c r="H1543" s="4">
        <v>20.100000000000001</v>
      </c>
      <c r="I1543" s="4">
        <v>24808.95</v>
      </c>
      <c r="J1543" s="2" t="s">
        <v>16</v>
      </c>
      <c r="K1543" s="2" t="s">
        <v>41</v>
      </c>
    </row>
    <row r="1544" spans="1:11" x14ac:dyDescent="0.35">
      <c r="A1544" s="2" t="s">
        <v>1966</v>
      </c>
      <c r="B1544" s="3">
        <v>45443</v>
      </c>
      <c r="C1544" s="2" t="s">
        <v>797</v>
      </c>
      <c r="D1544" s="2" t="s">
        <v>86</v>
      </c>
      <c r="E1544" s="2" t="s">
        <v>77</v>
      </c>
      <c r="F1544" s="4">
        <v>6</v>
      </c>
      <c r="G1544" s="4">
        <v>3450</v>
      </c>
      <c r="H1544" s="4">
        <v>19.899999999999999</v>
      </c>
      <c r="I1544" s="4">
        <v>16580.7</v>
      </c>
      <c r="J1544" s="2" t="s">
        <v>22</v>
      </c>
      <c r="K1544" s="2" t="s">
        <v>28</v>
      </c>
    </row>
    <row r="1545" spans="1:11" x14ac:dyDescent="0.35">
      <c r="A1545" s="2" t="s">
        <v>1967</v>
      </c>
      <c r="B1545" s="3">
        <v>45599</v>
      </c>
      <c r="C1545" s="2" t="s">
        <v>110</v>
      </c>
      <c r="D1545" s="2" t="s">
        <v>315</v>
      </c>
      <c r="E1545" s="2" t="s">
        <v>214</v>
      </c>
      <c r="F1545" s="4">
        <v>4</v>
      </c>
      <c r="G1545" s="4">
        <v>2290</v>
      </c>
      <c r="H1545" s="4">
        <v>4.8</v>
      </c>
      <c r="I1545" s="4">
        <v>8720.32</v>
      </c>
      <c r="J1545" s="2" t="s">
        <v>22</v>
      </c>
      <c r="K1545" s="2" t="s">
        <v>28</v>
      </c>
    </row>
    <row r="1546" spans="1:11" x14ac:dyDescent="0.35">
      <c r="A1546" s="2" t="s">
        <v>1968</v>
      </c>
      <c r="B1546" s="3">
        <v>45479</v>
      </c>
      <c r="C1546" s="2" t="s">
        <v>626</v>
      </c>
      <c r="D1546" s="2" t="s">
        <v>44</v>
      </c>
      <c r="E1546" s="2" t="s">
        <v>61</v>
      </c>
      <c r="F1546" s="4">
        <v>9</v>
      </c>
      <c r="G1546" s="4">
        <v>960</v>
      </c>
      <c r="H1546" s="4">
        <v>2.4</v>
      </c>
      <c r="I1546" s="4">
        <v>8432.64</v>
      </c>
      <c r="J1546" s="2" t="s">
        <v>16</v>
      </c>
      <c r="K1546" s="2" t="s">
        <v>62</v>
      </c>
    </row>
    <row r="1547" spans="1:11" x14ac:dyDescent="0.35">
      <c r="A1547" s="2" t="s">
        <v>1969</v>
      </c>
      <c r="B1547" s="3">
        <v>45489</v>
      </c>
      <c r="C1547" s="2" t="s">
        <v>654</v>
      </c>
      <c r="D1547" s="2" t="s">
        <v>199</v>
      </c>
      <c r="E1547" s="2" t="s">
        <v>40</v>
      </c>
      <c r="F1547" s="4">
        <v>9</v>
      </c>
      <c r="G1547" s="4">
        <v>4610</v>
      </c>
      <c r="H1547" s="4">
        <v>21.3</v>
      </c>
      <c r="I1547" s="4">
        <v>32652.63</v>
      </c>
      <c r="J1547" s="2" t="s">
        <v>16</v>
      </c>
      <c r="K1547" s="2" t="s">
        <v>28</v>
      </c>
    </row>
    <row r="1548" spans="1:11" x14ac:dyDescent="0.35">
      <c r="A1548" s="2" t="s">
        <v>1970</v>
      </c>
      <c r="B1548" s="3">
        <v>45514</v>
      </c>
      <c r="C1548" s="2" t="s">
        <v>1001</v>
      </c>
      <c r="D1548" s="2" t="s">
        <v>31</v>
      </c>
      <c r="E1548" s="2" t="s">
        <v>77</v>
      </c>
      <c r="F1548" s="4">
        <v>1</v>
      </c>
      <c r="G1548" s="4">
        <v>3660</v>
      </c>
      <c r="H1548" s="4">
        <v>15.6</v>
      </c>
      <c r="I1548" s="4">
        <v>3089.04</v>
      </c>
      <c r="J1548" s="2" t="s">
        <v>16</v>
      </c>
      <c r="K1548" s="2" t="s">
        <v>41</v>
      </c>
    </row>
    <row r="1549" spans="1:11" x14ac:dyDescent="0.35">
      <c r="A1549" s="2" t="s">
        <v>1971</v>
      </c>
      <c r="B1549" s="3">
        <v>45653</v>
      </c>
      <c r="C1549" s="2" t="s">
        <v>234</v>
      </c>
      <c r="D1549" s="2" t="s">
        <v>208</v>
      </c>
      <c r="E1549" s="2" t="s">
        <v>254</v>
      </c>
      <c r="F1549" s="4">
        <v>5</v>
      </c>
      <c r="G1549" s="4">
        <v>2660</v>
      </c>
      <c r="H1549" s="4">
        <v>20.399999999999999</v>
      </c>
      <c r="I1549" s="4">
        <v>10586.8</v>
      </c>
      <c r="J1549" s="2" t="s">
        <v>16</v>
      </c>
      <c r="K1549" s="2" t="s">
        <v>62</v>
      </c>
    </row>
    <row r="1550" spans="1:11" x14ac:dyDescent="0.35">
      <c r="A1550" s="2" t="s">
        <v>1972</v>
      </c>
      <c r="B1550" s="3">
        <v>45401</v>
      </c>
      <c r="C1550" s="2" t="s">
        <v>797</v>
      </c>
      <c r="D1550" s="2" t="s">
        <v>188</v>
      </c>
      <c r="E1550" s="2" t="s">
        <v>130</v>
      </c>
      <c r="F1550" s="4">
        <v>8</v>
      </c>
      <c r="G1550" s="4">
        <v>1540</v>
      </c>
      <c r="H1550" s="4">
        <v>0.5</v>
      </c>
      <c r="I1550" s="4">
        <v>12258.4</v>
      </c>
      <c r="J1550" s="2" t="s">
        <v>16</v>
      </c>
      <c r="K1550" s="2" t="s">
        <v>28</v>
      </c>
    </row>
    <row r="1551" spans="1:11" x14ac:dyDescent="0.35">
      <c r="A1551" s="2" t="s">
        <v>1973</v>
      </c>
      <c r="B1551" s="3">
        <v>45621</v>
      </c>
      <c r="C1551" s="2" t="s">
        <v>436</v>
      </c>
      <c r="D1551" s="2" t="s">
        <v>337</v>
      </c>
      <c r="E1551" s="2" t="s">
        <v>68</v>
      </c>
      <c r="F1551" s="4">
        <v>4</v>
      </c>
      <c r="G1551" s="4">
        <v>3970</v>
      </c>
      <c r="H1551" s="4">
        <v>22.5</v>
      </c>
      <c r="I1551" s="4">
        <v>12307</v>
      </c>
      <c r="J1551" s="2" t="s">
        <v>16</v>
      </c>
      <c r="K1551" s="2" t="s">
        <v>17</v>
      </c>
    </row>
    <row r="1552" spans="1:11" x14ac:dyDescent="0.35">
      <c r="A1552" s="2" t="s">
        <v>1974</v>
      </c>
      <c r="B1552" s="3">
        <v>45368</v>
      </c>
      <c r="C1552" s="2" t="s">
        <v>298</v>
      </c>
      <c r="D1552" s="2" t="s">
        <v>390</v>
      </c>
      <c r="E1552" s="2" t="s">
        <v>15</v>
      </c>
      <c r="F1552" s="4">
        <v>8</v>
      </c>
      <c r="G1552" s="4">
        <v>3780</v>
      </c>
      <c r="H1552" s="4">
        <v>3.8</v>
      </c>
      <c r="I1552" s="4">
        <v>29090.880000000001</v>
      </c>
      <c r="J1552" s="2" t="s">
        <v>16</v>
      </c>
      <c r="K1552" s="2" t="s">
        <v>23</v>
      </c>
    </row>
    <row r="1553" spans="1:11" x14ac:dyDescent="0.35">
      <c r="A1553" s="2" t="s">
        <v>1975</v>
      </c>
      <c r="B1553" s="3">
        <v>45550</v>
      </c>
      <c r="C1553" s="2" t="s">
        <v>323</v>
      </c>
      <c r="D1553" s="2" t="s">
        <v>174</v>
      </c>
      <c r="E1553" s="2" t="s">
        <v>68</v>
      </c>
      <c r="F1553" s="4">
        <v>4</v>
      </c>
      <c r="G1553" s="4">
        <v>2270</v>
      </c>
      <c r="H1553" s="4">
        <v>3.8</v>
      </c>
      <c r="I1553" s="4">
        <v>8734.9599999999991</v>
      </c>
      <c r="J1553" s="2" t="s">
        <v>69</v>
      </c>
      <c r="K1553" s="2" t="s">
        <v>46</v>
      </c>
    </row>
    <row r="1554" spans="1:11" x14ac:dyDescent="0.35">
      <c r="A1554" s="2" t="s">
        <v>1976</v>
      </c>
      <c r="B1554" s="3">
        <v>45304</v>
      </c>
      <c r="C1554" s="2" t="s">
        <v>262</v>
      </c>
      <c r="D1554" s="2" t="s">
        <v>196</v>
      </c>
      <c r="E1554" s="2" t="s">
        <v>133</v>
      </c>
      <c r="F1554" s="4">
        <v>10</v>
      </c>
      <c r="G1554" s="4">
        <v>1220</v>
      </c>
      <c r="H1554" s="4">
        <v>19.5</v>
      </c>
      <c r="I1554" s="4">
        <v>9821</v>
      </c>
      <c r="J1554" s="2" t="s">
        <v>16</v>
      </c>
      <c r="K1554" s="2" t="s">
        <v>62</v>
      </c>
    </row>
    <row r="1555" spans="1:11" x14ac:dyDescent="0.35">
      <c r="A1555" s="2" t="s">
        <v>1977</v>
      </c>
      <c r="B1555" s="3">
        <v>45321</v>
      </c>
      <c r="C1555" s="2" t="s">
        <v>228</v>
      </c>
      <c r="D1555" s="2" t="s">
        <v>108</v>
      </c>
      <c r="E1555" s="2" t="s">
        <v>117</v>
      </c>
      <c r="F1555" s="4">
        <v>10</v>
      </c>
      <c r="G1555" s="4">
        <v>3350</v>
      </c>
      <c r="H1555" s="4">
        <v>7.8</v>
      </c>
      <c r="I1555" s="4">
        <v>30887</v>
      </c>
      <c r="J1555" s="2" t="s">
        <v>16</v>
      </c>
      <c r="K1555" s="2" t="s">
        <v>62</v>
      </c>
    </row>
    <row r="1556" spans="1:11" x14ac:dyDescent="0.35">
      <c r="A1556" s="2" t="s">
        <v>1978</v>
      </c>
      <c r="B1556" s="3">
        <v>45358</v>
      </c>
      <c r="C1556" s="2" t="s">
        <v>1979</v>
      </c>
      <c r="D1556" s="2" t="s">
        <v>108</v>
      </c>
      <c r="E1556" s="2" t="s">
        <v>99</v>
      </c>
      <c r="F1556" s="4">
        <v>7</v>
      </c>
      <c r="G1556" s="4">
        <v>3350</v>
      </c>
      <c r="H1556" s="4">
        <v>14.5</v>
      </c>
      <c r="I1556" s="4">
        <v>20049.75</v>
      </c>
      <c r="J1556" s="2" t="s">
        <v>16</v>
      </c>
      <c r="K1556" s="2" t="s">
        <v>46</v>
      </c>
    </row>
    <row r="1557" spans="1:11" x14ac:dyDescent="0.35">
      <c r="A1557" s="2" t="s">
        <v>1980</v>
      </c>
      <c r="B1557" s="3">
        <v>45440</v>
      </c>
      <c r="C1557" s="2" t="s">
        <v>146</v>
      </c>
      <c r="D1557" s="2" t="s">
        <v>53</v>
      </c>
      <c r="E1557" s="2" t="s">
        <v>27</v>
      </c>
      <c r="F1557" s="4">
        <v>6</v>
      </c>
      <c r="G1557" s="4">
        <v>5490</v>
      </c>
      <c r="H1557" s="4">
        <v>8</v>
      </c>
      <c r="I1557" s="4">
        <v>30304.799999999999</v>
      </c>
      <c r="J1557" s="2" t="s">
        <v>16</v>
      </c>
      <c r="K1557" s="2" t="s">
        <v>23</v>
      </c>
    </row>
    <row r="1558" spans="1:11" x14ac:dyDescent="0.35">
      <c r="A1558" s="2" t="s">
        <v>1981</v>
      </c>
      <c r="B1558" s="3">
        <v>45618</v>
      </c>
      <c r="C1558" s="2" t="s">
        <v>1982</v>
      </c>
      <c r="D1558" s="2" t="s">
        <v>124</v>
      </c>
      <c r="E1558" s="2" t="s">
        <v>232</v>
      </c>
      <c r="F1558" s="4">
        <v>3</v>
      </c>
      <c r="G1558" s="4">
        <v>2860</v>
      </c>
      <c r="H1558" s="4">
        <v>19.899999999999999</v>
      </c>
      <c r="I1558" s="4">
        <v>6872.58</v>
      </c>
      <c r="J1558" s="2" t="s">
        <v>16</v>
      </c>
      <c r="K1558" s="2" t="s">
        <v>62</v>
      </c>
    </row>
    <row r="1559" spans="1:11" x14ac:dyDescent="0.35">
      <c r="A1559" s="2" t="s">
        <v>1983</v>
      </c>
      <c r="B1559" s="3">
        <v>45295</v>
      </c>
      <c r="C1559" s="2" t="s">
        <v>646</v>
      </c>
      <c r="D1559" s="2" t="s">
        <v>64</v>
      </c>
      <c r="E1559" s="2" t="s">
        <v>45</v>
      </c>
      <c r="F1559" s="4">
        <v>3</v>
      </c>
      <c r="G1559" s="4">
        <v>2640</v>
      </c>
      <c r="H1559" s="4">
        <v>29.3</v>
      </c>
      <c r="I1559" s="4">
        <v>5599.44</v>
      </c>
      <c r="J1559" s="2" t="s">
        <v>16</v>
      </c>
      <c r="K1559" s="2" t="s">
        <v>23</v>
      </c>
    </row>
    <row r="1560" spans="1:11" x14ac:dyDescent="0.35">
      <c r="A1560" s="2" t="s">
        <v>1984</v>
      </c>
      <c r="B1560" s="3">
        <v>45384</v>
      </c>
      <c r="C1560" s="2" t="s">
        <v>470</v>
      </c>
      <c r="D1560" s="2" t="s">
        <v>381</v>
      </c>
      <c r="E1560" s="2" t="s">
        <v>158</v>
      </c>
      <c r="F1560" s="4">
        <v>8</v>
      </c>
      <c r="G1560" s="4">
        <v>3450</v>
      </c>
      <c r="H1560" s="4">
        <v>15.2</v>
      </c>
      <c r="I1560" s="4">
        <v>23404.799999999999</v>
      </c>
      <c r="J1560" s="2" t="s">
        <v>69</v>
      </c>
      <c r="K1560" s="2" t="s">
        <v>23</v>
      </c>
    </row>
    <row r="1561" spans="1:11" x14ac:dyDescent="0.35">
      <c r="A1561" s="2" t="s">
        <v>1985</v>
      </c>
      <c r="B1561" s="3">
        <v>45349</v>
      </c>
      <c r="C1561" s="2" t="s">
        <v>797</v>
      </c>
      <c r="D1561" s="2" t="s">
        <v>39</v>
      </c>
      <c r="E1561" s="2" t="s">
        <v>40</v>
      </c>
      <c r="F1561" s="4">
        <v>6</v>
      </c>
      <c r="G1561" s="4">
        <v>370</v>
      </c>
      <c r="H1561" s="4">
        <v>7</v>
      </c>
      <c r="I1561" s="4">
        <v>2064.6</v>
      </c>
      <c r="J1561" s="2" t="s">
        <v>16</v>
      </c>
      <c r="K1561" s="2" t="s">
        <v>28</v>
      </c>
    </row>
    <row r="1562" spans="1:11" x14ac:dyDescent="0.35">
      <c r="A1562" s="2" t="s">
        <v>1986</v>
      </c>
      <c r="B1562" s="3">
        <v>45439</v>
      </c>
      <c r="C1562" s="2" t="s">
        <v>279</v>
      </c>
      <c r="D1562" s="2" t="s">
        <v>280</v>
      </c>
      <c r="E1562" s="2" t="s">
        <v>158</v>
      </c>
      <c r="F1562" s="4">
        <v>10</v>
      </c>
      <c r="G1562" s="4">
        <v>4060</v>
      </c>
      <c r="H1562" s="4">
        <v>4.7</v>
      </c>
      <c r="I1562" s="4">
        <v>38691.800000000003</v>
      </c>
      <c r="J1562" s="2" t="s">
        <v>69</v>
      </c>
      <c r="K1562" s="2" t="s">
        <v>41</v>
      </c>
    </row>
    <row r="1563" spans="1:11" x14ac:dyDescent="0.35">
      <c r="A1563" s="2" t="s">
        <v>1987</v>
      </c>
      <c r="B1563" s="3">
        <v>45426</v>
      </c>
      <c r="C1563" s="2" t="s">
        <v>967</v>
      </c>
      <c r="D1563" s="2" t="s">
        <v>177</v>
      </c>
      <c r="E1563" s="2" t="s">
        <v>45</v>
      </c>
      <c r="F1563" s="4">
        <v>1</v>
      </c>
      <c r="G1563" s="4">
        <v>3870</v>
      </c>
      <c r="H1563" s="4">
        <v>18.2</v>
      </c>
      <c r="I1563" s="4">
        <v>3165.66</v>
      </c>
      <c r="J1563" s="2" t="s">
        <v>22</v>
      </c>
      <c r="K1563" s="2" t="s">
        <v>46</v>
      </c>
    </row>
    <row r="1564" spans="1:11" x14ac:dyDescent="0.35">
      <c r="A1564" s="2" t="s">
        <v>1988</v>
      </c>
      <c r="B1564" s="3">
        <v>45385</v>
      </c>
      <c r="C1564" s="2" t="s">
        <v>1025</v>
      </c>
      <c r="D1564" s="2" t="s">
        <v>293</v>
      </c>
      <c r="E1564" s="2" t="s">
        <v>32</v>
      </c>
      <c r="F1564" s="4">
        <v>1</v>
      </c>
      <c r="G1564" s="4">
        <v>5330</v>
      </c>
      <c r="H1564" s="4">
        <v>3.9</v>
      </c>
      <c r="I1564" s="4">
        <v>5122.13</v>
      </c>
      <c r="J1564" s="2" t="s">
        <v>73</v>
      </c>
      <c r="K1564" s="2" t="s">
        <v>17</v>
      </c>
    </row>
    <row r="1565" spans="1:11" x14ac:dyDescent="0.35">
      <c r="A1565" s="2" t="s">
        <v>1989</v>
      </c>
      <c r="B1565" s="3">
        <v>45312</v>
      </c>
      <c r="C1565" s="2" t="s">
        <v>584</v>
      </c>
      <c r="D1565" s="2" t="s">
        <v>39</v>
      </c>
      <c r="E1565" s="2" t="s">
        <v>121</v>
      </c>
      <c r="F1565" s="4">
        <v>8</v>
      </c>
      <c r="G1565" s="4">
        <v>370</v>
      </c>
      <c r="H1565" s="4">
        <v>1.3</v>
      </c>
      <c r="I1565" s="4">
        <v>2921.52</v>
      </c>
      <c r="J1565" s="2" t="s">
        <v>16</v>
      </c>
      <c r="K1565" s="2" t="s">
        <v>62</v>
      </c>
    </row>
    <row r="1566" spans="1:11" x14ac:dyDescent="0.35">
      <c r="A1566" s="2" t="s">
        <v>1990</v>
      </c>
      <c r="B1566" s="3">
        <v>45622</v>
      </c>
      <c r="C1566" s="2" t="s">
        <v>394</v>
      </c>
      <c r="D1566" s="2" t="s">
        <v>211</v>
      </c>
      <c r="E1566" s="2" t="s">
        <v>121</v>
      </c>
      <c r="F1566" s="4">
        <v>7</v>
      </c>
      <c r="G1566" s="4">
        <v>300</v>
      </c>
      <c r="H1566" s="4">
        <v>7.1</v>
      </c>
      <c r="I1566" s="4">
        <v>1950.9</v>
      </c>
      <c r="J1566" s="2" t="s">
        <v>16</v>
      </c>
      <c r="K1566" s="2" t="s">
        <v>41</v>
      </c>
    </row>
    <row r="1567" spans="1:11" x14ac:dyDescent="0.35">
      <c r="A1567" s="2" t="s">
        <v>1991</v>
      </c>
      <c r="B1567" s="3">
        <v>45508</v>
      </c>
      <c r="C1567" s="2" t="s">
        <v>544</v>
      </c>
      <c r="D1567" s="2" t="s">
        <v>108</v>
      </c>
      <c r="E1567" s="2" t="s">
        <v>254</v>
      </c>
      <c r="F1567" s="4">
        <v>8</v>
      </c>
      <c r="G1567" s="4">
        <v>3350</v>
      </c>
      <c r="H1567" s="4">
        <v>11.2</v>
      </c>
      <c r="I1567" s="4">
        <v>23798.400000000001</v>
      </c>
      <c r="J1567" s="2" t="s">
        <v>16</v>
      </c>
      <c r="K1567" s="2" t="s">
        <v>41</v>
      </c>
    </row>
    <row r="1568" spans="1:11" x14ac:dyDescent="0.35">
      <c r="A1568" s="2" t="s">
        <v>1992</v>
      </c>
      <c r="B1568" s="3">
        <v>45528</v>
      </c>
      <c r="C1568" s="2" t="s">
        <v>1237</v>
      </c>
      <c r="D1568" s="2" t="s">
        <v>444</v>
      </c>
      <c r="E1568" s="2" t="s">
        <v>133</v>
      </c>
      <c r="F1568" s="4">
        <v>6</v>
      </c>
      <c r="G1568" s="4">
        <v>6940</v>
      </c>
      <c r="H1568" s="4">
        <v>0.3</v>
      </c>
      <c r="I1568" s="4">
        <v>41515.08</v>
      </c>
      <c r="J1568" s="2" t="s">
        <v>16</v>
      </c>
      <c r="K1568" s="2" t="s">
        <v>23</v>
      </c>
    </row>
    <row r="1569" spans="1:11" x14ac:dyDescent="0.35">
      <c r="A1569" s="2" t="s">
        <v>1993</v>
      </c>
      <c r="B1569" s="3">
        <v>45483</v>
      </c>
      <c r="C1569" s="2" t="s">
        <v>681</v>
      </c>
      <c r="D1569" s="2" t="s">
        <v>309</v>
      </c>
      <c r="E1569" s="2" t="s">
        <v>36</v>
      </c>
      <c r="F1569" s="4">
        <v>10</v>
      </c>
      <c r="G1569" s="4">
        <v>960</v>
      </c>
      <c r="H1569" s="4">
        <v>9.3000000000000007</v>
      </c>
      <c r="I1569" s="4">
        <v>8707.2000000000007</v>
      </c>
      <c r="J1569" s="2" t="s">
        <v>69</v>
      </c>
      <c r="K1569" s="2" t="s">
        <v>46</v>
      </c>
    </row>
    <row r="1570" spans="1:11" x14ac:dyDescent="0.35">
      <c r="A1570" s="2" t="s">
        <v>1994</v>
      </c>
      <c r="B1570" s="3">
        <v>45625</v>
      </c>
      <c r="C1570" s="2" t="s">
        <v>1279</v>
      </c>
      <c r="D1570" s="2" t="s">
        <v>129</v>
      </c>
      <c r="E1570" s="2" t="s">
        <v>87</v>
      </c>
      <c r="F1570" s="4">
        <v>10</v>
      </c>
      <c r="G1570" s="4">
        <v>2760</v>
      </c>
      <c r="H1570" s="4">
        <v>17.2</v>
      </c>
      <c r="I1570" s="4">
        <v>22852.799999999999</v>
      </c>
      <c r="J1570" s="2" t="s">
        <v>16</v>
      </c>
      <c r="K1570" s="2" t="s">
        <v>41</v>
      </c>
    </row>
    <row r="1571" spans="1:11" x14ac:dyDescent="0.35">
      <c r="A1571" s="2" t="s">
        <v>1995</v>
      </c>
      <c r="B1571" s="3">
        <v>45358</v>
      </c>
      <c r="C1571" s="2" t="s">
        <v>160</v>
      </c>
      <c r="D1571" s="2" t="s">
        <v>60</v>
      </c>
      <c r="E1571" s="2" t="s">
        <v>130</v>
      </c>
      <c r="F1571" s="4">
        <v>4</v>
      </c>
      <c r="G1571" s="4">
        <v>2270</v>
      </c>
      <c r="H1571" s="4">
        <v>26.8</v>
      </c>
      <c r="I1571" s="4">
        <v>6646.56</v>
      </c>
      <c r="J1571" s="2" t="s">
        <v>16</v>
      </c>
      <c r="K1571" s="2" t="s">
        <v>46</v>
      </c>
    </row>
    <row r="1572" spans="1:11" x14ac:dyDescent="0.35">
      <c r="A1572" s="2" t="s">
        <v>1996</v>
      </c>
      <c r="B1572" s="3">
        <v>45342</v>
      </c>
      <c r="C1572" s="2" t="s">
        <v>347</v>
      </c>
      <c r="D1572" s="2" t="s">
        <v>67</v>
      </c>
      <c r="E1572" s="2" t="s">
        <v>87</v>
      </c>
      <c r="F1572" s="4">
        <v>2</v>
      </c>
      <c r="G1572" s="4">
        <v>2600</v>
      </c>
      <c r="H1572" s="4">
        <v>27</v>
      </c>
      <c r="I1572" s="4">
        <v>3796</v>
      </c>
      <c r="J1572" s="2" t="s">
        <v>16</v>
      </c>
      <c r="K1572" s="2" t="s">
        <v>62</v>
      </c>
    </row>
    <row r="1573" spans="1:11" x14ac:dyDescent="0.35">
      <c r="A1573" s="2" t="s">
        <v>1997</v>
      </c>
      <c r="B1573" s="3">
        <v>45304</v>
      </c>
      <c r="C1573" s="2" t="s">
        <v>912</v>
      </c>
      <c r="D1573" s="2" t="s">
        <v>116</v>
      </c>
      <c r="E1573" s="2" t="s">
        <v>45</v>
      </c>
      <c r="F1573" s="4">
        <v>4</v>
      </c>
      <c r="G1573" s="4">
        <v>3570</v>
      </c>
      <c r="H1573" s="4">
        <v>12.3</v>
      </c>
      <c r="I1573" s="4">
        <v>12523.56</v>
      </c>
      <c r="J1573" s="2" t="s">
        <v>16</v>
      </c>
      <c r="K1573" s="2" t="s">
        <v>46</v>
      </c>
    </row>
    <row r="1574" spans="1:11" x14ac:dyDescent="0.35">
      <c r="A1574" s="2" t="s">
        <v>1998</v>
      </c>
      <c r="B1574" s="3">
        <v>45316</v>
      </c>
      <c r="C1574" s="2" t="s">
        <v>482</v>
      </c>
      <c r="D1574" s="2" t="s">
        <v>372</v>
      </c>
      <c r="E1574" s="2" t="s">
        <v>275</v>
      </c>
      <c r="F1574" s="4">
        <v>5</v>
      </c>
      <c r="G1574" s="4">
        <v>5080</v>
      </c>
      <c r="H1574" s="4">
        <v>1.3</v>
      </c>
      <c r="I1574" s="4">
        <v>25069.8</v>
      </c>
      <c r="J1574" s="2" t="s">
        <v>16</v>
      </c>
      <c r="K1574" s="2" t="s">
        <v>41</v>
      </c>
    </row>
    <row r="1575" spans="1:11" x14ac:dyDescent="0.35">
      <c r="A1575" s="2" t="s">
        <v>1999</v>
      </c>
      <c r="B1575" s="3">
        <v>45340</v>
      </c>
      <c r="C1575" s="2" t="s">
        <v>899</v>
      </c>
      <c r="D1575" s="2" t="s">
        <v>309</v>
      </c>
      <c r="E1575" s="2" t="s">
        <v>275</v>
      </c>
      <c r="F1575" s="4">
        <v>5</v>
      </c>
      <c r="G1575" s="4">
        <v>960</v>
      </c>
      <c r="H1575" s="4">
        <v>25.2</v>
      </c>
      <c r="I1575" s="4">
        <v>3590.4</v>
      </c>
      <c r="J1575" s="2" t="s">
        <v>16</v>
      </c>
      <c r="K1575" s="2" t="s">
        <v>41</v>
      </c>
    </row>
    <row r="1576" spans="1:11" x14ac:dyDescent="0.35">
      <c r="A1576" s="2" t="s">
        <v>2000</v>
      </c>
      <c r="B1576" s="3">
        <v>45604</v>
      </c>
      <c r="C1576" s="2" t="s">
        <v>807</v>
      </c>
      <c r="D1576" s="2" t="s">
        <v>26</v>
      </c>
      <c r="E1576" s="2" t="s">
        <v>61</v>
      </c>
      <c r="F1576" s="4">
        <v>7</v>
      </c>
      <c r="G1576" s="4">
        <v>470</v>
      </c>
      <c r="H1576" s="4">
        <v>21.6</v>
      </c>
      <c r="I1576" s="4">
        <v>2579.36</v>
      </c>
      <c r="J1576" s="2" t="s">
        <v>16</v>
      </c>
      <c r="K1576" s="2" t="s">
        <v>41</v>
      </c>
    </row>
    <row r="1577" spans="1:11" x14ac:dyDescent="0.35">
      <c r="A1577" s="2" t="s">
        <v>2001</v>
      </c>
      <c r="B1577" s="3">
        <v>45625</v>
      </c>
      <c r="C1577" s="2" t="s">
        <v>634</v>
      </c>
      <c r="D1577" s="2" t="s">
        <v>196</v>
      </c>
      <c r="E1577" s="2" t="s">
        <v>272</v>
      </c>
      <c r="F1577" s="4">
        <v>4</v>
      </c>
      <c r="G1577" s="4">
        <v>1220</v>
      </c>
      <c r="H1577" s="4">
        <v>12.6</v>
      </c>
      <c r="I1577" s="4">
        <v>4265.12</v>
      </c>
      <c r="J1577" s="2" t="s">
        <v>16</v>
      </c>
      <c r="K1577" s="2" t="s">
        <v>28</v>
      </c>
    </row>
    <row r="1578" spans="1:11" x14ac:dyDescent="0.35">
      <c r="A1578" s="2" t="s">
        <v>2002</v>
      </c>
      <c r="B1578" s="3">
        <v>45293</v>
      </c>
      <c r="C1578" s="2" t="s">
        <v>542</v>
      </c>
      <c r="D1578" s="2" t="s">
        <v>111</v>
      </c>
      <c r="E1578" s="2" t="s">
        <v>36</v>
      </c>
      <c r="F1578" s="4">
        <v>4</v>
      </c>
      <c r="G1578" s="4">
        <v>1010</v>
      </c>
      <c r="H1578" s="4">
        <v>11.3</v>
      </c>
      <c r="I1578" s="4">
        <v>3583.48</v>
      </c>
      <c r="J1578" s="2" t="s">
        <v>16</v>
      </c>
      <c r="K1578" s="2" t="s">
        <v>41</v>
      </c>
    </row>
    <row r="1579" spans="1:11" x14ac:dyDescent="0.35">
      <c r="A1579" s="2" t="s">
        <v>2003</v>
      </c>
      <c r="B1579" s="3">
        <v>45454</v>
      </c>
      <c r="C1579" s="2" t="s">
        <v>262</v>
      </c>
      <c r="D1579" s="2" t="s">
        <v>31</v>
      </c>
      <c r="E1579" s="2" t="s">
        <v>21</v>
      </c>
      <c r="F1579" s="4">
        <v>4</v>
      </c>
      <c r="G1579" s="4">
        <v>3660</v>
      </c>
      <c r="H1579" s="4">
        <v>7.2</v>
      </c>
      <c r="I1579" s="4">
        <v>13585.92</v>
      </c>
      <c r="J1579" s="2" t="s">
        <v>16</v>
      </c>
      <c r="K1579" s="2" t="s">
        <v>62</v>
      </c>
    </row>
    <row r="1580" spans="1:11" x14ac:dyDescent="0.35">
      <c r="A1580" s="2" t="s">
        <v>2004</v>
      </c>
      <c r="B1580" s="3">
        <v>45345</v>
      </c>
      <c r="C1580" s="2" t="s">
        <v>724</v>
      </c>
      <c r="D1580" s="2" t="s">
        <v>53</v>
      </c>
      <c r="E1580" s="2" t="s">
        <v>61</v>
      </c>
      <c r="F1580" s="4">
        <v>4</v>
      </c>
      <c r="G1580" s="4">
        <v>5490</v>
      </c>
      <c r="H1580" s="4">
        <v>8</v>
      </c>
      <c r="I1580" s="4">
        <v>20203.2</v>
      </c>
      <c r="J1580" s="2" t="s">
        <v>16</v>
      </c>
      <c r="K1580" s="2" t="s">
        <v>23</v>
      </c>
    </row>
    <row r="1581" spans="1:11" x14ac:dyDescent="0.35">
      <c r="A1581" s="2" t="s">
        <v>2005</v>
      </c>
      <c r="B1581" s="3">
        <v>45645</v>
      </c>
      <c r="C1581" s="2" t="s">
        <v>356</v>
      </c>
      <c r="D1581" s="2" t="s">
        <v>174</v>
      </c>
      <c r="E1581" s="2" t="s">
        <v>77</v>
      </c>
      <c r="F1581" s="4">
        <v>6</v>
      </c>
      <c r="G1581" s="4">
        <v>2270</v>
      </c>
      <c r="H1581" s="4">
        <v>17.100000000000001</v>
      </c>
      <c r="I1581" s="4">
        <v>11290.98</v>
      </c>
      <c r="J1581" s="2" t="s">
        <v>16</v>
      </c>
      <c r="K1581" s="2" t="s">
        <v>17</v>
      </c>
    </row>
    <row r="1582" spans="1:11" x14ac:dyDescent="0.35">
      <c r="A1582" s="2" t="s">
        <v>2006</v>
      </c>
      <c r="B1582" s="3">
        <v>45588</v>
      </c>
      <c r="C1582" s="2" t="s">
        <v>210</v>
      </c>
      <c r="D1582" s="2" t="s">
        <v>174</v>
      </c>
      <c r="E1582" s="2" t="s">
        <v>117</v>
      </c>
      <c r="F1582" s="4">
        <v>8</v>
      </c>
      <c r="G1582" s="4">
        <v>2270</v>
      </c>
      <c r="H1582" s="4">
        <v>11.9</v>
      </c>
      <c r="I1582" s="4">
        <v>15998.96</v>
      </c>
      <c r="J1582" s="2" t="s">
        <v>22</v>
      </c>
      <c r="K1582" s="2" t="s">
        <v>17</v>
      </c>
    </row>
    <row r="1583" spans="1:11" x14ac:dyDescent="0.35">
      <c r="A1583" s="2" t="s">
        <v>2007</v>
      </c>
      <c r="B1583" s="3">
        <v>45592</v>
      </c>
      <c r="C1583" s="2" t="s">
        <v>245</v>
      </c>
      <c r="D1583" s="2" t="s">
        <v>67</v>
      </c>
      <c r="E1583" s="2" t="s">
        <v>232</v>
      </c>
      <c r="F1583" s="4">
        <v>6</v>
      </c>
      <c r="G1583" s="4">
        <v>2600</v>
      </c>
      <c r="H1583" s="4">
        <v>5.0999999999999996</v>
      </c>
      <c r="I1583" s="4">
        <v>14804.4</v>
      </c>
      <c r="J1583" s="2" t="s">
        <v>16</v>
      </c>
      <c r="K1583" s="2" t="s">
        <v>17</v>
      </c>
    </row>
    <row r="1584" spans="1:11" x14ac:dyDescent="0.35">
      <c r="A1584" s="2" t="s">
        <v>2008</v>
      </c>
      <c r="B1584" s="3">
        <v>45403</v>
      </c>
      <c r="C1584" s="2" t="s">
        <v>98</v>
      </c>
      <c r="D1584" s="2" t="s">
        <v>177</v>
      </c>
      <c r="E1584" s="2" t="s">
        <v>272</v>
      </c>
      <c r="F1584" s="4">
        <v>9</v>
      </c>
      <c r="G1584" s="4">
        <v>3870</v>
      </c>
      <c r="H1584" s="4">
        <v>1.8</v>
      </c>
      <c r="I1584" s="4">
        <v>34203.06</v>
      </c>
      <c r="J1584" s="2" t="s">
        <v>69</v>
      </c>
      <c r="K1584" s="2" t="s">
        <v>41</v>
      </c>
    </row>
    <row r="1585" spans="1:11" x14ac:dyDescent="0.35">
      <c r="A1585" s="2" t="s">
        <v>2009</v>
      </c>
      <c r="B1585" s="3">
        <v>45459</v>
      </c>
      <c r="C1585" s="2" t="s">
        <v>336</v>
      </c>
      <c r="D1585" s="2" t="s">
        <v>337</v>
      </c>
      <c r="E1585" s="2" t="s">
        <v>32</v>
      </c>
      <c r="F1585" s="4">
        <v>3</v>
      </c>
      <c r="G1585" s="4">
        <v>3970</v>
      </c>
      <c r="H1585" s="4">
        <v>8.1999999999999993</v>
      </c>
      <c r="I1585" s="4">
        <v>10933.38</v>
      </c>
      <c r="J1585" s="2" t="s">
        <v>16</v>
      </c>
      <c r="K1585" s="2" t="s">
        <v>17</v>
      </c>
    </row>
    <row r="1586" spans="1:11" x14ac:dyDescent="0.35">
      <c r="A1586" s="2" t="s">
        <v>2010</v>
      </c>
      <c r="B1586" s="3">
        <v>45438</v>
      </c>
      <c r="C1586" s="2" t="s">
        <v>213</v>
      </c>
      <c r="D1586" s="2" t="s">
        <v>309</v>
      </c>
      <c r="E1586" s="2" t="s">
        <v>57</v>
      </c>
      <c r="F1586" s="4">
        <v>9</v>
      </c>
      <c r="G1586" s="4">
        <v>960</v>
      </c>
      <c r="H1586" s="4">
        <v>21.7</v>
      </c>
      <c r="I1586" s="4">
        <v>6765.12</v>
      </c>
      <c r="J1586" s="2" t="s">
        <v>69</v>
      </c>
      <c r="K1586" s="2" t="s">
        <v>23</v>
      </c>
    </row>
    <row r="1587" spans="1:11" x14ac:dyDescent="0.35">
      <c r="A1587" s="2" t="s">
        <v>2011</v>
      </c>
      <c r="B1587" s="3">
        <v>45632</v>
      </c>
      <c r="C1587" s="2" t="s">
        <v>726</v>
      </c>
      <c r="D1587" s="2" t="s">
        <v>289</v>
      </c>
      <c r="E1587" s="2" t="s">
        <v>40</v>
      </c>
      <c r="F1587" s="4">
        <v>3</v>
      </c>
      <c r="G1587" s="4">
        <v>5410</v>
      </c>
      <c r="H1587" s="4">
        <v>20.3</v>
      </c>
      <c r="I1587" s="4">
        <v>12935.31</v>
      </c>
      <c r="J1587" s="2" t="s">
        <v>16</v>
      </c>
      <c r="K1587" s="2" t="s">
        <v>28</v>
      </c>
    </row>
    <row r="1588" spans="1:11" x14ac:dyDescent="0.35">
      <c r="A1588" s="2" t="s">
        <v>2012</v>
      </c>
      <c r="B1588" s="3">
        <v>45579</v>
      </c>
      <c r="C1588" s="2" t="s">
        <v>815</v>
      </c>
      <c r="D1588" s="2" t="s">
        <v>381</v>
      </c>
      <c r="E1588" s="2" t="s">
        <v>21</v>
      </c>
      <c r="F1588" s="4">
        <v>3</v>
      </c>
      <c r="G1588" s="4">
        <v>3450</v>
      </c>
      <c r="H1588" s="4">
        <v>11.6</v>
      </c>
      <c r="I1588" s="4">
        <v>9149.4</v>
      </c>
      <c r="J1588" s="2" t="s">
        <v>16</v>
      </c>
      <c r="K1588" s="2" t="s">
        <v>23</v>
      </c>
    </row>
    <row r="1589" spans="1:11" x14ac:dyDescent="0.35">
      <c r="A1589" s="2" t="s">
        <v>2013</v>
      </c>
      <c r="B1589" s="3">
        <v>45392</v>
      </c>
      <c r="C1589" s="2" t="s">
        <v>152</v>
      </c>
      <c r="D1589" s="2" t="s">
        <v>205</v>
      </c>
      <c r="E1589" s="2" t="s">
        <v>36</v>
      </c>
      <c r="F1589" s="4">
        <v>2</v>
      </c>
      <c r="G1589" s="4">
        <v>3020</v>
      </c>
      <c r="H1589" s="4">
        <v>20.8</v>
      </c>
      <c r="I1589" s="4">
        <v>4783.68</v>
      </c>
      <c r="J1589" s="2" t="s">
        <v>22</v>
      </c>
      <c r="K1589" s="2" t="s">
        <v>28</v>
      </c>
    </row>
    <row r="1590" spans="1:11" x14ac:dyDescent="0.35">
      <c r="A1590" s="2" t="s">
        <v>2014</v>
      </c>
      <c r="B1590" s="3">
        <v>45563</v>
      </c>
      <c r="C1590" s="2" t="s">
        <v>991</v>
      </c>
      <c r="D1590" s="2" t="s">
        <v>76</v>
      </c>
      <c r="E1590" s="2" t="s">
        <v>226</v>
      </c>
      <c r="F1590" s="4">
        <v>3</v>
      </c>
      <c r="G1590" s="4">
        <v>190</v>
      </c>
      <c r="H1590" s="4">
        <v>10.7</v>
      </c>
      <c r="I1590" s="4">
        <v>509.01</v>
      </c>
      <c r="J1590" s="2" t="s">
        <v>16</v>
      </c>
      <c r="K1590" s="2" t="s">
        <v>41</v>
      </c>
    </row>
    <row r="1591" spans="1:11" x14ac:dyDescent="0.35">
      <c r="A1591" s="2" t="s">
        <v>2015</v>
      </c>
      <c r="B1591" s="3">
        <v>45294</v>
      </c>
      <c r="C1591" s="2" t="s">
        <v>123</v>
      </c>
      <c r="D1591" s="2" t="s">
        <v>155</v>
      </c>
      <c r="E1591" s="2" t="s">
        <v>254</v>
      </c>
      <c r="F1591" s="4">
        <v>4</v>
      </c>
      <c r="G1591" s="4">
        <v>3730</v>
      </c>
      <c r="H1591" s="4">
        <v>6.9</v>
      </c>
      <c r="I1591" s="4">
        <v>13890.52</v>
      </c>
      <c r="J1591" s="2" t="s">
        <v>16</v>
      </c>
      <c r="K1591" s="2" t="s">
        <v>17</v>
      </c>
    </row>
    <row r="1592" spans="1:11" x14ac:dyDescent="0.35">
      <c r="A1592" s="2" t="s">
        <v>2016</v>
      </c>
      <c r="B1592" s="3">
        <v>45503</v>
      </c>
      <c r="C1592" s="2" t="s">
        <v>956</v>
      </c>
      <c r="D1592" s="2" t="s">
        <v>90</v>
      </c>
      <c r="E1592" s="2" t="s">
        <v>40</v>
      </c>
      <c r="F1592" s="4">
        <v>9</v>
      </c>
      <c r="G1592" s="4">
        <v>3450</v>
      </c>
      <c r="H1592" s="4">
        <v>22.2</v>
      </c>
      <c r="I1592" s="4">
        <v>24156.9</v>
      </c>
      <c r="J1592" s="2" t="s">
        <v>69</v>
      </c>
      <c r="K1592" s="2" t="s">
        <v>41</v>
      </c>
    </row>
    <row r="1593" spans="1:11" x14ac:dyDescent="0.35">
      <c r="A1593" s="2" t="s">
        <v>2017</v>
      </c>
      <c r="B1593" s="3">
        <v>45336</v>
      </c>
      <c r="C1593" s="2" t="s">
        <v>433</v>
      </c>
      <c r="D1593" s="2" t="s">
        <v>337</v>
      </c>
      <c r="E1593" s="2" t="s">
        <v>226</v>
      </c>
      <c r="F1593" s="4">
        <v>3</v>
      </c>
      <c r="G1593" s="4">
        <v>3970</v>
      </c>
      <c r="H1593" s="4">
        <v>6.8</v>
      </c>
      <c r="I1593" s="4">
        <v>11100.12</v>
      </c>
      <c r="J1593" s="2" t="s">
        <v>16</v>
      </c>
      <c r="K1593" s="2" t="s">
        <v>46</v>
      </c>
    </row>
    <row r="1594" spans="1:11" x14ac:dyDescent="0.35">
      <c r="A1594" s="2" t="s">
        <v>2018</v>
      </c>
      <c r="B1594" s="3">
        <v>45462</v>
      </c>
      <c r="C1594" s="2" t="s">
        <v>535</v>
      </c>
      <c r="D1594" s="2" t="s">
        <v>431</v>
      </c>
      <c r="E1594" s="2" t="s">
        <v>214</v>
      </c>
      <c r="F1594" s="4">
        <v>3</v>
      </c>
      <c r="G1594" s="4">
        <v>1090</v>
      </c>
      <c r="H1594" s="4">
        <v>23.7</v>
      </c>
      <c r="I1594" s="4">
        <v>2495.0100000000002</v>
      </c>
      <c r="J1594" s="2" t="s">
        <v>16</v>
      </c>
      <c r="K1594" s="2" t="s">
        <v>41</v>
      </c>
    </row>
    <row r="1595" spans="1:11" x14ac:dyDescent="0.35">
      <c r="A1595" s="2" t="s">
        <v>2019</v>
      </c>
      <c r="B1595" s="3">
        <v>45300</v>
      </c>
      <c r="C1595" s="2" t="s">
        <v>408</v>
      </c>
      <c r="D1595" s="2" t="s">
        <v>224</v>
      </c>
      <c r="E1595" s="2" t="s">
        <v>83</v>
      </c>
      <c r="F1595" s="4">
        <v>3</v>
      </c>
      <c r="G1595" s="4">
        <v>2030</v>
      </c>
      <c r="H1595" s="4">
        <v>18.8</v>
      </c>
      <c r="I1595" s="4">
        <v>4945.08</v>
      </c>
      <c r="J1595" s="2" t="s">
        <v>16</v>
      </c>
      <c r="K1595" s="2" t="s">
        <v>17</v>
      </c>
    </row>
    <row r="1596" spans="1:11" x14ac:dyDescent="0.35">
      <c r="A1596" s="2" t="s">
        <v>2020</v>
      </c>
      <c r="B1596" s="3">
        <v>45367</v>
      </c>
      <c r="C1596" s="2" t="s">
        <v>550</v>
      </c>
      <c r="D1596" s="2" t="s">
        <v>193</v>
      </c>
      <c r="E1596" s="2" t="s">
        <v>36</v>
      </c>
      <c r="F1596" s="4">
        <v>2</v>
      </c>
      <c r="G1596" s="4">
        <v>4070</v>
      </c>
      <c r="H1596" s="4">
        <v>14.3</v>
      </c>
      <c r="I1596" s="4">
        <v>6975.98</v>
      </c>
      <c r="J1596" s="2" t="s">
        <v>16</v>
      </c>
      <c r="K1596" s="2" t="s">
        <v>2021</v>
      </c>
    </row>
    <row r="1597" spans="1:11" x14ac:dyDescent="0.35">
      <c r="A1597" s="2" t="s">
        <v>2022</v>
      </c>
      <c r="B1597" s="3">
        <v>45410</v>
      </c>
      <c r="C1597" s="2" t="s">
        <v>1109</v>
      </c>
      <c r="D1597" s="2" t="s">
        <v>14</v>
      </c>
      <c r="E1597" s="2" t="s">
        <v>57</v>
      </c>
      <c r="F1597" s="4">
        <v>3</v>
      </c>
      <c r="G1597" s="4">
        <v>3620</v>
      </c>
      <c r="H1597" s="4">
        <v>13.5</v>
      </c>
      <c r="I1597" s="4">
        <v>9393.9</v>
      </c>
      <c r="J1597" s="2" t="s">
        <v>16</v>
      </c>
      <c r="K1597" s="2" t="s">
        <v>23</v>
      </c>
    </row>
    <row r="1598" spans="1:11" x14ac:dyDescent="0.35">
      <c r="A1598" s="2" t="s">
        <v>2023</v>
      </c>
      <c r="B1598" s="3">
        <v>45623</v>
      </c>
      <c r="C1598" s="2" t="s">
        <v>714</v>
      </c>
      <c r="D1598" s="2" t="s">
        <v>111</v>
      </c>
      <c r="E1598" s="2" t="s">
        <v>144</v>
      </c>
      <c r="F1598" s="4">
        <v>4</v>
      </c>
      <c r="G1598" s="4">
        <v>1010</v>
      </c>
      <c r="H1598" s="4">
        <v>3.3</v>
      </c>
      <c r="I1598" s="4">
        <v>3906.68</v>
      </c>
      <c r="J1598" s="2" t="s">
        <v>16</v>
      </c>
      <c r="K1598" s="2" t="s">
        <v>17</v>
      </c>
    </row>
    <row r="1599" spans="1:11" x14ac:dyDescent="0.35">
      <c r="A1599" s="2" t="s">
        <v>2024</v>
      </c>
      <c r="B1599" s="3">
        <v>45491</v>
      </c>
      <c r="C1599" s="2" t="s">
        <v>286</v>
      </c>
      <c r="D1599" s="2" t="s">
        <v>56</v>
      </c>
      <c r="E1599" s="2" t="s">
        <v>21</v>
      </c>
      <c r="F1599" s="4">
        <v>7</v>
      </c>
      <c r="G1599" s="4">
        <v>970</v>
      </c>
      <c r="H1599" s="4">
        <v>0.1</v>
      </c>
      <c r="I1599" s="4">
        <v>6783.21</v>
      </c>
      <c r="J1599" s="2" t="s">
        <v>16</v>
      </c>
      <c r="K1599" s="2" t="s">
        <v>28</v>
      </c>
    </row>
    <row r="1600" spans="1:11" x14ac:dyDescent="0.35">
      <c r="A1600" s="2" t="s">
        <v>2025</v>
      </c>
      <c r="B1600" s="3">
        <v>45571</v>
      </c>
      <c r="C1600" s="2" t="s">
        <v>799</v>
      </c>
      <c r="D1600" s="2" t="s">
        <v>26</v>
      </c>
      <c r="E1600" s="2" t="s">
        <v>272</v>
      </c>
      <c r="F1600" s="4">
        <v>5</v>
      </c>
      <c r="G1600" s="4">
        <v>470</v>
      </c>
      <c r="H1600" s="4">
        <v>18.3</v>
      </c>
      <c r="I1600" s="4">
        <v>1919.95</v>
      </c>
      <c r="J1600" s="2" t="s">
        <v>73</v>
      </c>
      <c r="K1600" s="2" t="s">
        <v>46</v>
      </c>
    </row>
    <row r="1601" spans="1:11" x14ac:dyDescent="0.35">
      <c r="A1601" s="2" t="s">
        <v>2026</v>
      </c>
      <c r="B1601" s="3">
        <v>45393</v>
      </c>
      <c r="C1601" s="2" t="s">
        <v>484</v>
      </c>
      <c r="D1601" s="2" t="s">
        <v>381</v>
      </c>
      <c r="E1601" s="2" t="s">
        <v>61</v>
      </c>
      <c r="F1601" s="4">
        <v>8</v>
      </c>
      <c r="G1601" s="4">
        <v>3450</v>
      </c>
      <c r="H1601" s="4">
        <v>5.0999999999999996</v>
      </c>
      <c r="I1601" s="4">
        <v>26192.400000000001</v>
      </c>
      <c r="J1601" s="2" t="s">
        <v>73</v>
      </c>
      <c r="K1601" s="2" t="s">
        <v>41</v>
      </c>
    </row>
    <row r="1602" spans="1:11" x14ac:dyDescent="0.35">
      <c r="A1602" s="2" t="s">
        <v>2027</v>
      </c>
      <c r="B1602" s="3">
        <v>45465</v>
      </c>
      <c r="C1602" s="2" t="s">
        <v>537</v>
      </c>
      <c r="D1602" s="2" t="s">
        <v>64</v>
      </c>
      <c r="E1602" s="2" t="s">
        <v>214</v>
      </c>
      <c r="F1602" s="4">
        <v>1</v>
      </c>
      <c r="G1602" s="4">
        <v>2640</v>
      </c>
      <c r="H1602" s="4">
        <v>5.9</v>
      </c>
      <c r="I1602" s="4">
        <v>2484.2399999999998</v>
      </c>
      <c r="J1602" s="2" t="s">
        <v>16</v>
      </c>
      <c r="K1602" s="2" t="s">
        <v>17</v>
      </c>
    </row>
    <row r="1603" spans="1:11" x14ac:dyDescent="0.35">
      <c r="A1603" s="2" t="s">
        <v>2028</v>
      </c>
      <c r="B1603" s="3">
        <v>45354</v>
      </c>
      <c r="C1603" s="2" t="s">
        <v>514</v>
      </c>
      <c r="D1603" s="2" t="s">
        <v>116</v>
      </c>
      <c r="E1603" s="2" t="s">
        <v>121</v>
      </c>
      <c r="F1603" s="4">
        <v>10</v>
      </c>
      <c r="G1603" s="4">
        <v>3570</v>
      </c>
      <c r="H1603" s="4">
        <v>21.5</v>
      </c>
      <c r="I1603" s="4">
        <v>28024.5</v>
      </c>
      <c r="J1603" s="2" t="s">
        <v>16</v>
      </c>
      <c r="K1603" s="2" t="s">
        <v>23</v>
      </c>
    </row>
    <row r="1604" spans="1:11" x14ac:dyDescent="0.35">
      <c r="A1604" s="2" t="s">
        <v>2029</v>
      </c>
      <c r="B1604" s="3">
        <v>45581</v>
      </c>
      <c r="C1604" s="2" t="s">
        <v>521</v>
      </c>
      <c r="D1604" s="2" t="s">
        <v>49</v>
      </c>
      <c r="E1604" s="2" t="s">
        <v>275</v>
      </c>
      <c r="F1604" s="4">
        <v>10</v>
      </c>
      <c r="G1604" s="4">
        <v>1430</v>
      </c>
      <c r="H1604" s="4">
        <v>11.4</v>
      </c>
      <c r="I1604" s="4">
        <v>12669.8</v>
      </c>
      <c r="J1604" s="2" t="s">
        <v>69</v>
      </c>
      <c r="K1604" s="2" t="s">
        <v>62</v>
      </c>
    </row>
    <row r="1605" spans="1:11" x14ac:dyDescent="0.35">
      <c r="A1605" s="2" t="s">
        <v>2030</v>
      </c>
      <c r="B1605" s="3">
        <v>45643</v>
      </c>
      <c r="C1605" s="2" t="s">
        <v>752</v>
      </c>
      <c r="D1605" s="2" t="s">
        <v>44</v>
      </c>
      <c r="E1605" s="2" t="s">
        <v>181</v>
      </c>
      <c r="F1605" s="4">
        <v>7</v>
      </c>
      <c r="G1605" s="4">
        <v>960</v>
      </c>
      <c r="H1605" s="4">
        <v>22.9</v>
      </c>
      <c r="I1605" s="4">
        <v>5181.12</v>
      </c>
      <c r="J1605" s="2" t="s">
        <v>16</v>
      </c>
      <c r="K1605" s="2" t="s">
        <v>23</v>
      </c>
    </row>
    <row r="1606" spans="1:11" x14ac:dyDescent="0.35">
      <c r="A1606" s="2" t="s">
        <v>2031</v>
      </c>
      <c r="B1606" s="3">
        <v>45606</v>
      </c>
      <c r="C1606" s="2" t="s">
        <v>929</v>
      </c>
      <c r="D1606" s="2" t="s">
        <v>72</v>
      </c>
      <c r="E1606" s="2" t="s">
        <v>61</v>
      </c>
      <c r="F1606" s="4">
        <v>8</v>
      </c>
      <c r="G1606" s="4">
        <v>3250</v>
      </c>
      <c r="H1606" s="4">
        <v>1.9</v>
      </c>
      <c r="I1606" s="4">
        <v>25506</v>
      </c>
      <c r="J1606" s="2" t="s">
        <v>16</v>
      </c>
      <c r="K1606" s="2" t="s">
        <v>46</v>
      </c>
    </row>
    <row r="1607" spans="1:11" x14ac:dyDescent="0.35">
      <c r="A1607" s="2" t="s">
        <v>2032</v>
      </c>
      <c r="B1607" s="3">
        <v>45356</v>
      </c>
      <c r="C1607" s="2" t="s">
        <v>557</v>
      </c>
      <c r="D1607" s="2" t="s">
        <v>90</v>
      </c>
      <c r="E1607" s="2" t="s">
        <v>232</v>
      </c>
      <c r="F1607" s="4">
        <v>9</v>
      </c>
      <c r="G1607" s="4">
        <v>3450</v>
      </c>
      <c r="H1607" s="4">
        <v>18</v>
      </c>
      <c r="I1607" s="4">
        <v>25461</v>
      </c>
      <c r="J1607" s="2" t="s">
        <v>16</v>
      </c>
      <c r="K1607" s="2" t="s">
        <v>62</v>
      </c>
    </row>
    <row r="1608" spans="1:11" x14ac:dyDescent="0.35">
      <c r="A1608" s="2" t="s">
        <v>2033</v>
      </c>
      <c r="B1608" s="3">
        <v>45343</v>
      </c>
      <c r="C1608" s="2" t="s">
        <v>104</v>
      </c>
      <c r="D1608" s="2" t="s">
        <v>60</v>
      </c>
      <c r="E1608" s="2" t="s">
        <v>275</v>
      </c>
      <c r="F1608" s="4">
        <v>5</v>
      </c>
      <c r="G1608" s="4">
        <v>2270</v>
      </c>
      <c r="H1608" s="4">
        <v>11.5</v>
      </c>
      <c r="I1608" s="4">
        <v>10044.75</v>
      </c>
      <c r="J1608" s="2" t="s">
        <v>16</v>
      </c>
      <c r="K1608" s="2" t="s">
        <v>62</v>
      </c>
    </row>
    <row r="1609" spans="1:11" x14ac:dyDescent="0.35">
      <c r="A1609" s="2" t="s">
        <v>2034</v>
      </c>
      <c r="B1609" s="3">
        <v>45449</v>
      </c>
      <c r="C1609" s="2" t="s">
        <v>824</v>
      </c>
      <c r="D1609" s="2" t="s">
        <v>205</v>
      </c>
      <c r="E1609" s="2" t="s">
        <v>50</v>
      </c>
      <c r="F1609" s="4">
        <v>6</v>
      </c>
      <c r="G1609" s="4">
        <v>3020</v>
      </c>
      <c r="H1609" s="4">
        <v>12.6</v>
      </c>
      <c r="I1609" s="4">
        <v>15836.88</v>
      </c>
      <c r="J1609" s="2" t="s">
        <v>16</v>
      </c>
      <c r="K1609" s="2" t="s">
        <v>46</v>
      </c>
    </row>
    <row r="1610" spans="1:11" x14ac:dyDescent="0.35">
      <c r="A1610" s="2" t="s">
        <v>2035</v>
      </c>
      <c r="B1610" s="3">
        <v>45317</v>
      </c>
      <c r="C1610" s="2" t="s">
        <v>392</v>
      </c>
      <c r="D1610" s="2" t="s">
        <v>64</v>
      </c>
      <c r="E1610" s="2" t="s">
        <v>36</v>
      </c>
      <c r="F1610" s="4">
        <v>8</v>
      </c>
      <c r="G1610" s="4">
        <v>2640</v>
      </c>
      <c r="H1610" s="4">
        <v>14.5</v>
      </c>
      <c r="I1610" s="4">
        <v>18057.599999999999</v>
      </c>
      <c r="J1610" s="2" t="s">
        <v>73</v>
      </c>
      <c r="K1610" s="2" t="s">
        <v>46</v>
      </c>
    </row>
    <row r="1611" spans="1:11" x14ac:dyDescent="0.35">
      <c r="A1611" s="2" t="s">
        <v>2036</v>
      </c>
      <c r="B1611" s="3">
        <v>45561</v>
      </c>
      <c r="C1611" s="2" t="s">
        <v>52</v>
      </c>
      <c r="D1611" s="2" t="s">
        <v>60</v>
      </c>
      <c r="E1611" s="2" t="s">
        <v>272</v>
      </c>
      <c r="F1611" s="4">
        <v>2</v>
      </c>
      <c r="G1611" s="4">
        <v>2270</v>
      </c>
      <c r="H1611" s="4">
        <v>27</v>
      </c>
      <c r="I1611" s="4">
        <v>3314.2</v>
      </c>
      <c r="J1611" s="2" t="s">
        <v>16</v>
      </c>
      <c r="K1611" s="2" t="s">
        <v>46</v>
      </c>
    </row>
    <row r="1612" spans="1:11" x14ac:dyDescent="0.35">
      <c r="A1612" s="2" t="s">
        <v>2037</v>
      </c>
      <c r="B1612" s="3">
        <v>45636</v>
      </c>
      <c r="C1612" s="2" t="s">
        <v>34</v>
      </c>
      <c r="D1612" s="2" t="s">
        <v>129</v>
      </c>
      <c r="E1612" s="2" t="s">
        <v>272</v>
      </c>
      <c r="F1612" s="4">
        <v>8</v>
      </c>
      <c r="G1612" s="4">
        <v>2760</v>
      </c>
      <c r="H1612" s="4">
        <v>18</v>
      </c>
      <c r="I1612" s="4">
        <v>18105.599999999999</v>
      </c>
      <c r="J1612" s="2" t="s">
        <v>69</v>
      </c>
      <c r="K1612" s="2" t="s">
        <v>23</v>
      </c>
    </row>
    <row r="1613" spans="1:11" x14ac:dyDescent="0.35">
      <c r="A1613" s="2" t="s">
        <v>2038</v>
      </c>
      <c r="B1613" s="3">
        <v>45398</v>
      </c>
      <c r="C1613" s="2" t="s">
        <v>598</v>
      </c>
      <c r="D1613" s="2" t="s">
        <v>14</v>
      </c>
      <c r="E1613" s="2" t="s">
        <v>83</v>
      </c>
      <c r="F1613" s="4">
        <v>8</v>
      </c>
      <c r="G1613" s="4">
        <v>3620</v>
      </c>
      <c r="H1613" s="4">
        <v>7.1</v>
      </c>
      <c r="I1613" s="4">
        <v>26903.84</v>
      </c>
      <c r="J1613" s="2" t="s">
        <v>16</v>
      </c>
      <c r="K1613" s="2" t="s">
        <v>62</v>
      </c>
    </row>
    <row r="1614" spans="1:11" x14ac:dyDescent="0.35">
      <c r="A1614" s="2" t="s">
        <v>2039</v>
      </c>
      <c r="B1614" s="3">
        <v>45477</v>
      </c>
      <c r="C1614" s="2" t="s">
        <v>664</v>
      </c>
      <c r="D1614" s="2" t="s">
        <v>315</v>
      </c>
      <c r="E1614" s="2" t="s">
        <v>87</v>
      </c>
      <c r="F1614" s="4">
        <v>8</v>
      </c>
      <c r="G1614" s="4">
        <v>2290</v>
      </c>
      <c r="H1614" s="4">
        <v>16.399999999999999</v>
      </c>
      <c r="I1614" s="4">
        <v>15315.52</v>
      </c>
      <c r="J1614" s="2" t="s">
        <v>16</v>
      </c>
      <c r="K1614" s="2" t="s">
        <v>17</v>
      </c>
    </row>
    <row r="1615" spans="1:11" x14ac:dyDescent="0.35">
      <c r="A1615" s="2" t="s">
        <v>2040</v>
      </c>
      <c r="B1615" s="3">
        <v>45462</v>
      </c>
      <c r="C1615" s="2" t="s">
        <v>770</v>
      </c>
      <c r="D1615" s="2" t="s">
        <v>105</v>
      </c>
      <c r="E1615" s="2" t="s">
        <v>50</v>
      </c>
      <c r="F1615" s="4">
        <v>3</v>
      </c>
      <c r="G1615" s="4">
        <v>1650</v>
      </c>
      <c r="H1615" s="4">
        <v>1.8</v>
      </c>
      <c r="I1615" s="4">
        <v>4860.8999999999996</v>
      </c>
      <c r="J1615" s="2" t="s">
        <v>69</v>
      </c>
      <c r="K1615" s="2" t="s">
        <v>46</v>
      </c>
    </row>
    <row r="1616" spans="1:11" x14ac:dyDescent="0.35">
      <c r="A1616" s="2" t="s">
        <v>2041</v>
      </c>
      <c r="B1616" s="3">
        <v>45642</v>
      </c>
      <c r="C1616" s="2" t="s">
        <v>449</v>
      </c>
      <c r="D1616" s="2" t="s">
        <v>293</v>
      </c>
      <c r="E1616" s="2" t="s">
        <v>232</v>
      </c>
      <c r="F1616" s="4">
        <v>3</v>
      </c>
      <c r="G1616" s="4">
        <v>5330</v>
      </c>
      <c r="H1616" s="4">
        <v>22.2</v>
      </c>
      <c r="I1616" s="4">
        <v>12440.22</v>
      </c>
      <c r="J1616" s="2" t="s">
        <v>16</v>
      </c>
      <c r="K1616" s="2" t="s">
        <v>41</v>
      </c>
    </row>
    <row r="1617" spans="1:11" x14ac:dyDescent="0.35">
      <c r="A1617" s="2" t="s">
        <v>2042</v>
      </c>
      <c r="B1617" s="3">
        <v>45534</v>
      </c>
      <c r="C1617" s="2" t="s">
        <v>615</v>
      </c>
      <c r="D1617" s="2" t="s">
        <v>93</v>
      </c>
      <c r="E1617" s="2" t="s">
        <v>214</v>
      </c>
      <c r="F1617" s="4">
        <v>7</v>
      </c>
      <c r="G1617" s="4">
        <v>1080</v>
      </c>
      <c r="H1617" s="4">
        <v>17.899999999999999</v>
      </c>
      <c r="I1617" s="4">
        <v>6206.76</v>
      </c>
      <c r="J1617" s="2" t="s">
        <v>16</v>
      </c>
      <c r="K1617" s="2" t="s">
        <v>41</v>
      </c>
    </row>
    <row r="1618" spans="1:11" x14ac:dyDescent="0.35">
      <c r="A1618" s="2" t="s">
        <v>2043</v>
      </c>
      <c r="B1618" s="3">
        <v>45460</v>
      </c>
      <c r="C1618" s="2" t="s">
        <v>30</v>
      </c>
      <c r="D1618" s="2" t="s">
        <v>196</v>
      </c>
      <c r="E1618" s="2" t="s">
        <v>214</v>
      </c>
      <c r="F1618" s="4">
        <v>10</v>
      </c>
      <c r="G1618" s="4">
        <v>1220</v>
      </c>
      <c r="H1618" s="4">
        <v>5.7</v>
      </c>
      <c r="I1618" s="4">
        <v>11504.6</v>
      </c>
      <c r="J1618" s="2" t="s">
        <v>16</v>
      </c>
      <c r="K1618" s="2" t="s">
        <v>28</v>
      </c>
    </row>
    <row r="1619" spans="1:11" x14ac:dyDescent="0.35">
      <c r="A1619" s="2" t="s">
        <v>2044</v>
      </c>
      <c r="B1619" s="3">
        <v>45648</v>
      </c>
      <c r="C1619" s="2" t="s">
        <v>234</v>
      </c>
      <c r="D1619" s="2" t="s">
        <v>132</v>
      </c>
      <c r="E1619" s="2" t="s">
        <v>99</v>
      </c>
      <c r="F1619" s="4">
        <v>10</v>
      </c>
      <c r="G1619" s="4">
        <v>660</v>
      </c>
      <c r="H1619" s="4">
        <v>7.5</v>
      </c>
      <c r="I1619" s="4">
        <v>6105</v>
      </c>
      <c r="J1619" s="2" t="s">
        <v>16</v>
      </c>
      <c r="K1619" s="2" t="s">
        <v>62</v>
      </c>
    </row>
    <row r="1620" spans="1:11" x14ac:dyDescent="0.35">
      <c r="A1620" s="2" t="s">
        <v>2045</v>
      </c>
      <c r="B1620" s="3">
        <v>45557</v>
      </c>
      <c r="C1620" s="2" t="s">
        <v>877</v>
      </c>
      <c r="D1620" s="2" t="s">
        <v>93</v>
      </c>
      <c r="E1620" s="2" t="s">
        <v>121</v>
      </c>
      <c r="F1620" s="4">
        <v>6</v>
      </c>
      <c r="G1620" s="4">
        <v>1080</v>
      </c>
      <c r="H1620" s="4">
        <v>28.9</v>
      </c>
      <c r="I1620" s="4">
        <v>4607.28</v>
      </c>
      <c r="J1620" s="2" t="s">
        <v>16</v>
      </c>
      <c r="K1620" s="2" t="s">
        <v>17</v>
      </c>
    </row>
    <row r="1621" spans="1:11" x14ac:dyDescent="0.35">
      <c r="A1621" s="2" t="s">
        <v>2046</v>
      </c>
      <c r="B1621" s="3">
        <v>45584</v>
      </c>
      <c r="C1621" s="2" t="s">
        <v>518</v>
      </c>
      <c r="D1621" s="2" t="s">
        <v>174</v>
      </c>
      <c r="E1621" s="2" t="s">
        <v>121</v>
      </c>
      <c r="F1621" s="4">
        <v>7</v>
      </c>
      <c r="G1621" s="4">
        <v>2270</v>
      </c>
      <c r="H1621" s="4">
        <v>1.4</v>
      </c>
      <c r="I1621" s="4">
        <v>15667.54</v>
      </c>
      <c r="J1621" s="2" t="s">
        <v>16</v>
      </c>
      <c r="K1621" s="2" t="s">
        <v>23</v>
      </c>
    </row>
    <row r="1622" spans="1:11" x14ac:dyDescent="0.35">
      <c r="A1622" s="2" t="s">
        <v>2047</v>
      </c>
      <c r="B1622" s="3">
        <v>45475</v>
      </c>
      <c r="C1622" s="2" t="s">
        <v>710</v>
      </c>
      <c r="D1622" s="2" t="s">
        <v>39</v>
      </c>
      <c r="E1622" s="2" t="s">
        <v>57</v>
      </c>
      <c r="F1622" s="4">
        <v>3</v>
      </c>
      <c r="G1622" s="4">
        <v>370</v>
      </c>
      <c r="H1622" s="4">
        <v>9.6</v>
      </c>
      <c r="I1622" s="4">
        <v>1003.44</v>
      </c>
      <c r="J1622" s="2" t="s">
        <v>73</v>
      </c>
      <c r="K1622" s="2" t="s">
        <v>28</v>
      </c>
    </row>
    <row r="1623" spans="1:11" x14ac:dyDescent="0.35">
      <c r="A1623" s="2" t="s">
        <v>2048</v>
      </c>
      <c r="B1623" s="3">
        <v>45365</v>
      </c>
      <c r="C1623" s="2" t="s">
        <v>803</v>
      </c>
      <c r="D1623" s="2" t="s">
        <v>56</v>
      </c>
      <c r="E1623" s="2" t="s">
        <v>133</v>
      </c>
      <c r="F1623" s="4">
        <v>9</v>
      </c>
      <c r="G1623" s="4">
        <v>970</v>
      </c>
      <c r="H1623" s="4">
        <v>29.7</v>
      </c>
      <c r="I1623" s="4">
        <v>6137.19</v>
      </c>
      <c r="J1623" s="2" t="s">
        <v>16</v>
      </c>
      <c r="K1623" s="2" t="s">
        <v>41</v>
      </c>
    </row>
    <row r="1624" spans="1:11" x14ac:dyDescent="0.35">
      <c r="A1624" s="2" t="s">
        <v>999</v>
      </c>
      <c r="B1624" s="3">
        <v>45405</v>
      </c>
      <c r="C1624" s="2" t="s">
        <v>874</v>
      </c>
      <c r="D1624" s="2" t="s">
        <v>221</v>
      </c>
      <c r="E1624" s="2" t="s">
        <v>77</v>
      </c>
      <c r="F1624" s="4">
        <v>1</v>
      </c>
      <c r="G1624" s="4">
        <v>620</v>
      </c>
      <c r="H1624" s="4">
        <v>10.4</v>
      </c>
      <c r="I1624" s="4">
        <v>555.52</v>
      </c>
      <c r="J1624" s="2" t="s">
        <v>69</v>
      </c>
      <c r="K1624" s="2" t="s">
        <v>17</v>
      </c>
    </row>
    <row r="1625" spans="1:11" x14ac:dyDescent="0.35">
      <c r="A1625" s="2" t="s">
        <v>2049</v>
      </c>
      <c r="B1625" s="3">
        <v>45533</v>
      </c>
      <c r="C1625" s="2" t="s">
        <v>801</v>
      </c>
      <c r="D1625" s="2" t="s">
        <v>31</v>
      </c>
      <c r="E1625" s="2" t="s">
        <v>158</v>
      </c>
      <c r="F1625" s="4">
        <v>5</v>
      </c>
      <c r="G1625" s="4">
        <v>3660</v>
      </c>
      <c r="H1625" s="4">
        <v>8</v>
      </c>
      <c r="I1625" s="4">
        <v>16836</v>
      </c>
      <c r="J1625" s="2" t="s">
        <v>16</v>
      </c>
      <c r="K1625" s="2" t="s">
        <v>41</v>
      </c>
    </row>
    <row r="1626" spans="1:11" x14ac:dyDescent="0.35">
      <c r="A1626" s="2" t="s">
        <v>2050</v>
      </c>
      <c r="B1626" s="3">
        <v>45628</v>
      </c>
      <c r="C1626" s="2" t="s">
        <v>30</v>
      </c>
      <c r="D1626" s="2" t="s">
        <v>267</v>
      </c>
      <c r="E1626" s="2" t="s">
        <v>45</v>
      </c>
      <c r="F1626" s="4">
        <v>7</v>
      </c>
      <c r="G1626" s="4">
        <v>2210</v>
      </c>
      <c r="H1626" s="4">
        <v>13.7</v>
      </c>
      <c r="I1626" s="4">
        <v>13350.61</v>
      </c>
      <c r="J1626" s="2" t="s">
        <v>73</v>
      </c>
      <c r="K1626" s="2" t="s">
        <v>28</v>
      </c>
    </row>
    <row r="1627" spans="1:11" x14ac:dyDescent="0.35">
      <c r="A1627" s="2" t="s">
        <v>2051</v>
      </c>
      <c r="B1627" s="3">
        <v>45631</v>
      </c>
      <c r="C1627" s="2" t="s">
        <v>634</v>
      </c>
      <c r="D1627" s="2" t="s">
        <v>390</v>
      </c>
      <c r="E1627" s="2" t="s">
        <v>57</v>
      </c>
      <c r="F1627" s="4">
        <v>1</v>
      </c>
      <c r="G1627" s="4">
        <v>3780</v>
      </c>
      <c r="H1627" s="4">
        <v>11.5</v>
      </c>
      <c r="I1627" s="4">
        <v>3345.3</v>
      </c>
      <c r="J1627" s="2" t="s">
        <v>16</v>
      </c>
      <c r="K1627" s="2" t="s">
        <v>28</v>
      </c>
    </row>
    <row r="1628" spans="1:11" x14ac:dyDescent="0.35">
      <c r="A1628" s="2" t="s">
        <v>2052</v>
      </c>
      <c r="B1628" s="3">
        <v>45601</v>
      </c>
      <c r="C1628" s="2" t="s">
        <v>220</v>
      </c>
      <c r="D1628" s="2" t="s">
        <v>67</v>
      </c>
      <c r="E1628" s="2" t="s">
        <v>21</v>
      </c>
      <c r="F1628" s="4">
        <v>10</v>
      </c>
      <c r="G1628" s="4">
        <v>2600</v>
      </c>
      <c r="H1628" s="4">
        <v>29.4</v>
      </c>
      <c r="I1628" s="4">
        <v>18356</v>
      </c>
      <c r="J1628" s="2" t="s">
        <v>16</v>
      </c>
      <c r="K1628" s="2" t="s">
        <v>28</v>
      </c>
    </row>
    <row r="1629" spans="1:11" x14ac:dyDescent="0.35">
      <c r="A1629" s="2" t="s">
        <v>2053</v>
      </c>
      <c r="B1629" s="3">
        <v>45365</v>
      </c>
      <c r="C1629" s="2" t="s">
        <v>480</v>
      </c>
      <c r="D1629" s="2" t="s">
        <v>163</v>
      </c>
      <c r="E1629" s="2" t="s">
        <v>167</v>
      </c>
      <c r="F1629" s="4">
        <v>3</v>
      </c>
      <c r="G1629" s="4">
        <v>3780</v>
      </c>
      <c r="H1629" s="4">
        <v>14.4</v>
      </c>
      <c r="I1629" s="4">
        <v>9707.0400000000009</v>
      </c>
      <c r="J1629" s="2" t="s">
        <v>16</v>
      </c>
      <c r="K1629" s="2" t="s">
        <v>41</v>
      </c>
    </row>
    <row r="1630" spans="1:11" x14ac:dyDescent="0.35">
      <c r="A1630" s="2" t="s">
        <v>2054</v>
      </c>
      <c r="B1630" s="3">
        <v>45421</v>
      </c>
      <c r="C1630" s="2" t="s">
        <v>179</v>
      </c>
      <c r="D1630" s="2" t="s">
        <v>64</v>
      </c>
      <c r="E1630" s="2" t="s">
        <v>77</v>
      </c>
      <c r="F1630" s="4">
        <v>10</v>
      </c>
      <c r="G1630" s="4">
        <v>2640</v>
      </c>
      <c r="H1630" s="4">
        <v>26.8</v>
      </c>
      <c r="I1630" s="4">
        <v>19324.8</v>
      </c>
      <c r="J1630" s="2" t="s">
        <v>22</v>
      </c>
      <c r="K1630" s="2" t="s">
        <v>46</v>
      </c>
    </row>
    <row r="1631" spans="1:11" x14ac:dyDescent="0.35">
      <c r="A1631" s="2" t="s">
        <v>2055</v>
      </c>
      <c r="B1631" s="3">
        <v>45347</v>
      </c>
      <c r="C1631" s="2" t="s">
        <v>829</v>
      </c>
      <c r="D1631" s="2" t="s">
        <v>431</v>
      </c>
      <c r="E1631" s="2" t="s">
        <v>181</v>
      </c>
      <c r="F1631" s="4">
        <v>3</v>
      </c>
      <c r="G1631" s="4">
        <v>1090</v>
      </c>
      <c r="H1631" s="4">
        <v>9.1</v>
      </c>
      <c r="I1631" s="4">
        <v>2972.43</v>
      </c>
      <c r="J1631" s="2" t="s">
        <v>16</v>
      </c>
      <c r="K1631" s="2" t="s">
        <v>46</v>
      </c>
    </row>
    <row r="1632" spans="1:11" x14ac:dyDescent="0.35">
      <c r="A1632" s="2" t="s">
        <v>2056</v>
      </c>
      <c r="B1632" s="3">
        <v>45574</v>
      </c>
      <c r="C1632" s="2" t="s">
        <v>629</v>
      </c>
      <c r="D1632" s="2" t="s">
        <v>381</v>
      </c>
      <c r="E1632" s="2" t="s">
        <v>45</v>
      </c>
      <c r="F1632" s="4">
        <v>3</v>
      </c>
      <c r="G1632" s="4">
        <v>3450</v>
      </c>
      <c r="H1632" s="4">
        <v>23</v>
      </c>
      <c r="I1632" s="4">
        <v>7969.5</v>
      </c>
      <c r="J1632" s="2" t="s">
        <v>22</v>
      </c>
      <c r="K1632" s="2" t="s">
        <v>23</v>
      </c>
    </row>
    <row r="1633" spans="1:11" x14ac:dyDescent="0.35">
      <c r="A1633" s="2" t="s">
        <v>2057</v>
      </c>
      <c r="B1633" s="3">
        <v>45365</v>
      </c>
      <c r="C1633" s="2" t="s">
        <v>1160</v>
      </c>
      <c r="D1633" s="2" t="s">
        <v>309</v>
      </c>
      <c r="E1633" s="2" t="s">
        <v>117</v>
      </c>
      <c r="F1633" s="4">
        <v>1</v>
      </c>
      <c r="G1633" s="4">
        <v>960</v>
      </c>
      <c r="H1633" s="4">
        <v>1.1000000000000001</v>
      </c>
      <c r="I1633" s="4">
        <v>949.44</v>
      </c>
      <c r="J1633" s="2" t="s">
        <v>16</v>
      </c>
      <c r="K1633" s="2" t="s">
        <v>17</v>
      </c>
    </row>
    <row r="1634" spans="1:11" x14ac:dyDescent="0.35">
      <c r="A1634" s="2" t="s">
        <v>2058</v>
      </c>
      <c r="B1634" s="3">
        <v>45577</v>
      </c>
      <c r="C1634" s="2" t="s">
        <v>408</v>
      </c>
      <c r="D1634" s="2" t="s">
        <v>31</v>
      </c>
      <c r="E1634" s="2" t="s">
        <v>99</v>
      </c>
      <c r="F1634" s="4">
        <v>9</v>
      </c>
      <c r="G1634" s="4">
        <v>3660</v>
      </c>
      <c r="H1634" s="4">
        <v>9</v>
      </c>
      <c r="I1634" s="4">
        <v>29975.4</v>
      </c>
      <c r="J1634" s="2" t="s">
        <v>16</v>
      </c>
      <c r="K1634" s="2" t="s">
        <v>17</v>
      </c>
    </row>
    <row r="1635" spans="1:11" x14ac:dyDescent="0.35">
      <c r="A1635" s="2" t="s">
        <v>2059</v>
      </c>
      <c r="B1635" s="3">
        <v>45420</v>
      </c>
      <c r="C1635" s="2" t="s">
        <v>567</v>
      </c>
      <c r="D1635" s="2" t="s">
        <v>155</v>
      </c>
      <c r="E1635" s="2" t="s">
        <v>36</v>
      </c>
      <c r="F1635" s="4">
        <v>3</v>
      </c>
      <c r="G1635" s="4">
        <v>3730</v>
      </c>
      <c r="H1635" s="4">
        <v>15.8</v>
      </c>
      <c r="I1635" s="4">
        <v>9421.98</v>
      </c>
      <c r="J1635" s="2" t="s">
        <v>16</v>
      </c>
      <c r="K1635" s="2" t="s">
        <v>28</v>
      </c>
    </row>
    <row r="1636" spans="1:11" x14ac:dyDescent="0.35">
      <c r="A1636" s="2" t="s">
        <v>2060</v>
      </c>
      <c r="B1636" s="3">
        <v>45347</v>
      </c>
      <c r="C1636" s="2" t="s">
        <v>480</v>
      </c>
      <c r="D1636" s="2" t="s">
        <v>193</v>
      </c>
      <c r="E1636" s="2" t="s">
        <v>68</v>
      </c>
      <c r="F1636" s="4">
        <v>6</v>
      </c>
      <c r="G1636" s="4">
        <v>4070</v>
      </c>
      <c r="H1636" s="4">
        <v>6.2</v>
      </c>
      <c r="I1636" s="4">
        <v>22905.96</v>
      </c>
      <c r="J1636" s="2" t="s">
        <v>16</v>
      </c>
      <c r="K1636" s="2" t="s">
        <v>41</v>
      </c>
    </row>
    <row r="1637" spans="1:11" x14ac:dyDescent="0.35">
      <c r="A1637" s="2" t="s">
        <v>2061</v>
      </c>
      <c r="B1637" s="3">
        <v>45329</v>
      </c>
      <c r="C1637" s="2" t="s">
        <v>546</v>
      </c>
      <c r="D1637" s="2" t="s">
        <v>208</v>
      </c>
      <c r="E1637" s="2" t="s">
        <v>214</v>
      </c>
      <c r="F1637" s="4">
        <v>1</v>
      </c>
      <c r="G1637" s="4">
        <v>2660</v>
      </c>
      <c r="H1637" s="4">
        <v>14.6</v>
      </c>
      <c r="I1637" s="4">
        <v>2271.64</v>
      </c>
      <c r="J1637" s="2" t="s">
        <v>16</v>
      </c>
      <c r="K1637" s="2" t="s">
        <v>41</v>
      </c>
    </row>
    <row r="1638" spans="1:11" x14ac:dyDescent="0.35">
      <c r="A1638" s="2" t="s">
        <v>2062</v>
      </c>
      <c r="B1638" s="3">
        <v>45378</v>
      </c>
      <c r="C1638" s="2" t="s">
        <v>79</v>
      </c>
      <c r="D1638" s="2" t="s">
        <v>224</v>
      </c>
      <c r="E1638" s="2" t="s">
        <v>77</v>
      </c>
      <c r="F1638" s="4">
        <v>3</v>
      </c>
      <c r="G1638" s="4">
        <v>2030</v>
      </c>
      <c r="H1638" s="4">
        <v>13.3</v>
      </c>
      <c r="I1638" s="4">
        <v>5280.03</v>
      </c>
      <c r="J1638" s="2" t="s">
        <v>69</v>
      </c>
      <c r="K1638" s="2" t="s">
        <v>17</v>
      </c>
    </row>
    <row r="1639" spans="1:11" x14ac:dyDescent="0.35">
      <c r="A1639" s="2" t="s">
        <v>2063</v>
      </c>
      <c r="B1639" s="3">
        <v>45393</v>
      </c>
      <c r="C1639" s="2" t="s">
        <v>257</v>
      </c>
      <c r="D1639" s="2" t="s">
        <v>31</v>
      </c>
      <c r="E1639" s="2" t="s">
        <v>144</v>
      </c>
      <c r="F1639" s="4">
        <v>4</v>
      </c>
      <c r="G1639" s="4">
        <v>3660</v>
      </c>
      <c r="H1639" s="4">
        <v>2.2000000000000002</v>
      </c>
      <c r="I1639" s="4">
        <v>14317.92</v>
      </c>
      <c r="J1639" s="2" t="s">
        <v>16</v>
      </c>
      <c r="K1639" s="2" t="s">
        <v>23</v>
      </c>
    </row>
    <row r="1640" spans="1:11" x14ac:dyDescent="0.35">
      <c r="A1640" s="2" t="s">
        <v>2064</v>
      </c>
      <c r="B1640" s="3">
        <v>45364</v>
      </c>
      <c r="C1640" s="2" t="s">
        <v>143</v>
      </c>
      <c r="D1640" s="2" t="s">
        <v>208</v>
      </c>
      <c r="E1640" s="2" t="s">
        <v>32</v>
      </c>
      <c r="F1640" s="4">
        <v>2</v>
      </c>
      <c r="G1640" s="4">
        <v>2660</v>
      </c>
      <c r="H1640" s="4">
        <v>7.2</v>
      </c>
      <c r="I1640" s="4">
        <v>4936.96</v>
      </c>
      <c r="J1640" s="2" t="s">
        <v>69</v>
      </c>
      <c r="K1640" s="2" t="s">
        <v>46</v>
      </c>
    </row>
    <row r="1641" spans="1:11" x14ac:dyDescent="0.35">
      <c r="A1641" s="2" t="s">
        <v>2065</v>
      </c>
      <c r="B1641" s="3">
        <v>45624</v>
      </c>
      <c r="C1641" s="2" t="s">
        <v>466</v>
      </c>
      <c r="D1641" s="2" t="s">
        <v>113</v>
      </c>
      <c r="E1641" s="2" t="s">
        <v>181</v>
      </c>
      <c r="F1641" s="4">
        <v>2</v>
      </c>
      <c r="G1641" s="4">
        <v>4880</v>
      </c>
      <c r="H1641" s="4">
        <v>23.8</v>
      </c>
      <c r="I1641" s="4">
        <v>7437.12</v>
      </c>
      <c r="J1641" s="2" t="s">
        <v>16</v>
      </c>
      <c r="K1641" s="2" t="s">
        <v>62</v>
      </c>
    </row>
    <row r="1642" spans="1:11" x14ac:dyDescent="0.35">
      <c r="A1642" s="2" t="s">
        <v>2066</v>
      </c>
      <c r="B1642" s="3">
        <v>45411</v>
      </c>
      <c r="C1642" s="2" t="s">
        <v>745</v>
      </c>
      <c r="D1642" s="2" t="s">
        <v>381</v>
      </c>
      <c r="E1642" s="2" t="s">
        <v>202</v>
      </c>
      <c r="F1642" s="4">
        <v>1</v>
      </c>
      <c r="G1642" s="4">
        <v>3450</v>
      </c>
      <c r="H1642" s="4">
        <v>1.7</v>
      </c>
      <c r="I1642" s="4">
        <v>3391.35</v>
      </c>
      <c r="J1642" s="2" t="s">
        <v>16</v>
      </c>
      <c r="K1642" s="2" t="s">
        <v>17</v>
      </c>
    </row>
    <row r="1643" spans="1:11" x14ac:dyDescent="0.35">
      <c r="A1643" s="2" t="s">
        <v>2067</v>
      </c>
      <c r="B1643" s="3">
        <v>45550</v>
      </c>
      <c r="C1643" s="2" t="s">
        <v>319</v>
      </c>
      <c r="D1643" s="2" t="s">
        <v>205</v>
      </c>
      <c r="E1643" s="2" t="s">
        <v>83</v>
      </c>
      <c r="F1643" s="4">
        <v>4</v>
      </c>
      <c r="G1643" s="4">
        <v>3020</v>
      </c>
      <c r="H1643" s="4">
        <v>17.8</v>
      </c>
      <c r="I1643" s="4">
        <v>9929.76</v>
      </c>
      <c r="J1643" s="2" t="s">
        <v>16</v>
      </c>
      <c r="K1643" s="2" t="s">
        <v>17</v>
      </c>
    </row>
    <row r="1644" spans="1:11" x14ac:dyDescent="0.35">
      <c r="A1644" s="2" t="s">
        <v>2068</v>
      </c>
      <c r="B1644" s="3">
        <v>45512</v>
      </c>
      <c r="C1644" s="2" t="s">
        <v>897</v>
      </c>
      <c r="D1644" s="2" t="s">
        <v>444</v>
      </c>
      <c r="E1644" s="2" t="s">
        <v>87</v>
      </c>
      <c r="F1644" s="4">
        <v>6</v>
      </c>
      <c r="G1644" s="4">
        <v>6940</v>
      </c>
      <c r="H1644" s="4">
        <v>8.9</v>
      </c>
      <c r="I1644" s="4">
        <v>37934.04</v>
      </c>
      <c r="J1644" s="2" t="s">
        <v>16</v>
      </c>
      <c r="K1644" s="2" t="s">
        <v>28</v>
      </c>
    </row>
    <row r="1645" spans="1:11" x14ac:dyDescent="0.35">
      <c r="A1645" s="2" t="s">
        <v>2069</v>
      </c>
      <c r="B1645" s="3">
        <v>45523</v>
      </c>
      <c r="C1645" s="2" t="s">
        <v>351</v>
      </c>
      <c r="D1645" s="2" t="s">
        <v>129</v>
      </c>
      <c r="E1645" s="2" t="s">
        <v>83</v>
      </c>
      <c r="F1645" s="4">
        <v>10</v>
      </c>
      <c r="G1645" s="4">
        <v>2760</v>
      </c>
      <c r="H1645" s="4">
        <v>8.9</v>
      </c>
      <c r="I1645" s="4">
        <v>25143.599999999999</v>
      </c>
      <c r="J1645" s="2" t="s">
        <v>16</v>
      </c>
      <c r="K1645" s="2" t="s">
        <v>23</v>
      </c>
    </row>
    <row r="1646" spans="1:11" x14ac:dyDescent="0.35">
      <c r="A1646" s="2" t="s">
        <v>2070</v>
      </c>
      <c r="B1646" s="3">
        <v>45310</v>
      </c>
      <c r="C1646" s="2" t="s">
        <v>356</v>
      </c>
      <c r="D1646" s="2" t="s">
        <v>309</v>
      </c>
      <c r="E1646" s="2" t="s">
        <v>121</v>
      </c>
      <c r="F1646" s="4">
        <v>8</v>
      </c>
      <c r="G1646" s="4">
        <v>960</v>
      </c>
      <c r="H1646" s="4">
        <v>20.9</v>
      </c>
      <c r="I1646" s="4">
        <v>6074.88</v>
      </c>
      <c r="J1646" s="2" t="s">
        <v>16</v>
      </c>
      <c r="K1646" s="2" t="s">
        <v>17</v>
      </c>
    </row>
    <row r="1647" spans="1:11" x14ac:dyDescent="0.35">
      <c r="A1647" s="2" t="s">
        <v>2071</v>
      </c>
      <c r="B1647" s="3">
        <v>45498</v>
      </c>
      <c r="C1647" s="2" t="s">
        <v>764</v>
      </c>
      <c r="D1647" s="2" t="s">
        <v>309</v>
      </c>
      <c r="E1647" s="2" t="s">
        <v>254</v>
      </c>
      <c r="F1647" s="4">
        <v>4</v>
      </c>
      <c r="G1647" s="4">
        <v>960</v>
      </c>
      <c r="H1647" s="4">
        <v>29.1</v>
      </c>
      <c r="I1647" s="4">
        <v>2722.56</v>
      </c>
      <c r="J1647" s="2" t="s">
        <v>16</v>
      </c>
      <c r="K1647" s="2" t="s">
        <v>46</v>
      </c>
    </row>
    <row r="1648" spans="1:11" x14ac:dyDescent="0.35">
      <c r="A1648" s="2" t="s">
        <v>2072</v>
      </c>
      <c r="B1648" s="3">
        <v>45410</v>
      </c>
      <c r="C1648" s="2" t="s">
        <v>358</v>
      </c>
      <c r="D1648" s="2" t="s">
        <v>56</v>
      </c>
      <c r="E1648" s="2" t="s">
        <v>87</v>
      </c>
      <c r="F1648" s="4">
        <v>1</v>
      </c>
      <c r="G1648" s="4">
        <v>970</v>
      </c>
      <c r="H1648" s="4">
        <v>8.4</v>
      </c>
      <c r="I1648" s="4">
        <v>888.52</v>
      </c>
      <c r="J1648" s="2" t="s">
        <v>69</v>
      </c>
      <c r="K1648" s="2" t="s">
        <v>46</v>
      </c>
    </row>
    <row r="1649" spans="1:11" x14ac:dyDescent="0.35">
      <c r="A1649" s="2" t="s">
        <v>2073</v>
      </c>
      <c r="B1649" s="3">
        <v>45400</v>
      </c>
      <c r="C1649" s="2" t="s">
        <v>803</v>
      </c>
      <c r="D1649" s="2" t="s">
        <v>170</v>
      </c>
      <c r="E1649" s="2" t="s">
        <v>83</v>
      </c>
      <c r="F1649" s="4">
        <v>5</v>
      </c>
      <c r="G1649" s="4">
        <v>6080</v>
      </c>
      <c r="H1649" s="4">
        <v>17.600000000000001</v>
      </c>
      <c r="I1649" s="4">
        <v>25049.599999999999</v>
      </c>
      <c r="J1649" s="2" t="s">
        <v>16</v>
      </c>
      <c r="K1649" s="2" t="s">
        <v>41</v>
      </c>
    </row>
    <row r="1650" spans="1:11" x14ac:dyDescent="0.35">
      <c r="A1650" s="2" t="s">
        <v>2074</v>
      </c>
      <c r="B1650" s="3">
        <v>45525</v>
      </c>
      <c r="C1650" s="2" t="s">
        <v>897</v>
      </c>
      <c r="D1650" s="2" t="s">
        <v>31</v>
      </c>
      <c r="E1650" s="2" t="s">
        <v>181</v>
      </c>
      <c r="F1650" s="4">
        <v>4</v>
      </c>
      <c r="G1650" s="4">
        <v>3660</v>
      </c>
      <c r="H1650" s="4">
        <v>21.8</v>
      </c>
      <c r="I1650" s="4">
        <v>11448.48</v>
      </c>
      <c r="J1650" s="2" t="s">
        <v>22</v>
      </c>
      <c r="K1650" s="2" t="s">
        <v>28</v>
      </c>
    </row>
    <row r="1651" spans="1:11" x14ac:dyDescent="0.35">
      <c r="A1651" s="2" t="s">
        <v>2075</v>
      </c>
      <c r="B1651" s="3">
        <v>45462</v>
      </c>
      <c r="C1651" s="2" t="s">
        <v>247</v>
      </c>
      <c r="D1651" s="2" t="s">
        <v>155</v>
      </c>
      <c r="E1651" s="2" t="s">
        <v>36</v>
      </c>
      <c r="F1651" s="4">
        <v>6</v>
      </c>
      <c r="G1651" s="4">
        <v>3730</v>
      </c>
      <c r="H1651" s="4">
        <v>13.3</v>
      </c>
      <c r="I1651" s="4">
        <v>19403.46</v>
      </c>
      <c r="J1651" s="2" t="s">
        <v>69</v>
      </c>
      <c r="K1651" s="2" t="s">
        <v>23</v>
      </c>
    </row>
    <row r="1652" spans="1:11" x14ac:dyDescent="0.35">
      <c r="A1652" s="2" t="s">
        <v>2076</v>
      </c>
      <c r="B1652" s="3">
        <v>45625</v>
      </c>
      <c r="C1652" s="2" t="s">
        <v>187</v>
      </c>
      <c r="D1652" s="2" t="s">
        <v>177</v>
      </c>
      <c r="E1652" s="2" t="s">
        <v>158</v>
      </c>
      <c r="F1652" s="4">
        <v>8</v>
      </c>
      <c r="G1652" s="4">
        <v>3870</v>
      </c>
      <c r="H1652" s="4">
        <v>21.2</v>
      </c>
      <c r="I1652" s="4">
        <v>24396.48</v>
      </c>
      <c r="J1652" s="2" t="s">
        <v>22</v>
      </c>
      <c r="K1652" s="2" t="s">
        <v>28</v>
      </c>
    </row>
    <row r="1653" spans="1:11" x14ac:dyDescent="0.35">
      <c r="A1653" s="2" t="s">
        <v>2077</v>
      </c>
      <c r="B1653" s="3">
        <v>45390</v>
      </c>
      <c r="C1653" s="2" t="s">
        <v>345</v>
      </c>
      <c r="D1653" s="2" t="s">
        <v>129</v>
      </c>
      <c r="E1653" s="2" t="s">
        <v>275</v>
      </c>
      <c r="F1653" s="4">
        <v>4</v>
      </c>
      <c r="G1653" s="4">
        <v>2760</v>
      </c>
      <c r="H1653" s="4">
        <v>14</v>
      </c>
      <c r="I1653" s="4">
        <v>9494.4</v>
      </c>
      <c r="J1653" s="2" t="s">
        <v>16</v>
      </c>
      <c r="K1653" s="2" t="s">
        <v>46</v>
      </c>
    </row>
    <row r="1654" spans="1:11" x14ac:dyDescent="0.35">
      <c r="A1654" s="2" t="s">
        <v>2078</v>
      </c>
      <c r="B1654" s="3">
        <v>45597</v>
      </c>
      <c r="C1654" s="2" t="s">
        <v>137</v>
      </c>
      <c r="D1654" s="2" t="s">
        <v>296</v>
      </c>
      <c r="E1654" s="2" t="s">
        <v>121</v>
      </c>
      <c r="F1654" s="4">
        <v>5</v>
      </c>
      <c r="G1654" s="4">
        <v>2380</v>
      </c>
      <c r="H1654" s="4">
        <v>16.399999999999999</v>
      </c>
      <c r="I1654" s="4">
        <v>9948.4</v>
      </c>
      <c r="J1654" s="2" t="s">
        <v>16</v>
      </c>
      <c r="K1654" s="2" t="s">
        <v>62</v>
      </c>
    </row>
    <row r="1655" spans="1:11" x14ac:dyDescent="0.35">
      <c r="A1655" s="2" t="s">
        <v>2079</v>
      </c>
      <c r="B1655" s="3">
        <v>45307</v>
      </c>
      <c r="C1655" s="2" t="s">
        <v>2080</v>
      </c>
      <c r="D1655" s="2" t="s">
        <v>170</v>
      </c>
      <c r="E1655" s="2" t="s">
        <v>117</v>
      </c>
      <c r="F1655" s="4">
        <v>2</v>
      </c>
      <c r="G1655" s="4">
        <v>6080</v>
      </c>
      <c r="H1655" s="4">
        <v>20.100000000000001</v>
      </c>
      <c r="I1655" s="4">
        <v>9715.84</v>
      </c>
      <c r="J1655" s="2" t="s">
        <v>69</v>
      </c>
      <c r="K1655" s="2" t="s">
        <v>41</v>
      </c>
    </row>
    <row r="1656" spans="1:11" x14ac:dyDescent="0.35">
      <c r="A1656" s="2" t="s">
        <v>2081</v>
      </c>
      <c r="B1656" s="3">
        <v>45568</v>
      </c>
      <c r="C1656" s="2" t="s">
        <v>468</v>
      </c>
      <c r="D1656" s="2" t="s">
        <v>221</v>
      </c>
      <c r="E1656" s="2" t="s">
        <v>275</v>
      </c>
      <c r="F1656" s="4">
        <v>2</v>
      </c>
      <c r="G1656" s="4">
        <v>620</v>
      </c>
      <c r="H1656" s="4">
        <v>4.3</v>
      </c>
      <c r="I1656" s="4">
        <v>1186.68</v>
      </c>
      <c r="J1656" s="2" t="s">
        <v>16</v>
      </c>
      <c r="K1656" s="2" t="s">
        <v>62</v>
      </c>
    </row>
    <row r="1657" spans="1:11" x14ac:dyDescent="0.35">
      <c r="A1657" s="2" t="s">
        <v>2082</v>
      </c>
      <c r="B1657" s="3">
        <v>45654</v>
      </c>
      <c r="C1657" s="2" t="s">
        <v>401</v>
      </c>
      <c r="D1657" s="2" t="s">
        <v>177</v>
      </c>
      <c r="E1657" s="2" t="s">
        <v>254</v>
      </c>
      <c r="F1657" s="4">
        <v>7</v>
      </c>
      <c r="G1657" s="4">
        <v>3870</v>
      </c>
      <c r="H1657" s="4">
        <v>5.9</v>
      </c>
      <c r="I1657" s="4">
        <v>25491.69</v>
      </c>
      <c r="J1657" s="2" t="s">
        <v>16</v>
      </c>
      <c r="K1657" s="2" t="s">
        <v>23</v>
      </c>
    </row>
    <row r="1658" spans="1:11" x14ac:dyDescent="0.35">
      <c r="A1658" s="2" t="s">
        <v>2083</v>
      </c>
      <c r="B1658" s="3">
        <v>45412</v>
      </c>
      <c r="C1658" s="2" t="s">
        <v>935</v>
      </c>
      <c r="D1658" s="2" t="s">
        <v>116</v>
      </c>
      <c r="E1658" s="2" t="s">
        <v>121</v>
      </c>
      <c r="F1658" s="4">
        <v>8</v>
      </c>
      <c r="G1658" s="4">
        <v>3570</v>
      </c>
      <c r="H1658" s="4">
        <v>24.6</v>
      </c>
      <c r="I1658" s="4">
        <v>21534.240000000002</v>
      </c>
      <c r="J1658" s="2" t="s">
        <v>16</v>
      </c>
      <c r="K1658" s="2" t="s">
        <v>46</v>
      </c>
    </row>
    <row r="1659" spans="1:11" x14ac:dyDescent="0.35">
      <c r="A1659" s="2" t="s">
        <v>2084</v>
      </c>
      <c r="B1659" s="3">
        <v>45653</v>
      </c>
      <c r="C1659" s="2" t="s">
        <v>176</v>
      </c>
      <c r="D1659" s="2" t="s">
        <v>193</v>
      </c>
      <c r="E1659" s="2" t="s">
        <v>61</v>
      </c>
      <c r="F1659" s="4">
        <v>1</v>
      </c>
      <c r="G1659" s="4">
        <v>4070</v>
      </c>
      <c r="H1659" s="4">
        <v>29.1</v>
      </c>
      <c r="I1659" s="4">
        <v>2885.63</v>
      </c>
      <c r="J1659" s="2" t="s">
        <v>22</v>
      </c>
      <c r="K1659" s="2" t="s">
        <v>46</v>
      </c>
    </row>
    <row r="1660" spans="1:11" x14ac:dyDescent="0.35">
      <c r="A1660" s="2" t="s">
        <v>2085</v>
      </c>
      <c r="B1660" s="3">
        <v>45568</v>
      </c>
      <c r="C1660" s="2" t="s">
        <v>439</v>
      </c>
      <c r="D1660" s="2" t="s">
        <v>20</v>
      </c>
      <c r="E1660" s="2" t="s">
        <v>167</v>
      </c>
      <c r="F1660" s="4">
        <v>1</v>
      </c>
      <c r="G1660" s="4">
        <v>820</v>
      </c>
      <c r="H1660" s="4">
        <v>17.899999999999999</v>
      </c>
      <c r="I1660" s="4">
        <v>673.22</v>
      </c>
      <c r="J1660" s="2" t="s">
        <v>16</v>
      </c>
      <c r="K1660" s="2" t="s">
        <v>46</v>
      </c>
    </row>
    <row r="1661" spans="1:11" x14ac:dyDescent="0.35">
      <c r="A1661" s="2" t="s">
        <v>2086</v>
      </c>
      <c r="B1661" s="3">
        <v>45643</v>
      </c>
      <c r="C1661" s="2" t="s">
        <v>228</v>
      </c>
      <c r="D1661" s="2" t="s">
        <v>205</v>
      </c>
      <c r="E1661" s="2" t="s">
        <v>158</v>
      </c>
      <c r="F1661" s="4">
        <v>5</v>
      </c>
      <c r="G1661" s="4">
        <v>3020</v>
      </c>
      <c r="H1661" s="4">
        <v>26.2</v>
      </c>
      <c r="I1661" s="4">
        <v>11143.8</v>
      </c>
      <c r="J1661" s="2" t="s">
        <v>16</v>
      </c>
      <c r="K1661" s="2" t="s">
        <v>62</v>
      </c>
    </row>
    <row r="1662" spans="1:11" x14ac:dyDescent="0.35">
      <c r="A1662" s="2" t="s">
        <v>2087</v>
      </c>
      <c r="B1662" s="3">
        <v>45411</v>
      </c>
      <c r="C1662" s="2" t="s">
        <v>557</v>
      </c>
      <c r="D1662" s="2" t="s">
        <v>588</v>
      </c>
      <c r="E1662" s="2" t="s">
        <v>214</v>
      </c>
      <c r="F1662" s="4">
        <v>10</v>
      </c>
      <c r="G1662" s="4">
        <v>3560</v>
      </c>
      <c r="H1662" s="4">
        <v>15.4</v>
      </c>
      <c r="I1662" s="4">
        <v>30117.599999999999</v>
      </c>
      <c r="J1662" s="2" t="s">
        <v>73</v>
      </c>
      <c r="K1662" s="2" t="s">
        <v>62</v>
      </c>
    </row>
    <row r="1663" spans="1:11" x14ac:dyDescent="0.35">
      <c r="A1663" s="2" t="s">
        <v>1387</v>
      </c>
      <c r="B1663" s="3">
        <v>45467</v>
      </c>
      <c r="C1663" s="2" t="s">
        <v>207</v>
      </c>
      <c r="D1663" s="2" t="s">
        <v>108</v>
      </c>
      <c r="E1663" s="2" t="s">
        <v>144</v>
      </c>
      <c r="F1663" s="4">
        <v>3</v>
      </c>
      <c r="G1663" s="4">
        <v>3350</v>
      </c>
      <c r="H1663" s="4">
        <v>8.1</v>
      </c>
      <c r="I1663" s="4">
        <v>9235.9500000000007</v>
      </c>
      <c r="J1663" s="2" t="s">
        <v>16</v>
      </c>
      <c r="K1663" s="2" t="s">
        <v>62</v>
      </c>
    </row>
    <row r="1664" spans="1:11" x14ac:dyDescent="0.35">
      <c r="A1664" s="2" t="s">
        <v>2088</v>
      </c>
      <c r="B1664" s="3">
        <v>45542</v>
      </c>
      <c r="C1664" s="2" t="s">
        <v>649</v>
      </c>
      <c r="D1664" s="2" t="s">
        <v>315</v>
      </c>
      <c r="E1664" s="2" t="s">
        <v>40</v>
      </c>
      <c r="F1664" s="4">
        <v>10</v>
      </c>
      <c r="G1664" s="4">
        <v>2290</v>
      </c>
      <c r="H1664" s="4">
        <v>7</v>
      </c>
      <c r="I1664" s="4">
        <v>21297</v>
      </c>
      <c r="J1664" s="2" t="s">
        <v>16</v>
      </c>
      <c r="K1664" s="2" t="s">
        <v>17</v>
      </c>
    </row>
    <row r="1665" spans="1:11" x14ac:dyDescent="0.35">
      <c r="A1665" s="2" t="s">
        <v>2089</v>
      </c>
      <c r="B1665" s="3">
        <v>45483</v>
      </c>
      <c r="C1665" s="2" t="s">
        <v>340</v>
      </c>
      <c r="D1665" s="2" t="s">
        <v>31</v>
      </c>
      <c r="E1665" s="2" t="s">
        <v>77</v>
      </c>
      <c r="F1665" s="4">
        <v>6</v>
      </c>
      <c r="G1665" s="4">
        <v>3660</v>
      </c>
      <c r="H1665" s="4">
        <v>29.9</v>
      </c>
      <c r="I1665" s="4">
        <v>15393.96</v>
      </c>
      <c r="J1665" s="2" t="s">
        <v>16</v>
      </c>
      <c r="K1665" s="2" t="s">
        <v>41</v>
      </c>
    </row>
    <row r="1666" spans="1:11" x14ac:dyDescent="0.35">
      <c r="A1666" s="2" t="s">
        <v>2090</v>
      </c>
      <c r="B1666" s="3">
        <v>45426</v>
      </c>
      <c r="C1666" s="2" t="s">
        <v>453</v>
      </c>
      <c r="D1666" s="2" t="s">
        <v>64</v>
      </c>
      <c r="E1666" s="2" t="s">
        <v>181</v>
      </c>
      <c r="F1666" s="4">
        <v>8</v>
      </c>
      <c r="G1666" s="4">
        <v>2640</v>
      </c>
      <c r="H1666" s="4">
        <v>4.2</v>
      </c>
      <c r="I1666" s="4">
        <v>20232.96</v>
      </c>
      <c r="J1666" s="2" t="s">
        <v>73</v>
      </c>
      <c r="K1666" s="2" t="s">
        <v>41</v>
      </c>
    </row>
    <row r="1667" spans="1:11" x14ac:dyDescent="0.35">
      <c r="A1667" s="2" t="s">
        <v>2091</v>
      </c>
      <c r="B1667" s="3">
        <v>45386</v>
      </c>
      <c r="C1667" s="2" t="s">
        <v>79</v>
      </c>
      <c r="D1667" s="2" t="s">
        <v>39</v>
      </c>
      <c r="E1667" s="2" t="s">
        <v>32</v>
      </c>
      <c r="F1667" s="4">
        <v>5</v>
      </c>
      <c r="G1667" s="4">
        <v>370</v>
      </c>
      <c r="H1667" s="4">
        <v>6</v>
      </c>
      <c r="I1667" s="4">
        <v>1739</v>
      </c>
      <c r="J1667" s="2" t="s">
        <v>16</v>
      </c>
      <c r="K1667" s="2" t="s">
        <v>17</v>
      </c>
    </row>
    <row r="1668" spans="1:11" x14ac:dyDescent="0.35">
      <c r="A1668" s="2" t="s">
        <v>2092</v>
      </c>
      <c r="B1668" s="3">
        <v>45377</v>
      </c>
      <c r="C1668" s="2" t="s">
        <v>994</v>
      </c>
      <c r="D1668" s="2" t="s">
        <v>60</v>
      </c>
      <c r="E1668" s="2" t="s">
        <v>15</v>
      </c>
      <c r="F1668" s="4">
        <v>9</v>
      </c>
      <c r="G1668" s="4">
        <v>2270</v>
      </c>
      <c r="H1668" s="4">
        <v>4.7</v>
      </c>
      <c r="I1668" s="4">
        <v>19469.79</v>
      </c>
      <c r="J1668" s="2" t="s">
        <v>16</v>
      </c>
      <c r="K1668" s="2" t="s">
        <v>23</v>
      </c>
    </row>
    <row r="1669" spans="1:11" x14ac:dyDescent="0.35">
      <c r="A1669" s="2" t="s">
        <v>2093</v>
      </c>
      <c r="B1669" s="3">
        <v>45414</v>
      </c>
      <c r="C1669" s="2" t="s">
        <v>766</v>
      </c>
      <c r="D1669" s="2" t="s">
        <v>132</v>
      </c>
      <c r="E1669" s="2" t="s">
        <v>202</v>
      </c>
      <c r="F1669" s="4">
        <v>5</v>
      </c>
      <c r="G1669" s="4">
        <v>660</v>
      </c>
      <c r="H1669" s="4">
        <v>21</v>
      </c>
      <c r="I1669" s="4">
        <v>2607</v>
      </c>
      <c r="J1669" s="2" t="s">
        <v>16</v>
      </c>
      <c r="K1669" s="2" t="s">
        <v>46</v>
      </c>
    </row>
    <row r="1670" spans="1:11" x14ac:dyDescent="0.35">
      <c r="A1670" s="2" t="s">
        <v>2094</v>
      </c>
      <c r="B1670" s="3">
        <v>45407</v>
      </c>
      <c r="C1670" s="2" t="s">
        <v>2095</v>
      </c>
      <c r="D1670" s="2" t="s">
        <v>44</v>
      </c>
      <c r="E1670" s="2" t="s">
        <v>77</v>
      </c>
      <c r="F1670" s="4">
        <v>2</v>
      </c>
      <c r="G1670" s="4">
        <v>960</v>
      </c>
      <c r="H1670" s="4">
        <v>7.3</v>
      </c>
      <c r="I1670" s="4">
        <v>1779.84</v>
      </c>
      <c r="J1670" s="2" t="s">
        <v>16</v>
      </c>
      <c r="K1670" s="2" t="s">
        <v>46</v>
      </c>
    </row>
    <row r="1671" spans="1:11" x14ac:dyDescent="0.35">
      <c r="A1671" s="2" t="s">
        <v>2096</v>
      </c>
      <c r="B1671" s="3">
        <v>45509</v>
      </c>
      <c r="C1671" s="2" t="s">
        <v>95</v>
      </c>
      <c r="D1671" s="2" t="s">
        <v>120</v>
      </c>
      <c r="E1671" s="2" t="s">
        <v>133</v>
      </c>
      <c r="F1671" s="4">
        <v>3</v>
      </c>
      <c r="G1671" s="4">
        <v>5100</v>
      </c>
      <c r="H1671" s="4">
        <v>21</v>
      </c>
      <c r="I1671" s="4">
        <v>12087</v>
      </c>
      <c r="J1671" s="2" t="s">
        <v>16</v>
      </c>
      <c r="K1671" s="2" t="s">
        <v>62</v>
      </c>
    </row>
    <row r="1672" spans="1:11" x14ac:dyDescent="0.35">
      <c r="A1672" s="2" t="s">
        <v>2097</v>
      </c>
      <c r="B1672" s="3">
        <v>45566</v>
      </c>
      <c r="C1672" s="2" t="s">
        <v>210</v>
      </c>
      <c r="D1672" s="2" t="s">
        <v>35</v>
      </c>
      <c r="E1672" s="2" t="s">
        <v>68</v>
      </c>
      <c r="F1672" s="4">
        <v>3</v>
      </c>
      <c r="G1672" s="4">
        <v>3160</v>
      </c>
      <c r="H1672" s="4">
        <v>13.5</v>
      </c>
      <c r="I1672" s="4">
        <v>8200.2000000000007</v>
      </c>
      <c r="J1672" s="2" t="s">
        <v>16</v>
      </c>
      <c r="K1672" s="2" t="s">
        <v>17</v>
      </c>
    </row>
    <row r="1673" spans="1:11" x14ac:dyDescent="0.35">
      <c r="A1673" s="2" t="s">
        <v>2098</v>
      </c>
      <c r="B1673" s="3">
        <v>45524</v>
      </c>
      <c r="C1673" s="2" t="s">
        <v>2099</v>
      </c>
      <c r="D1673" s="2" t="s">
        <v>188</v>
      </c>
      <c r="E1673" s="2" t="s">
        <v>21</v>
      </c>
      <c r="F1673" s="4">
        <v>9</v>
      </c>
      <c r="G1673" s="4">
        <v>1540</v>
      </c>
      <c r="H1673" s="4">
        <v>18.2</v>
      </c>
      <c r="I1673" s="4">
        <v>11337.48</v>
      </c>
      <c r="J1673" s="2" t="s">
        <v>69</v>
      </c>
      <c r="K1673" s="2" t="s">
        <v>46</v>
      </c>
    </row>
    <row r="1674" spans="1:11" x14ac:dyDescent="0.35">
      <c r="A1674" s="2" t="s">
        <v>2100</v>
      </c>
      <c r="B1674" s="3">
        <v>45431</v>
      </c>
      <c r="C1674" s="2" t="s">
        <v>82</v>
      </c>
      <c r="D1674" s="2" t="s">
        <v>86</v>
      </c>
      <c r="E1674" s="2" t="s">
        <v>45</v>
      </c>
      <c r="F1674" s="4">
        <v>4</v>
      </c>
      <c r="G1674" s="4">
        <v>3450</v>
      </c>
      <c r="H1674" s="4">
        <v>26.4</v>
      </c>
      <c r="I1674" s="4">
        <v>10156.799999999999</v>
      </c>
      <c r="J1674" s="2" t="s">
        <v>22</v>
      </c>
      <c r="K1674" s="2" t="s">
        <v>46</v>
      </c>
    </row>
    <row r="1675" spans="1:11" x14ac:dyDescent="0.35">
      <c r="A1675" s="2" t="s">
        <v>2101</v>
      </c>
      <c r="B1675" s="3">
        <v>45598</v>
      </c>
      <c r="C1675" s="2" t="s">
        <v>340</v>
      </c>
      <c r="D1675" s="2" t="s">
        <v>296</v>
      </c>
      <c r="E1675" s="2" t="s">
        <v>130</v>
      </c>
      <c r="F1675" s="4">
        <v>4</v>
      </c>
      <c r="G1675" s="4">
        <v>2380</v>
      </c>
      <c r="H1675" s="4">
        <v>6.9</v>
      </c>
      <c r="I1675" s="4">
        <v>8863.1200000000008</v>
      </c>
      <c r="J1675" s="2" t="s">
        <v>16</v>
      </c>
      <c r="K1675" s="2" t="s">
        <v>41</v>
      </c>
    </row>
    <row r="1676" spans="1:11" x14ac:dyDescent="0.35">
      <c r="A1676" s="2" t="s">
        <v>2102</v>
      </c>
      <c r="B1676" s="3">
        <v>45419</v>
      </c>
      <c r="C1676" s="2" t="s">
        <v>210</v>
      </c>
      <c r="D1676" s="2" t="s">
        <v>155</v>
      </c>
      <c r="E1676" s="2" t="s">
        <v>77</v>
      </c>
      <c r="F1676" s="4">
        <v>2</v>
      </c>
      <c r="G1676" s="4">
        <v>3730</v>
      </c>
      <c r="H1676" s="4">
        <v>22.9</v>
      </c>
      <c r="I1676" s="4">
        <v>5751.66</v>
      </c>
      <c r="J1676" s="2" t="s">
        <v>16</v>
      </c>
      <c r="K1676" s="2" t="s">
        <v>17</v>
      </c>
    </row>
    <row r="1677" spans="1:11" x14ac:dyDescent="0.35">
      <c r="A1677" s="2" t="s">
        <v>2103</v>
      </c>
      <c r="B1677" s="3">
        <v>45549</v>
      </c>
      <c r="C1677" s="2" t="s">
        <v>302</v>
      </c>
      <c r="D1677" s="2" t="s">
        <v>72</v>
      </c>
      <c r="E1677" s="2" t="s">
        <v>226</v>
      </c>
      <c r="F1677" s="4">
        <v>7</v>
      </c>
      <c r="G1677" s="4">
        <v>3250</v>
      </c>
      <c r="H1677" s="4">
        <v>6</v>
      </c>
      <c r="I1677" s="4">
        <v>21385</v>
      </c>
      <c r="J1677" s="2" t="s">
        <v>16</v>
      </c>
      <c r="K1677" s="2" t="s">
        <v>17</v>
      </c>
    </row>
    <row r="1678" spans="1:11" x14ac:dyDescent="0.35">
      <c r="A1678" s="2" t="s">
        <v>2104</v>
      </c>
      <c r="B1678" s="3">
        <v>45519</v>
      </c>
      <c r="C1678" s="2" t="s">
        <v>699</v>
      </c>
      <c r="D1678" s="2" t="s">
        <v>26</v>
      </c>
      <c r="E1678" s="2" t="s">
        <v>121</v>
      </c>
      <c r="F1678" s="4">
        <v>9</v>
      </c>
      <c r="G1678" s="4">
        <v>470</v>
      </c>
      <c r="H1678" s="4">
        <v>11.6</v>
      </c>
      <c r="I1678" s="4">
        <v>3739.32</v>
      </c>
      <c r="J1678" s="2" t="s">
        <v>16</v>
      </c>
      <c r="K1678" s="2" t="s">
        <v>17</v>
      </c>
    </row>
    <row r="1679" spans="1:11" x14ac:dyDescent="0.35">
      <c r="A1679" s="2" t="s">
        <v>2105</v>
      </c>
      <c r="B1679" s="3">
        <v>45574</v>
      </c>
      <c r="C1679" s="2" t="s">
        <v>686</v>
      </c>
      <c r="D1679" s="2" t="s">
        <v>315</v>
      </c>
      <c r="E1679" s="2" t="s">
        <v>130</v>
      </c>
      <c r="F1679" s="4">
        <v>5</v>
      </c>
      <c r="G1679" s="4">
        <v>2290</v>
      </c>
      <c r="H1679" s="4">
        <v>27.6</v>
      </c>
      <c r="I1679" s="4">
        <v>8289.7999999999993</v>
      </c>
      <c r="J1679" s="2" t="s">
        <v>16</v>
      </c>
      <c r="K1679" s="2" t="s">
        <v>46</v>
      </c>
    </row>
    <row r="1680" spans="1:11" x14ac:dyDescent="0.35">
      <c r="A1680" s="2" t="s">
        <v>2106</v>
      </c>
      <c r="B1680" s="3">
        <v>45462</v>
      </c>
      <c r="C1680" s="2" t="s">
        <v>598</v>
      </c>
      <c r="D1680" s="2" t="s">
        <v>49</v>
      </c>
      <c r="E1680" s="2" t="s">
        <v>158</v>
      </c>
      <c r="F1680" s="4">
        <v>6</v>
      </c>
      <c r="G1680" s="4">
        <v>1430</v>
      </c>
      <c r="H1680" s="4">
        <v>18.399999999999999</v>
      </c>
      <c r="I1680" s="4">
        <v>7001.28</v>
      </c>
      <c r="J1680" s="2" t="s">
        <v>22</v>
      </c>
      <c r="K1680" s="2" t="s">
        <v>62</v>
      </c>
    </row>
    <row r="1681" spans="1:11" x14ac:dyDescent="0.35">
      <c r="A1681" s="2" t="s">
        <v>2107</v>
      </c>
      <c r="B1681" s="3">
        <v>45336</v>
      </c>
      <c r="C1681" s="2" t="s">
        <v>1190</v>
      </c>
      <c r="D1681" s="2" t="s">
        <v>124</v>
      </c>
      <c r="E1681" s="2" t="s">
        <v>226</v>
      </c>
      <c r="F1681" s="4">
        <v>7</v>
      </c>
      <c r="G1681" s="4">
        <v>2860</v>
      </c>
      <c r="H1681" s="4">
        <v>19.5</v>
      </c>
      <c r="I1681" s="4">
        <v>16116.1</v>
      </c>
      <c r="J1681" s="2" t="s">
        <v>16</v>
      </c>
      <c r="K1681" s="2" t="s">
        <v>46</v>
      </c>
    </row>
    <row r="1682" spans="1:11" x14ac:dyDescent="0.35">
      <c r="A1682" s="2" t="s">
        <v>2108</v>
      </c>
      <c r="B1682" s="3">
        <v>45439</v>
      </c>
      <c r="C1682" s="2" t="s">
        <v>486</v>
      </c>
      <c r="D1682" s="2" t="s">
        <v>86</v>
      </c>
      <c r="E1682" s="2" t="s">
        <v>121</v>
      </c>
      <c r="F1682" s="4">
        <v>8</v>
      </c>
      <c r="G1682" s="4">
        <v>3450</v>
      </c>
      <c r="H1682" s="4">
        <v>25.5</v>
      </c>
      <c r="I1682" s="4">
        <v>20562</v>
      </c>
      <c r="J1682" s="2" t="s">
        <v>22</v>
      </c>
      <c r="K1682" s="2" t="s">
        <v>41</v>
      </c>
    </row>
    <row r="1683" spans="1:11" x14ac:dyDescent="0.35">
      <c r="A1683" s="2" t="s">
        <v>2109</v>
      </c>
      <c r="B1683" s="3">
        <v>45578</v>
      </c>
      <c r="C1683" s="2" t="s">
        <v>488</v>
      </c>
      <c r="D1683" s="2" t="s">
        <v>289</v>
      </c>
      <c r="E1683" s="2" t="s">
        <v>50</v>
      </c>
      <c r="F1683" s="4">
        <v>7</v>
      </c>
      <c r="G1683" s="4">
        <v>5410</v>
      </c>
      <c r="H1683" s="4">
        <v>15.2</v>
      </c>
      <c r="I1683" s="4">
        <v>32113.759999999998</v>
      </c>
      <c r="J1683" s="2" t="s">
        <v>69</v>
      </c>
      <c r="K1683" s="2" t="s">
        <v>17</v>
      </c>
    </row>
    <row r="1684" spans="1:11" x14ac:dyDescent="0.35">
      <c r="A1684" s="2" t="s">
        <v>2110</v>
      </c>
      <c r="B1684" s="3">
        <v>45588</v>
      </c>
      <c r="C1684" s="2" t="s">
        <v>488</v>
      </c>
      <c r="D1684" s="2" t="s">
        <v>93</v>
      </c>
      <c r="E1684" s="2" t="s">
        <v>40</v>
      </c>
      <c r="F1684" s="4">
        <v>3</v>
      </c>
      <c r="G1684" s="4">
        <v>1080</v>
      </c>
      <c r="H1684" s="4">
        <v>26</v>
      </c>
      <c r="I1684" s="4">
        <v>2397.6</v>
      </c>
      <c r="J1684" s="2" t="s">
        <v>16</v>
      </c>
      <c r="K1684" s="2" t="s">
        <v>17</v>
      </c>
    </row>
    <row r="1685" spans="1:11" x14ac:dyDescent="0.35">
      <c r="A1685" s="2" t="s">
        <v>2111</v>
      </c>
      <c r="B1685" s="3">
        <v>45354</v>
      </c>
      <c r="C1685" s="2" t="s">
        <v>241</v>
      </c>
      <c r="D1685" s="2" t="s">
        <v>124</v>
      </c>
      <c r="E1685" s="2" t="s">
        <v>50</v>
      </c>
      <c r="F1685" s="4">
        <v>8</v>
      </c>
      <c r="G1685" s="4">
        <v>2860</v>
      </c>
      <c r="H1685" s="4">
        <v>14.8</v>
      </c>
      <c r="I1685" s="4">
        <v>19493.759999999998</v>
      </c>
      <c r="J1685" s="2" t="s">
        <v>16</v>
      </c>
      <c r="K1685" s="2" t="s">
        <v>62</v>
      </c>
    </row>
    <row r="1686" spans="1:11" x14ac:dyDescent="0.35">
      <c r="A1686" s="2" t="s">
        <v>2112</v>
      </c>
      <c r="B1686" s="3">
        <v>45332</v>
      </c>
      <c r="C1686" s="2" t="s">
        <v>2113</v>
      </c>
      <c r="D1686" s="2" t="s">
        <v>205</v>
      </c>
      <c r="E1686" s="2" t="s">
        <v>181</v>
      </c>
      <c r="F1686" s="4">
        <v>4</v>
      </c>
      <c r="G1686" s="4">
        <v>3020</v>
      </c>
      <c r="H1686" s="4">
        <v>8.1</v>
      </c>
      <c r="I1686" s="4">
        <v>11101.52</v>
      </c>
      <c r="J1686" s="2" t="s">
        <v>16</v>
      </c>
      <c r="K1686" s="2" t="s">
        <v>62</v>
      </c>
    </row>
    <row r="1687" spans="1:11" x14ac:dyDescent="0.35">
      <c r="A1687" s="2" t="s">
        <v>2114</v>
      </c>
      <c r="B1687" s="3">
        <v>45649</v>
      </c>
      <c r="C1687" s="2" t="s">
        <v>157</v>
      </c>
      <c r="D1687" s="2" t="s">
        <v>44</v>
      </c>
      <c r="E1687" s="2" t="s">
        <v>40</v>
      </c>
      <c r="F1687" s="4">
        <v>4</v>
      </c>
      <c r="G1687" s="4">
        <v>960</v>
      </c>
      <c r="H1687" s="4">
        <v>6.4</v>
      </c>
      <c r="I1687" s="4">
        <v>3594.24</v>
      </c>
      <c r="J1687" s="2" t="s">
        <v>69</v>
      </c>
      <c r="K1687" s="2" t="s">
        <v>41</v>
      </c>
    </row>
    <row r="1688" spans="1:11" x14ac:dyDescent="0.35">
      <c r="A1688" s="2" t="s">
        <v>2115</v>
      </c>
      <c r="B1688" s="3">
        <v>45596</v>
      </c>
      <c r="C1688" s="2" t="s">
        <v>480</v>
      </c>
      <c r="D1688" s="2" t="s">
        <v>177</v>
      </c>
      <c r="E1688" s="2" t="s">
        <v>158</v>
      </c>
      <c r="F1688" s="4">
        <v>4</v>
      </c>
      <c r="G1688" s="4">
        <v>3870</v>
      </c>
      <c r="H1688" s="4">
        <v>15.9</v>
      </c>
      <c r="I1688" s="4">
        <v>13018.68</v>
      </c>
      <c r="J1688" s="2" t="s">
        <v>16</v>
      </c>
      <c r="K1688" s="2" t="s">
        <v>41</v>
      </c>
    </row>
    <row r="1689" spans="1:11" x14ac:dyDescent="0.35">
      <c r="A1689" s="2" t="s">
        <v>2116</v>
      </c>
      <c r="B1689" s="3">
        <v>45378</v>
      </c>
      <c r="C1689" s="2" t="s">
        <v>1101</v>
      </c>
      <c r="D1689" s="2" t="s">
        <v>35</v>
      </c>
      <c r="E1689" s="2" t="s">
        <v>121</v>
      </c>
      <c r="F1689" s="4">
        <v>5</v>
      </c>
      <c r="G1689" s="4">
        <v>3160</v>
      </c>
      <c r="H1689" s="4">
        <v>29.8</v>
      </c>
      <c r="I1689" s="4">
        <v>11091.6</v>
      </c>
      <c r="J1689" s="2" t="s">
        <v>16</v>
      </c>
      <c r="K1689" s="2" t="s">
        <v>17</v>
      </c>
    </row>
    <row r="1690" spans="1:11" x14ac:dyDescent="0.35">
      <c r="A1690" s="2" t="s">
        <v>2117</v>
      </c>
      <c r="B1690" s="3">
        <v>45403</v>
      </c>
      <c r="C1690" s="2" t="s">
        <v>369</v>
      </c>
      <c r="D1690" s="2" t="s">
        <v>86</v>
      </c>
      <c r="E1690" s="2" t="s">
        <v>272</v>
      </c>
      <c r="F1690" s="4">
        <v>5</v>
      </c>
      <c r="G1690" s="4">
        <v>3450</v>
      </c>
      <c r="H1690" s="4">
        <v>29.4</v>
      </c>
      <c r="I1690" s="4">
        <v>12178.5</v>
      </c>
      <c r="J1690" s="2" t="s">
        <v>16</v>
      </c>
      <c r="K1690" s="2" t="s">
        <v>17</v>
      </c>
    </row>
    <row r="1691" spans="1:11" x14ac:dyDescent="0.35">
      <c r="A1691" s="2" t="s">
        <v>2118</v>
      </c>
      <c r="B1691" s="3">
        <v>45535</v>
      </c>
      <c r="C1691" s="2" t="s">
        <v>779</v>
      </c>
      <c r="D1691" s="2" t="s">
        <v>309</v>
      </c>
      <c r="E1691" s="2" t="s">
        <v>232</v>
      </c>
      <c r="F1691" s="4">
        <v>10</v>
      </c>
      <c r="G1691" s="4">
        <v>960</v>
      </c>
      <c r="H1691" s="4">
        <v>27</v>
      </c>
      <c r="I1691" s="4">
        <v>7008</v>
      </c>
      <c r="J1691" s="2" t="s">
        <v>69</v>
      </c>
      <c r="K1691" s="2" t="s">
        <v>23</v>
      </c>
    </row>
    <row r="1692" spans="1:11" x14ac:dyDescent="0.35">
      <c r="A1692" s="2" t="s">
        <v>2119</v>
      </c>
      <c r="B1692" s="3">
        <v>45429</v>
      </c>
      <c r="C1692" s="2" t="s">
        <v>708</v>
      </c>
      <c r="D1692" s="2" t="s">
        <v>444</v>
      </c>
      <c r="E1692" s="2" t="s">
        <v>232</v>
      </c>
      <c r="F1692" s="4">
        <v>10</v>
      </c>
      <c r="G1692" s="4">
        <v>6940</v>
      </c>
      <c r="H1692" s="4">
        <v>20.100000000000001</v>
      </c>
      <c r="I1692" s="4">
        <v>55450.6</v>
      </c>
      <c r="J1692" s="2" t="s">
        <v>16</v>
      </c>
      <c r="K1692" s="2" t="s">
        <v>46</v>
      </c>
    </row>
    <row r="1693" spans="1:11" x14ac:dyDescent="0.35">
      <c r="A1693" s="2" t="s">
        <v>2120</v>
      </c>
      <c r="B1693" s="3">
        <v>45436</v>
      </c>
      <c r="C1693" s="2" t="s">
        <v>528</v>
      </c>
      <c r="D1693" s="2" t="s">
        <v>80</v>
      </c>
      <c r="E1693" s="2" t="s">
        <v>133</v>
      </c>
      <c r="F1693" s="4">
        <v>9</v>
      </c>
      <c r="G1693" s="4">
        <v>2400</v>
      </c>
      <c r="H1693" s="4">
        <v>7.8</v>
      </c>
      <c r="I1693" s="4">
        <v>19915.2</v>
      </c>
      <c r="J1693" s="2" t="s">
        <v>16</v>
      </c>
      <c r="K1693" s="2" t="s">
        <v>46</v>
      </c>
    </row>
    <row r="1694" spans="1:11" x14ac:dyDescent="0.35">
      <c r="A1694" s="2" t="s">
        <v>2121</v>
      </c>
      <c r="B1694" s="3">
        <v>45397</v>
      </c>
      <c r="C1694" s="2" t="s">
        <v>1226</v>
      </c>
      <c r="D1694" s="2" t="s">
        <v>289</v>
      </c>
      <c r="E1694" s="2" t="s">
        <v>167</v>
      </c>
      <c r="F1694" s="4">
        <v>1</v>
      </c>
      <c r="G1694" s="4">
        <v>5410</v>
      </c>
      <c r="H1694" s="4">
        <v>22.8</v>
      </c>
      <c r="I1694" s="4">
        <v>4176.5200000000004</v>
      </c>
      <c r="J1694" s="2" t="s">
        <v>16</v>
      </c>
      <c r="K1694" s="2" t="s">
        <v>41</v>
      </c>
    </row>
    <row r="1695" spans="1:11" x14ac:dyDescent="0.35">
      <c r="A1695" s="2" t="s">
        <v>2122</v>
      </c>
      <c r="B1695" s="3">
        <v>45629</v>
      </c>
      <c r="C1695" s="2" t="s">
        <v>1190</v>
      </c>
      <c r="D1695" s="2" t="s">
        <v>196</v>
      </c>
      <c r="E1695" s="2" t="s">
        <v>68</v>
      </c>
      <c r="F1695" s="4">
        <v>7</v>
      </c>
      <c r="G1695" s="4">
        <v>1220</v>
      </c>
      <c r="H1695" s="4">
        <v>18.8</v>
      </c>
      <c r="I1695" s="4">
        <v>6934.48</v>
      </c>
      <c r="J1695" s="2" t="s">
        <v>22</v>
      </c>
      <c r="K1695" s="2" t="s">
        <v>46</v>
      </c>
    </row>
    <row r="1696" spans="1:11" x14ac:dyDescent="0.35">
      <c r="A1696" s="2" t="s">
        <v>2123</v>
      </c>
      <c r="B1696" s="3">
        <v>45595</v>
      </c>
      <c r="C1696" s="2" t="s">
        <v>110</v>
      </c>
      <c r="D1696" s="2" t="s">
        <v>431</v>
      </c>
      <c r="E1696" s="2" t="s">
        <v>50</v>
      </c>
      <c r="F1696" s="4">
        <v>1</v>
      </c>
      <c r="G1696" s="4">
        <v>1090</v>
      </c>
      <c r="H1696" s="4">
        <v>23.5</v>
      </c>
      <c r="I1696" s="4">
        <v>833.85</v>
      </c>
      <c r="J1696" s="2" t="s">
        <v>16</v>
      </c>
      <c r="K1696" s="2" t="s">
        <v>28</v>
      </c>
    </row>
    <row r="1697" spans="1:11" x14ac:dyDescent="0.35">
      <c r="A1697" s="2" t="s">
        <v>2124</v>
      </c>
      <c r="B1697" s="3">
        <v>45531</v>
      </c>
      <c r="C1697" s="2" t="s">
        <v>850</v>
      </c>
      <c r="D1697" s="2" t="s">
        <v>129</v>
      </c>
      <c r="E1697" s="2" t="s">
        <v>83</v>
      </c>
      <c r="F1697" s="4">
        <v>2</v>
      </c>
      <c r="G1697" s="4">
        <v>2760</v>
      </c>
      <c r="H1697" s="4">
        <v>2.2999999999999998</v>
      </c>
      <c r="I1697" s="4">
        <v>5393.04</v>
      </c>
      <c r="J1697" s="2" t="s">
        <v>16</v>
      </c>
      <c r="K1697" s="2" t="s">
        <v>46</v>
      </c>
    </row>
    <row r="1698" spans="1:11" x14ac:dyDescent="0.35">
      <c r="A1698" s="2" t="s">
        <v>2125</v>
      </c>
      <c r="B1698" s="3">
        <v>45626</v>
      </c>
      <c r="C1698" s="2" t="s">
        <v>490</v>
      </c>
      <c r="D1698" s="2" t="s">
        <v>116</v>
      </c>
      <c r="E1698" s="2" t="s">
        <v>130</v>
      </c>
      <c r="F1698" s="4">
        <v>3</v>
      </c>
      <c r="G1698" s="4">
        <v>3570</v>
      </c>
      <c r="H1698" s="4">
        <v>18.399999999999999</v>
      </c>
      <c r="I1698" s="4">
        <v>8739.36</v>
      </c>
      <c r="J1698" s="2" t="s">
        <v>73</v>
      </c>
      <c r="K1698" s="2" t="s">
        <v>62</v>
      </c>
    </row>
    <row r="1699" spans="1:11" x14ac:dyDescent="0.35">
      <c r="A1699" s="2" t="s">
        <v>2126</v>
      </c>
      <c r="B1699" s="3">
        <v>45502</v>
      </c>
      <c r="C1699" s="2" t="s">
        <v>618</v>
      </c>
      <c r="D1699" s="2" t="s">
        <v>196</v>
      </c>
      <c r="E1699" s="2" t="s">
        <v>68</v>
      </c>
      <c r="F1699" s="4">
        <v>7</v>
      </c>
      <c r="G1699" s="4">
        <v>1220</v>
      </c>
      <c r="H1699" s="4">
        <v>25.8</v>
      </c>
      <c r="I1699" s="4">
        <v>6336.68</v>
      </c>
      <c r="J1699" s="2" t="s">
        <v>73</v>
      </c>
      <c r="K1699" s="2" t="s">
        <v>62</v>
      </c>
    </row>
    <row r="1700" spans="1:11" x14ac:dyDescent="0.35">
      <c r="A1700" s="2" t="s">
        <v>2127</v>
      </c>
      <c r="B1700" s="3">
        <v>45501</v>
      </c>
      <c r="C1700" s="2" t="s">
        <v>1101</v>
      </c>
      <c r="D1700" s="2" t="s">
        <v>90</v>
      </c>
      <c r="E1700" s="2" t="s">
        <v>158</v>
      </c>
      <c r="F1700" s="4">
        <v>6</v>
      </c>
      <c r="G1700" s="4">
        <v>3450</v>
      </c>
      <c r="H1700" s="4">
        <v>13.1</v>
      </c>
      <c r="I1700" s="4">
        <v>17988.3</v>
      </c>
      <c r="J1700" s="2" t="s">
        <v>16</v>
      </c>
      <c r="K1700" s="2" t="s">
        <v>17</v>
      </c>
    </row>
    <row r="1701" spans="1:11" x14ac:dyDescent="0.35">
      <c r="A1701" s="2" t="s">
        <v>2128</v>
      </c>
      <c r="B1701" s="3">
        <v>45435</v>
      </c>
      <c r="C1701" s="2" t="s">
        <v>38</v>
      </c>
      <c r="D1701" s="2" t="s">
        <v>267</v>
      </c>
      <c r="E1701" s="2" t="s">
        <v>68</v>
      </c>
      <c r="F1701" s="4">
        <v>10</v>
      </c>
      <c r="G1701" s="4">
        <v>2210</v>
      </c>
      <c r="H1701" s="4">
        <v>16.600000000000001</v>
      </c>
      <c r="I1701" s="4">
        <v>18431.400000000001</v>
      </c>
      <c r="J1701" s="2" t="s">
        <v>16</v>
      </c>
      <c r="K1701" s="2" t="s">
        <v>41</v>
      </c>
    </row>
    <row r="1702" spans="1:11" x14ac:dyDescent="0.35">
      <c r="A1702" s="2" t="s">
        <v>2129</v>
      </c>
      <c r="B1702" s="3">
        <v>45295</v>
      </c>
      <c r="C1702" s="2" t="s">
        <v>345</v>
      </c>
      <c r="D1702" s="2" t="s">
        <v>96</v>
      </c>
      <c r="E1702" s="2" t="s">
        <v>272</v>
      </c>
      <c r="F1702" s="4">
        <v>10</v>
      </c>
      <c r="G1702" s="4">
        <v>2480</v>
      </c>
      <c r="H1702" s="4">
        <v>17.5</v>
      </c>
      <c r="I1702" s="4">
        <v>20460</v>
      </c>
      <c r="J1702" s="2" t="s">
        <v>16</v>
      </c>
      <c r="K1702" s="2" t="s">
        <v>46</v>
      </c>
    </row>
    <row r="1703" spans="1:11" x14ac:dyDescent="0.35">
      <c r="A1703" s="2" t="s">
        <v>2130</v>
      </c>
      <c r="B1703" s="3">
        <v>45566</v>
      </c>
      <c r="C1703" s="2" t="s">
        <v>1101</v>
      </c>
      <c r="D1703" s="2" t="s">
        <v>72</v>
      </c>
      <c r="E1703" s="2" t="s">
        <v>50</v>
      </c>
      <c r="F1703" s="4">
        <v>9</v>
      </c>
      <c r="G1703" s="4">
        <v>3250</v>
      </c>
      <c r="H1703" s="4">
        <v>25.9</v>
      </c>
      <c r="I1703" s="4">
        <v>21674.25</v>
      </c>
      <c r="J1703" s="2" t="s">
        <v>16</v>
      </c>
      <c r="K1703" s="2" t="s">
        <v>17</v>
      </c>
    </row>
    <row r="1704" spans="1:11" x14ac:dyDescent="0.35">
      <c r="A1704" s="2" t="s">
        <v>2131</v>
      </c>
      <c r="B1704" s="3">
        <v>45474</v>
      </c>
      <c r="C1704" s="2" t="s">
        <v>766</v>
      </c>
      <c r="D1704" s="2" t="s">
        <v>80</v>
      </c>
      <c r="E1704" s="2" t="s">
        <v>36</v>
      </c>
      <c r="F1704" s="4">
        <v>3</v>
      </c>
      <c r="G1704" s="4">
        <v>2400</v>
      </c>
      <c r="H1704" s="4">
        <v>17.5</v>
      </c>
      <c r="I1704" s="4">
        <v>5940</v>
      </c>
      <c r="J1704" s="2" t="s">
        <v>16</v>
      </c>
      <c r="K1704" s="2" t="s">
        <v>46</v>
      </c>
    </row>
    <row r="1705" spans="1:11" x14ac:dyDescent="0.35">
      <c r="A1705" s="2" t="s">
        <v>2132</v>
      </c>
      <c r="B1705" s="3">
        <v>45372</v>
      </c>
      <c r="C1705" s="2" t="s">
        <v>220</v>
      </c>
      <c r="D1705" s="2" t="s">
        <v>289</v>
      </c>
      <c r="E1705" s="2" t="s">
        <v>32</v>
      </c>
      <c r="F1705" s="4">
        <v>8</v>
      </c>
      <c r="G1705" s="4">
        <v>5410</v>
      </c>
      <c r="H1705" s="4">
        <v>8.3000000000000007</v>
      </c>
      <c r="I1705" s="4">
        <v>39687.760000000002</v>
      </c>
      <c r="J1705" s="2" t="s">
        <v>16</v>
      </c>
      <c r="K1705" s="2" t="s">
        <v>28</v>
      </c>
    </row>
    <row r="1706" spans="1:11" x14ac:dyDescent="0.35">
      <c r="A1706" s="2" t="s">
        <v>2133</v>
      </c>
      <c r="B1706" s="3">
        <v>45622</v>
      </c>
      <c r="C1706" s="2" t="s">
        <v>764</v>
      </c>
      <c r="D1706" s="2" t="s">
        <v>67</v>
      </c>
      <c r="E1706" s="2" t="s">
        <v>232</v>
      </c>
      <c r="F1706" s="4">
        <v>1</v>
      </c>
      <c r="G1706" s="4">
        <v>2600</v>
      </c>
      <c r="H1706" s="4">
        <v>5.9</v>
      </c>
      <c r="I1706" s="4">
        <v>2446.6</v>
      </c>
      <c r="J1706" s="2" t="s">
        <v>16</v>
      </c>
      <c r="K1706" s="2" t="s">
        <v>46</v>
      </c>
    </row>
    <row r="1707" spans="1:11" x14ac:dyDescent="0.35">
      <c r="A1707" s="2" t="s">
        <v>2134</v>
      </c>
      <c r="B1707" s="3">
        <v>45603</v>
      </c>
      <c r="C1707" s="2" t="s">
        <v>295</v>
      </c>
      <c r="D1707" s="2" t="s">
        <v>280</v>
      </c>
      <c r="E1707" s="2" t="s">
        <v>77</v>
      </c>
      <c r="F1707" s="4">
        <v>10</v>
      </c>
      <c r="G1707" s="4">
        <v>4060</v>
      </c>
      <c r="H1707" s="4">
        <v>2.2999999999999998</v>
      </c>
      <c r="I1707" s="4">
        <v>39666.199999999997</v>
      </c>
      <c r="J1707" s="2" t="s">
        <v>16</v>
      </c>
      <c r="K1707" s="2" t="s">
        <v>41</v>
      </c>
    </row>
    <row r="1708" spans="1:11" x14ac:dyDescent="0.35">
      <c r="A1708" s="2" t="s">
        <v>2135</v>
      </c>
      <c r="B1708" s="3">
        <v>45352</v>
      </c>
      <c r="C1708" s="2" t="s">
        <v>658</v>
      </c>
      <c r="D1708" s="2" t="s">
        <v>293</v>
      </c>
      <c r="E1708" s="2" t="s">
        <v>121</v>
      </c>
      <c r="F1708" s="4">
        <v>9</v>
      </c>
      <c r="G1708" s="4">
        <v>5330</v>
      </c>
      <c r="H1708" s="4">
        <v>23.5</v>
      </c>
      <c r="I1708" s="4">
        <v>36697.050000000003</v>
      </c>
      <c r="J1708" s="2" t="s">
        <v>16</v>
      </c>
      <c r="K1708" s="2" t="s">
        <v>41</v>
      </c>
    </row>
    <row r="1709" spans="1:11" x14ac:dyDescent="0.35">
      <c r="A1709" s="2" t="s">
        <v>2136</v>
      </c>
      <c r="B1709" s="3">
        <v>45600</v>
      </c>
      <c r="C1709" s="2" t="s">
        <v>228</v>
      </c>
      <c r="D1709" s="2" t="s">
        <v>108</v>
      </c>
      <c r="E1709" s="2" t="s">
        <v>40</v>
      </c>
      <c r="F1709" s="4">
        <v>7</v>
      </c>
      <c r="G1709" s="4">
        <v>3350</v>
      </c>
      <c r="H1709" s="4">
        <v>13.4</v>
      </c>
      <c r="I1709" s="4">
        <v>20307.7</v>
      </c>
      <c r="J1709" s="2" t="s">
        <v>22</v>
      </c>
      <c r="K1709" s="2" t="s">
        <v>62</v>
      </c>
    </row>
    <row r="1710" spans="1:11" x14ac:dyDescent="0.35">
      <c r="A1710" s="2" t="s">
        <v>2137</v>
      </c>
      <c r="B1710" s="3">
        <v>45631</v>
      </c>
      <c r="C1710" s="2" t="s">
        <v>494</v>
      </c>
      <c r="D1710" s="2" t="s">
        <v>284</v>
      </c>
      <c r="E1710" s="2" t="s">
        <v>27</v>
      </c>
      <c r="F1710" s="4">
        <v>4</v>
      </c>
      <c r="G1710" s="4">
        <v>2510</v>
      </c>
      <c r="H1710" s="4">
        <v>26.6</v>
      </c>
      <c r="I1710" s="4">
        <v>7369.36</v>
      </c>
      <c r="J1710" s="2" t="s">
        <v>16</v>
      </c>
      <c r="K1710" s="2" t="s">
        <v>41</v>
      </c>
    </row>
    <row r="1711" spans="1:11" x14ac:dyDescent="0.35">
      <c r="A1711" s="2" t="s">
        <v>2138</v>
      </c>
      <c r="B1711" s="3">
        <v>45456</v>
      </c>
      <c r="C1711" s="2" t="s">
        <v>123</v>
      </c>
      <c r="D1711" s="2" t="s">
        <v>205</v>
      </c>
      <c r="E1711" s="2" t="s">
        <v>87</v>
      </c>
      <c r="F1711" s="4">
        <v>1</v>
      </c>
      <c r="G1711" s="4">
        <v>3020</v>
      </c>
      <c r="H1711" s="4">
        <v>15.2</v>
      </c>
      <c r="I1711" s="4">
        <v>2560.96</v>
      </c>
      <c r="J1711" s="2" t="s">
        <v>69</v>
      </c>
      <c r="K1711" s="2" t="s">
        <v>17</v>
      </c>
    </row>
    <row r="1712" spans="1:11" x14ac:dyDescent="0.35">
      <c r="A1712" s="2" t="s">
        <v>2139</v>
      </c>
      <c r="B1712" s="3">
        <v>45539</v>
      </c>
      <c r="C1712" s="2" t="s">
        <v>899</v>
      </c>
      <c r="D1712" s="2" t="s">
        <v>20</v>
      </c>
      <c r="E1712" s="2" t="s">
        <v>158</v>
      </c>
      <c r="F1712" s="4">
        <v>1</v>
      </c>
      <c r="G1712" s="4">
        <v>820</v>
      </c>
      <c r="H1712" s="4">
        <v>6.3</v>
      </c>
      <c r="I1712" s="4">
        <v>768.34</v>
      </c>
      <c r="J1712" s="2" t="s">
        <v>16</v>
      </c>
      <c r="K1712" s="2" t="s">
        <v>41</v>
      </c>
    </row>
    <row r="1713" spans="1:11" x14ac:dyDescent="0.35">
      <c r="A1713" s="2" t="s">
        <v>2140</v>
      </c>
      <c r="B1713" s="3">
        <v>45488</v>
      </c>
      <c r="C1713" s="2" t="s">
        <v>897</v>
      </c>
      <c r="D1713" s="2" t="s">
        <v>35</v>
      </c>
      <c r="E1713" s="2" t="s">
        <v>272</v>
      </c>
      <c r="F1713" s="4">
        <v>4</v>
      </c>
      <c r="G1713" s="4">
        <v>3160</v>
      </c>
      <c r="H1713" s="4">
        <v>3.6</v>
      </c>
      <c r="I1713" s="4">
        <v>12184.96</v>
      </c>
      <c r="J1713" s="2" t="s">
        <v>22</v>
      </c>
      <c r="K1713" s="2" t="s">
        <v>28</v>
      </c>
    </row>
    <row r="1714" spans="1:11" x14ac:dyDescent="0.35">
      <c r="A1714" s="2" t="s">
        <v>2141</v>
      </c>
      <c r="B1714" s="3">
        <v>45370</v>
      </c>
      <c r="C1714" s="2" t="s">
        <v>451</v>
      </c>
      <c r="D1714" s="2" t="s">
        <v>31</v>
      </c>
      <c r="E1714" s="2" t="s">
        <v>254</v>
      </c>
      <c r="F1714" s="4">
        <v>1</v>
      </c>
      <c r="G1714" s="4">
        <v>3660</v>
      </c>
      <c r="H1714" s="4">
        <v>28.2</v>
      </c>
      <c r="I1714" s="4">
        <v>2627.88</v>
      </c>
      <c r="J1714" s="2" t="s">
        <v>22</v>
      </c>
      <c r="K1714" s="2" t="s">
        <v>28</v>
      </c>
    </row>
    <row r="1715" spans="1:11" x14ac:dyDescent="0.35">
      <c r="A1715" s="2" t="s">
        <v>2142</v>
      </c>
      <c r="B1715" s="3">
        <v>45394</v>
      </c>
      <c r="C1715" s="2" t="s">
        <v>25</v>
      </c>
      <c r="D1715" s="2" t="s">
        <v>20</v>
      </c>
      <c r="E1715" s="2" t="s">
        <v>130</v>
      </c>
      <c r="F1715" s="4">
        <v>2</v>
      </c>
      <c r="G1715" s="4">
        <v>820</v>
      </c>
      <c r="H1715" s="4">
        <v>7</v>
      </c>
      <c r="I1715" s="4">
        <v>1525.2</v>
      </c>
      <c r="J1715" s="2" t="s">
        <v>16</v>
      </c>
      <c r="K1715" s="2" t="s">
        <v>28</v>
      </c>
    </row>
    <row r="1716" spans="1:11" x14ac:dyDescent="0.35">
      <c r="A1716" s="2" t="s">
        <v>2143</v>
      </c>
      <c r="B1716" s="3">
        <v>45446</v>
      </c>
      <c r="C1716" s="2" t="s">
        <v>192</v>
      </c>
      <c r="D1716" s="2" t="s">
        <v>296</v>
      </c>
      <c r="E1716" s="2" t="s">
        <v>214</v>
      </c>
      <c r="F1716" s="4">
        <v>5</v>
      </c>
      <c r="G1716" s="4">
        <v>2380</v>
      </c>
      <c r="H1716" s="4">
        <v>23</v>
      </c>
      <c r="I1716" s="4">
        <v>9163</v>
      </c>
      <c r="J1716" s="2" t="s">
        <v>16</v>
      </c>
      <c r="K1716" s="2" t="s">
        <v>62</v>
      </c>
    </row>
    <row r="1717" spans="1:11" x14ac:dyDescent="0.35">
      <c r="A1717" s="2" t="s">
        <v>2144</v>
      </c>
      <c r="B1717" s="3">
        <v>45612</v>
      </c>
      <c r="C1717" s="2" t="s">
        <v>490</v>
      </c>
      <c r="D1717" s="2" t="s">
        <v>177</v>
      </c>
      <c r="E1717" s="2" t="s">
        <v>181</v>
      </c>
      <c r="F1717" s="4">
        <v>1</v>
      </c>
      <c r="G1717" s="4">
        <v>3870</v>
      </c>
      <c r="H1717" s="4">
        <v>27.3</v>
      </c>
      <c r="I1717" s="4">
        <v>2813.49</v>
      </c>
      <c r="J1717" s="2" t="s">
        <v>16</v>
      </c>
      <c r="K1717" s="2" t="s">
        <v>62</v>
      </c>
    </row>
    <row r="1718" spans="1:11" x14ac:dyDescent="0.35">
      <c r="A1718" s="2" t="s">
        <v>2145</v>
      </c>
      <c r="B1718" s="3">
        <v>45301</v>
      </c>
      <c r="C1718" s="2" t="s">
        <v>591</v>
      </c>
      <c r="D1718" s="2" t="s">
        <v>211</v>
      </c>
      <c r="E1718" s="2" t="s">
        <v>15</v>
      </c>
      <c r="F1718" s="4">
        <v>10</v>
      </c>
      <c r="G1718" s="4">
        <v>300</v>
      </c>
      <c r="H1718" s="4">
        <v>14.1</v>
      </c>
      <c r="I1718" s="4">
        <v>2577</v>
      </c>
      <c r="J1718" s="2" t="s">
        <v>69</v>
      </c>
      <c r="K1718" s="2" t="s">
        <v>23</v>
      </c>
    </row>
    <row r="1719" spans="1:11" x14ac:dyDescent="0.35">
      <c r="A1719" s="2" t="s">
        <v>2146</v>
      </c>
      <c r="B1719" s="3">
        <v>45647</v>
      </c>
      <c r="C1719" s="2" t="s">
        <v>824</v>
      </c>
      <c r="D1719" s="2" t="s">
        <v>120</v>
      </c>
      <c r="E1719" s="2" t="s">
        <v>272</v>
      </c>
      <c r="F1719" s="4">
        <v>10</v>
      </c>
      <c r="G1719" s="4">
        <v>5100</v>
      </c>
      <c r="H1719" s="4">
        <v>12.7</v>
      </c>
      <c r="I1719" s="4">
        <v>44523</v>
      </c>
      <c r="J1719" s="2" t="s">
        <v>16</v>
      </c>
      <c r="K1719" s="2" t="s">
        <v>46</v>
      </c>
    </row>
    <row r="1720" spans="1:11" x14ac:dyDescent="0.35">
      <c r="A1720" s="2" t="s">
        <v>2147</v>
      </c>
      <c r="B1720" s="3">
        <v>45589</v>
      </c>
      <c r="C1720" s="2" t="s">
        <v>831</v>
      </c>
      <c r="D1720" s="2" t="s">
        <v>129</v>
      </c>
      <c r="E1720" s="2" t="s">
        <v>181</v>
      </c>
      <c r="F1720" s="4">
        <v>1</v>
      </c>
      <c r="G1720" s="4">
        <v>2760</v>
      </c>
      <c r="H1720" s="4">
        <v>17.8</v>
      </c>
      <c r="I1720" s="4">
        <v>2268.7199999999998</v>
      </c>
      <c r="J1720" s="2" t="s">
        <v>73</v>
      </c>
      <c r="K1720" s="2" t="s">
        <v>41</v>
      </c>
    </row>
    <row r="1721" spans="1:11" x14ac:dyDescent="0.35">
      <c r="A1721" s="2" t="s">
        <v>2148</v>
      </c>
      <c r="B1721" s="3">
        <v>45382</v>
      </c>
      <c r="C1721" s="2" t="s">
        <v>430</v>
      </c>
      <c r="D1721" s="2" t="s">
        <v>293</v>
      </c>
      <c r="E1721" s="2" t="s">
        <v>226</v>
      </c>
      <c r="F1721" s="4">
        <v>8</v>
      </c>
      <c r="G1721" s="4">
        <v>5330</v>
      </c>
      <c r="H1721" s="4">
        <v>16.399999999999999</v>
      </c>
      <c r="I1721" s="4">
        <v>35647.040000000001</v>
      </c>
      <c r="J1721" s="2" t="s">
        <v>16</v>
      </c>
      <c r="K1721" s="2" t="s">
        <v>62</v>
      </c>
    </row>
    <row r="1722" spans="1:11" x14ac:dyDescent="0.35">
      <c r="A1722" s="2" t="s">
        <v>2149</v>
      </c>
      <c r="B1722" s="3">
        <v>45457</v>
      </c>
      <c r="C1722" s="2" t="s">
        <v>591</v>
      </c>
      <c r="D1722" s="2" t="s">
        <v>111</v>
      </c>
      <c r="E1722" s="2" t="s">
        <v>275</v>
      </c>
      <c r="F1722" s="4">
        <v>1</v>
      </c>
      <c r="G1722" s="4">
        <v>1010</v>
      </c>
      <c r="H1722" s="4">
        <v>20.399999999999999</v>
      </c>
      <c r="I1722" s="4">
        <v>803.96</v>
      </c>
      <c r="J1722" s="2" t="s">
        <v>69</v>
      </c>
      <c r="K1722" s="2" t="s">
        <v>23</v>
      </c>
    </row>
    <row r="1723" spans="1:11" x14ac:dyDescent="0.35">
      <c r="A1723" s="2" t="s">
        <v>2150</v>
      </c>
      <c r="B1723" s="3">
        <v>45376</v>
      </c>
      <c r="C1723" s="2" t="s">
        <v>38</v>
      </c>
      <c r="D1723" s="2" t="s">
        <v>208</v>
      </c>
      <c r="E1723" s="2" t="s">
        <v>50</v>
      </c>
      <c r="F1723" s="4">
        <v>10</v>
      </c>
      <c r="G1723" s="4">
        <v>2660</v>
      </c>
      <c r="H1723" s="4">
        <v>29.3</v>
      </c>
      <c r="I1723" s="4">
        <v>18806.2</v>
      </c>
      <c r="J1723" s="2" t="s">
        <v>16</v>
      </c>
      <c r="K1723" s="2" t="s">
        <v>41</v>
      </c>
    </row>
    <row r="1724" spans="1:11" x14ac:dyDescent="0.35">
      <c r="A1724" s="2" t="s">
        <v>2151</v>
      </c>
      <c r="B1724" s="3">
        <v>45506</v>
      </c>
      <c r="C1724" s="2" t="s">
        <v>98</v>
      </c>
      <c r="D1724" s="2" t="s">
        <v>337</v>
      </c>
      <c r="E1724" s="2" t="s">
        <v>202</v>
      </c>
      <c r="F1724" s="4">
        <v>9</v>
      </c>
      <c r="G1724" s="4">
        <v>3970</v>
      </c>
      <c r="H1724" s="4">
        <v>10.4</v>
      </c>
      <c r="I1724" s="4">
        <v>32014.080000000002</v>
      </c>
      <c r="J1724" s="2" t="s">
        <v>22</v>
      </c>
      <c r="K1724" s="2" t="s">
        <v>41</v>
      </c>
    </row>
    <row r="1725" spans="1:11" x14ac:dyDescent="0.35">
      <c r="A1725" s="2" t="s">
        <v>2152</v>
      </c>
      <c r="B1725" s="3">
        <v>45472</v>
      </c>
      <c r="C1725" s="2" t="s">
        <v>834</v>
      </c>
      <c r="D1725" s="2" t="s">
        <v>14</v>
      </c>
      <c r="E1725" s="2" t="s">
        <v>36</v>
      </c>
      <c r="F1725" s="4">
        <v>3</v>
      </c>
      <c r="G1725" s="4">
        <v>3620</v>
      </c>
      <c r="H1725" s="4">
        <v>22</v>
      </c>
      <c r="I1725" s="4">
        <v>8470.7999999999993</v>
      </c>
      <c r="J1725" s="2" t="s">
        <v>16</v>
      </c>
      <c r="K1725" s="2" t="s">
        <v>41</v>
      </c>
    </row>
    <row r="1726" spans="1:11" x14ac:dyDescent="0.35">
      <c r="A1726" s="2" t="s">
        <v>2153</v>
      </c>
      <c r="B1726" s="3">
        <v>45383</v>
      </c>
      <c r="C1726" s="2" t="s">
        <v>468</v>
      </c>
      <c r="D1726" s="2" t="s">
        <v>174</v>
      </c>
      <c r="E1726" s="2" t="s">
        <v>232</v>
      </c>
      <c r="F1726" s="4">
        <v>6</v>
      </c>
      <c r="G1726" s="4">
        <v>2270</v>
      </c>
      <c r="H1726" s="4">
        <v>11.1</v>
      </c>
      <c r="I1726" s="4">
        <v>12108.18</v>
      </c>
      <c r="J1726" s="2" t="s">
        <v>69</v>
      </c>
      <c r="K1726" s="2" t="s">
        <v>62</v>
      </c>
    </row>
    <row r="1727" spans="1:11" x14ac:dyDescent="0.35">
      <c r="A1727" s="2" t="s">
        <v>2154</v>
      </c>
      <c r="B1727" s="3">
        <v>45543</v>
      </c>
      <c r="C1727" s="2" t="s">
        <v>1290</v>
      </c>
      <c r="D1727" s="2" t="s">
        <v>174</v>
      </c>
      <c r="E1727" s="2" t="s">
        <v>27</v>
      </c>
      <c r="F1727" s="4">
        <v>4</v>
      </c>
      <c r="G1727" s="4">
        <v>2270</v>
      </c>
      <c r="H1727" s="4">
        <v>27.2</v>
      </c>
      <c r="I1727" s="4">
        <v>6610.24</v>
      </c>
      <c r="J1727" s="2" t="s">
        <v>22</v>
      </c>
      <c r="K1727" s="2" t="s">
        <v>23</v>
      </c>
    </row>
    <row r="1728" spans="1:11" x14ac:dyDescent="0.35">
      <c r="A1728" s="2" t="s">
        <v>2155</v>
      </c>
      <c r="B1728" s="3">
        <v>45576</v>
      </c>
      <c r="C1728" s="2" t="s">
        <v>376</v>
      </c>
      <c r="D1728" s="2" t="s">
        <v>199</v>
      </c>
      <c r="E1728" s="2" t="s">
        <v>254</v>
      </c>
      <c r="F1728" s="4">
        <v>8</v>
      </c>
      <c r="G1728" s="4">
        <v>4610</v>
      </c>
      <c r="H1728" s="4">
        <v>24.5</v>
      </c>
      <c r="I1728" s="4">
        <v>27844.400000000001</v>
      </c>
      <c r="J1728" s="2" t="s">
        <v>16</v>
      </c>
      <c r="K1728" s="2" t="s">
        <v>41</v>
      </c>
    </row>
    <row r="1729" spans="1:11" x14ac:dyDescent="0.35">
      <c r="A1729" s="2" t="s">
        <v>2156</v>
      </c>
      <c r="B1729" s="3">
        <v>45366</v>
      </c>
      <c r="C1729" s="2" t="s">
        <v>613</v>
      </c>
      <c r="D1729" s="2" t="s">
        <v>76</v>
      </c>
      <c r="E1729" s="2" t="s">
        <v>121</v>
      </c>
      <c r="F1729" s="4">
        <v>6</v>
      </c>
      <c r="G1729" s="4">
        <v>190</v>
      </c>
      <c r="H1729" s="4">
        <v>8.6999999999999993</v>
      </c>
      <c r="I1729" s="4">
        <v>1040.82</v>
      </c>
      <c r="J1729" s="2" t="s">
        <v>69</v>
      </c>
      <c r="K1729" s="2" t="s">
        <v>28</v>
      </c>
    </row>
    <row r="1730" spans="1:11" x14ac:dyDescent="0.35">
      <c r="A1730" s="2" t="s">
        <v>2157</v>
      </c>
      <c r="B1730" s="3">
        <v>45617</v>
      </c>
      <c r="C1730" s="2" t="s">
        <v>173</v>
      </c>
      <c r="D1730" s="2" t="s">
        <v>224</v>
      </c>
      <c r="E1730" s="2" t="s">
        <v>130</v>
      </c>
      <c r="F1730" s="4">
        <v>5</v>
      </c>
      <c r="G1730" s="4">
        <v>2030</v>
      </c>
      <c r="H1730" s="4">
        <v>0.9</v>
      </c>
      <c r="I1730" s="4">
        <v>10058.65</v>
      </c>
      <c r="J1730" s="2" t="s">
        <v>69</v>
      </c>
      <c r="K1730" s="2" t="s">
        <v>23</v>
      </c>
    </row>
    <row r="1731" spans="1:11" x14ac:dyDescent="0.35">
      <c r="A1731" s="2" t="s">
        <v>2158</v>
      </c>
      <c r="B1731" s="3">
        <v>45614</v>
      </c>
      <c r="C1731" s="2" t="s">
        <v>369</v>
      </c>
      <c r="D1731" s="2" t="s">
        <v>193</v>
      </c>
      <c r="E1731" s="2" t="s">
        <v>121</v>
      </c>
      <c r="F1731" s="4">
        <v>1</v>
      </c>
      <c r="G1731" s="4">
        <v>4070</v>
      </c>
      <c r="H1731" s="4">
        <v>9.3000000000000007</v>
      </c>
      <c r="I1731" s="4">
        <v>3691.49</v>
      </c>
      <c r="J1731" s="2" t="s">
        <v>73</v>
      </c>
      <c r="K1731" s="2" t="s">
        <v>17</v>
      </c>
    </row>
    <row r="1732" spans="1:11" x14ac:dyDescent="0.35">
      <c r="A1732" s="2" t="s">
        <v>2159</v>
      </c>
      <c r="B1732" s="3">
        <v>45460</v>
      </c>
      <c r="C1732" s="2" t="s">
        <v>462</v>
      </c>
      <c r="D1732" s="2" t="s">
        <v>315</v>
      </c>
      <c r="E1732" s="2" t="s">
        <v>144</v>
      </c>
      <c r="F1732" s="4">
        <v>3</v>
      </c>
      <c r="G1732" s="4">
        <v>2290</v>
      </c>
      <c r="H1732" s="4">
        <v>12.1</v>
      </c>
      <c r="I1732" s="4">
        <v>6038.73</v>
      </c>
      <c r="J1732" s="2" t="s">
        <v>16</v>
      </c>
      <c r="K1732" s="2" t="s">
        <v>28</v>
      </c>
    </row>
    <row r="1733" spans="1:11" x14ac:dyDescent="0.35">
      <c r="A1733" s="2" t="s">
        <v>2160</v>
      </c>
      <c r="B1733" s="3">
        <v>45514</v>
      </c>
      <c r="C1733" s="2" t="s">
        <v>347</v>
      </c>
      <c r="D1733" s="2" t="s">
        <v>155</v>
      </c>
      <c r="E1733" s="2" t="s">
        <v>121</v>
      </c>
      <c r="F1733" s="4">
        <v>7</v>
      </c>
      <c r="G1733" s="4">
        <v>3730</v>
      </c>
      <c r="H1733" s="4">
        <v>4.5</v>
      </c>
      <c r="I1733" s="4">
        <v>24935.05</v>
      </c>
      <c r="J1733" s="2" t="s">
        <v>16</v>
      </c>
      <c r="K1733" s="2" t="s">
        <v>62</v>
      </c>
    </row>
    <row r="1734" spans="1:11" x14ac:dyDescent="0.35">
      <c r="A1734" s="2" t="s">
        <v>2161</v>
      </c>
      <c r="B1734" s="3">
        <v>45306</v>
      </c>
      <c r="C1734" s="2" t="s">
        <v>342</v>
      </c>
      <c r="D1734" s="2" t="s">
        <v>221</v>
      </c>
      <c r="E1734" s="2" t="s">
        <v>21</v>
      </c>
      <c r="F1734" s="4">
        <v>5</v>
      </c>
      <c r="G1734" s="4">
        <v>620</v>
      </c>
      <c r="H1734" s="4">
        <v>7.5</v>
      </c>
      <c r="I1734" s="4">
        <v>2867.5</v>
      </c>
      <c r="J1734" s="2" t="s">
        <v>16</v>
      </c>
      <c r="K1734" s="2" t="s">
        <v>17</v>
      </c>
    </row>
    <row r="1735" spans="1:11" x14ac:dyDescent="0.35">
      <c r="A1735" s="2" t="s">
        <v>2162</v>
      </c>
      <c r="B1735" s="3">
        <v>45455</v>
      </c>
      <c r="C1735" s="2" t="s">
        <v>311</v>
      </c>
      <c r="D1735" s="2" t="s">
        <v>64</v>
      </c>
      <c r="E1735" s="2" t="s">
        <v>61</v>
      </c>
      <c r="F1735" s="4">
        <v>8</v>
      </c>
      <c r="G1735" s="4">
        <v>2640</v>
      </c>
      <c r="H1735" s="4">
        <v>16.399999999999999</v>
      </c>
      <c r="I1735" s="4">
        <v>17656.32</v>
      </c>
      <c r="J1735" s="2" t="s">
        <v>16</v>
      </c>
      <c r="K1735" s="2" t="s">
        <v>28</v>
      </c>
    </row>
    <row r="1736" spans="1:11" x14ac:dyDescent="0.35">
      <c r="A1736" s="2" t="s">
        <v>2163</v>
      </c>
      <c r="B1736" s="3">
        <v>45564</v>
      </c>
      <c r="C1736" s="2" t="s">
        <v>247</v>
      </c>
      <c r="D1736" s="2" t="s">
        <v>31</v>
      </c>
      <c r="E1736" s="2" t="s">
        <v>68</v>
      </c>
      <c r="F1736" s="4">
        <v>6</v>
      </c>
      <c r="G1736" s="4">
        <v>3660</v>
      </c>
      <c r="H1736" s="4">
        <v>6.2</v>
      </c>
      <c r="I1736" s="4">
        <v>20598.48</v>
      </c>
      <c r="J1736" s="2" t="s">
        <v>16</v>
      </c>
      <c r="K1736" s="2" t="s">
        <v>23</v>
      </c>
    </row>
    <row r="1737" spans="1:11" x14ac:dyDescent="0.35">
      <c r="A1737" s="2" t="s">
        <v>2164</v>
      </c>
      <c r="B1737" s="3">
        <v>45507</v>
      </c>
      <c r="C1737" s="2" t="s">
        <v>580</v>
      </c>
      <c r="D1737" s="2" t="s">
        <v>20</v>
      </c>
      <c r="E1737" s="2" t="s">
        <v>121</v>
      </c>
      <c r="F1737" s="4">
        <v>2</v>
      </c>
      <c r="G1737" s="4">
        <v>820</v>
      </c>
      <c r="H1737" s="4">
        <v>25.4</v>
      </c>
      <c r="I1737" s="4">
        <v>1223.44</v>
      </c>
      <c r="J1737" s="2" t="s">
        <v>16</v>
      </c>
      <c r="K1737" s="2" t="s">
        <v>62</v>
      </c>
    </row>
    <row r="1738" spans="1:11" x14ac:dyDescent="0.35">
      <c r="A1738" s="2" t="s">
        <v>2165</v>
      </c>
      <c r="B1738" s="3">
        <v>45596</v>
      </c>
      <c r="C1738" s="2" t="s">
        <v>1163</v>
      </c>
      <c r="D1738" s="2" t="s">
        <v>96</v>
      </c>
      <c r="E1738" s="2" t="s">
        <v>87</v>
      </c>
      <c r="F1738" s="4">
        <v>3</v>
      </c>
      <c r="G1738" s="4">
        <v>2480</v>
      </c>
      <c r="H1738" s="4">
        <v>28.7</v>
      </c>
      <c r="I1738" s="4">
        <v>5304.72</v>
      </c>
      <c r="J1738" s="2" t="s">
        <v>22</v>
      </c>
      <c r="K1738" s="2" t="s">
        <v>41</v>
      </c>
    </row>
    <row r="1739" spans="1:11" x14ac:dyDescent="0.35">
      <c r="A1739" s="2" t="s">
        <v>2166</v>
      </c>
      <c r="B1739" s="3">
        <v>45534</v>
      </c>
      <c r="C1739" s="2" t="s">
        <v>752</v>
      </c>
      <c r="D1739" s="2" t="s">
        <v>170</v>
      </c>
      <c r="E1739" s="2" t="s">
        <v>57</v>
      </c>
      <c r="F1739" s="4">
        <v>10</v>
      </c>
      <c r="G1739" s="4">
        <v>6080</v>
      </c>
      <c r="H1739" s="4">
        <v>18.899999999999999</v>
      </c>
      <c r="I1739" s="4">
        <v>49308.800000000003</v>
      </c>
      <c r="J1739" s="2" t="s">
        <v>16</v>
      </c>
      <c r="K1739" s="2" t="s">
        <v>23</v>
      </c>
    </row>
    <row r="1740" spans="1:11" x14ac:dyDescent="0.35">
      <c r="A1740" s="2" t="s">
        <v>2167</v>
      </c>
      <c r="B1740" s="3">
        <v>45336</v>
      </c>
      <c r="C1740" s="2" t="s">
        <v>71</v>
      </c>
      <c r="D1740" s="2" t="s">
        <v>76</v>
      </c>
      <c r="E1740" s="2" t="s">
        <v>214</v>
      </c>
      <c r="F1740" s="4">
        <v>1</v>
      </c>
      <c r="G1740" s="4">
        <v>190</v>
      </c>
      <c r="H1740" s="4">
        <v>5.7</v>
      </c>
      <c r="I1740" s="4">
        <v>179.17</v>
      </c>
      <c r="J1740" s="2" t="s">
        <v>16</v>
      </c>
      <c r="K1740" s="2" t="s">
        <v>17</v>
      </c>
    </row>
    <row r="1741" spans="1:11" x14ac:dyDescent="0.35">
      <c r="A1741" s="2" t="s">
        <v>2168</v>
      </c>
      <c r="B1741" s="3">
        <v>45463</v>
      </c>
      <c r="C1741" s="2" t="s">
        <v>139</v>
      </c>
      <c r="D1741" s="2" t="s">
        <v>390</v>
      </c>
      <c r="E1741" s="2" t="s">
        <v>130</v>
      </c>
      <c r="F1741" s="4">
        <v>2</v>
      </c>
      <c r="G1741" s="4">
        <v>3780</v>
      </c>
      <c r="H1741" s="4">
        <v>11.8</v>
      </c>
      <c r="I1741" s="4">
        <v>6667.92</v>
      </c>
      <c r="J1741" s="2" t="s">
        <v>16</v>
      </c>
      <c r="K1741" s="2" t="s">
        <v>28</v>
      </c>
    </row>
    <row r="1742" spans="1:11" x14ac:dyDescent="0.35">
      <c r="A1742" s="2" t="s">
        <v>2169</v>
      </c>
      <c r="B1742" s="3">
        <v>45602</v>
      </c>
      <c r="C1742" s="2" t="s">
        <v>176</v>
      </c>
      <c r="D1742" s="2" t="s">
        <v>72</v>
      </c>
      <c r="E1742" s="2" t="s">
        <v>144</v>
      </c>
      <c r="F1742" s="4">
        <v>5</v>
      </c>
      <c r="G1742" s="4">
        <v>3250</v>
      </c>
      <c r="H1742" s="4">
        <v>19.899999999999999</v>
      </c>
      <c r="I1742" s="4">
        <v>13016.25</v>
      </c>
      <c r="J1742" s="2" t="s">
        <v>16</v>
      </c>
      <c r="K1742" s="2" t="s">
        <v>46</v>
      </c>
    </row>
    <row r="1743" spans="1:11" x14ac:dyDescent="0.35">
      <c r="A1743" s="2" t="s">
        <v>2170</v>
      </c>
      <c r="B1743" s="3">
        <v>45365</v>
      </c>
      <c r="C1743" s="2" t="s">
        <v>1819</v>
      </c>
      <c r="D1743" s="2" t="s">
        <v>224</v>
      </c>
      <c r="E1743" s="2" t="s">
        <v>36</v>
      </c>
      <c r="F1743" s="4">
        <v>7</v>
      </c>
      <c r="G1743" s="4">
        <v>2030</v>
      </c>
      <c r="H1743" s="4">
        <v>4.0999999999999996</v>
      </c>
      <c r="I1743" s="4">
        <v>13627.39</v>
      </c>
      <c r="J1743" s="2" t="s">
        <v>16</v>
      </c>
      <c r="K1743" s="2" t="s">
        <v>62</v>
      </c>
    </row>
    <row r="1744" spans="1:11" x14ac:dyDescent="0.35">
      <c r="A1744" s="2" t="s">
        <v>2171</v>
      </c>
      <c r="B1744" s="3">
        <v>45651</v>
      </c>
      <c r="C1744" s="2" t="s">
        <v>626</v>
      </c>
      <c r="D1744" s="2" t="s">
        <v>113</v>
      </c>
      <c r="E1744" s="2" t="s">
        <v>254</v>
      </c>
      <c r="F1744" s="4">
        <v>5</v>
      </c>
      <c r="G1744" s="4">
        <v>4880</v>
      </c>
      <c r="H1744" s="4">
        <v>22.9</v>
      </c>
      <c r="I1744" s="4">
        <v>18812.400000000001</v>
      </c>
      <c r="J1744" s="2" t="s">
        <v>16</v>
      </c>
      <c r="K1744" s="2" t="s">
        <v>62</v>
      </c>
    </row>
    <row r="1745" spans="1:11" x14ac:dyDescent="0.35">
      <c r="A1745" s="2" t="s">
        <v>2172</v>
      </c>
      <c r="B1745" s="3">
        <v>45297</v>
      </c>
      <c r="C1745" s="2" t="s">
        <v>670</v>
      </c>
      <c r="D1745" s="2" t="s">
        <v>108</v>
      </c>
      <c r="E1745" s="2" t="s">
        <v>121</v>
      </c>
      <c r="F1745" s="4">
        <v>3</v>
      </c>
      <c r="G1745" s="4">
        <v>3350</v>
      </c>
      <c r="H1745" s="4">
        <v>15.2</v>
      </c>
      <c r="I1745" s="4">
        <v>8522.4</v>
      </c>
      <c r="J1745" s="2" t="s">
        <v>22</v>
      </c>
      <c r="K1745" s="2" t="s">
        <v>62</v>
      </c>
    </row>
    <row r="1746" spans="1:11" x14ac:dyDescent="0.35">
      <c r="A1746" s="2" t="s">
        <v>2173</v>
      </c>
      <c r="B1746" s="3">
        <v>45425</v>
      </c>
      <c r="C1746" s="2" t="s">
        <v>436</v>
      </c>
      <c r="D1746" s="2" t="s">
        <v>124</v>
      </c>
      <c r="E1746" s="2" t="s">
        <v>158</v>
      </c>
      <c r="F1746" s="4">
        <v>10</v>
      </c>
      <c r="G1746" s="4">
        <v>2860</v>
      </c>
      <c r="H1746" s="4">
        <v>15</v>
      </c>
      <c r="I1746" s="4">
        <v>24310</v>
      </c>
      <c r="J1746" s="2" t="s">
        <v>16</v>
      </c>
      <c r="K1746" s="2" t="s">
        <v>17</v>
      </c>
    </row>
    <row r="1747" spans="1:11" x14ac:dyDescent="0.35">
      <c r="A1747" s="2" t="s">
        <v>2174</v>
      </c>
      <c r="B1747" s="3">
        <v>45444</v>
      </c>
      <c r="C1747" s="2" t="s">
        <v>239</v>
      </c>
      <c r="D1747" s="2" t="s">
        <v>86</v>
      </c>
      <c r="E1747" s="2" t="s">
        <v>232</v>
      </c>
      <c r="F1747" s="4">
        <v>5</v>
      </c>
      <c r="G1747" s="4">
        <v>3450</v>
      </c>
      <c r="H1747" s="4">
        <v>2.2999999999999998</v>
      </c>
      <c r="I1747" s="4">
        <v>16853.25</v>
      </c>
      <c r="J1747" s="2" t="s">
        <v>16</v>
      </c>
      <c r="K1747" s="2" t="s">
        <v>46</v>
      </c>
    </row>
    <row r="1748" spans="1:11" x14ac:dyDescent="0.35">
      <c r="A1748" s="2" t="s">
        <v>2175</v>
      </c>
      <c r="B1748" s="3">
        <v>45397</v>
      </c>
      <c r="C1748" s="2" t="s">
        <v>123</v>
      </c>
      <c r="D1748" s="2" t="s">
        <v>60</v>
      </c>
      <c r="E1748" s="2" t="s">
        <v>117</v>
      </c>
      <c r="F1748" s="4">
        <v>3</v>
      </c>
      <c r="G1748" s="4">
        <v>2270</v>
      </c>
      <c r="H1748" s="4">
        <v>2.8</v>
      </c>
      <c r="I1748" s="4">
        <v>6619.32</v>
      </c>
      <c r="J1748" s="2" t="s">
        <v>22</v>
      </c>
      <c r="K1748" s="2" t="s">
        <v>17</v>
      </c>
    </row>
    <row r="1749" spans="1:11" x14ac:dyDescent="0.35">
      <c r="A1749" s="2" t="s">
        <v>2176</v>
      </c>
      <c r="B1749" s="3">
        <v>45354</v>
      </c>
      <c r="C1749" s="2" t="s">
        <v>710</v>
      </c>
      <c r="D1749" s="2" t="s">
        <v>31</v>
      </c>
      <c r="E1749" s="2" t="s">
        <v>15</v>
      </c>
      <c r="F1749" s="4">
        <v>8</v>
      </c>
      <c r="G1749" s="4">
        <v>3660</v>
      </c>
      <c r="H1749" s="4">
        <v>16.8</v>
      </c>
      <c r="I1749" s="4">
        <v>24360.959999999999</v>
      </c>
      <c r="J1749" s="2" t="s">
        <v>16</v>
      </c>
      <c r="K1749" s="2" t="s">
        <v>28</v>
      </c>
    </row>
    <row r="1750" spans="1:11" x14ac:dyDescent="0.35">
      <c r="A1750" s="2" t="s">
        <v>2177</v>
      </c>
      <c r="B1750" s="3">
        <v>45469</v>
      </c>
      <c r="C1750" s="2" t="s">
        <v>544</v>
      </c>
      <c r="D1750" s="2" t="s">
        <v>205</v>
      </c>
      <c r="E1750" s="2" t="s">
        <v>36</v>
      </c>
      <c r="F1750" s="4">
        <v>7</v>
      </c>
      <c r="G1750" s="4">
        <v>3020</v>
      </c>
      <c r="H1750" s="4">
        <v>17.8</v>
      </c>
      <c r="I1750" s="4">
        <v>17377.080000000002</v>
      </c>
      <c r="J1750" s="2" t="s">
        <v>16</v>
      </c>
      <c r="K1750" s="2" t="s">
        <v>41</v>
      </c>
    </row>
    <row r="1751" spans="1:11" x14ac:dyDescent="0.35">
      <c r="A1751" s="2" t="s">
        <v>2178</v>
      </c>
      <c r="B1751" s="3">
        <v>45587</v>
      </c>
      <c r="C1751" s="2" t="s">
        <v>1190</v>
      </c>
      <c r="D1751" s="2" t="s">
        <v>93</v>
      </c>
      <c r="E1751" s="2" t="s">
        <v>27</v>
      </c>
      <c r="F1751" s="4">
        <v>7</v>
      </c>
      <c r="G1751" s="4">
        <v>1080</v>
      </c>
      <c r="H1751" s="4">
        <v>12.9</v>
      </c>
      <c r="I1751" s="4">
        <v>6584.76</v>
      </c>
      <c r="J1751" s="2" t="s">
        <v>16</v>
      </c>
      <c r="K1751" s="2" t="s">
        <v>46</v>
      </c>
    </row>
    <row r="1752" spans="1:11" x14ac:dyDescent="0.35">
      <c r="A1752" s="2" t="s">
        <v>2179</v>
      </c>
      <c r="B1752" s="3">
        <v>45494</v>
      </c>
      <c r="C1752" s="2" t="s">
        <v>494</v>
      </c>
      <c r="D1752" s="2" t="s">
        <v>174</v>
      </c>
      <c r="E1752" s="2" t="s">
        <v>254</v>
      </c>
      <c r="F1752" s="4">
        <v>2</v>
      </c>
      <c r="G1752" s="4">
        <v>2270</v>
      </c>
      <c r="H1752" s="4">
        <v>8.6</v>
      </c>
      <c r="I1752" s="4">
        <v>4149.5600000000004</v>
      </c>
      <c r="J1752" s="2" t="s">
        <v>69</v>
      </c>
      <c r="K1752" s="2" t="s">
        <v>41</v>
      </c>
    </row>
    <row r="1753" spans="1:11" x14ac:dyDescent="0.35">
      <c r="A1753" s="2" t="s">
        <v>2180</v>
      </c>
      <c r="B1753" s="3">
        <v>45445</v>
      </c>
      <c r="C1753" s="2" t="s">
        <v>319</v>
      </c>
      <c r="D1753" s="2" t="s">
        <v>221</v>
      </c>
      <c r="E1753" s="2" t="s">
        <v>254</v>
      </c>
      <c r="F1753" s="4">
        <v>10</v>
      </c>
      <c r="G1753" s="4">
        <v>620</v>
      </c>
      <c r="H1753" s="4">
        <v>26.1</v>
      </c>
      <c r="I1753" s="4">
        <v>4581.8</v>
      </c>
      <c r="J1753" s="2" t="s">
        <v>16</v>
      </c>
      <c r="K1753" s="2" t="s">
        <v>17</v>
      </c>
    </row>
    <row r="1754" spans="1:11" x14ac:dyDescent="0.35">
      <c r="A1754" s="2" t="s">
        <v>2181</v>
      </c>
      <c r="B1754" s="3">
        <v>45561</v>
      </c>
      <c r="C1754" s="2" t="s">
        <v>535</v>
      </c>
      <c r="D1754" s="2" t="s">
        <v>280</v>
      </c>
      <c r="E1754" s="2" t="s">
        <v>117</v>
      </c>
      <c r="F1754" s="4">
        <v>2</v>
      </c>
      <c r="G1754" s="4">
        <v>4060</v>
      </c>
      <c r="H1754" s="4">
        <v>3.8</v>
      </c>
      <c r="I1754" s="4">
        <v>7811.44</v>
      </c>
      <c r="J1754" s="2" t="s">
        <v>16</v>
      </c>
      <c r="K1754" s="2" t="s">
        <v>41</v>
      </c>
    </row>
    <row r="1755" spans="1:11" x14ac:dyDescent="0.35">
      <c r="A1755" s="2" t="s">
        <v>2182</v>
      </c>
      <c r="B1755" s="3">
        <v>45488</v>
      </c>
      <c r="C1755" s="2" t="s">
        <v>207</v>
      </c>
      <c r="D1755" s="2" t="s">
        <v>163</v>
      </c>
      <c r="E1755" s="2" t="s">
        <v>254</v>
      </c>
      <c r="F1755" s="4">
        <v>1</v>
      </c>
      <c r="G1755" s="4">
        <v>3780</v>
      </c>
      <c r="H1755" s="4">
        <v>27.9</v>
      </c>
      <c r="I1755" s="4">
        <v>2725.38</v>
      </c>
      <c r="J1755" s="2" t="s">
        <v>16</v>
      </c>
      <c r="K1755" s="2" t="s">
        <v>62</v>
      </c>
    </row>
    <row r="1756" spans="1:11" x14ac:dyDescent="0.35">
      <c r="A1756" s="2" t="s">
        <v>2183</v>
      </c>
      <c r="B1756" s="3">
        <v>45617</v>
      </c>
      <c r="C1756" s="2" t="s">
        <v>187</v>
      </c>
      <c r="D1756" s="2" t="s">
        <v>296</v>
      </c>
      <c r="E1756" s="2" t="s">
        <v>214</v>
      </c>
      <c r="F1756" s="4">
        <v>8</v>
      </c>
      <c r="G1756" s="4">
        <v>2380</v>
      </c>
      <c r="H1756" s="4">
        <v>3.8</v>
      </c>
      <c r="I1756" s="4">
        <v>18316.48</v>
      </c>
      <c r="J1756" s="2" t="s">
        <v>16</v>
      </c>
      <c r="K1756" s="2" t="s">
        <v>28</v>
      </c>
    </row>
    <row r="1757" spans="1:11" x14ac:dyDescent="0.35">
      <c r="A1757" s="2" t="s">
        <v>2184</v>
      </c>
      <c r="B1757" s="3">
        <v>45378</v>
      </c>
      <c r="C1757" s="2" t="s">
        <v>218</v>
      </c>
      <c r="D1757" s="2" t="s">
        <v>193</v>
      </c>
      <c r="E1757" s="2" t="s">
        <v>45</v>
      </c>
      <c r="F1757" s="4">
        <v>7</v>
      </c>
      <c r="G1757" s="4">
        <v>4070</v>
      </c>
      <c r="H1757" s="4">
        <v>0.3</v>
      </c>
      <c r="I1757" s="4">
        <v>28404.53</v>
      </c>
      <c r="J1757" s="2" t="s">
        <v>16</v>
      </c>
      <c r="K1757" s="2" t="s">
        <v>23</v>
      </c>
    </row>
    <row r="1758" spans="1:11" x14ac:dyDescent="0.35">
      <c r="A1758" s="2" t="s">
        <v>2185</v>
      </c>
      <c r="B1758" s="3">
        <v>45459</v>
      </c>
      <c r="C1758" s="2" t="s">
        <v>1163</v>
      </c>
      <c r="D1758" s="2" t="s">
        <v>64</v>
      </c>
      <c r="E1758" s="2" t="s">
        <v>121</v>
      </c>
      <c r="F1758" s="4">
        <v>6</v>
      </c>
      <c r="G1758" s="4">
        <v>2640</v>
      </c>
      <c r="H1758" s="4">
        <v>3.4</v>
      </c>
      <c r="I1758" s="4">
        <v>15301.44</v>
      </c>
      <c r="J1758" s="2" t="s">
        <v>16</v>
      </c>
      <c r="K1758" s="2" t="s">
        <v>41</v>
      </c>
    </row>
    <row r="1759" spans="1:11" x14ac:dyDescent="0.35">
      <c r="A1759" s="2" t="s">
        <v>2186</v>
      </c>
      <c r="B1759" s="3">
        <v>45377</v>
      </c>
      <c r="C1759" s="2" t="s">
        <v>110</v>
      </c>
      <c r="D1759" s="2" t="s">
        <v>390</v>
      </c>
      <c r="E1759" s="2" t="s">
        <v>99</v>
      </c>
      <c r="F1759" s="4">
        <v>10</v>
      </c>
      <c r="G1759" s="4">
        <v>3780</v>
      </c>
      <c r="H1759" s="4">
        <v>13.3</v>
      </c>
      <c r="I1759" s="4">
        <v>32772.6</v>
      </c>
      <c r="J1759" s="2" t="s">
        <v>16</v>
      </c>
      <c r="K1759" s="2" t="s">
        <v>28</v>
      </c>
    </row>
    <row r="1760" spans="1:11" x14ac:dyDescent="0.35">
      <c r="A1760" s="2" t="s">
        <v>2187</v>
      </c>
      <c r="B1760" s="3">
        <v>45302</v>
      </c>
      <c r="C1760" s="2" t="s">
        <v>801</v>
      </c>
      <c r="D1760" s="2" t="s">
        <v>108</v>
      </c>
      <c r="E1760" s="2" t="s">
        <v>133</v>
      </c>
      <c r="F1760" s="4">
        <v>9</v>
      </c>
      <c r="G1760" s="4">
        <v>3350</v>
      </c>
      <c r="H1760" s="4">
        <v>12.8</v>
      </c>
      <c r="I1760" s="4">
        <v>26290.799999999999</v>
      </c>
      <c r="J1760" s="2" t="s">
        <v>16</v>
      </c>
      <c r="K1760" s="2" t="s">
        <v>41</v>
      </c>
    </row>
    <row r="1761" spans="1:11" x14ac:dyDescent="0.35">
      <c r="A1761" s="2" t="s">
        <v>2188</v>
      </c>
      <c r="B1761" s="3">
        <v>45459</v>
      </c>
      <c r="C1761" s="2" t="s">
        <v>605</v>
      </c>
      <c r="D1761" s="2" t="s">
        <v>35</v>
      </c>
      <c r="E1761" s="2" t="s">
        <v>45</v>
      </c>
      <c r="F1761" s="4">
        <v>7</v>
      </c>
      <c r="G1761" s="4">
        <v>3160</v>
      </c>
      <c r="H1761" s="4">
        <v>15.3</v>
      </c>
      <c r="I1761" s="4">
        <v>18735.64</v>
      </c>
      <c r="J1761" s="2" t="s">
        <v>16</v>
      </c>
      <c r="K1761" s="2" t="s">
        <v>17</v>
      </c>
    </row>
    <row r="1762" spans="1:11" x14ac:dyDescent="0.35">
      <c r="A1762" s="2" t="s">
        <v>2189</v>
      </c>
      <c r="B1762" s="3">
        <v>45428</v>
      </c>
      <c r="C1762" s="2" t="s">
        <v>912</v>
      </c>
      <c r="D1762" s="2" t="s">
        <v>124</v>
      </c>
      <c r="E1762" s="2" t="s">
        <v>68</v>
      </c>
      <c r="F1762" s="4">
        <v>6</v>
      </c>
      <c r="G1762" s="4">
        <v>2860</v>
      </c>
      <c r="H1762" s="4">
        <v>17.5</v>
      </c>
      <c r="I1762" s="4">
        <v>14157</v>
      </c>
      <c r="J1762" s="2" t="s">
        <v>16</v>
      </c>
      <c r="K1762" s="2" t="s">
        <v>46</v>
      </c>
    </row>
    <row r="1763" spans="1:11" x14ac:dyDescent="0.35">
      <c r="A1763" s="2" t="s">
        <v>2190</v>
      </c>
      <c r="B1763" s="3">
        <v>45341</v>
      </c>
      <c r="C1763" s="2" t="s">
        <v>686</v>
      </c>
      <c r="D1763" s="2" t="s">
        <v>211</v>
      </c>
      <c r="E1763" s="2" t="s">
        <v>61</v>
      </c>
      <c r="F1763" s="4">
        <v>9</v>
      </c>
      <c r="G1763" s="4">
        <v>300</v>
      </c>
      <c r="H1763" s="4">
        <v>25.2</v>
      </c>
      <c r="I1763" s="4">
        <v>2019.6</v>
      </c>
      <c r="J1763" s="2" t="s">
        <v>16</v>
      </c>
      <c r="K1763" s="2" t="s">
        <v>46</v>
      </c>
    </row>
    <row r="1764" spans="1:11" x14ac:dyDescent="0.35">
      <c r="A1764" s="2" t="s">
        <v>2191</v>
      </c>
      <c r="B1764" s="3">
        <v>45296</v>
      </c>
      <c r="C1764" s="2" t="s">
        <v>906</v>
      </c>
      <c r="D1764" s="2" t="s">
        <v>76</v>
      </c>
      <c r="E1764" s="2" t="s">
        <v>121</v>
      </c>
      <c r="F1764" s="4">
        <v>5</v>
      </c>
      <c r="G1764" s="4">
        <v>190</v>
      </c>
      <c r="H1764" s="4">
        <v>1.8</v>
      </c>
      <c r="I1764" s="4">
        <v>932.9</v>
      </c>
      <c r="J1764" s="2" t="s">
        <v>16</v>
      </c>
      <c r="K1764" s="2" t="s">
        <v>17</v>
      </c>
    </row>
    <row r="1765" spans="1:11" x14ac:dyDescent="0.35">
      <c r="A1765" s="2" t="s">
        <v>2192</v>
      </c>
      <c r="B1765" s="3">
        <v>45533</v>
      </c>
      <c r="C1765" s="2" t="s">
        <v>371</v>
      </c>
      <c r="D1765" s="2" t="s">
        <v>111</v>
      </c>
      <c r="E1765" s="2" t="s">
        <v>87</v>
      </c>
      <c r="F1765" s="4">
        <v>7</v>
      </c>
      <c r="G1765" s="4">
        <v>1010</v>
      </c>
      <c r="H1765" s="4">
        <v>11.2</v>
      </c>
      <c r="I1765" s="4">
        <v>6278.16</v>
      </c>
      <c r="J1765" s="2" t="s">
        <v>16</v>
      </c>
      <c r="K1765" s="2" t="s">
        <v>17</v>
      </c>
    </row>
    <row r="1766" spans="1:11" x14ac:dyDescent="0.35">
      <c r="A1766" s="2" t="s">
        <v>2193</v>
      </c>
      <c r="B1766" s="3">
        <v>45515</v>
      </c>
      <c r="C1766" s="2" t="s">
        <v>148</v>
      </c>
      <c r="D1766" s="2" t="s">
        <v>90</v>
      </c>
      <c r="E1766" s="2" t="s">
        <v>144</v>
      </c>
      <c r="F1766" s="4">
        <v>8</v>
      </c>
      <c r="G1766" s="4">
        <v>3450</v>
      </c>
      <c r="H1766" s="4">
        <v>8.4</v>
      </c>
      <c r="I1766" s="4">
        <v>25281.599999999999</v>
      </c>
      <c r="J1766" s="2" t="s">
        <v>16</v>
      </c>
      <c r="K1766" s="2" t="s">
        <v>28</v>
      </c>
    </row>
    <row r="1767" spans="1:11" x14ac:dyDescent="0.35">
      <c r="A1767" s="2" t="s">
        <v>2194</v>
      </c>
      <c r="B1767" s="3">
        <v>45597</v>
      </c>
      <c r="C1767" s="2" t="s">
        <v>915</v>
      </c>
      <c r="D1767" s="2" t="s">
        <v>211</v>
      </c>
      <c r="E1767" s="2" t="s">
        <v>144</v>
      </c>
      <c r="F1767" s="4">
        <v>3</v>
      </c>
      <c r="G1767" s="4">
        <v>300</v>
      </c>
      <c r="H1767" s="4">
        <v>7.5</v>
      </c>
      <c r="I1767" s="4">
        <v>832.5</v>
      </c>
      <c r="J1767" s="2" t="s">
        <v>73</v>
      </c>
      <c r="K1767" s="2" t="s">
        <v>23</v>
      </c>
    </row>
    <row r="1768" spans="1:11" x14ac:dyDescent="0.35">
      <c r="A1768" s="2" t="s">
        <v>2195</v>
      </c>
      <c r="B1768" s="3">
        <v>45370</v>
      </c>
      <c r="C1768" s="2" t="s">
        <v>157</v>
      </c>
      <c r="D1768" s="2" t="s">
        <v>155</v>
      </c>
      <c r="E1768" s="2" t="s">
        <v>232</v>
      </c>
      <c r="F1768" s="4">
        <v>4</v>
      </c>
      <c r="G1768" s="4">
        <v>3730</v>
      </c>
      <c r="H1768" s="4">
        <v>24.8</v>
      </c>
      <c r="I1768" s="4">
        <v>11219.84</v>
      </c>
      <c r="J1768" s="2" t="s">
        <v>16</v>
      </c>
      <c r="K1768" s="2" t="s">
        <v>41</v>
      </c>
    </row>
    <row r="1769" spans="1:11" x14ac:dyDescent="0.35">
      <c r="A1769" s="2" t="s">
        <v>2196</v>
      </c>
      <c r="B1769" s="3">
        <v>45462</v>
      </c>
      <c r="C1769" s="2" t="s">
        <v>107</v>
      </c>
      <c r="D1769" s="2" t="s">
        <v>80</v>
      </c>
      <c r="E1769" s="2" t="s">
        <v>121</v>
      </c>
      <c r="F1769" s="4">
        <v>5</v>
      </c>
      <c r="G1769" s="4">
        <v>2400</v>
      </c>
      <c r="H1769" s="4">
        <v>9.1999999999999993</v>
      </c>
      <c r="I1769" s="4">
        <v>10896</v>
      </c>
      <c r="J1769" s="2" t="s">
        <v>16</v>
      </c>
      <c r="K1769" s="2" t="s">
        <v>23</v>
      </c>
    </row>
    <row r="1770" spans="1:11" x14ac:dyDescent="0.35">
      <c r="A1770" s="2" t="s">
        <v>2197</v>
      </c>
      <c r="B1770" s="3">
        <v>45609</v>
      </c>
      <c r="C1770" s="2" t="s">
        <v>332</v>
      </c>
      <c r="D1770" s="2" t="s">
        <v>129</v>
      </c>
      <c r="E1770" s="2" t="s">
        <v>144</v>
      </c>
      <c r="F1770" s="4">
        <v>3</v>
      </c>
      <c r="G1770" s="4">
        <v>2760</v>
      </c>
      <c r="H1770" s="4">
        <v>2.4</v>
      </c>
      <c r="I1770" s="4">
        <v>8081.28</v>
      </c>
      <c r="J1770" s="2" t="s">
        <v>16</v>
      </c>
      <c r="K1770" s="2" t="s">
        <v>46</v>
      </c>
    </row>
    <row r="1771" spans="1:11" x14ac:dyDescent="0.35">
      <c r="A1771" s="2" t="s">
        <v>596</v>
      </c>
      <c r="B1771" s="3">
        <v>45548</v>
      </c>
      <c r="C1771" s="2" t="s">
        <v>137</v>
      </c>
      <c r="D1771" s="2" t="s">
        <v>26</v>
      </c>
      <c r="E1771" s="2" t="s">
        <v>133</v>
      </c>
      <c r="F1771" s="4">
        <v>8</v>
      </c>
      <c r="G1771" s="4">
        <v>470</v>
      </c>
      <c r="H1771" s="4">
        <v>24.8</v>
      </c>
      <c r="I1771" s="4">
        <v>2827.52</v>
      </c>
      <c r="J1771" s="2" t="s">
        <v>22</v>
      </c>
      <c r="K1771" s="2" t="s">
        <v>62</v>
      </c>
    </row>
    <row r="1772" spans="1:11" x14ac:dyDescent="0.35">
      <c r="A1772" s="2" t="s">
        <v>2198</v>
      </c>
      <c r="B1772" s="3">
        <v>45633</v>
      </c>
      <c r="C1772" s="2" t="s">
        <v>531</v>
      </c>
      <c r="D1772" s="2" t="s">
        <v>26</v>
      </c>
      <c r="E1772" s="2" t="s">
        <v>272</v>
      </c>
      <c r="F1772" s="4">
        <v>3</v>
      </c>
      <c r="G1772" s="4">
        <v>470</v>
      </c>
      <c r="H1772" s="4">
        <v>18.600000000000001</v>
      </c>
      <c r="I1772" s="4">
        <v>1147.74</v>
      </c>
      <c r="J1772" s="2" t="s">
        <v>16</v>
      </c>
      <c r="K1772" s="2" t="s">
        <v>23</v>
      </c>
    </row>
    <row r="1773" spans="1:11" x14ac:dyDescent="0.35">
      <c r="A1773" s="2" t="s">
        <v>2199</v>
      </c>
      <c r="B1773" s="3">
        <v>45580</v>
      </c>
      <c r="C1773" s="2" t="s">
        <v>436</v>
      </c>
      <c r="D1773" s="2" t="s">
        <v>39</v>
      </c>
      <c r="E1773" s="2" t="s">
        <v>57</v>
      </c>
      <c r="F1773" s="4">
        <v>2</v>
      </c>
      <c r="G1773" s="4">
        <v>370</v>
      </c>
      <c r="H1773" s="4">
        <v>24</v>
      </c>
      <c r="I1773" s="4">
        <v>562.4</v>
      </c>
      <c r="J1773" s="2" t="s">
        <v>16</v>
      </c>
      <c r="K1773" s="2" t="s">
        <v>17</v>
      </c>
    </row>
    <row r="1774" spans="1:11" x14ac:dyDescent="0.35">
      <c r="A1774" s="2" t="s">
        <v>2200</v>
      </c>
      <c r="B1774" s="3">
        <v>45329</v>
      </c>
      <c r="C1774" s="2" t="s">
        <v>1163</v>
      </c>
      <c r="D1774" s="2" t="s">
        <v>267</v>
      </c>
      <c r="E1774" s="2" t="s">
        <v>144</v>
      </c>
      <c r="F1774" s="4">
        <v>6</v>
      </c>
      <c r="G1774" s="4">
        <v>2210</v>
      </c>
      <c r="H1774" s="4">
        <v>28.3</v>
      </c>
      <c r="I1774" s="4">
        <v>9507.42</v>
      </c>
      <c r="J1774" s="2" t="s">
        <v>69</v>
      </c>
      <c r="K1774" s="2" t="s">
        <v>41</v>
      </c>
    </row>
    <row r="1775" spans="1:11" x14ac:dyDescent="0.35">
      <c r="A1775" s="2" t="s">
        <v>2201</v>
      </c>
      <c r="B1775" s="3">
        <v>45549</v>
      </c>
      <c r="C1775" s="2" t="s">
        <v>490</v>
      </c>
      <c r="D1775" s="2" t="s">
        <v>444</v>
      </c>
      <c r="E1775" s="2" t="s">
        <v>226</v>
      </c>
      <c r="F1775" s="4">
        <v>3</v>
      </c>
      <c r="G1775" s="4">
        <v>6940</v>
      </c>
      <c r="H1775" s="4">
        <v>27.2</v>
      </c>
      <c r="I1775" s="4">
        <v>15156.96</v>
      </c>
      <c r="J1775" s="2" t="s">
        <v>73</v>
      </c>
      <c r="K1775" s="2" t="s">
        <v>62</v>
      </c>
    </row>
    <row r="1776" spans="1:11" x14ac:dyDescent="0.35">
      <c r="A1776" s="2" t="s">
        <v>2202</v>
      </c>
      <c r="B1776" s="3">
        <v>45423</v>
      </c>
      <c r="C1776" s="2" t="s">
        <v>874</v>
      </c>
      <c r="D1776" s="2" t="s">
        <v>224</v>
      </c>
      <c r="E1776" s="2" t="s">
        <v>232</v>
      </c>
      <c r="F1776" s="4">
        <v>10</v>
      </c>
      <c r="G1776" s="4">
        <v>2030</v>
      </c>
      <c r="H1776" s="4">
        <v>25.6</v>
      </c>
      <c r="I1776" s="4">
        <v>15103.2</v>
      </c>
      <c r="J1776" s="2" t="s">
        <v>16</v>
      </c>
      <c r="K1776" s="2" t="s">
        <v>17</v>
      </c>
    </row>
    <row r="1777" spans="1:11" x14ac:dyDescent="0.35">
      <c r="A1777" s="2" t="s">
        <v>2203</v>
      </c>
      <c r="B1777" s="3">
        <v>45533</v>
      </c>
      <c r="C1777" s="2" t="s">
        <v>874</v>
      </c>
      <c r="D1777" s="2" t="s">
        <v>111</v>
      </c>
      <c r="E1777" s="2" t="s">
        <v>167</v>
      </c>
      <c r="F1777" s="4">
        <v>9</v>
      </c>
      <c r="G1777" s="4">
        <v>1010</v>
      </c>
      <c r="H1777" s="4">
        <v>9.3000000000000007</v>
      </c>
      <c r="I1777" s="4">
        <v>8244.6299999999992</v>
      </c>
      <c r="J1777" s="2" t="s">
        <v>16</v>
      </c>
      <c r="K1777" s="2" t="s">
        <v>17</v>
      </c>
    </row>
    <row r="1778" spans="1:11" x14ac:dyDescent="0.35">
      <c r="A1778" s="2" t="s">
        <v>2204</v>
      </c>
      <c r="B1778" s="3">
        <v>45571</v>
      </c>
      <c r="C1778" s="2" t="s">
        <v>257</v>
      </c>
      <c r="D1778" s="2" t="s">
        <v>284</v>
      </c>
      <c r="E1778" s="2" t="s">
        <v>226</v>
      </c>
      <c r="F1778" s="4">
        <v>5</v>
      </c>
      <c r="G1778" s="4">
        <v>2510</v>
      </c>
      <c r="H1778" s="4">
        <v>22.2</v>
      </c>
      <c r="I1778" s="4">
        <v>9763.9</v>
      </c>
      <c r="J1778" s="2" t="s">
        <v>16</v>
      </c>
      <c r="K1778" s="2" t="s">
        <v>23</v>
      </c>
    </row>
    <row r="1779" spans="1:11" x14ac:dyDescent="0.35">
      <c r="A1779" s="2" t="s">
        <v>2205</v>
      </c>
      <c r="B1779" s="3">
        <v>45441</v>
      </c>
      <c r="C1779" s="2" t="s">
        <v>688</v>
      </c>
      <c r="D1779" s="2" t="s">
        <v>39</v>
      </c>
      <c r="E1779" s="2" t="s">
        <v>226</v>
      </c>
      <c r="F1779" s="4">
        <v>10</v>
      </c>
      <c r="G1779" s="4">
        <v>370</v>
      </c>
      <c r="H1779" s="4">
        <v>29</v>
      </c>
      <c r="I1779" s="4">
        <v>2627</v>
      </c>
      <c r="J1779" s="2" t="s">
        <v>16</v>
      </c>
      <c r="K1779" s="2" t="s">
        <v>46</v>
      </c>
    </row>
    <row r="1780" spans="1:11" x14ac:dyDescent="0.35">
      <c r="A1780" s="2" t="s">
        <v>2206</v>
      </c>
      <c r="B1780" s="3">
        <v>45403</v>
      </c>
      <c r="C1780" s="2" t="s">
        <v>473</v>
      </c>
      <c r="D1780" s="2" t="s">
        <v>96</v>
      </c>
      <c r="E1780" s="2" t="s">
        <v>87</v>
      </c>
      <c r="F1780" s="4">
        <v>3</v>
      </c>
      <c r="G1780" s="4">
        <v>2480</v>
      </c>
      <c r="H1780" s="4">
        <v>9.6</v>
      </c>
      <c r="I1780" s="4">
        <v>6725.76</v>
      </c>
      <c r="J1780" s="2" t="s">
        <v>16</v>
      </c>
      <c r="K1780" s="2" t="s">
        <v>62</v>
      </c>
    </row>
    <row r="1781" spans="1:11" x14ac:dyDescent="0.35">
      <c r="A1781" s="2" t="s">
        <v>2207</v>
      </c>
      <c r="B1781" s="3">
        <v>45644</v>
      </c>
      <c r="C1781" s="2" t="s">
        <v>724</v>
      </c>
      <c r="D1781" s="2" t="s">
        <v>64</v>
      </c>
      <c r="E1781" s="2" t="s">
        <v>167</v>
      </c>
      <c r="F1781" s="4">
        <v>3</v>
      </c>
      <c r="G1781" s="4">
        <v>2640</v>
      </c>
      <c r="H1781" s="4">
        <v>10.199999999999999</v>
      </c>
      <c r="I1781" s="4">
        <v>7112.16</v>
      </c>
      <c r="J1781" s="2" t="s">
        <v>69</v>
      </c>
      <c r="K1781" s="2" t="s">
        <v>23</v>
      </c>
    </row>
    <row r="1782" spans="1:11" x14ac:dyDescent="0.35">
      <c r="A1782" s="2" t="s">
        <v>2208</v>
      </c>
      <c r="B1782" s="3">
        <v>45504</v>
      </c>
      <c r="C1782" s="2" t="s">
        <v>1428</v>
      </c>
      <c r="D1782" s="2" t="s">
        <v>431</v>
      </c>
      <c r="E1782" s="2" t="s">
        <v>121</v>
      </c>
      <c r="F1782" s="4">
        <v>1</v>
      </c>
      <c r="G1782" s="4">
        <v>1090</v>
      </c>
      <c r="H1782" s="4">
        <v>21.6</v>
      </c>
      <c r="I1782" s="4">
        <v>854.56</v>
      </c>
      <c r="J1782" s="2" t="s">
        <v>69</v>
      </c>
      <c r="K1782" s="2" t="s">
        <v>23</v>
      </c>
    </row>
    <row r="1783" spans="1:11" x14ac:dyDescent="0.35">
      <c r="A1783" s="2" t="s">
        <v>2209</v>
      </c>
      <c r="B1783" s="3">
        <v>45606</v>
      </c>
      <c r="C1783" s="2" t="s">
        <v>1279</v>
      </c>
      <c r="D1783" s="2" t="s">
        <v>108</v>
      </c>
      <c r="E1783" s="2" t="s">
        <v>226</v>
      </c>
      <c r="F1783" s="4">
        <v>10</v>
      </c>
      <c r="G1783" s="4">
        <v>3350</v>
      </c>
      <c r="H1783" s="4">
        <v>12.1</v>
      </c>
      <c r="I1783" s="4">
        <v>29446.5</v>
      </c>
      <c r="J1783" s="2" t="s">
        <v>16</v>
      </c>
      <c r="K1783" s="2" t="s">
        <v>41</v>
      </c>
    </row>
    <row r="1784" spans="1:11" x14ac:dyDescent="0.35">
      <c r="A1784" s="2" t="s">
        <v>2210</v>
      </c>
      <c r="B1784" s="3">
        <v>45562</v>
      </c>
      <c r="C1784" s="2" t="s">
        <v>514</v>
      </c>
      <c r="D1784" s="2" t="s">
        <v>170</v>
      </c>
      <c r="E1784" s="2" t="s">
        <v>117</v>
      </c>
      <c r="F1784" s="4">
        <v>4</v>
      </c>
      <c r="G1784" s="4">
        <v>6080</v>
      </c>
      <c r="H1784" s="4">
        <v>26.7</v>
      </c>
      <c r="I1784" s="4">
        <v>17826.560000000001</v>
      </c>
      <c r="J1784" s="2" t="s">
        <v>69</v>
      </c>
      <c r="K1784" s="2" t="s">
        <v>23</v>
      </c>
    </row>
    <row r="1785" spans="1:11" x14ac:dyDescent="0.35">
      <c r="A1785" s="2" t="s">
        <v>2211</v>
      </c>
      <c r="B1785" s="3">
        <v>45372</v>
      </c>
      <c r="C1785" s="2" t="s">
        <v>626</v>
      </c>
      <c r="D1785" s="2" t="s">
        <v>309</v>
      </c>
      <c r="E1785" s="2" t="s">
        <v>226</v>
      </c>
      <c r="F1785" s="4">
        <v>3</v>
      </c>
      <c r="G1785" s="4">
        <v>960</v>
      </c>
      <c r="H1785" s="4">
        <v>13.2</v>
      </c>
      <c r="I1785" s="4">
        <v>2499.84</v>
      </c>
      <c r="J1785" s="2" t="s">
        <v>16</v>
      </c>
      <c r="K1785" s="2" t="s">
        <v>62</v>
      </c>
    </row>
    <row r="1786" spans="1:11" x14ac:dyDescent="0.35">
      <c r="A1786" s="2" t="s">
        <v>2212</v>
      </c>
      <c r="B1786" s="3">
        <v>45610</v>
      </c>
      <c r="C1786" s="2" t="s">
        <v>492</v>
      </c>
      <c r="D1786" s="2" t="s">
        <v>31</v>
      </c>
      <c r="E1786" s="2" t="s">
        <v>15</v>
      </c>
      <c r="F1786" s="4">
        <v>9</v>
      </c>
      <c r="G1786" s="4">
        <v>3660</v>
      </c>
      <c r="H1786" s="4">
        <v>9.3000000000000007</v>
      </c>
      <c r="I1786" s="4">
        <v>29876.58</v>
      </c>
      <c r="J1786" s="2" t="s">
        <v>69</v>
      </c>
      <c r="K1786" s="2" t="s">
        <v>17</v>
      </c>
    </row>
    <row r="1787" spans="1:11" x14ac:dyDescent="0.35">
      <c r="A1787" s="2" t="s">
        <v>2213</v>
      </c>
      <c r="B1787" s="3">
        <v>45388</v>
      </c>
      <c r="C1787" s="2" t="s">
        <v>334</v>
      </c>
      <c r="D1787" s="2" t="s">
        <v>86</v>
      </c>
      <c r="E1787" s="2" t="s">
        <v>50</v>
      </c>
      <c r="F1787" s="4">
        <v>6</v>
      </c>
      <c r="G1787" s="4">
        <v>3450</v>
      </c>
      <c r="H1787" s="4">
        <v>8.1999999999999993</v>
      </c>
      <c r="I1787" s="4">
        <v>19002.599999999999</v>
      </c>
      <c r="J1787" s="2" t="s">
        <v>16</v>
      </c>
      <c r="K1787" s="2" t="s">
        <v>23</v>
      </c>
    </row>
    <row r="1788" spans="1:11" x14ac:dyDescent="0.35">
      <c r="A1788" s="2" t="s">
        <v>2214</v>
      </c>
      <c r="B1788" s="3">
        <v>45421</v>
      </c>
      <c r="C1788" s="2" t="s">
        <v>602</v>
      </c>
      <c r="D1788" s="2" t="s">
        <v>199</v>
      </c>
      <c r="E1788" s="2" t="s">
        <v>121</v>
      </c>
      <c r="F1788" s="4">
        <v>7</v>
      </c>
      <c r="G1788" s="4">
        <v>4610</v>
      </c>
      <c r="H1788" s="4">
        <v>10.4</v>
      </c>
      <c r="I1788" s="4">
        <v>28913.919999999998</v>
      </c>
      <c r="J1788" s="2" t="s">
        <v>16</v>
      </c>
      <c r="K1788" s="2" t="s">
        <v>41</v>
      </c>
    </row>
    <row r="1789" spans="1:11" x14ac:dyDescent="0.35">
      <c r="A1789" s="2" t="s">
        <v>2215</v>
      </c>
      <c r="B1789" s="3">
        <v>45529</v>
      </c>
      <c r="C1789" s="2" t="s">
        <v>392</v>
      </c>
      <c r="D1789" s="2" t="s">
        <v>44</v>
      </c>
      <c r="E1789" s="2" t="s">
        <v>133</v>
      </c>
      <c r="F1789" s="4">
        <v>2</v>
      </c>
      <c r="G1789" s="4">
        <v>960</v>
      </c>
      <c r="H1789" s="4">
        <v>16.5</v>
      </c>
      <c r="I1789" s="4">
        <v>1603.2</v>
      </c>
      <c r="J1789" s="2" t="s">
        <v>16</v>
      </c>
      <c r="K1789" s="2" t="s">
        <v>46</v>
      </c>
    </row>
    <row r="1790" spans="1:11" x14ac:dyDescent="0.35">
      <c r="A1790" s="2" t="s">
        <v>2216</v>
      </c>
      <c r="B1790" s="3">
        <v>45553</v>
      </c>
      <c r="C1790" s="2" t="s">
        <v>351</v>
      </c>
      <c r="D1790" s="2" t="s">
        <v>39</v>
      </c>
      <c r="E1790" s="2" t="s">
        <v>83</v>
      </c>
      <c r="F1790" s="4">
        <v>7</v>
      </c>
      <c r="G1790" s="4">
        <v>370</v>
      </c>
      <c r="H1790" s="4">
        <v>1.4</v>
      </c>
      <c r="I1790" s="4">
        <v>2553.7399999999998</v>
      </c>
      <c r="J1790" s="2" t="s">
        <v>73</v>
      </c>
      <c r="K1790" s="2" t="s">
        <v>23</v>
      </c>
    </row>
    <row r="1791" spans="1:11" x14ac:dyDescent="0.35">
      <c r="A1791" s="2" t="s">
        <v>2217</v>
      </c>
      <c r="B1791" s="3">
        <v>45535</v>
      </c>
      <c r="C1791" s="2" t="s">
        <v>550</v>
      </c>
      <c r="D1791" s="2" t="s">
        <v>60</v>
      </c>
      <c r="E1791" s="2" t="s">
        <v>68</v>
      </c>
      <c r="F1791" s="4">
        <v>3</v>
      </c>
      <c r="G1791" s="4">
        <v>2270</v>
      </c>
      <c r="H1791" s="4">
        <v>12.6</v>
      </c>
      <c r="I1791" s="4">
        <v>5951.94</v>
      </c>
      <c r="J1791" s="2" t="s">
        <v>16</v>
      </c>
      <c r="K1791" s="2" t="s">
        <v>23</v>
      </c>
    </row>
    <row r="1792" spans="1:11" x14ac:dyDescent="0.35">
      <c r="A1792" s="2" t="s">
        <v>560</v>
      </c>
      <c r="B1792" s="3">
        <v>45301</v>
      </c>
      <c r="C1792" s="2" t="s">
        <v>1287</v>
      </c>
      <c r="D1792" s="2" t="s">
        <v>72</v>
      </c>
      <c r="E1792" s="2" t="s">
        <v>27</v>
      </c>
      <c r="F1792" s="4">
        <v>1</v>
      </c>
      <c r="G1792" s="4">
        <v>3250</v>
      </c>
      <c r="H1792" s="4">
        <v>17.8</v>
      </c>
      <c r="I1792" s="4">
        <v>2671.5</v>
      </c>
      <c r="J1792" s="2" t="s">
        <v>16</v>
      </c>
      <c r="K1792" s="2" t="s">
        <v>41</v>
      </c>
    </row>
    <row r="1793" spans="1:11" x14ac:dyDescent="0.35">
      <c r="A1793" s="2" t="s">
        <v>2218</v>
      </c>
      <c r="B1793" s="3">
        <v>45404</v>
      </c>
      <c r="C1793" s="2" t="s">
        <v>1804</v>
      </c>
      <c r="D1793" s="2" t="s">
        <v>221</v>
      </c>
      <c r="E1793" s="2" t="s">
        <v>232</v>
      </c>
      <c r="F1793" s="4">
        <v>5</v>
      </c>
      <c r="G1793" s="4">
        <v>620</v>
      </c>
      <c r="H1793" s="4">
        <v>19.399999999999999</v>
      </c>
      <c r="I1793" s="4">
        <v>2498.6</v>
      </c>
      <c r="J1793" s="2" t="s">
        <v>22</v>
      </c>
      <c r="K1793" s="2" t="s">
        <v>23</v>
      </c>
    </row>
    <row r="1794" spans="1:11" x14ac:dyDescent="0.35">
      <c r="A1794" s="2" t="s">
        <v>2219</v>
      </c>
      <c r="B1794" s="3">
        <v>45600</v>
      </c>
      <c r="C1794" s="2" t="s">
        <v>319</v>
      </c>
      <c r="D1794" s="2" t="s">
        <v>208</v>
      </c>
      <c r="E1794" s="2" t="s">
        <v>21</v>
      </c>
      <c r="F1794" s="4">
        <v>6</v>
      </c>
      <c r="G1794" s="4">
        <v>2660</v>
      </c>
      <c r="H1794" s="4">
        <v>14.9</v>
      </c>
      <c r="I1794" s="4">
        <v>13581.96</v>
      </c>
      <c r="J1794" s="2" t="s">
        <v>16</v>
      </c>
      <c r="K1794" s="2" t="s">
        <v>17</v>
      </c>
    </row>
    <row r="1795" spans="1:11" x14ac:dyDescent="0.35">
      <c r="A1795" s="2" t="s">
        <v>2220</v>
      </c>
      <c r="B1795" s="3">
        <v>45526</v>
      </c>
      <c r="C1795" s="2" t="s">
        <v>799</v>
      </c>
      <c r="D1795" s="2" t="s">
        <v>14</v>
      </c>
      <c r="E1795" s="2" t="s">
        <v>144</v>
      </c>
      <c r="F1795" s="4">
        <v>5</v>
      </c>
      <c r="G1795" s="4">
        <v>3620</v>
      </c>
      <c r="H1795" s="4">
        <v>21</v>
      </c>
      <c r="I1795" s="4">
        <v>14299</v>
      </c>
      <c r="J1795" s="2" t="s">
        <v>69</v>
      </c>
      <c r="K1795" s="2" t="s">
        <v>46</v>
      </c>
    </row>
    <row r="1796" spans="1:11" x14ac:dyDescent="0.35">
      <c r="A1796" s="2" t="s">
        <v>2221</v>
      </c>
      <c r="B1796" s="3">
        <v>45580</v>
      </c>
      <c r="C1796" s="2" t="s">
        <v>1593</v>
      </c>
      <c r="D1796" s="2" t="s">
        <v>166</v>
      </c>
      <c r="E1796" s="2" t="s">
        <v>87</v>
      </c>
      <c r="F1796" s="4">
        <v>1</v>
      </c>
      <c r="G1796" s="4">
        <v>3640</v>
      </c>
      <c r="H1796" s="4">
        <v>15.8</v>
      </c>
      <c r="I1796" s="4">
        <v>3064.88</v>
      </c>
      <c r="J1796" s="2" t="s">
        <v>16</v>
      </c>
      <c r="K1796" s="2" t="s">
        <v>46</v>
      </c>
    </row>
    <row r="1797" spans="1:11" x14ac:dyDescent="0.35">
      <c r="A1797" s="2" t="s">
        <v>2222</v>
      </c>
      <c r="B1797" s="3">
        <v>45444</v>
      </c>
      <c r="C1797" s="2" t="s">
        <v>691</v>
      </c>
      <c r="D1797" s="2" t="s">
        <v>196</v>
      </c>
      <c r="E1797" s="2" t="s">
        <v>15</v>
      </c>
      <c r="F1797" s="4">
        <v>1</v>
      </c>
      <c r="G1797" s="4">
        <v>1220</v>
      </c>
      <c r="H1797" s="4">
        <v>0.6</v>
      </c>
      <c r="I1797" s="4">
        <v>1212.68</v>
      </c>
      <c r="J1797" s="2" t="s">
        <v>73</v>
      </c>
      <c r="K1797" s="2" t="s">
        <v>62</v>
      </c>
    </row>
    <row r="1798" spans="1:11" x14ac:dyDescent="0.35">
      <c r="A1798" s="2" t="s">
        <v>2223</v>
      </c>
      <c r="B1798" s="3">
        <v>45350</v>
      </c>
      <c r="C1798" s="2" t="s">
        <v>82</v>
      </c>
      <c r="D1798" s="2" t="s">
        <v>96</v>
      </c>
      <c r="E1798" s="2" t="s">
        <v>226</v>
      </c>
      <c r="F1798" s="4">
        <v>10</v>
      </c>
      <c r="G1798" s="4">
        <v>2480</v>
      </c>
      <c r="H1798" s="4">
        <v>0.6</v>
      </c>
      <c r="I1798" s="4">
        <v>24651.200000000001</v>
      </c>
      <c r="J1798" s="2" t="s">
        <v>16</v>
      </c>
      <c r="K1798" s="2" t="s">
        <v>46</v>
      </c>
    </row>
    <row r="1799" spans="1:11" x14ac:dyDescent="0.35">
      <c r="A1799" s="2" t="s">
        <v>2224</v>
      </c>
      <c r="B1799" s="3">
        <v>45634</v>
      </c>
      <c r="C1799" s="2" t="s">
        <v>531</v>
      </c>
      <c r="D1799" s="2" t="s">
        <v>105</v>
      </c>
      <c r="E1799" s="2" t="s">
        <v>272</v>
      </c>
      <c r="F1799" s="4">
        <v>9</v>
      </c>
      <c r="G1799" s="4">
        <v>1650</v>
      </c>
      <c r="H1799" s="4">
        <v>26.8</v>
      </c>
      <c r="I1799" s="4">
        <v>10870.2</v>
      </c>
      <c r="J1799" s="2" t="s">
        <v>16</v>
      </c>
      <c r="K1799" s="2" t="s">
        <v>23</v>
      </c>
    </row>
    <row r="1800" spans="1:11" x14ac:dyDescent="0.35">
      <c r="A1800" s="2" t="s">
        <v>2225</v>
      </c>
      <c r="B1800" s="3">
        <v>45560</v>
      </c>
      <c r="C1800" s="2" t="s">
        <v>646</v>
      </c>
      <c r="D1800" s="2" t="s">
        <v>205</v>
      </c>
      <c r="E1800" s="2" t="s">
        <v>36</v>
      </c>
      <c r="F1800" s="4">
        <v>10</v>
      </c>
      <c r="G1800" s="4">
        <v>3020</v>
      </c>
      <c r="H1800" s="4">
        <v>2.6</v>
      </c>
      <c r="I1800" s="4">
        <v>29414.799999999999</v>
      </c>
      <c r="J1800" s="2" t="s">
        <v>16</v>
      </c>
      <c r="K1800" s="2" t="s">
        <v>23</v>
      </c>
    </row>
    <row r="1801" spans="1:11" x14ac:dyDescent="0.35">
      <c r="A1801" s="2" t="s">
        <v>2226</v>
      </c>
      <c r="B1801" s="3">
        <v>45544</v>
      </c>
      <c r="C1801" s="2" t="s">
        <v>799</v>
      </c>
      <c r="D1801" s="2" t="s">
        <v>381</v>
      </c>
      <c r="E1801" s="2" t="s">
        <v>27</v>
      </c>
      <c r="F1801" s="4">
        <v>5</v>
      </c>
      <c r="G1801" s="4">
        <v>3450</v>
      </c>
      <c r="H1801" s="4">
        <v>25.3</v>
      </c>
      <c r="I1801" s="4">
        <v>12885.75</v>
      </c>
      <c r="J1801" s="2" t="s">
        <v>16</v>
      </c>
      <c r="K1801" s="2" t="s">
        <v>46</v>
      </c>
    </row>
    <row r="1802" spans="1:11" x14ac:dyDescent="0.35">
      <c r="A1802" s="2" t="s">
        <v>2227</v>
      </c>
      <c r="B1802" s="3">
        <v>45457</v>
      </c>
      <c r="C1802" s="2" t="s">
        <v>137</v>
      </c>
      <c r="D1802" s="2" t="s">
        <v>196</v>
      </c>
      <c r="E1802" s="2" t="s">
        <v>50</v>
      </c>
      <c r="F1802" s="4">
        <v>7</v>
      </c>
      <c r="G1802" s="4">
        <v>1220</v>
      </c>
      <c r="H1802" s="4">
        <v>13.1</v>
      </c>
      <c r="I1802" s="4">
        <v>7421.26</v>
      </c>
      <c r="J1802" s="2" t="s">
        <v>16</v>
      </c>
      <c r="K1802" s="2" t="s">
        <v>62</v>
      </c>
    </row>
    <row r="1803" spans="1:11" x14ac:dyDescent="0.35">
      <c r="A1803" s="2" t="s">
        <v>2228</v>
      </c>
      <c r="B1803" s="3">
        <v>45578</v>
      </c>
      <c r="C1803" s="2" t="s">
        <v>135</v>
      </c>
      <c r="D1803" s="2" t="s">
        <v>163</v>
      </c>
      <c r="E1803" s="2" t="s">
        <v>21</v>
      </c>
      <c r="F1803" s="4">
        <v>10</v>
      </c>
      <c r="G1803" s="4">
        <v>3780</v>
      </c>
      <c r="H1803" s="4">
        <v>23.7</v>
      </c>
      <c r="I1803" s="4">
        <v>28841.4</v>
      </c>
      <c r="J1803" s="2" t="s">
        <v>16</v>
      </c>
      <c r="K1803" s="2" t="s">
        <v>62</v>
      </c>
    </row>
    <row r="1804" spans="1:11" x14ac:dyDescent="0.35">
      <c r="A1804" s="2" t="s">
        <v>2229</v>
      </c>
      <c r="B1804" s="3">
        <v>45405</v>
      </c>
      <c r="C1804" s="2" t="s">
        <v>349</v>
      </c>
      <c r="D1804" s="2" t="s">
        <v>208</v>
      </c>
      <c r="E1804" s="2" t="s">
        <v>226</v>
      </c>
      <c r="F1804" s="4">
        <v>8</v>
      </c>
      <c r="G1804" s="4">
        <v>2660</v>
      </c>
      <c r="H1804" s="4">
        <v>16.100000000000001</v>
      </c>
      <c r="I1804" s="4">
        <v>17853.919999999998</v>
      </c>
      <c r="J1804" s="2" t="s">
        <v>16</v>
      </c>
      <c r="K1804" s="2" t="s">
        <v>28</v>
      </c>
    </row>
    <row r="1805" spans="1:11" x14ac:dyDescent="0.35">
      <c r="A1805" s="2" t="s">
        <v>2230</v>
      </c>
      <c r="B1805" s="3">
        <v>45338</v>
      </c>
      <c r="C1805" s="2" t="s">
        <v>241</v>
      </c>
      <c r="D1805" s="2" t="s">
        <v>431</v>
      </c>
      <c r="E1805" s="2" t="s">
        <v>36</v>
      </c>
      <c r="F1805" s="4">
        <v>6</v>
      </c>
      <c r="G1805" s="4">
        <v>1090</v>
      </c>
      <c r="H1805" s="4">
        <v>20</v>
      </c>
      <c r="I1805" s="4">
        <v>5232</v>
      </c>
      <c r="J1805" s="2" t="s">
        <v>22</v>
      </c>
      <c r="K1805" s="2" t="s">
        <v>62</v>
      </c>
    </row>
    <row r="1806" spans="1:11" x14ac:dyDescent="0.35">
      <c r="A1806" s="2" t="s">
        <v>2231</v>
      </c>
      <c r="B1806" s="3">
        <v>45324</v>
      </c>
      <c r="C1806" s="2" t="s">
        <v>2232</v>
      </c>
      <c r="D1806" s="2" t="s">
        <v>132</v>
      </c>
      <c r="E1806" s="2" t="s">
        <v>275</v>
      </c>
      <c r="F1806" s="4">
        <v>2</v>
      </c>
      <c r="G1806" s="4">
        <v>660</v>
      </c>
      <c r="H1806" s="4">
        <v>18.7</v>
      </c>
      <c r="I1806" s="4">
        <v>1073.1600000000001</v>
      </c>
      <c r="J1806" s="2" t="s">
        <v>16</v>
      </c>
      <c r="K1806" s="2" t="s">
        <v>41</v>
      </c>
    </row>
    <row r="1807" spans="1:11" x14ac:dyDescent="0.35">
      <c r="A1807" s="2" t="s">
        <v>2233</v>
      </c>
      <c r="B1807" s="3">
        <v>45332</v>
      </c>
      <c r="C1807" s="2" t="s">
        <v>1001</v>
      </c>
      <c r="D1807" s="2" t="s">
        <v>431</v>
      </c>
      <c r="E1807" s="2" t="s">
        <v>117</v>
      </c>
      <c r="F1807" s="4">
        <v>7</v>
      </c>
      <c r="G1807" s="4">
        <v>1090</v>
      </c>
      <c r="H1807" s="4">
        <v>19.399999999999999</v>
      </c>
      <c r="I1807" s="4">
        <v>6149.78</v>
      </c>
      <c r="J1807" s="2" t="s">
        <v>22</v>
      </c>
      <c r="K1807" s="2" t="s">
        <v>41</v>
      </c>
    </row>
    <row r="1808" spans="1:11" x14ac:dyDescent="0.35">
      <c r="A1808" s="2" t="s">
        <v>2234</v>
      </c>
      <c r="B1808" s="3">
        <v>45429</v>
      </c>
      <c r="C1808" s="2" t="s">
        <v>239</v>
      </c>
      <c r="D1808" s="2" t="s">
        <v>267</v>
      </c>
      <c r="E1808" s="2" t="s">
        <v>117</v>
      </c>
      <c r="F1808" s="4">
        <v>3</v>
      </c>
      <c r="G1808" s="4">
        <v>2210</v>
      </c>
      <c r="H1808" s="4">
        <v>11</v>
      </c>
      <c r="I1808" s="4">
        <v>5900.7</v>
      </c>
      <c r="J1808" s="2" t="s">
        <v>16</v>
      </c>
      <c r="K1808" s="2" t="s">
        <v>46</v>
      </c>
    </row>
    <row r="1809" spans="1:11" x14ac:dyDescent="0.35">
      <c r="A1809" s="2" t="s">
        <v>2235</v>
      </c>
      <c r="B1809" s="3">
        <v>45420</v>
      </c>
      <c r="C1809" s="2" t="s">
        <v>107</v>
      </c>
      <c r="D1809" s="2" t="s">
        <v>337</v>
      </c>
      <c r="E1809" s="2" t="s">
        <v>158</v>
      </c>
      <c r="F1809" s="4">
        <v>2</v>
      </c>
      <c r="G1809" s="4">
        <v>3970</v>
      </c>
      <c r="H1809" s="4">
        <v>24.9</v>
      </c>
      <c r="I1809" s="4">
        <v>5962.94</v>
      </c>
      <c r="J1809" s="2" t="s">
        <v>16</v>
      </c>
      <c r="K1809" s="2" t="s">
        <v>23</v>
      </c>
    </row>
    <row r="1810" spans="1:11" x14ac:dyDescent="0.35">
      <c r="A1810" s="2" t="s">
        <v>2236</v>
      </c>
      <c r="B1810" s="3">
        <v>45403</v>
      </c>
      <c r="C1810" s="2" t="s">
        <v>436</v>
      </c>
      <c r="D1810" s="2" t="s">
        <v>199</v>
      </c>
      <c r="E1810" s="2" t="s">
        <v>87</v>
      </c>
      <c r="F1810" s="4">
        <v>7</v>
      </c>
      <c r="G1810" s="4">
        <v>4610</v>
      </c>
      <c r="H1810" s="4">
        <v>6.3</v>
      </c>
      <c r="I1810" s="4">
        <v>30236.99</v>
      </c>
      <c r="J1810" s="2" t="s">
        <v>16</v>
      </c>
      <c r="K1810" s="2" t="s">
        <v>17</v>
      </c>
    </row>
    <row r="1811" spans="1:11" x14ac:dyDescent="0.35">
      <c r="A1811" s="2" t="s">
        <v>2237</v>
      </c>
      <c r="B1811" s="3">
        <v>45403</v>
      </c>
      <c r="C1811" s="2" t="s">
        <v>451</v>
      </c>
      <c r="D1811" s="2" t="s">
        <v>309</v>
      </c>
      <c r="E1811" s="2" t="s">
        <v>130</v>
      </c>
      <c r="F1811" s="4">
        <v>10</v>
      </c>
      <c r="G1811" s="4">
        <v>960</v>
      </c>
      <c r="H1811" s="4">
        <v>14.6</v>
      </c>
      <c r="I1811" s="4">
        <v>8198.4</v>
      </c>
      <c r="J1811" s="2" t="s">
        <v>16</v>
      </c>
      <c r="K1811" s="2" t="s">
        <v>28</v>
      </c>
    </row>
    <row r="1812" spans="1:11" x14ac:dyDescent="0.35">
      <c r="A1812" s="2" t="s">
        <v>2238</v>
      </c>
      <c r="B1812" s="3">
        <v>45600</v>
      </c>
      <c r="C1812" s="2" t="s">
        <v>160</v>
      </c>
      <c r="D1812" s="2" t="s">
        <v>205</v>
      </c>
      <c r="E1812" s="2" t="s">
        <v>275</v>
      </c>
      <c r="F1812" s="4">
        <v>8</v>
      </c>
      <c r="G1812" s="4">
        <v>3020</v>
      </c>
      <c r="H1812" s="4">
        <v>14.5</v>
      </c>
      <c r="I1812" s="4">
        <v>20656.8</v>
      </c>
      <c r="J1812" s="2" t="s">
        <v>16</v>
      </c>
      <c r="K1812" s="2" t="s">
        <v>46</v>
      </c>
    </row>
    <row r="1813" spans="1:11" x14ac:dyDescent="0.35">
      <c r="A1813" s="2" t="s">
        <v>2239</v>
      </c>
      <c r="B1813" s="3">
        <v>45629</v>
      </c>
      <c r="C1813" s="2" t="s">
        <v>71</v>
      </c>
      <c r="D1813" s="2" t="s">
        <v>96</v>
      </c>
      <c r="E1813" s="2" t="s">
        <v>130</v>
      </c>
      <c r="F1813" s="4">
        <v>7</v>
      </c>
      <c r="G1813" s="4">
        <v>2480</v>
      </c>
      <c r="H1813" s="4">
        <v>17.3</v>
      </c>
      <c r="I1813" s="4">
        <v>14356.72</v>
      </c>
      <c r="J1813" s="2" t="s">
        <v>16</v>
      </c>
      <c r="K1813" s="2" t="s">
        <v>17</v>
      </c>
    </row>
    <row r="1814" spans="1:11" x14ac:dyDescent="0.35">
      <c r="A1814" s="2" t="s">
        <v>2240</v>
      </c>
      <c r="B1814" s="3">
        <v>45330</v>
      </c>
      <c r="C1814" s="2" t="s">
        <v>521</v>
      </c>
      <c r="D1814" s="2" t="s">
        <v>177</v>
      </c>
      <c r="E1814" s="2" t="s">
        <v>181</v>
      </c>
      <c r="F1814" s="4">
        <v>10</v>
      </c>
      <c r="G1814" s="4">
        <v>3870</v>
      </c>
      <c r="H1814" s="4">
        <v>22.4</v>
      </c>
      <c r="I1814" s="4">
        <v>30031.200000000001</v>
      </c>
      <c r="J1814" s="2" t="s">
        <v>22</v>
      </c>
      <c r="K1814" s="2" t="s">
        <v>62</v>
      </c>
    </row>
    <row r="1815" spans="1:11" x14ac:dyDescent="0.35">
      <c r="A1815" s="2" t="s">
        <v>2241</v>
      </c>
      <c r="B1815" s="3">
        <v>45551</v>
      </c>
      <c r="C1815" s="2" t="s">
        <v>807</v>
      </c>
      <c r="D1815" s="2" t="s">
        <v>132</v>
      </c>
      <c r="E1815" s="2" t="s">
        <v>214</v>
      </c>
      <c r="F1815" s="4">
        <v>6</v>
      </c>
      <c r="G1815" s="4">
        <v>660</v>
      </c>
      <c r="H1815" s="4">
        <v>27.3</v>
      </c>
      <c r="I1815" s="4">
        <v>2878.92</v>
      </c>
      <c r="J1815" s="2" t="s">
        <v>16</v>
      </c>
      <c r="K1815" s="2" t="s">
        <v>41</v>
      </c>
    </row>
    <row r="1816" spans="1:11" x14ac:dyDescent="0.35">
      <c r="A1816" s="2" t="s">
        <v>2242</v>
      </c>
      <c r="B1816" s="3">
        <v>45321</v>
      </c>
      <c r="C1816" s="2" t="s">
        <v>2243</v>
      </c>
      <c r="D1816" s="2" t="s">
        <v>177</v>
      </c>
      <c r="E1816" s="2" t="s">
        <v>130</v>
      </c>
      <c r="F1816" s="4">
        <v>3</v>
      </c>
      <c r="G1816" s="4">
        <v>3870</v>
      </c>
      <c r="H1816" s="4">
        <v>7.6</v>
      </c>
      <c r="I1816" s="4">
        <v>10727.64</v>
      </c>
      <c r="J1816" s="2" t="s">
        <v>69</v>
      </c>
      <c r="K1816" s="2" t="s">
        <v>23</v>
      </c>
    </row>
    <row r="1817" spans="1:11" x14ac:dyDescent="0.35">
      <c r="A1817" s="2" t="s">
        <v>2244</v>
      </c>
      <c r="B1817" s="3">
        <v>45542</v>
      </c>
      <c r="C1817" s="2" t="s">
        <v>13</v>
      </c>
      <c r="D1817" s="2" t="s">
        <v>96</v>
      </c>
      <c r="E1817" s="2" t="s">
        <v>32</v>
      </c>
      <c r="F1817" s="4">
        <v>10</v>
      </c>
      <c r="G1817" s="4">
        <v>2480</v>
      </c>
      <c r="H1817" s="4">
        <v>21.5</v>
      </c>
      <c r="I1817" s="4">
        <v>19468</v>
      </c>
      <c r="J1817" s="2" t="s">
        <v>22</v>
      </c>
      <c r="K1817" s="2" t="s">
        <v>17</v>
      </c>
    </row>
    <row r="1818" spans="1:11" x14ac:dyDescent="0.35">
      <c r="A1818" s="2" t="s">
        <v>2245</v>
      </c>
      <c r="B1818" s="3">
        <v>45643</v>
      </c>
      <c r="C1818" s="2" t="s">
        <v>531</v>
      </c>
      <c r="D1818" s="2" t="s">
        <v>64</v>
      </c>
      <c r="E1818" s="2" t="s">
        <v>144</v>
      </c>
      <c r="F1818" s="4">
        <v>8</v>
      </c>
      <c r="G1818" s="4">
        <v>2640</v>
      </c>
      <c r="H1818" s="4">
        <v>22.3</v>
      </c>
      <c r="I1818" s="4">
        <v>16410.240000000002</v>
      </c>
      <c r="J1818" s="2" t="s">
        <v>16</v>
      </c>
      <c r="K1818" s="2" t="s">
        <v>23</v>
      </c>
    </row>
    <row r="1819" spans="1:11" x14ac:dyDescent="0.35">
      <c r="A1819" s="2" t="s">
        <v>2246</v>
      </c>
      <c r="B1819" s="3">
        <v>45559</v>
      </c>
      <c r="C1819" s="2" t="s">
        <v>1122</v>
      </c>
      <c r="D1819" s="2" t="s">
        <v>56</v>
      </c>
      <c r="E1819" s="2" t="s">
        <v>144</v>
      </c>
      <c r="F1819" s="4">
        <v>8</v>
      </c>
      <c r="G1819" s="4">
        <v>970</v>
      </c>
      <c r="H1819" s="4">
        <v>13.1</v>
      </c>
      <c r="I1819" s="4">
        <v>6743.44</v>
      </c>
      <c r="J1819" s="2" t="s">
        <v>16</v>
      </c>
      <c r="K1819" s="2" t="s">
        <v>62</v>
      </c>
    </row>
    <row r="1820" spans="1:11" x14ac:dyDescent="0.35">
      <c r="A1820" s="2" t="s">
        <v>2247</v>
      </c>
      <c r="B1820" s="3">
        <v>45416</v>
      </c>
      <c r="C1820" s="2" t="s">
        <v>526</v>
      </c>
      <c r="D1820" s="2" t="s">
        <v>44</v>
      </c>
      <c r="E1820" s="2" t="s">
        <v>144</v>
      </c>
      <c r="F1820" s="4">
        <v>6</v>
      </c>
      <c r="G1820" s="4">
        <v>960</v>
      </c>
      <c r="H1820" s="4">
        <v>3.2</v>
      </c>
      <c r="I1820" s="4">
        <v>5575.68</v>
      </c>
      <c r="J1820" s="2" t="s">
        <v>16</v>
      </c>
      <c r="K1820" s="2" t="s">
        <v>41</v>
      </c>
    </row>
    <row r="1821" spans="1:11" x14ac:dyDescent="0.35">
      <c r="A1821" s="2" t="s">
        <v>2248</v>
      </c>
      <c r="B1821" s="3">
        <v>45469</v>
      </c>
      <c r="C1821" s="2" t="s">
        <v>1458</v>
      </c>
      <c r="D1821" s="2" t="s">
        <v>224</v>
      </c>
      <c r="E1821" s="2" t="s">
        <v>36</v>
      </c>
      <c r="F1821" s="4">
        <v>9</v>
      </c>
      <c r="G1821" s="4">
        <v>2030</v>
      </c>
      <c r="H1821" s="4">
        <v>12.6</v>
      </c>
      <c r="I1821" s="4">
        <v>15967.98</v>
      </c>
      <c r="J1821" s="2" t="s">
        <v>69</v>
      </c>
      <c r="K1821" s="2" t="s">
        <v>23</v>
      </c>
    </row>
    <row r="1822" spans="1:11" x14ac:dyDescent="0.35">
      <c r="A1822" s="2" t="s">
        <v>1954</v>
      </c>
      <c r="B1822" s="3">
        <v>45387</v>
      </c>
      <c r="C1822" s="2" t="s">
        <v>162</v>
      </c>
      <c r="D1822" s="2" t="s">
        <v>315</v>
      </c>
      <c r="E1822" s="2" t="s">
        <v>45</v>
      </c>
      <c r="F1822" s="4">
        <v>10</v>
      </c>
      <c r="G1822" s="4">
        <v>2290</v>
      </c>
      <c r="H1822" s="4">
        <v>22.2</v>
      </c>
      <c r="I1822" s="4">
        <v>17816.2</v>
      </c>
      <c r="J1822" s="2" t="s">
        <v>16</v>
      </c>
      <c r="K1822" s="2" t="s">
        <v>17</v>
      </c>
    </row>
    <row r="1823" spans="1:11" x14ac:dyDescent="0.35">
      <c r="A1823" s="2" t="s">
        <v>2249</v>
      </c>
      <c r="B1823" s="3">
        <v>45373</v>
      </c>
      <c r="C1823" s="2" t="s">
        <v>1428</v>
      </c>
      <c r="D1823" s="2" t="s">
        <v>20</v>
      </c>
      <c r="E1823" s="2" t="s">
        <v>272</v>
      </c>
      <c r="F1823" s="4">
        <v>7</v>
      </c>
      <c r="G1823" s="4">
        <v>820</v>
      </c>
      <c r="H1823" s="4">
        <v>6.4</v>
      </c>
      <c r="I1823" s="4">
        <v>5372.64</v>
      </c>
      <c r="J1823" s="2" t="s">
        <v>73</v>
      </c>
      <c r="K1823" s="2" t="s">
        <v>23</v>
      </c>
    </row>
    <row r="1824" spans="1:11" x14ac:dyDescent="0.35">
      <c r="A1824" s="2" t="s">
        <v>2250</v>
      </c>
      <c r="B1824" s="3">
        <v>45614</v>
      </c>
      <c r="C1824" s="2" t="s">
        <v>262</v>
      </c>
      <c r="D1824" s="2" t="s">
        <v>93</v>
      </c>
      <c r="E1824" s="2" t="s">
        <v>99</v>
      </c>
      <c r="F1824" s="4">
        <v>5</v>
      </c>
      <c r="G1824" s="4">
        <v>1080</v>
      </c>
      <c r="H1824" s="4">
        <v>6</v>
      </c>
      <c r="I1824" s="4">
        <v>5076</v>
      </c>
      <c r="J1824" s="2" t="s">
        <v>16</v>
      </c>
      <c r="K1824" s="2" t="s">
        <v>62</v>
      </c>
    </row>
    <row r="1825" spans="1:11" x14ac:dyDescent="0.35">
      <c r="A1825" s="2" t="s">
        <v>2251</v>
      </c>
      <c r="B1825" s="3">
        <v>45310</v>
      </c>
      <c r="C1825" s="2" t="s">
        <v>408</v>
      </c>
      <c r="D1825" s="2" t="s">
        <v>76</v>
      </c>
      <c r="E1825" s="2" t="s">
        <v>57</v>
      </c>
      <c r="F1825" s="4">
        <v>4</v>
      </c>
      <c r="G1825" s="4">
        <v>190</v>
      </c>
      <c r="H1825" s="4">
        <v>6.3</v>
      </c>
      <c r="I1825" s="4">
        <v>712.12</v>
      </c>
      <c r="J1825" s="2" t="s">
        <v>73</v>
      </c>
      <c r="K1825" s="2" t="s">
        <v>17</v>
      </c>
    </row>
    <row r="1826" spans="1:11" x14ac:dyDescent="0.35">
      <c r="A1826" s="2" t="s">
        <v>2252</v>
      </c>
      <c r="B1826" s="3">
        <v>45319</v>
      </c>
      <c r="C1826" s="2" t="s">
        <v>201</v>
      </c>
      <c r="D1826" s="2" t="s">
        <v>284</v>
      </c>
      <c r="E1826" s="2" t="s">
        <v>158</v>
      </c>
      <c r="F1826" s="4">
        <v>6</v>
      </c>
      <c r="G1826" s="4">
        <v>2510</v>
      </c>
      <c r="H1826" s="4">
        <v>11.5</v>
      </c>
      <c r="I1826" s="4">
        <v>13328.1</v>
      </c>
      <c r="J1826" s="2" t="s">
        <v>16</v>
      </c>
      <c r="K1826" s="2" t="s">
        <v>23</v>
      </c>
    </row>
    <row r="1827" spans="1:11" x14ac:dyDescent="0.35">
      <c r="A1827" s="2" t="s">
        <v>2253</v>
      </c>
      <c r="B1827" s="3">
        <v>45299</v>
      </c>
      <c r="C1827" s="2" t="s">
        <v>34</v>
      </c>
      <c r="D1827" s="2" t="s">
        <v>588</v>
      </c>
      <c r="E1827" s="2" t="s">
        <v>117</v>
      </c>
      <c r="F1827" s="4">
        <v>2</v>
      </c>
      <c r="G1827" s="4">
        <v>3560</v>
      </c>
      <c r="H1827" s="4">
        <v>10.5</v>
      </c>
      <c r="I1827" s="4">
        <v>6372.4</v>
      </c>
      <c r="J1827" s="2" t="s">
        <v>16</v>
      </c>
      <c r="K1827" s="2" t="s">
        <v>23</v>
      </c>
    </row>
    <row r="1828" spans="1:11" x14ac:dyDescent="0.35">
      <c r="A1828" s="2" t="s">
        <v>2254</v>
      </c>
      <c r="B1828" s="3">
        <v>45556</v>
      </c>
      <c r="C1828" s="2" t="s">
        <v>770</v>
      </c>
      <c r="D1828" s="2" t="s">
        <v>20</v>
      </c>
      <c r="E1828" s="2" t="s">
        <v>181</v>
      </c>
      <c r="F1828" s="4">
        <v>3</v>
      </c>
      <c r="G1828" s="4">
        <v>820</v>
      </c>
      <c r="H1828" s="4">
        <v>13</v>
      </c>
      <c r="I1828" s="4">
        <v>2140.1999999999998</v>
      </c>
      <c r="J1828" s="2" t="s">
        <v>69</v>
      </c>
      <c r="K1828" s="2" t="s">
        <v>46</v>
      </c>
    </row>
    <row r="1829" spans="1:11" x14ac:dyDescent="0.35">
      <c r="A1829" s="2" t="s">
        <v>2255</v>
      </c>
      <c r="B1829" s="3">
        <v>45500</v>
      </c>
      <c r="C1829" s="2" t="s">
        <v>1287</v>
      </c>
      <c r="D1829" s="2" t="s">
        <v>166</v>
      </c>
      <c r="E1829" s="2" t="s">
        <v>77</v>
      </c>
      <c r="F1829" s="4">
        <v>6</v>
      </c>
      <c r="G1829" s="4">
        <v>3640</v>
      </c>
      <c r="H1829" s="4">
        <v>14</v>
      </c>
      <c r="I1829" s="4">
        <v>18782.400000000001</v>
      </c>
      <c r="J1829" s="2" t="s">
        <v>16</v>
      </c>
      <c r="K1829" s="2" t="s">
        <v>41</v>
      </c>
    </row>
    <row r="1830" spans="1:11" x14ac:dyDescent="0.35">
      <c r="A1830" s="2" t="s">
        <v>2256</v>
      </c>
      <c r="B1830" s="3">
        <v>45370</v>
      </c>
      <c r="C1830" s="2" t="s">
        <v>89</v>
      </c>
      <c r="D1830" s="2" t="s">
        <v>31</v>
      </c>
      <c r="E1830" s="2" t="s">
        <v>50</v>
      </c>
      <c r="F1830" s="4">
        <v>5</v>
      </c>
      <c r="G1830" s="4">
        <v>3660</v>
      </c>
      <c r="H1830" s="4">
        <v>28.7</v>
      </c>
      <c r="I1830" s="4">
        <v>13047.9</v>
      </c>
      <c r="J1830" s="2" t="s">
        <v>16</v>
      </c>
      <c r="K1830" s="2" t="s">
        <v>41</v>
      </c>
    </row>
    <row r="1831" spans="1:11" x14ac:dyDescent="0.35">
      <c r="A1831" s="2" t="s">
        <v>2257</v>
      </c>
      <c r="B1831" s="3">
        <v>45521</v>
      </c>
      <c r="C1831" s="2" t="s">
        <v>162</v>
      </c>
      <c r="D1831" s="2" t="s">
        <v>124</v>
      </c>
      <c r="E1831" s="2" t="s">
        <v>99</v>
      </c>
      <c r="F1831" s="4">
        <v>2</v>
      </c>
      <c r="G1831" s="4">
        <v>2860</v>
      </c>
      <c r="H1831" s="4">
        <v>21.1</v>
      </c>
      <c r="I1831" s="4">
        <v>4513.08</v>
      </c>
      <c r="J1831" s="2" t="s">
        <v>16</v>
      </c>
      <c r="K1831" s="2" t="s">
        <v>17</v>
      </c>
    </row>
    <row r="1832" spans="1:11" x14ac:dyDescent="0.35">
      <c r="A1832" s="2" t="s">
        <v>2258</v>
      </c>
      <c r="B1832" s="3">
        <v>45481</v>
      </c>
      <c r="C1832" s="2" t="s">
        <v>567</v>
      </c>
      <c r="D1832" s="2" t="s">
        <v>102</v>
      </c>
      <c r="E1832" s="2" t="s">
        <v>50</v>
      </c>
      <c r="F1832" s="4">
        <v>1</v>
      </c>
      <c r="G1832" s="4">
        <v>2720</v>
      </c>
      <c r="H1832" s="4">
        <v>22.1</v>
      </c>
      <c r="I1832" s="4">
        <v>2118.88</v>
      </c>
      <c r="J1832" s="2" t="s">
        <v>16</v>
      </c>
      <c r="K1832" s="2" t="s">
        <v>28</v>
      </c>
    </row>
    <row r="1833" spans="1:11" x14ac:dyDescent="0.35">
      <c r="A1833" s="2" t="s">
        <v>2259</v>
      </c>
      <c r="B1833" s="3">
        <v>45633</v>
      </c>
      <c r="C1833" s="2" t="s">
        <v>824</v>
      </c>
      <c r="D1833" s="2" t="s">
        <v>124</v>
      </c>
      <c r="E1833" s="2" t="s">
        <v>68</v>
      </c>
      <c r="F1833" s="4">
        <v>6</v>
      </c>
      <c r="G1833" s="4">
        <v>2860</v>
      </c>
      <c r="H1833" s="4">
        <v>10.5</v>
      </c>
      <c r="I1833" s="4">
        <v>15358.2</v>
      </c>
      <c r="J1833" s="2" t="s">
        <v>69</v>
      </c>
      <c r="K1833" s="2" t="s">
        <v>46</v>
      </c>
    </row>
    <row r="1834" spans="1:11" x14ac:dyDescent="0.35">
      <c r="A1834" s="2" t="s">
        <v>2260</v>
      </c>
      <c r="B1834" s="3">
        <v>45305</v>
      </c>
      <c r="C1834" s="2" t="s">
        <v>484</v>
      </c>
      <c r="D1834" s="2" t="s">
        <v>284</v>
      </c>
      <c r="E1834" s="2" t="s">
        <v>121</v>
      </c>
      <c r="F1834" s="4">
        <v>1</v>
      </c>
      <c r="G1834" s="4">
        <v>2510</v>
      </c>
      <c r="H1834" s="4">
        <v>12</v>
      </c>
      <c r="I1834" s="4">
        <v>2208.8000000000002</v>
      </c>
      <c r="J1834" s="2" t="s">
        <v>16</v>
      </c>
      <c r="K1834" s="2" t="s">
        <v>41</v>
      </c>
    </row>
    <row r="1835" spans="1:11" x14ac:dyDescent="0.35">
      <c r="A1835" s="2" t="s">
        <v>2261</v>
      </c>
      <c r="B1835" s="3">
        <v>45593</v>
      </c>
      <c r="C1835" s="2" t="s">
        <v>511</v>
      </c>
      <c r="D1835" s="2" t="s">
        <v>284</v>
      </c>
      <c r="E1835" s="2" t="s">
        <v>121</v>
      </c>
      <c r="F1835" s="4">
        <v>4</v>
      </c>
      <c r="G1835" s="4">
        <v>2510</v>
      </c>
      <c r="H1835" s="4">
        <v>23.2</v>
      </c>
      <c r="I1835" s="4">
        <v>7710.72</v>
      </c>
      <c r="J1835" s="2" t="s">
        <v>16</v>
      </c>
      <c r="K1835" s="2" t="s">
        <v>23</v>
      </c>
    </row>
    <row r="1836" spans="1:11" x14ac:dyDescent="0.35">
      <c r="A1836" s="2" t="s">
        <v>2262</v>
      </c>
      <c r="B1836" s="3">
        <v>45555</v>
      </c>
      <c r="C1836" s="2" t="s">
        <v>994</v>
      </c>
      <c r="D1836" s="2" t="s">
        <v>309</v>
      </c>
      <c r="E1836" s="2" t="s">
        <v>21</v>
      </c>
      <c r="F1836" s="4">
        <v>8</v>
      </c>
      <c r="G1836" s="4">
        <v>960</v>
      </c>
      <c r="H1836" s="4">
        <v>20.3</v>
      </c>
      <c r="I1836" s="4">
        <v>6120.96</v>
      </c>
      <c r="J1836" s="2" t="s">
        <v>22</v>
      </c>
      <c r="K1836" s="2" t="s">
        <v>23</v>
      </c>
    </row>
    <row r="1837" spans="1:11" x14ac:dyDescent="0.35">
      <c r="A1837" s="2" t="s">
        <v>2263</v>
      </c>
      <c r="B1837" s="3">
        <v>45406</v>
      </c>
      <c r="C1837" s="2" t="s">
        <v>1982</v>
      </c>
      <c r="D1837" s="2" t="s">
        <v>53</v>
      </c>
      <c r="E1837" s="2" t="s">
        <v>61</v>
      </c>
      <c r="F1837" s="4">
        <v>3</v>
      </c>
      <c r="G1837" s="4">
        <v>5490</v>
      </c>
      <c r="H1837" s="4">
        <v>25.2</v>
      </c>
      <c r="I1837" s="4">
        <v>12319.56</v>
      </c>
      <c r="J1837" s="2" t="s">
        <v>16</v>
      </c>
      <c r="K1837" s="2" t="s">
        <v>62</v>
      </c>
    </row>
    <row r="1838" spans="1:11" x14ac:dyDescent="0.35">
      <c r="A1838" s="2" t="s">
        <v>2264</v>
      </c>
      <c r="B1838" s="3">
        <v>45647</v>
      </c>
      <c r="C1838" s="2" t="s">
        <v>874</v>
      </c>
      <c r="D1838" s="2" t="s">
        <v>284</v>
      </c>
      <c r="E1838" s="2" t="s">
        <v>32</v>
      </c>
      <c r="F1838" s="4">
        <v>2</v>
      </c>
      <c r="G1838" s="4">
        <v>2510</v>
      </c>
      <c r="H1838" s="4">
        <v>28.2</v>
      </c>
      <c r="I1838" s="4">
        <v>3604.36</v>
      </c>
      <c r="J1838" s="2" t="s">
        <v>16</v>
      </c>
      <c r="K1838" s="2" t="s">
        <v>17</v>
      </c>
    </row>
    <row r="1839" spans="1:11" x14ac:dyDescent="0.35">
      <c r="A1839" s="2" t="s">
        <v>2265</v>
      </c>
      <c r="B1839" s="3">
        <v>45386</v>
      </c>
      <c r="C1839" s="2" t="s">
        <v>726</v>
      </c>
      <c r="D1839" s="2" t="s">
        <v>20</v>
      </c>
      <c r="E1839" s="2" t="s">
        <v>202</v>
      </c>
      <c r="F1839" s="4">
        <v>1</v>
      </c>
      <c r="G1839" s="4">
        <v>820</v>
      </c>
      <c r="H1839" s="4">
        <v>4.7</v>
      </c>
      <c r="I1839" s="4">
        <v>781.46</v>
      </c>
      <c r="J1839" s="2" t="s">
        <v>16</v>
      </c>
      <c r="K1839" s="2" t="s">
        <v>28</v>
      </c>
    </row>
    <row r="1840" spans="1:11" x14ac:dyDescent="0.35">
      <c r="A1840" s="2" t="s">
        <v>2266</v>
      </c>
      <c r="B1840" s="3">
        <v>45453</v>
      </c>
      <c r="C1840" s="2" t="s">
        <v>279</v>
      </c>
      <c r="D1840" s="2" t="s">
        <v>211</v>
      </c>
      <c r="E1840" s="2" t="s">
        <v>232</v>
      </c>
      <c r="F1840" s="4">
        <v>6</v>
      </c>
      <c r="G1840" s="4">
        <v>300</v>
      </c>
      <c r="H1840" s="4">
        <v>13.3</v>
      </c>
      <c r="I1840" s="4">
        <v>1560.6</v>
      </c>
      <c r="J1840" s="2" t="s">
        <v>16</v>
      </c>
      <c r="K1840" s="2" t="s">
        <v>41</v>
      </c>
    </row>
    <row r="1841" spans="1:11" x14ac:dyDescent="0.35">
      <c r="A1841" s="2" t="s">
        <v>2267</v>
      </c>
      <c r="B1841" s="3">
        <v>45492</v>
      </c>
      <c r="C1841" s="2" t="s">
        <v>34</v>
      </c>
      <c r="D1841" s="2" t="s">
        <v>108</v>
      </c>
      <c r="E1841" s="2" t="s">
        <v>275</v>
      </c>
      <c r="F1841" s="4">
        <v>4</v>
      </c>
      <c r="G1841" s="4">
        <v>3350</v>
      </c>
      <c r="H1841" s="4">
        <v>5.8</v>
      </c>
      <c r="I1841" s="4">
        <v>12622.8</v>
      </c>
      <c r="J1841" s="2" t="s">
        <v>22</v>
      </c>
      <c r="K1841" s="2" t="s">
        <v>23</v>
      </c>
    </row>
    <row r="1842" spans="1:11" x14ac:dyDescent="0.35">
      <c r="A1842" s="2" t="s">
        <v>2268</v>
      </c>
      <c r="B1842" s="3">
        <v>45605</v>
      </c>
      <c r="C1842" s="2" t="s">
        <v>1745</v>
      </c>
      <c r="D1842" s="2" t="s">
        <v>72</v>
      </c>
      <c r="E1842" s="2" t="s">
        <v>40</v>
      </c>
      <c r="F1842" s="4">
        <v>3</v>
      </c>
      <c r="G1842" s="4">
        <v>3250</v>
      </c>
      <c r="H1842" s="4">
        <v>19.600000000000001</v>
      </c>
      <c r="I1842" s="4">
        <v>7839</v>
      </c>
      <c r="J1842" s="2" t="s">
        <v>22</v>
      </c>
      <c r="K1842" s="2" t="s">
        <v>28</v>
      </c>
    </row>
    <row r="1843" spans="1:11" x14ac:dyDescent="0.35">
      <c r="A1843" s="2" t="s">
        <v>2269</v>
      </c>
      <c r="B1843" s="3">
        <v>45344</v>
      </c>
      <c r="C1843" s="2" t="s">
        <v>82</v>
      </c>
      <c r="D1843" s="2" t="s">
        <v>105</v>
      </c>
      <c r="E1843" s="2" t="s">
        <v>272</v>
      </c>
      <c r="F1843" s="4">
        <v>10</v>
      </c>
      <c r="G1843" s="4">
        <v>1650</v>
      </c>
      <c r="H1843" s="4">
        <v>22.5</v>
      </c>
      <c r="I1843" s="4">
        <v>12787.5</v>
      </c>
      <c r="J1843" s="2" t="s">
        <v>69</v>
      </c>
      <c r="K1843" s="2" t="s">
        <v>46</v>
      </c>
    </row>
    <row r="1844" spans="1:11" x14ac:dyDescent="0.35">
      <c r="A1844" s="2" t="s">
        <v>2270</v>
      </c>
      <c r="B1844" s="3">
        <v>45506</v>
      </c>
      <c r="C1844" s="2" t="s">
        <v>681</v>
      </c>
      <c r="D1844" s="2" t="s">
        <v>196</v>
      </c>
      <c r="E1844" s="2" t="s">
        <v>130</v>
      </c>
      <c r="F1844" s="4">
        <v>2</v>
      </c>
      <c r="G1844" s="4">
        <v>1220</v>
      </c>
      <c r="H1844" s="4">
        <v>10.5</v>
      </c>
      <c r="I1844" s="4">
        <v>2183.8000000000002</v>
      </c>
      <c r="J1844" s="2" t="s">
        <v>16</v>
      </c>
      <c r="K1844" s="2" t="s">
        <v>46</v>
      </c>
    </row>
    <row r="1845" spans="1:11" x14ac:dyDescent="0.35">
      <c r="A1845" s="2" t="s">
        <v>2271</v>
      </c>
      <c r="B1845" s="3">
        <v>45521</v>
      </c>
      <c r="C1845" s="2" t="s">
        <v>241</v>
      </c>
      <c r="D1845" s="2" t="s">
        <v>309</v>
      </c>
      <c r="E1845" s="2" t="s">
        <v>130</v>
      </c>
      <c r="F1845" s="4">
        <v>7</v>
      </c>
      <c r="G1845" s="4">
        <v>960</v>
      </c>
      <c r="H1845" s="4">
        <v>5.4</v>
      </c>
      <c r="I1845" s="4">
        <v>6357.12</v>
      </c>
      <c r="J1845" s="2" t="s">
        <v>73</v>
      </c>
      <c r="K1845" s="2" t="s">
        <v>62</v>
      </c>
    </row>
    <row r="1846" spans="1:11" x14ac:dyDescent="0.35">
      <c r="A1846" s="2" t="s">
        <v>2272</v>
      </c>
      <c r="B1846" s="3">
        <v>45389</v>
      </c>
      <c r="C1846" s="2" t="s">
        <v>834</v>
      </c>
      <c r="D1846" s="2" t="s">
        <v>113</v>
      </c>
      <c r="E1846" s="2" t="s">
        <v>27</v>
      </c>
      <c r="F1846" s="4">
        <v>3</v>
      </c>
      <c r="G1846" s="4">
        <v>4880</v>
      </c>
      <c r="H1846" s="4">
        <v>17.100000000000001</v>
      </c>
      <c r="I1846" s="4">
        <v>12136.56</v>
      </c>
      <c r="J1846" s="2" t="s">
        <v>16</v>
      </c>
      <c r="K1846" s="2" t="s">
        <v>41</v>
      </c>
    </row>
    <row r="1847" spans="1:11" x14ac:dyDescent="0.35">
      <c r="A1847" s="2" t="s">
        <v>2273</v>
      </c>
      <c r="B1847" s="3">
        <v>45390</v>
      </c>
      <c r="C1847" s="2" t="s">
        <v>511</v>
      </c>
      <c r="D1847" s="2" t="s">
        <v>60</v>
      </c>
      <c r="E1847" s="2" t="s">
        <v>57</v>
      </c>
      <c r="F1847" s="4">
        <v>5</v>
      </c>
      <c r="G1847" s="4">
        <v>2270</v>
      </c>
      <c r="H1847" s="4">
        <v>12.4</v>
      </c>
      <c r="I1847" s="4">
        <v>9942.6</v>
      </c>
      <c r="J1847" s="2" t="s">
        <v>16</v>
      </c>
      <c r="K1847" s="2" t="s">
        <v>23</v>
      </c>
    </row>
    <row r="1848" spans="1:11" x14ac:dyDescent="0.35">
      <c r="A1848" s="2" t="s">
        <v>2274</v>
      </c>
      <c r="B1848" s="3">
        <v>45413</v>
      </c>
      <c r="C1848" s="2" t="s">
        <v>542</v>
      </c>
      <c r="D1848" s="2" t="s">
        <v>431</v>
      </c>
      <c r="E1848" s="2" t="s">
        <v>57</v>
      </c>
      <c r="F1848" s="4">
        <v>1</v>
      </c>
      <c r="G1848" s="4">
        <v>1090</v>
      </c>
      <c r="H1848" s="4">
        <v>17.3</v>
      </c>
      <c r="I1848" s="4">
        <v>901.43</v>
      </c>
      <c r="J1848" s="2" t="s">
        <v>16</v>
      </c>
      <c r="K1848" s="2" t="s">
        <v>41</v>
      </c>
    </row>
    <row r="1849" spans="1:11" x14ac:dyDescent="0.35">
      <c r="A1849" s="2" t="s">
        <v>2275</v>
      </c>
      <c r="B1849" s="3">
        <v>45535</v>
      </c>
      <c r="C1849" s="2" t="s">
        <v>253</v>
      </c>
      <c r="D1849" s="2" t="s">
        <v>372</v>
      </c>
      <c r="E1849" s="2" t="s">
        <v>158</v>
      </c>
      <c r="F1849" s="4">
        <v>8</v>
      </c>
      <c r="G1849" s="4">
        <v>5080</v>
      </c>
      <c r="H1849" s="4">
        <v>0.9</v>
      </c>
      <c r="I1849" s="4">
        <v>40274.239999999998</v>
      </c>
      <c r="J1849" s="2" t="s">
        <v>16</v>
      </c>
      <c r="K1849" s="2" t="s">
        <v>62</v>
      </c>
    </row>
    <row r="1850" spans="1:11" x14ac:dyDescent="0.35">
      <c r="A1850" s="2" t="s">
        <v>2276</v>
      </c>
      <c r="B1850" s="3">
        <v>45569</v>
      </c>
      <c r="C1850" s="2" t="s">
        <v>785</v>
      </c>
      <c r="D1850" s="2" t="s">
        <v>199</v>
      </c>
      <c r="E1850" s="2" t="s">
        <v>167</v>
      </c>
      <c r="F1850" s="4">
        <v>7</v>
      </c>
      <c r="G1850" s="4">
        <v>4610</v>
      </c>
      <c r="H1850" s="4">
        <v>0.9</v>
      </c>
      <c r="I1850" s="4">
        <v>31979.57</v>
      </c>
      <c r="J1850" s="2" t="s">
        <v>16</v>
      </c>
      <c r="K1850" s="2" t="s">
        <v>17</v>
      </c>
    </row>
    <row r="1851" spans="1:11" x14ac:dyDescent="0.35">
      <c r="A1851" s="2" t="s">
        <v>2277</v>
      </c>
      <c r="B1851" s="3">
        <v>45527</v>
      </c>
      <c r="C1851" s="2" t="s">
        <v>430</v>
      </c>
      <c r="D1851" s="2" t="s">
        <v>205</v>
      </c>
      <c r="E1851" s="2" t="s">
        <v>57</v>
      </c>
      <c r="F1851" s="4">
        <v>1</v>
      </c>
      <c r="G1851" s="4">
        <v>3020</v>
      </c>
      <c r="H1851" s="4">
        <v>10.3</v>
      </c>
      <c r="I1851" s="4">
        <v>2708.94</v>
      </c>
      <c r="J1851" s="2" t="s">
        <v>16</v>
      </c>
      <c r="K1851" s="2" t="s">
        <v>62</v>
      </c>
    </row>
    <row r="1852" spans="1:11" x14ac:dyDescent="0.35">
      <c r="A1852" s="2" t="s">
        <v>2278</v>
      </c>
      <c r="B1852" s="3">
        <v>45453</v>
      </c>
      <c r="C1852" s="2" t="s">
        <v>567</v>
      </c>
      <c r="D1852" s="2" t="s">
        <v>174</v>
      </c>
      <c r="E1852" s="2" t="s">
        <v>57</v>
      </c>
      <c r="F1852" s="4">
        <v>6</v>
      </c>
      <c r="G1852" s="4">
        <v>2270</v>
      </c>
      <c r="H1852" s="4">
        <v>23.1</v>
      </c>
      <c r="I1852" s="4">
        <v>10473.780000000001</v>
      </c>
      <c r="J1852" s="2" t="s">
        <v>16</v>
      </c>
      <c r="K1852" s="2" t="s">
        <v>28</v>
      </c>
    </row>
    <row r="1853" spans="1:11" x14ac:dyDescent="0.35">
      <c r="A1853" s="2" t="s">
        <v>2279</v>
      </c>
      <c r="B1853" s="3">
        <v>45605</v>
      </c>
      <c r="C1853" s="2" t="s">
        <v>71</v>
      </c>
      <c r="D1853" s="2" t="s">
        <v>193</v>
      </c>
      <c r="E1853" s="2" t="s">
        <v>61</v>
      </c>
      <c r="F1853" s="4">
        <v>6</v>
      </c>
      <c r="G1853" s="4">
        <v>4070</v>
      </c>
      <c r="H1853" s="4">
        <v>28.9</v>
      </c>
      <c r="I1853" s="4">
        <v>17362.62</v>
      </c>
      <c r="J1853" s="2" t="s">
        <v>16</v>
      </c>
      <c r="K1853" s="2" t="s">
        <v>17</v>
      </c>
    </row>
    <row r="1854" spans="1:11" x14ac:dyDescent="0.35">
      <c r="A1854" s="2" t="s">
        <v>2280</v>
      </c>
      <c r="B1854" s="3">
        <v>45650</v>
      </c>
      <c r="C1854" s="2" t="s">
        <v>470</v>
      </c>
      <c r="D1854" s="2" t="s">
        <v>196</v>
      </c>
      <c r="E1854" s="2" t="s">
        <v>167</v>
      </c>
      <c r="F1854" s="4">
        <v>5</v>
      </c>
      <c r="G1854" s="4">
        <v>1220</v>
      </c>
      <c r="H1854" s="4">
        <v>18.7</v>
      </c>
      <c r="I1854" s="4">
        <v>4959.3</v>
      </c>
      <c r="J1854" s="2" t="s">
        <v>16</v>
      </c>
      <c r="K1854" s="2" t="s">
        <v>23</v>
      </c>
    </row>
    <row r="1855" spans="1:11" x14ac:dyDescent="0.35">
      <c r="A1855" s="2" t="s">
        <v>2281</v>
      </c>
      <c r="B1855" s="3">
        <v>45412</v>
      </c>
      <c r="C1855" s="2" t="s">
        <v>314</v>
      </c>
      <c r="D1855" s="2" t="s">
        <v>96</v>
      </c>
      <c r="E1855" s="2" t="s">
        <v>45</v>
      </c>
      <c r="F1855" s="4">
        <v>8</v>
      </c>
      <c r="G1855" s="4">
        <v>2480</v>
      </c>
      <c r="H1855" s="4">
        <v>3.2</v>
      </c>
      <c r="I1855" s="4">
        <v>19205.12</v>
      </c>
      <c r="J1855" s="2" t="s">
        <v>69</v>
      </c>
      <c r="K1855" s="2" t="s">
        <v>46</v>
      </c>
    </row>
    <row r="1856" spans="1:11" x14ac:dyDescent="0.35">
      <c r="A1856" s="2" t="s">
        <v>2282</v>
      </c>
      <c r="B1856" s="3">
        <v>45554</v>
      </c>
      <c r="C1856" s="2" t="s">
        <v>389</v>
      </c>
      <c r="D1856" s="2" t="s">
        <v>124</v>
      </c>
      <c r="E1856" s="2" t="s">
        <v>15</v>
      </c>
      <c r="F1856" s="4">
        <v>7</v>
      </c>
      <c r="G1856" s="4">
        <v>2860</v>
      </c>
      <c r="H1856" s="4">
        <v>8.4</v>
      </c>
      <c r="I1856" s="4">
        <v>18338.32</v>
      </c>
      <c r="J1856" s="2" t="s">
        <v>16</v>
      </c>
      <c r="K1856" s="2" t="s">
        <v>17</v>
      </c>
    </row>
    <row r="1857" spans="1:11" x14ac:dyDescent="0.35">
      <c r="A1857" s="2" t="s">
        <v>2283</v>
      </c>
      <c r="B1857" s="3">
        <v>45365</v>
      </c>
      <c r="C1857" s="2" t="s">
        <v>251</v>
      </c>
      <c r="D1857" s="2" t="s">
        <v>163</v>
      </c>
      <c r="E1857" s="2" t="s">
        <v>45</v>
      </c>
      <c r="F1857" s="4">
        <v>1</v>
      </c>
      <c r="G1857" s="4">
        <v>3780</v>
      </c>
      <c r="H1857" s="4">
        <v>16.3</v>
      </c>
      <c r="I1857" s="4">
        <v>3163.86</v>
      </c>
      <c r="J1857" s="2" t="s">
        <v>69</v>
      </c>
      <c r="K1857" s="2" t="s">
        <v>28</v>
      </c>
    </row>
    <row r="1858" spans="1:11" x14ac:dyDescent="0.35">
      <c r="A1858" s="2" t="s">
        <v>2284</v>
      </c>
      <c r="B1858" s="3">
        <v>45504</v>
      </c>
      <c r="C1858" s="2" t="s">
        <v>906</v>
      </c>
      <c r="D1858" s="2" t="s">
        <v>124</v>
      </c>
      <c r="E1858" s="2" t="s">
        <v>40</v>
      </c>
      <c r="F1858" s="4">
        <v>6</v>
      </c>
      <c r="G1858" s="4">
        <v>2860</v>
      </c>
      <c r="H1858" s="4">
        <v>10.7</v>
      </c>
      <c r="I1858" s="4">
        <v>15323.88</v>
      </c>
      <c r="J1858" s="2" t="s">
        <v>16</v>
      </c>
      <c r="K1858" s="2" t="s">
        <v>17</v>
      </c>
    </row>
    <row r="1859" spans="1:11" x14ac:dyDescent="0.35">
      <c r="A1859" s="2" t="s">
        <v>2285</v>
      </c>
      <c r="B1859" s="3">
        <v>45652</v>
      </c>
      <c r="C1859" s="2" t="s">
        <v>670</v>
      </c>
      <c r="D1859" s="2" t="s">
        <v>80</v>
      </c>
      <c r="E1859" s="2" t="s">
        <v>272</v>
      </c>
      <c r="F1859" s="4">
        <v>3</v>
      </c>
      <c r="G1859" s="4">
        <v>2400</v>
      </c>
      <c r="H1859" s="4">
        <v>20.7</v>
      </c>
      <c r="I1859" s="4">
        <v>5709.6</v>
      </c>
      <c r="J1859" s="2" t="s">
        <v>16</v>
      </c>
      <c r="K1859" s="2" t="s">
        <v>62</v>
      </c>
    </row>
    <row r="1860" spans="1:11" x14ac:dyDescent="0.35">
      <c r="A1860" s="2" t="s">
        <v>2286</v>
      </c>
      <c r="B1860" s="3">
        <v>45330</v>
      </c>
      <c r="C1860" s="2" t="s">
        <v>1190</v>
      </c>
      <c r="D1860" s="2" t="s">
        <v>296</v>
      </c>
      <c r="E1860" s="2" t="s">
        <v>40</v>
      </c>
      <c r="F1860" s="4">
        <v>8</v>
      </c>
      <c r="G1860" s="4">
        <v>2380</v>
      </c>
      <c r="H1860" s="4">
        <v>22.3</v>
      </c>
      <c r="I1860" s="4">
        <v>14794.08</v>
      </c>
      <c r="J1860" s="2" t="s">
        <v>73</v>
      </c>
      <c r="K1860" s="2" t="s">
        <v>46</v>
      </c>
    </row>
    <row r="1861" spans="1:11" x14ac:dyDescent="0.35">
      <c r="A1861" s="2" t="s">
        <v>2287</v>
      </c>
      <c r="B1861" s="3">
        <v>45533</v>
      </c>
      <c r="C1861" s="2" t="s">
        <v>386</v>
      </c>
      <c r="D1861" s="2" t="s">
        <v>120</v>
      </c>
      <c r="E1861" s="2" t="s">
        <v>32</v>
      </c>
      <c r="F1861" s="4">
        <v>7</v>
      </c>
      <c r="G1861" s="4">
        <v>5100</v>
      </c>
      <c r="H1861" s="4">
        <v>22.9</v>
      </c>
      <c r="I1861" s="4">
        <v>27524.7</v>
      </c>
      <c r="J1861" s="2" t="s">
        <v>69</v>
      </c>
      <c r="K1861" s="2" t="s">
        <v>17</v>
      </c>
    </row>
    <row r="1862" spans="1:11" x14ac:dyDescent="0.35">
      <c r="A1862" s="2" t="s">
        <v>2288</v>
      </c>
      <c r="B1862" s="3">
        <v>45463</v>
      </c>
      <c r="C1862" s="2" t="s">
        <v>416</v>
      </c>
      <c r="D1862" s="2" t="s">
        <v>211</v>
      </c>
      <c r="E1862" s="2" t="s">
        <v>117</v>
      </c>
      <c r="F1862" s="4">
        <v>7</v>
      </c>
      <c r="G1862" s="4">
        <v>300</v>
      </c>
      <c r="H1862" s="4">
        <v>15.3</v>
      </c>
      <c r="I1862" s="4">
        <v>1778.7</v>
      </c>
      <c r="J1862" s="2" t="s">
        <v>16</v>
      </c>
      <c r="K1862" s="2" t="s">
        <v>17</v>
      </c>
    </row>
    <row r="1863" spans="1:11" x14ac:dyDescent="0.35">
      <c r="A1863" s="2" t="s">
        <v>2289</v>
      </c>
      <c r="B1863" s="3">
        <v>45428</v>
      </c>
      <c r="C1863" s="2" t="s">
        <v>66</v>
      </c>
      <c r="D1863" s="2" t="s">
        <v>90</v>
      </c>
      <c r="E1863" s="2" t="s">
        <v>61</v>
      </c>
      <c r="F1863" s="4">
        <v>5</v>
      </c>
      <c r="G1863" s="4">
        <v>3450</v>
      </c>
      <c r="H1863" s="4">
        <v>16.8</v>
      </c>
      <c r="I1863" s="4">
        <v>14352</v>
      </c>
      <c r="J1863" s="2" t="s">
        <v>16</v>
      </c>
      <c r="K1863" s="2" t="s">
        <v>28</v>
      </c>
    </row>
    <row r="1864" spans="1:11" x14ac:dyDescent="0.35">
      <c r="A1864" s="2" t="s">
        <v>2290</v>
      </c>
      <c r="B1864" s="3">
        <v>45634</v>
      </c>
      <c r="C1864" s="2" t="s">
        <v>615</v>
      </c>
      <c r="D1864" s="2" t="s">
        <v>124</v>
      </c>
      <c r="E1864" s="2" t="s">
        <v>27</v>
      </c>
      <c r="F1864" s="4">
        <v>4</v>
      </c>
      <c r="G1864" s="4">
        <v>2860</v>
      </c>
      <c r="H1864" s="4">
        <v>14.3</v>
      </c>
      <c r="I1864" s="4">
        <v>9804.08</v>
      </c>
      <c r="J1864" s="2" t="s">
        <v>16</v>
      </c>
      <c r="K1864" s="2" t="s">
        <v>41</v>
      </c>
    </row>
    <row r="1865" spans="1:11" x14ac:dyDescent="0.35">
      <c r="A1865" s="2" t="s">
        <v>2291</v>
      </c>
      <c r="B1865" s="3">
        <v>45627</v>
      </c>
      <c r="C1865" s="2" t="s">
        <v>457</v>
      </c>
      <c r="D1865" s="2" t="s">
        <v>102</v>
      </c>
      <c r="E1865" s="2" t="s">
        <v>144</v>
      </c>
      <c r="F1865" s="4">
        <v>6</v>
      </c>
      <c r="G1865" s="4">
        <v>2720</v>
      </c>
      <c r="H1865" s="4">
        <v>25.1</v>
      </c>
      <c r="I1865" s="4">
        <v>12223.68</v>
      </c>
      <c r="J1865" s="2" t="s">
        <v>69</v>
      </c>
      <c r="K1865" s="2" t="s">
        <v>41</v>
      </c>
    </row>
    <row r="1866" spans="1:11" x14ac:dyDescent="0.35">
      <c r="A1866" s="2" t="s">
        <v>2292</v>
      </c>
      <c r="B1866" s="3">
        <v>45429</v>
      </c>
      <c r="C1866" s="2" t="s">
        <v>291</v>
      </c>
      <c r="D1866" s="2" t="s">
        <v>155</v>
      </c>
      <c r="E1866" s="2" t="s">
        <v>57</v>
      </c>
      <c r="F1866" s="4">
        <v>3</v>
      </c>
      <c r="G1866" s="4">
        <v>3730</v>
      </c>
      <c r="H1866" s="4">
        <v>24.8</v>
      </c>
      <c r="I1866" s="4">
        <v>8414.8799999999992</v>
      </c>
      <c r="J1866" s="2" t="s">
        <v>16</v>
      </c>
      <c r="K1866" s="2" t="s">
        <v>23</v>
      </c>
    </row>
    <row r="1867" spans="1:11" x14ac:dyDescent="0.35">
      <c r="A1867" s="2" t="s">
        <v>2293</v>
      </c>
      <c r="B1867" s="3">
        <v>45648</v>
      </c>
      <c r="C1867" s="2" t="s">
        <v>1279</v>
      </c>
      <c r="D1867" s="2" t="s">
        <v>280</v>
      </c>
      <c r="E1867" s="2" t="s">
        <v>226</v>
      </c>
      <c r="F1867" s="4">
        <v>2</v>
      </c>
      <c r="G1867" s="4">
        <v>4060</v>
      </c>
      <c r="H1867" s="4">
        <v>11.3</v>
      </c>
      <c r="I1867" s="4">
        <v>7202.44</v>
      </c>
      <c r="J1867" s="2" t="s">
        <v>16</v>
      </c>
      <c r="K1867" s="2" t="s">
        <v>41</v>
      </c>
    </row>
    <row r="1868" spans="1:11" x14ac:dyDescent="0.35">
      <c r="A1868" s="2" t="s">
        <v>2294</v>
      </c>
      <c r="B1868" s="3">
        <v>45295</v>
      </c>
      <c r="C1868" s="2" t="s">
        <v>850</v>
      </c>
      <c r="D1868" s="2" t="s">
        <v>315</v>
      </c>
      <c r="E1868" s="2" t="s">
        <v>232</v>
      </c>
      <c r="F1868" s="4">
        <v>6</v>
      </c>
      <c r="G1868" s="4">
        <v>2290</v>
      </c>
      <c r="H1868" s="4">
        <v>26.8</v>
      </c>
      <c r="I1868" s="4">
        <v>10057.68</v>
      </c>
      <c r="J1868" s="2" t="s">
        <v>73</v>
      </c>
      <c r="K1868" s="2" t="s">
        <v>46</v>
      </c>
    </row>
    <row r="1869" spans="1:11" x14ac:dyDescent="0.35">
      <c r="A1869" s="2" t="s">
        <v>2295</v>
      </c>
      <c r="B1869" s="3">
        <v>45418</v>
      </c>
      <c r="C1869" s="2" t="s">
        <v>282</v>
      </c>
      <c r="D1869" s="2" t="s">
        <v>444</v>
      </c>
      <c r="E1869" s="2" t="s">
        <v>181</v>
      </c>
      <c r="F1869" s="4">
        <v>1</v>
      </c>
      <c r="G1869" s="4">
        <v>6940</v>
      </c>
      <c r="H1869" s="4">
        <v>15.7</v>
      </c>
      <c r="I1869" s="4">
        <v>5850.42</v>
      </c>
      <c r="J1869" s="2" t="s">
        <v>16</v>
      </c>
      <c r="K1869" s="2" t="s">
        <v>23</v>
      </c>
    </row>
    <row r="1870" spans="1:11" x14ac:dyDescent="0.35">
      <c r="A1870" s="2" t="s">
        <v>2296</v>
      </c>
      <c r="B1870" s="3">
        <v>45623</v>
      </c>
      <c r="C1870" s="2" t="s">
        <v>340</v>
      </c>
      <c r="D1870" s="2" t="s">
        <v>155</v>
      </c>
      <c r="E1870" s="2" t="s">
        <v>133</v>
      </c>
      <c r="F1870" s="4">
        <v>3</v>
      </c>
      <c r="G1870" s="4">
        <v>3730</v>
      </c>
      <c r="H1870" s="4">
        <v>18.100000000000001</v>
      </c>
      <c r="I1870" s="4">
        <v>9164.61</v>
      </c>
      <c r="J1870" s="2" t="s">
        <v>16</v>
      </c>
      <c r="K1870" s="2" t="s">
        <v>41</v>
      </c>
    </row>
    <row r="1871" spans="1:11" x14ac:dyDescent="0.35">
      <c r="A1871" s="2" t="s">
        <v>2297</v>
      </c>
      <c r="B1871" s="3">
        <v>45528</v>
      </c>
      <c r="C1871" s="2" t="s">
        <v>271</v>
      </c>
      <c r="D1871" s="2" t="s">
        <v>155</v>
      </c>
      <c r="E1871" s="2" t="s">
        <v>226</v>
      </c>
      <c r="F1871" s="4">
        <v>8</v>
      </c>
      <c r="G1871" s="4">
        <v>3730</v>
      </c>
      <c r="H1871" s="4">
        <v>12.5</v>
      </c>
      <c r="I1871" s="4">
        <v>26110</v>
      </c>
      <c r="J1871" s="2" t="s">
        <v>16</v>
      </c>
      <c r="K1871" s="2" t="s">
        <v>23</v>
      </c>
    </row>
    <row r="1872" spans="1:11" x14ac:dyDescent="0.35">
      <c r="A1872" s="2" t="s">
        <v>2298</v>
      </c>
      <c r="B1872" s="3">
        <v>45644</v>
      </c>
      <c r="C1872" s="2" t="s">
        <v>1745</v>
      </c>
      <c r="D1872" s="2" t="s">
        <v>296</v>
      </c>
      <c r="E1872" s="2" t="s">
        <v>117</v>
      </c>
      <c r="F1872" s="4">
        <v>9</v>
      </c>
      <c r="G1872" s="4">
        <v>2380</v>
      </c>
      <c r="H1872" s="4">
        <v>8.1</v>
      </c>
      <c r="I1872" s="4">
        <v>19684.98</v>
      </c>
      <c r="J1872" s="2" t="s">
        <v>69</v>
      </c>
      <c r="K1872" s="2" t="s">
        <v>28</v>
      </c>
    </row>
    <row r="1873" spans="1:11" x14ac:dyDescent="0.35">
      <c r="A1873" s="2" t="s">
        <v>2299</v>
      </c>
      <c r="B1873" s="3">
        <v>45475</v>
      </c>
      <c r="C1873" s="2" t="s">
        <v>1146</v>
      </c>
      <c r="D1873" s="2" t="s">
        <v>93</v>
      </c>
      <c r="E1873" s="2" t="s">
        <v>226</v>
      </c>
      <c r="F1873" s="4">
        <v>6</v>
      </c>
      <c r="G1873" s="4">
        <v>1080</v>
      </c>
      <c r="H1873" s="4">
        <v>8.8000000000000007</v>
      </c>
      <c r="I1873" s="4">
        <v>5909.76</v>
      </c>
      <c r="J1873" s="2" t="s">
        <v>16</v>
      </c>
      <c r="K1873" s="2" t="s">
        <v>41</v>
      </c>
    </row>
    <row r="1874" spans="1:11" x14ac:dyDescent="0.35">
      <c r="A1874" s="2" t="s">
        <v>2140</v>
      </c>
      <c r="B1874" s="3">
        <v>45401</v>
      </c>
      <c r="C1874" s="2" t="s">
        <v>521</v>
      </c>
      <c r="D1874" s="2" t="s">
        <v>26</v>
      </c>
      <c r="E1874" s="2" t="s">
        <v>181</v>
      </c>
      <c r="F1874" s="4">
        <v>5</v>
      </c>
      <c r="G1874" s="4">
        <v>470</v>
      </c>
      <c r="H1874" s="4">
        <v>1.3</v>
      </c>
      <c r="I1874" s="4">
        <v>2319.4499999999998</v>
      </c>
      <c r="J1874" s="2" t="s">
        <v>16</v>
      </c>
      <c r="K1874" s="2" t="s">
        <v>62</v>
      </c>
    </row>
    <row r="1875" spans="1:11" x14ac:dyDescent="0.35">
      <c r="A1875" s="2" t="s">
        <v>2300</v>
      </c>
      <c r="B1875" s="3">
        <v>45516</v>
      </c>
      <c r="C1875" s="2" t="s">
        <v>874</v>
      </c>
      <c r="D1875" s="2" t="s">
        <v>39</v>
      </c>
      <c r="E1875" s="2" t="s">
        <v>130</v>
      </c>
      <c r="F1875" s="4">
        <v>4</v>
      </c>
      <c r="G1875" s="4">
        <v>370</v>
      </c>
      <c r="H1875" s="4">
        <v>13.1</v>
      </c>
      <c r="I1875" s="4">
        <v>1286.1199999999999</v>
      </c>
      <c r="J1875" s="2" t="s">
        <v>16</v>
      </c>
      <c r="K1875" s="2" t="s">
        <v>17</v>
      </c>
    </row>
    <row r="1876" spans="1:11" x14ac:dyDescent="0.35">
      <c r="A1876" s="2" t="s">
        <v>2301</v>
      </c>
      <c r="B1876" s="3">
        <v>45517</v>
      </c>
      <c r="C1876" s="2" t="s">
        <v>546</v>
      </c>
      <c r="D1876" s="2" t="s">
        <v>35</v>
      </c>
      <c r="E1876" s="2" t="s">
        <v>15</v>
      </c>
      <c r="F1876" s="4">
        <v>7</v>
      </c>
      <c r="G1876" s="4">
        <v>3160</v>
      </c>
      <c r="H1876" s="4">
        <v>12.3</v>
      </c>
      <c r="I1876" s="4">
        <v>19399.240000000002</v>
      </c>
      <c r="J1876" s="2" t="s">
        <v>16</v>
      </c>
      <c r="K1876" s="2" t="s">
        <v>41</v>
      </c>
    </row>
    <row r="1877" spans="1:11" x14ac:dyDescent="0.35">
      <c r="A1877" s="2" t="s">
        <v>2302</v>
      </c>
      <c r="B1877" s="3">
        <v>45645</v>
      </c>
      <c r="C1877" s="2" t="s">
        <v>332</v>
      </c>
      <c r="D1877" s="2" t="s">
        <v>588</v>
      </c>
      <c r="E1877" s="2" t="s">
        <v>45</v>
      </c>
      <c r="F1877" s="4">
        <v>5</v>
      </c>
      <c r="G1877" s="4">
        <v>3560</v>
      </c>
      <c r="H1877" s="4">
        <v>24</v>
      </c>
      <c r="I1877" s="4">
        <v>13528</v>
      </c>
      <c r="J1877" s="2" t="s">
        <v>16</v>
      </c>
      <c r="K1877" s="2" t="s">
        <v>46</v>
      </c>
    </row>
    <row r="1878" spans="1:11" x14ac:dyDescent="0.35">
      <c r="A1878" s="2" t="s">
        <v>2303</v>
      </c>
      <c r="B1878" s="3">
        <v>45417</v>
      </c>
      <c r="C1878" s="2" t="s">
        <v>351</v>
      </c>
      <c r="D1878" s="2" t="s">
        <v>224</v>
      </c>
      <c r="E1878" s="2" t="s">
        <v>87</v>
      </c>
      <c r="F1878" s="4">
        <v>6</v>
      </c>
      <c r="G1878" s="4">
        <v>2030</v>
      </c>
      <c r="H1878" s="4">
        <v>20.5</v>
      </c>
      <c r="I1878" s="4">
        <v>9683.1</v>
      </c>
      <c r="J1878" s="2" t="s">
        <v>16</v>
      </c>
      <c r="K1878" s="2" t="s">
        <v>23</v>
      </c>
    </row>
    <row r="1879" spans="1:11" x14ac:dyDescent="0.35">
      <c r="A1879" s="2" t="s">
        <v>2304</v>
      </c>
      <c r="B1879" s="3">
        <v>45351</v>
      </c>
      <c r="C1879" s="2" t="s">
        <v>401</v>
      </c>
      <c r="D1879" s="2" t="s">
        <v>64</v>
      </c>
      <c r="E1879" s="2" t="s">
        <v>232</v>
      </c>
      <c r="F1879" s="4">
        <v>5</v>
      </c>
      <c r="G1879" s="4">
        <v>2640</v>
      </c>
      <c r="H1879" s="4">
        <v>21.3</v>
      </c>
      <c r="I1879" s="4">
        <v>10388.4</v>
      </c>
      <c r="J1879" s="2" t="s">
        <v>22</v>
      </c>
      <c r="K1879" s="2" t="s">
        <v>23</v>
      </c>
    </row>
    <row r="1880" spans="1:11" x14ac:dyDescent="0.35">
      <c r="A1880" s="2" t="s">
        <v>2305</v>
      </c>
      <c r="B1880" s="3">
        <v>45629</v>
      </c>
      <c r="C1880" s="2" t="s">
        <v>154</v>
      </c>
      <c r="D1880" s="2" t="s">
        <v>174</v>
      </c>
      <c r="E1880" s="2" t="s">
        <v>226</v>
      </c>
      <c r="F1880" s="4">
        <v>4</v>
      </c>
      <c r="G1880" s="4">
        <v>2270</v>
      </c>
      <c r="H1880" s="4">
        <v>15.8</v>
      </c>
      <c r="I1880" s="4">
        <v>7645.36</v>
      </c>
      <c r="J1880" s="2" t="s">
        <v>16</v>
      </c>
      <c r="K1880" s="2" t="s">
        <v>23</v>
      </c>
    </row>
    <row r="1881" spans="1:11" x14ac:dyDescent="0.35">
      <c r="A1881" s="2" t="s">
        <v>2306</v>
      </c>
      <c r="B1881" s="3">
        <v>45588</v>
      </c>
      <c r="C1881" s="2" t="s">
        <v>457</v>
      </c>
      <c r="D1881" s="2" t="s">
        <v>39</v>
      </c>
      <c r="E1881" s="2" t="s">
        <v>226</v>
      </c>
      <c r="F1881" s="4">
        <v>1</v>
      </c>
      <c r="G1881" s="4">
        <v>370</v>
      </c>
      <c r="H1881" s="4">
        <v>27</v>
      </c>
      <c r="I1881" s="4">
        <v>270.10000000000002</v>
      </c>
      <c r="J1881" s="2" t="s">
        <v>22</v>
      </c>
      <c r="K1881" s="2" t="s">
        <v>41</v>
      </c>
    </row>
    <row r="1882" spans="1:11" x14ac:dyDescent="0.35">
      <c r="A1882" s="2" t="s">
        <v>2307</v>
      </c>
      <c r="B1882" s="3">
        <v>45366</v>
      </c>
      <c r="C1882" s="2" t="s">
        <v>201</v>
      </c>
      <c r="D1882" s="2" t="s">
        <v>120</v>
      </c>
      <c r="E1882" s="2" t="s">
        <v>167</v>
      </c>
      <c r="F1882" s="4">
        <v>9</v>
      </c>
      <c r="G1882" s="4">
        <v>5100</v>
      </c>
      <c r="H1882" s="4">
        <v>2.4</v>
      </c>
      <c r="I1882" s="4">
        <v>44798.400000000001</v>
      </c>
      <c r="J1882" s="2" t="s">
        <v>16</v>
      </c>
      <c r="K1882" s="2" t="s">
        <v>23</v>
      </c>
    </row>
    <row r="1883" spans="1:11" x14ac:dyDescent="0.35">
      <c r="A1883" s="2" t="s">
        <v>2308</v>
      </c>
      <c r="B1883" s="3">
        <v>45322</v>
      </c>
      <c r="C1883" s="2" t="s">
        <v>521</v>
      </c>
      <c r="D1883" s="2" t="s">
        <v>39</v>
      </c>
      <c r="E1883" s="2" t="s">
        <v>83</v>
      </c>
      <c r="F1883" s="4">
        <v>6</v>
      </c>
      <c r="G1883" s="4">
        <v>370</v>
      </c>
      <c r="H1883" s="4">
        <v>18.7</v>
      </c>
      <c r="I1883" s="4">
        <v>1804.86</v>
      </c>
      <c r="J1883" s="2" t="s">
        <v>69</v>
      </c>
      <c r="K1883" s="2" t="s">
        <v>62</v>
      </c>
    </row>
    <row r="1884" spans="1:11" x14ac:dyDescent="0.35">
      <c r="A1884" s="2" t="s">
        <v>2309</v>
      </c>
      <c r="B1884" s="3">
        <v>45465</v>
      </c>
      <c r="C1884" s="2" t="s">
        <v>492</v>
      </c>
      <c r="D1884" s="2" t="s">
        <v>56</v>
      </c>
      <c r="E1884" s="2" t="s">
        <v>68</v>
      </c>
      <c r="F1884" s="4">
        <v>6</v>
      </c>
      <c r="G1884" s="4">
        <v>970</v>
      </c>
      <c r="H1884" s="4">
        <v>21.6</v>
      </c>
      <c r="I1884" s="4">
        <v>4562.88</v>
      </c>
      <c r="J1884" s="2" t="s">
        <v>16</v>
      </c>
      <c r="K1884" s="2" t="s">
        <v>17</v>
      </c>
    </row>
    <row r="1885" spans="1:11" x14ac:dyDescent="0.35">
      <c r="A1885" s="2" t="s">
        <v>2310</v>
      </c>
      <c r="B1885" s="3">
        <v>45622</v>
      </c>
      <c r="C1885" s="2" t="s">
        <v>2311</v>
      </c>
      <c r="D1885" s="2" t="s">
        <v>267</v>
      </c>
      <c r="E1885" s="2" t="s">
        <v>158</v>
      </c>
      <c r="F1885" s="4">
        <v>3</v>
      </c>
      <c r="G1885" s="4">
        <v>2210</v>
      </c>
      <c r="H1885" s="4">
        <v>8.5</v>
      </c>
      <c r="I1885" s="4">
        <v>6066.45</v>
      </c>
      <c r="J1885" s="2" t="s">
        <v>16</v>
      </c>
      <c r="K1885" s="2" t="s">
        <v>28</v>
      </c>
    </row>
    <row r="1886" spans="1:11" x14ac:dyDescent="0.35">
      <c r="A1886" s="2" t="s">
        <v>2312</v>
      </c>
      <c r="B1886" s="3">
        <v>45457</v>
      </c>
      <c r="C1886" s="2" t="s">
        <v>311</v>
      </c>
      <c r="D1886" s="2" t="s">
        <v>105</v>
      </c>
      <c r="E1886" s="2" t="s">
        <v>226</v>
      </c>
      <c r="F1886" s="4">
        <v>1</v>
      </c>
      <c r="G1886" s="4">
        <v>1650</v>
      </c>
      <c r="H1886" s="4">
        <v>19.7</v>
      </c>
      <c r="I1886" s="4">
        <v>1324.95</v>
      </c>
      <c r="J1886" s="2" t="s">
        <v>16</v>
      </c>
      <c r="K1886" s="2" t="s">
        <v>28</v>
      </c>
    </row>
    <row r="1887" spans="1:11" x14ac:dyDescent="0.35">
      <c r="A1887" s="2" t="s">
        <v>2313</v>
      </c>
      <c r="B1887" s="3">
        <v>45480</v>
      </c>
      <c r="C1887" s="2" t="s">
        <v>877</v>
      </c>
      <c r="D1887" s="2" t="s">
        <v>444</v>
      </c>
      <c r="E1887" s="2" t="s">
        <v>77</v>
      </c>
      <c r="F1887" s="4">
        <v>5</v>
      </c>
      <c r="G1887" s="4">
        <v>6940</v>
      </c>
      <c r="H1887" s="4">
        <v>7.7</v>
      </c>
      <c r="I1887" s="4">
        <v>32028.1</v>
      </c>
      <c r="J1887" s="2" t="s">
        <v>16</v>
      </c>
      <c r="K1887" s="2" t="s">
        <v>17</v>
      </c>
    </row>
    <row r="1888" spans="1:11" x14ac:dyDescent="0.35">
      <c r="A1888" s="2" t="s">
        <v>2314</v>
      </c>
      <c r="B1888" s="3">
        <v>45392</v>
      </c>
      <c r="C1888" s="2" t="s">
        <v>416</v>
      </c>
      <c r="D1888" s="2" t="s">
        <v>267</v>
      </c>
      <c r="E1888" s="2" t="s">
        <v>214</v>
      </c>
      <c r="F1888" s="4">
        <v>2</v>
      </c>
      <c r="G1888" s="4">
        <v>2210</v>
      </c>
      <c r="H1888" s="4">
        <v>5.6</v>
      </c>
      <c r="I1888" s="4">
        <v>4172.4799999999996</v>
      </c>
      <c r="J1888" s="2" t="s">
        <v>69</v>
      </c>
      <c r="K1888" s="2" t="s">
        <v>17</v>
      </c>
    </row>
    <row r="1889" spans="1:11" x14ac:dyDescent="0.35">
      <c r="A1889" s="2" t="s">
        <v>2315</v>
      </c>
      <c r="B1889" s="3">
        <v>45380</v>
      </c>
      <c r="C1889" s="2" t="s">
        <v>245</v>
      </c>
      <c r="D1889" s="2" t="s">
        <v>67</v>
      </c>
      <c r="E1889" s="2" t="s">
        <v>27</v>
      </c>
      <c r="F1889" s="4">
        <v>9</v>
      </c>
      <c r="G1889" s="4">
        <v>2600</v>
      </c>
      <c r="H1889" s="4">
        <v>3.1</v>
      </c>
      <c r="I1889" s="4">
        <v>22674.6</v>
      </c>
      <c r="J1889" s="2" t="s">
        <v>16</v>
      </c>
      <c r="K1889" s="2" t="s">
        <v>17</v>
      </c>
    </row>
    <row r="1890" spans="1:11" x14ac:dyDescent="0.35">
      <c r="A1890" s="2" t="s">
        <v>2316</v>
      </c>
      <c r="B1890" s="3">
        <v>45494</v>
      </c>
      <c r="C1890" s="2" t="s">
        <v>829</v>
      </c>
      <c r="D1890" s="2" t="s">
        <v>390</v>
      </c>
      <c r="E1890" s="2" t="s">
        <v>77</v>
      </c>
      <c r="F1890" s="4">
        <v>7</v>
      </c>
      <c r="G1890" s="4">
        <v>3780</v>
      </c>
      <c r="H1890" s="4">
        <v>13.3</v>
      </c>
      <c r="I1890" s="4">
        <v>22940.82</v>
      </c>
      <c r="J1890" s="2" t="s">
        <v>16</v>
      </c>
      <c r="K1890" s="2" t="s">
        <v>46</v>
      </c>
    </row>
    <row r="1891" spans="1:11" x14ac:dyDescent="0.35">
      <c r="A1891" s="2" t="s">
        <v>2317</v>
      </c>
      <c r="B1891" s="3">
        <v>45621</v>
      </c>
      <c r="C1891" s="2" t="s">
        <v>967</v>
      </c>
      <c r="D1891" s="2" t="s">
        <v>80</v>
      </c>
      <c r="E1891" s="2" t="s">
        <v>181</v>
      </c>
      <c r="F1891" s="4">
        <v>4</v>
      </c>
      <c r="G1891" s="4">
        <v>2400</v>
      </c>
      <c r="H1891" s="4">
        <v>16.600000000000001</v>
      </c>
      <c r="I1891" s="4">
        <v>8006.4</v>
      </c>
      <c r="J1891" s="2" t="s">
        <v>22</v>
      </c>
      <c r="K1891" s="2" t="s">
        <v>46</v>
      </c>
    </row>
    <row r="1892" spans="1:11" x14ac:dyDescent="0.35">
      <c r="A1892" s="2" t="s">
        <v>2318</v>
      </c>
      <c r="B1892" s="3">
        <v>45603</v>
      </c>
      <c r="C1892" s="2" t="s">
        <v>210</v>
      </c>
      <c r="D1892" s="2" t="s">
        <v>211</v>
      </c>
      <c r="E1892" s="2" t="s">
        <v>21</v>
      </c>
      <c r="F1892" s="4">
        <v>10</v>
      </c>
      <c r="G1892" s="4">
        <v>300</v>
      </c>
      <c r="H1892" s="4">
        <v>23.9</v>
      </c>
      <c r="I1892" s="4">
        <v>2283</v>
      </c>
      <c r="J1892" s="2" t="s">
        <v>16</v>
      </c>
      <c r="K1892" s="2" t="s">
        <v>17</v>
      </c>
    </row>
    <row r="1893" spans="1:11" x14ac:dyDescent="0.35">
      <c r="A1893" s="2" t="s">
        <v>2319</v>
      </c>
      <c r="B1893" s="3">
        <v>45640</v>
      </c>
      <c r="C1893" s="2" t="s">
        <v>195</v>
      </c>
      <c r="D1893" s="2" t="s">
        <v>31</v>
      </c>
      <c r="E1893" s="2" t="s">
        <v>61</v>
      </c>
      <c r="F1893" s="4">
        <v>1</v>
      </c>
      <c r="G1893" s="4">
        <v>3660</v>
      </c>
      <c r="H1893" s="4">
        <v>1.5</v>
      </c>
      <c r="I1893" s="4">
        <v>3605.1</v>
      </c>
      <c r="J1893" s="2" t="s">
        <v>22</v>
      </c>
      <c r="K1893" s="2" t="s">
        <v>28</v>
      </c>
    </row>
    <row r="1894" spans="1:11" x14ac:dyDescent="0.35">
      <c r="A1894" s="2" t="s">
        <v>2320</v>
      </c>
      <c r="B1894" s="3">
        <v>45534</v>
      </c>
      <c r="C1894" s="2" t="s">
        <v>239</v>
      </c>
      <c r="D1894" s="2" t="s">
        <v>90</v>
      </c>
      <c r="E1894" s="2" t="s">
        <v>202</v>
      </c>
      <c r="F1894" s="4">
        <v>9</v>
      </c>
      <c r="G1894" s="4">
        <v>3450</v>
      </c>
      <c r="H1894" s="4">
        <v>21.8</v>
      </c>
      <c r="I1894" s="4">
        <v>24281.1</v>
      </c>
      <c r="J1894" s="2" t="s">
        <v>16</v>
      </c>
      <c r="K1894" s="2" t="s">
        <v>46</v>
      </c>
    </row>
    <row r="1895" spans="1:11" x14ac:dyDescent="0.35">
      <c r="A1895" s="2" t="s">
        <v>2321</v>
      </c>
      <c r="B1895" s="3">
        <v>45410</v>
      </c>
      <c r="C1895" s="2" t="s">
        <v>430</v>
      </c>
      <c r="D1895" s="2" t="s">
        <v>381</v>
      </c>
      <c r="E1895" s="2" t="s">
        <v>15</v>
      </c>
      <c r="F1895" s="4">
        <v>10</v>
      </c>
      <c r="G1895" s="4">
        <v>3450</v>
      </c>
      <c r="H1895" s="4">
        <v>15.7</v>
      </c>
      <c r="I1895" s="4">
        <v>29083.5</v>
      </c>
      <c r="J1895" s="2" t="s">
        <v>69</v>
      </c>
      <c r="K1895" s="2" t="s">
        <v>62</v>
      </c>
    </row>
    <row r="1896" spans="1:11" x14ac:dyDescent="0.35">
      <c r="A1896" s="2" t="s">
        <v>2322</v>
      </c>
      <c r="B1896" s="3">
        <v>45412</v>
      </c>
      <c r="C1896" s="2" t="s">
        <v>30</v>
      </c>
      <c r="D1896" s="2" t="s">
        <v>193</v>
      </c>
      <c r="E1896" s="2" t="s">
        <v>36</v>
      </c>
      <c r="F1896" s="4">
        <v>2</v>
      </c>
      <c r="G1896" s="4">
        <v>4070</v>
      </c>
      <c r="H1896" s="4">
        <v>10.8</v>
      </c>
      <c r="I1896" s="4">
        <v>7260.88</v>
      </c>
      <c r="J1896" s="2" t="s">
        <v>16</v>
      </c>
      <c r="K1896" s="2" t="s">
        <v>28</v>
      </c>
    </row>
    <row r="1897" spans="1:11" x14ac:dyDescent="0.35">
      <c r="A1897" s="2" t="s">
        <v>2323</v>
      </c>
      <c r="B1897" s="3">
        <v>45372</v>
      </c>
      <c r="C1897" s="2" t="s">
        <v>298</v>
      </c>
      <c r="D1897" s="2" t="s">
        <v>390</v>
      </c>
      <c r="E1897" s="2" t="s">
        <v>83</v>
      </c>
      <c r="F1897" s="4">
        <v>4</v>
      </c>
      <c r="G1897" s="4">
        <v>3780</v>
      </c>
      <c r="H1897" s="4">
        <v>17.100000000000001</v>
      </c>
      <c r="I1897" s="4">
        <v>12534.48</v>
      </c>
      <c r="J1897" s="2" t="s">
        <v>16</v>
      </c>
      <c r="K1897" s="2" t="s">
        <v>23</v>
      </c>
    </row>
    <row r="1898" spans="1:11" x14ac:dyDescent="0.35">
      <c r="A1898" s="2" t="s">
        <v>2324</v>
      </c>
      <c r="B1898" s="3">
        <v>45622</v>
      </c>
      <c r="C1898" s="2" t="s">
        <v>602</v>
      </c>
      <c r="D1898" s="2" t="s">
        <v>129</v>
      </c>
      <c r="E1898" s="2" t="s">
        <v>68</v>
      </c>
      <c r="F1898" s="4">
        <v>1</v>
      </c>
      <c r="G1898" s="4">
        <v>2760</v>
      </c>
      <c r="H1898" s="4">
        <v>2.5</v>
      </c>
      <c r="I1898" s="4">
        <v>2691</v>
      </c>
      <c r="J1898" s="2" t="s">
        <v>69</v>
      </c>
      <c r="K1898" s="2" t="s">
        <v>41</v>
      </c>
    </row>
    <row r="1899" spans="1:11" x14ac:dyDescent="0.35">
      <c r="A1899" s="2" t="s">
        <v>2325</v>
      </c>
      <c r="B1899" s="3">
        <v>45493</v>
      </c>
      <c r="C1899" s="2" t="s">
        <v>85</v>
      </c>
      <c r="D1899" s="2" t="s">
        <v>113</v>
      </c>
      <c r="E1899" s="2" t="s">
        <v>99</v>
      </c>
      <c r="F1899" s="4">
        <v>2</v>
      </c>
      <c r="G1899" s="4">
        <v>4880</v>
      </c>
      <c r="H1899" s="4">
        <v>11</v>
      </c>
      <c r="I1899" s="4">
        <v>8686.4</v>
      </c>
      <c r="J1899" s="2" t="s">
        <v>16</v>
      </c>
      <c r="K1899" s="2" t="s">
        <v>62</v>
      </c>
    </row>
    <row r="1900" spans="1:11" x14ac:dyDescent="0.35">
      <c r="A1900" s="2" t="s">
        <v>2326</v>
      </c>
      <c r="B1900" s="3">
        <v>45580</v>
      </c>
      <c r="C1900" s="2" t="s">
        <v>535</v>
      </c>
      <c r="D1900" s="2" t="s">
        <v>296</v>
      </c>
      <c r="E1900" s="2" t="s">
        <v>214</v>
      </c>
      <c r="F1900" s="4">
        <v>10</v>
      </c>
      <c r="G1900" s="4">
        <v>2380</v>
      </c>
      <c r="H1900" s="4">
        <v>28.3</v>
      </c>
      <c r="I1900" s="4">
        <v>17064.599999999999</v>
      </c>
      <c r="J1900" s="2" t="s">
        <v>16</v>
      </c>
      <c r="K1900" s="2" t="s">
        <v>41</v>
      </c>
    </row>
    <row r="1901" spans="1:11" x14ac:dyDescent="0.35">
      <c r="A1901" s="2" t="s">
        <v>2327</v>
      </c>
      <c r="B1901" s="3">
        <v>45449</v>
      </c>
      <c r="C1901" s="2" t="s">
        <v>1033</v>
      </c>
      <c r="D1901" s="2" t="s">
        <v>315</v>
      </c>
      <c r="E1901" s="2" t="s">
        <v>77</v>
      </c>
      <c r="F1901" s="4">
        <v>3</v>
      </c>
      <c r="G1901" s="4">
        <v>2290</v>
      </c>
      <c r="H1901" s="4">
        <v>11.1</v>
      </c>
      <c r="I1901" s="4">
        <v>6107.43</v>
      </c>
      <c r="J1901" s="2" t="s">
        <v>69</v>
      </c>
      <c r="K1901" s="2" t="s">
        <v>46</v>
      </c>
    </row>
    <row r="1902" spans="1:11" x14ac:dyDescent="0.35">
      <c r="A1902" s="2" t="s">
        <v>2328</v>
      </c>
      <c r="B1902" s="3">
        <v>45417</v>
      </c>
      <c r="C1902" s="2" t="s">
        <v>85</v>
      </c>
      <c r="D1902" s="2" t="s">
        <v>129</v>
      </c>
      <c r="E1902" s="2" t="s">
        <v>68</v>
      </c>
      <c r="F1902" s="4">
        <v>6</v>
      </c>
      <c r="G1902" s="4">
        <v>2760</v>
      </c>
      <c r="H1902" s="4">
        <v>16.5</v>
      </c>
      <c r="I1902" s="4">
        <v>13827.6</v>
      </c>
      <c r="J1902" s="2" t="s">
        <v>16</v>
      </c>
      <c r="K1902" s="2" t="s">
        <v>62</v>
      </c>
    </row>
    <row r="1903" spans="1:11" x14ac:dyDescent="0.35">
      <c r="A1903" s="2" t="s">
        <v>2329</v>
      </c>
      <c r="B1903" s="3">
        <v>45523</v>
      </c>
      <c r="C1903" s="2" t="s">
        <v>447</v>
      </c>
      <c r="D1903" s="2" t="s">
        <v>280</v>
      </c>
      <c r="E1903" s="2" t="s">
        <v>272</v>
      </c>
      <c r="F1903" s="4">
        <v>5</v>
      </c>
      <c r="G1903" s="4">
        <v>4060</v>
      </c>
      <c r="H1903" s="4">
        <v>22.5</v>
      </c>
      <c r="I1903" s="4">
        <v>15732.5</v>
      </c>
      <c r="J1903" s="2" t="s">
        <v>16</v>
      </c>
      <c r="K1903" s="2" t="s">
        <v>17</v>
      </c>
    </row>
    <row r="1904" spans="1:11" x14ac:dyDescent="0.35">
      <c r="A1904" s="2" t="s">
        <v>2330</v>
      </c>
      <c r="B1904" s="3">
        <v>45367</v>
      </c>
      <c r="C1904" s="2" t="s">
        <v>257</v>
      </c>
      <c r="D1904" s="2" t="s">
        <v>64</v>
      </c>
      <c r="E1904" s="2" t="s">
        <v>32</v>
      </c>
      <c r="F1904" s="4">
        <v>8</v>
      </c>
      <c r="G1904" s="4">
        <v>2640</v>
      </c>
      <c r="H1904" s="4">
        <v>11.8</v>
      </c>
      <c r="I1904" s="4">
        <v>18627.84</v>
      </c>
      <c r="J1904" s="2" t="s">
        <v>16</v>
      </c>
      <c r="K1904" s="2" t="s">
        <v>23</v>
      </c>
    </row>
    <row r="1905" spans="1:11" x14ac:dyDescent="0.35">
      <c r="A1905" s="2" t="s">
        <v>2331</v>
      </c>
      <c r="B1905" s="3">
        <v>45309</v>
      </c>
      <c r="C1905" s="2" t="s">
        <v>745</v>
      </c>
      <c r="D1905" s="2" t="s">
        <v>199</v>
      </c>
      <c r="E1905" s="2" t="s">
        <v>21</v>
      </c>
      <c r="F1905" s="4">
        <v>2</v>
      </c>
      <c r="G1905" s="4">
        <v>4610</v>
      </c>
      <c r="H1905" s="4">
        <v>10.4</v>
      </c>
      <c r="I1905" s="4">
        <v>8261.1200000000008</v>
      </c>
      <c r="J1905" s="2" t="s">
        <v>22</v>
      </c>
      <c r="K1905" s="2" t="s">
        <v>17</v>
      </c>
    </row>
    <row r="1906" spans="1:11" x14ac:dyDescent="0.35">
      <c r="A1906" s="2" t="s">
        <v>2332</v>
      </c>
      <c r="B1906" s="3">
        <v>45383</v>
      </c>
      <c r="C1906" s="2" t="s">
        <v>207</v>
      </c>
      <c r="D1906" s="2" t="s">
        <v>267</v>
      </c>
      <c r="E1906" s="2" t="s">
        <v>57</v>
      </c>
      <c r="F1906" s="4">
        <v>6</v>
      </c>
      <c r="G1906" s="4">
        <v>2210</v>
      </c>
      <c r="H1906" s="4">
        <v>22.5</v>
      </c>
      <c r="I1906" s="4">
        <v>10276.5</v>
      </c>
      <c r="J1906" s="2" t="s">
        <v>69</v>
      </c>
      <c r="K1906" s="2" t="s">
        <v>62</v>
      </c>
    </row>
    <row r="1907" spans="1:11" x14ac:dyDescent="0.35">
      <c r="A1907" s="2" t="s">
        <v>2333</v>
      </c>
      <c r="B1907" s="3">
        <v>45420</v>
      </c>
      <c r="C1907" s="2" t="s">
        <v>475</v>
      </c>
      <c r="D1907" s="2" t="s">
        <v>267</v>
      </c>
      <c r="E1907" s="2" t="s">
        <v>202</v>
      </c>
      <c r="F1907" s="4">
        <v>4</v>
      </c>
      <c r="G1907" s="4">
        <v>2210</v>
      </c>
      <c r="H1907" s="4">
        <v>21.5</v>
      </c>
      <c r="I1907" s="4">
        <v>6939.4</v>
      </c>
      <c r="J1907" s="2" t="s">
        <v>22</v>
      </c>
      <c r="K1907" s="2" t="s">
        <v>28</v>
      </c>
    </row>
    <row r="1908" spans="1:11" x14ac:dyDescent="0.35">
      <c r="A1908" s="2" t="s">
        <v>2334</v>
      </c>
      <c r="B1908" s="3">
        <v>45400</v>
      </c>
      <c r="C1908" s="2" t="s">
        <v>13</v>
      </c>
      <c r="D1908" s="2" t="s">
        <v>431</v>
      </c>
      <c r="E1908" s="2" t="s">
        <v>181</v>
      </c>
      <c r="F1908" s="4">
        <v>6</v>
      </c>
      <c r="G1908" s="4">
        <v>1090</v>
      </c>
      <c r="H1908" s="4">
        <v>28.3</v>
      </c>
      <c r="I1908" s="4">
        <v>4689.18</v>
      </c>
      <c r="J1908" s="2" t="s">
        <v>16</v>
      </c>
      <c r="K1908" s="2" t="s">
        <v>17</v>
      </c>
    </row>
    <row r="1909" spans="1:11" x14ac:dyDescent="0.35">
      <c r="A1909" s="2" t="s">
        <v>2335</v>
      </c>
      <c r="B1909" s="3">
        <v>45625</v>
      </c>
      <c r="C1909" s="2" t="s">
        <v>349</v>
      </c>
      <c r="D1909" s="2" t="s">
        <v>39</v>
      </c>
      <c r="E1909" s="2" t="s">
        <v>77</v>
      </c>
      <c r="F1909" s="4">
        <v>9</v>
      </c>
      <c r="G1909" s="4">
        <v>370</v>
      </c>
      <c r="H1909" s="4">
        <v>13.8</v>
      </c>
      <c r="I1909" s="4">
        <v>2870.46</v>
      </c>
      <c r="J1909" s="2" t="s">
        <v>16</v>
      </c>
      <c r="K1909" s="2" t="s">
        <v>28</v>
      </c>
    </row>
    <row r="1910" spans="1:11" x14ac:dyDescent="0.35">
      <c r="A1910" s="2" t="s">
        <v>2336</v>
      </c>
      <c r="B1910" s="3">
        <v>45555</v>
      </c>
      <c r="C1910" s="2" t="s">
        <v>422</v>
      </c>
      <c r="D1910" s="2" t="s">
        <v>116</v>
      </c>
      <c r="E1910" s="2" t="s">
        <v>40</v>
      </c>
      <c r="F1910" s="4">
        <v>10</v>
      </c>
      <c r="G1910" s="4">
        <v>3570</v>
      </c>
      <c r="H1910" s="4">
        <v>3</v>
      </c>
      <c r="I1910" s="4">
        <v>34629</v>
      </c>
      <c r="J1910" s="2" t="s">
        <v>69</v>
      </c>
      <c r="K1910" s="2" t="s">
        <v>17</v>
      </c>
    </row>
    <row r="1911" spans="1:11" x14ac:dyDescent="0.35">
      <c r="A1911" s="2" t="s">
        <v>2337</v>
      </c>
      <c r="B1911" s="3">
        <v>45509</v>
      </c>
      <c r="C1911" s="2" t="s">
        <v>300</v>
      </c>
      <c r="D1911" s="2" t="s">
        <v>72</v>
      </c>
      <c r="E1911" s="2" t="s">
        <v>275</v>
      </c>
      <c r="F1911" s="4">
        <v>10</v>
      </c>
      <c r="G1911" s="4">
        <v>3250</v>
      </c>
      <c r="H1911" s="4">
        <v>20.3</v>
      </c>
      <c r="I1911" s="4">
        <v>25902.5</v>
      </c>
      <c r="J1911" s="2" t="s">
        <v>16</v>
      </c>
      <c r="K1911" s="2" t="s">
        <v>41</v>
      </c>
    </row>
    <row r="1912" spans="1:11" x14ac:dyDescent="0.35">
      <c r="A1912" s="2" t="s">
        <v>2338</v>
      </c>
      <c r="B1912" s="3">
        <v>45436</v>
      </c>
      <c r="C1912" s="2" t="s">
        <v>801</v>
      </c>
      <c r="D1912" s="2" t="s">
        <v>72</v>
      </c>
      <c r="E1912" s="2" t="s">
        <v>57</v>
      </c>
      <c r="F1912" s="4">
        <v>6</v>
      </c>
      <c r="G1912" s="4">
        <v>3250</v>
      </c>
      <c r="H1912" s="4">
        <v>25.8</v>
      </c>
      <c r="I1912" s="4">
        <v>14469</v>
      </c>
      <c r="J1912" s="2" t="s">
        <v>22</v>
      </c>
      <c r="K1912" s="2" t="s">
        <v>41</v>
      </c>
    </row>
    <row r="1913" spans="1:11" x14ac:dyDescent="0.35">
      <c r="A1913" s="2" t="s">
        <v>2339</v>
      </c>
      <c r="B1913" s="3">
        <v>45610</v>
      </c>
      <c r="C1913" s="2" t="s">
        <v>265</v>
      </c>
      <c r="D1913" s="2" t="s">
        <v>44</v>
      </c>
      <c r="E1913" s="2" t="s">
        <v>45</v>
      </c>
      <c r="F1913" s="4">
        <v>9</v>
      </c>
      <c r="G1913" s="4">
        <v>960</v>
      </c>
      <c r="H1913" s="4">
        <v>29</v>
      </c>
      <c r="I1913" s="4">
        <v>6134.4</v>
      </c>
      <c r="J1913" s="2" t="s">
        <v>16</v>
      </c>
      <c r="K1913" s="2" t="s">
        <v>41</v>
      </c>
    </row>
    <row r="1914" spans="1:11" x14ac:dyDescent="0.35">
      <c r="A1914" s="2" t="s">
        <v>2340</v>
      </c>
      <c r="B1914" s="3">
        <v>45535</v>
      </c>
      <c r="C1914" s="2" t="s">
        <v>286</v>
      </c>
      <c r="D1914" s="2" t="s">
        <v>170</v>
      </c>
      <c r="E1914" s="2" t="s">
        <v>117</v>
      </c>
      <c r="F1914" s="4">
        <v>9</v>
      </c>
      <c r="G1914" s="4">
        <v>6080</v>
      </c>
      <c r="H1914" s="4">
        <v>21</v>
      </c>
      <c r="I1914" s="4">
        <v>43228.800000000003</v>
      </c>
      <c r="J1914" s="2" t="s">
        <v>16</v>
      </c>
      <c r="K1914" s="2" t="s">
        <v>28</v>
      </c>
    </row>
    <row r="1915" spans="1:11" x14ac:dyDescent="0.35">
      <c r="A1915" s="2" t="s">
        <v>2341</v>
      </c>
      <c r="B1915" s="3">
        <v>45366</v>
      </c>
      <c r="C1915" s="2" t="s">
        <v>98</v>
      </c>
      <c r="D1915" s="2" t="s">
        <v>199</v>
      </c>
      <c r="E1915" s="2" t="s">
        <v>121</v>
      </c>
      <c r="F1915" s="4">
        <v>6</v>
      </c>
      <c r="G1915" s="4">
        <v>4610</v>
      </c>
      <c r="H1915" s="4">
        <v>13.5</v>
      </c>
      <c r="I1915" s="4">
        <v>23925.9</v>
      </c>
      <c r="J1915" s="2" t="s">
        <v>16</v>
      </c>
      <c r="K1915" s="2" t="s">
        <v>41</v>
      </c>
    </row>
    <row r="1916" spans="1:11" x14ac:dyDescent="0.35">
      <c r="A1916" s="2" t="s">
        <v>2342</v>
      </c>
      <c r="B1916" s="3">
        <v>45446</v>
      </c>
      <c r="C1916" s="2" t="s">
        <v>470</v>
      </c>
      <c r="D1916" s="2" t="s">
        <v>372</v>
      </c>
      <c r="E1916" s="2" t="s">
        <v>87</v>
      </c>
      <c r="F1916" s="4">
        <v>7</v>
      </c>
      <c r="G1916" s="4">
        <v>5080</v>
      </c>
      <c r="H1916" s="4">
        <v>25.4</v>
      </c>
      <c r="I1916" s="4">
        <v>26527.759999999998</v>
      </c>
      <c r="J1916" s="2" t="s">
        <v>16</v>
      </c>
      <c r="K1916" s="2" t="s">
        <v>23</v>
      </c>
    </row>
    <row r="1917" spans="1:11" x14ac:dyDescent="0.35">
      <c r="A1917" s="2" t="s">
        <v>2343</v>
      </c>
      <c r="B1917" s="3">
        <v>45550</v>
      </c>
      <c r="C1917" s="2" t="s">
        <v>482</v>
      </c>
      <c r="D1917" s="2" t="s">
        <v>108</v>
      </c>
      <c r="E1917" s="2" t="s">
        <v>167</v>
      </c>
      <c r="F1917" s="4">
        <v>5</v>
      </c>
      <c r="G1917" s="4">
        <v>3350</v>
      </c>
      <c r="H1917" s="4">
        <v>2.2000000000000002</v>
      </c>
      <c r="I1917" s="4">
        <v>16381.5</v>
      </c>
      <c r="J1917" s="2" t="s">
        <v>16</v>
      </c>
      <c r="K1917" s="2" t="s">
        <v>41</v>
      </c>
    </row>
    <row r="1918" spans="1:11" x14ac:dyDescent="0.35">
      <c r="A1918" s="2" t="s">
        <v>2344</v>
      </c>
      <c r="B1918" s="3">
        <v>45600</v>
      </c>
      <c r="C1918" s="2" t="s">
        <v>839</v>
      </c>
      <c r="D1918" s="2" t="s">
        <v>163</v>
      </c>
      <c r="E1918" s="2" t="s">
        <v>27</v>
      </c>
      <c r="F1918" s="4">
        <v>1</v>
      </c>
      <c r="G1918" s="4">
        <v>3780</v>
      </c>
      <c r="H1918" s="4">
        <v>13.7</v>
      </c>
      <c r="I1918" s="4">
        <v>3262.14</v>
      </c>
      <c r="J1918" s="2" t="s">
        <v>16</v>
      </c>
      <c r="K1918" s="2" t="s">
        <v>28</v>
      </c>
    </row>
    <row r="1919" spans="1:11" x14ac:dyDescent="0.35">
      <c r="A1919" s="2" t="s">
        <v>2345</v>
      </c>
      <c r="B1919" s="3">
        <v>45352</v>
      </c>
      <c r="C1919" s="2" t="s">
        <v>107</v>
      </c>
      <c r="D1919" s="2" t="s">
        <v>113</v>
      </c>
      <c r="E1919" s="2" t="s">
        <v>121</v>
      </c>
      <c r="F1919" s="4">
        <v>4</v>
      </c>
      <c r="G1919" s="4">
        <v>4880</v>
      </c>
      <c r="H1919" s="4">
        <v>11.6</v>
      </c>
      <c r="I1919" s="4">
        <v>17255.68</v>
      </c>
      <c r="J1919" s="2" t="s">
        <v>16</v>
      </c>
      <c r="K1919" s="2" t="s">
        <v>23</v>
      </c>
    </row>
    <row r="1920" spans="1:11" x14ac:dyDescent="0.35">
      <c r="A1920" s="2" t="s">
        <v>2346</v>
      </c>
      <c r="B1920" s="3">
        <v>45385</v>
      </c>
      <c r="C1920" s="2" t="s">
        <v>591</v>
      </c>
      <c r="D1920" s="2" t="s">
        <v>120</v>
      </c>
      <c r="E1920" s="2" t="s">
        <v>158</v>
      </c>
      <c r="F1920" s="4">
        <v>3</v>
      </c>
      <c r="G1920" s="4">
        <v>5100</v>
      </c>
      <c r="H1920" s="4">
        <v>24.2</v>
      </c>
      <c r="I1920" s="4">
        <v>11597.4</v>
      </c>
      <c r="J1920" s="2" t="s">
        <v>16</v>
      </c>
      <c r="K1920" s="2" t="s">
        <v>2347</v>
      </c>
    </row>
    <row r="1921" spans="1:11" x14ac:dyDescent="0.35">
      <c r="A1921" s="2" t="s">
        <v>2348</v>
      </c>
      <c r="B1921" s="3">
        <v>45634</v>
      </c>
      <c r="C1921" s="2" t="s">
        <v>708</v>
      </c>
      <c r="D1921" s="2" t="s">
        <v>208</v>
      </c>
      <c r="E1921" s="2" t="s">
        <v>83</v>
      </c>
      <c r="F1921" s="4">
        <v>5</v>
      </c>
      <c r="G1921" s="4">
        <v>2660</v>
      </c>
      <c r="H1921" s="4">
        <v>4.7</v>
      </c>
      <c r="I1921" s="4">
        <v>12674.9</v>
      </c>
      <c r="J1921" s="2" t="s">
        <v>16</v>
      </c>
      <c r="K1921" s="2" t="s">
        <v>46</v>
      </c>
    </row>
    <row r="1922" spans="1:11" x14ac:dyDescent="0.35">
      <c r="A1922" s="2" t="s">
        <v>2349</v>
      </c>
      <c r="B1922" s="3">
        <v>45444</v>
      </c>
      <c r="C1922" s="2" t="s">
        <v>288</v>
      </c>
      <c r="D1922" s="2" t="s">
        <v>296</v>
      </c>
      <c r="E1922" s="2" t="s">
        <v>167</v>
      </c>
      <c r="F1922" s="4">
        <v>10</v>
      </c>
      <c r="G1922" s="4">
        <v>2380</v>
      </c>
      <c r="H1922" s="4">
        <v>1</v>
      </c>
      <c r="I1922" s="4">
        <v>23562</v>
      </c>
      <c r="J1922" s="2" t="s">
        <v>16</v>
      </c>
      <c r="K1922" s="2" t="s">
        <v>28</v>
      </c>
    </row>
    <row r="1923" spans="1:11" x14ac:dyDescent="0.35">
      <c r="A1923" s="2" t="s">
        <v>2350</v>
      </c>
      <c r="B1923" s="3">
        <v>45553</v>
      </c>
      <c r="C1923" s="2" t="s">
        <v>745</v>
      </c>
      <c r="D1923" s="2" t="s">
        <v>113</v>
      </c>
      <c r="E1923" s="2" t="s">
        <v>226</v>
      </c>
      <c r="F1923" s="4">
        <v>9</v>
      </c>
      <c r="G1923" s="4">
        <v>4880</v>
      </c>
      <c r="H1923" s="4">
        <v>7.2</v>
      </c>
      <c r="I1923" s="4">
        <v>40757.760000000002</v>
      </c>
      <c r="J1923" s="2" t="s">
        <v>16</v>
      </c>
      <c r="K1923" s="2" t="s">
        <v>17</v>
      </c>
    </row>
    <row r="1924" spans="1:11" x14ac:dyDescent="0.35">
      <c r="A1924" s="2" t="s">
        <v>2351</v>
      </c>
      <c r="B1924" s="3">
        <v>45411</v>
      </c>
      <c r="C1924" s="2" t="s">
        <v>1122</v>
      </c>
      <c r="D1924" s="2" t="s">
        <v>155</v>
      </c>
      <c r="E1924" s="2" t="s">
        <v>27</v>
      </c>
      <c r="F1924" s="4">
        <v>1</v>
      </c>
      <c r="G1924" s="4">
        <v>3730</v>
      </c>
      <c r="H1924" s="4">
        <v>15.3</v>
      </c>
      <c r="I1924" s="4">
        <v>3159.31</v>
      </c>
      <c r="J1924" s="2" t="s">
        <v>16</v>
      </c>
      <c r="K1924" s="2" t="s">
        <v>62</v>
      </c>
    </row>
    <row r="1925" spans="1:11" x14ac:dyDescent="0.35">
      <c r="A1925" s="2" t="s">
        <v>2352</v>
      </c>
      <c r="B1925" s="3">
        <v>45442</v>
      </c>
      <c r="C1925" s="2" t="s">
        <v>43</v>
      </c>
      <c r="D1925" s="2" t="s">
        <v>390</v>
      </c>
      <c r="E1925" s="2" t="s">
        <v>77</v>
      </c>
      <c r="F1925" s="4">
        <v>10</v>
      </c>
      <c r="G1925" s="4">
        <v>3780</v>
      </c>
      <c r="H1925" s="4">
        <v>2.7</v>
      </c>
      <c r="I1925" s="4">
        <v>36779.4</v>
      </c>
      <c r="J1925" s="2" t="s">
        <v>16</v>
      </c>
      <c r="K1925" s="2" t="s">
        <v>46</v>
      </c>
    </row>
    <row r="1926" spans="1:11" x14ac:dyDescent="0.35">
      <c r="A1926" s="2" t="s">
        <v>2353</v>
      </c>
      <c r="B1926" s="3">
        <v>45381</v>
      </c>
      <c r="C1926" s="2" t="s">
        <v>1237</v>
      </c>
      <c r="D1926" s="2" t="s">
        <v>14</v>
      </c>
      <c r="E1926" s="2" t="s">
        <v>83</v>
      </c>
      <c r="F1926" s="4">
        <v>2</v>
      </c>
      <c r="G1926" s="4">
        <v>3620</v>
      </c>
      <c r="H1926" s="4">
        <v>23</v>
      </c>
      <c r="I1926" s="4">
        <v>5574.8</v>
      </c>
      <c r="J1926" s="2" t="s">
        <v>16</v>
      </c>
      <c r="K1926" s="2" t="s">
        <v>23</v>
      </c>
    </row>
    <row r="1927" spans="1:11" x14ac:dyDescent="0.35">
      <c r="A1927" s="2" t="s">
        <v>2354</v>
      </c>
      <c r="B1927" s="3">
        <v>45536</v>
      </c>
      <c r="C1927" s="2" t="s">
        <v>636</v>
      </c>
      <c r="D1927" s="2" t="s">
        <v>372</v>
      </c>
      <c r="E1927" s="2" t="s">
        <v>87</v>
      </c>
      <c r="F1927" s="4">
        <v>9</v>
      </c>
      <c r="G1927" s="4">
        <v>5080</v>
      </c>
      <c r="H1927" s="4">
        <v>19.899999999999999</v>
      </c>
      <c r="I1927" s="4">
        <v>36621.72</v>
      </c>
      <c r="J1927" s="2" t="s">
        <v>16</v>
      </c>
      <c r="K1927" s="2" t="s">
        <v>41</v>
      </c>
    </row>
    <row r="1928" spans="1:11" x14ac:dyDescent="0.35">
      <c r="A1928" s="2" t="s">
        <v>2355</v>
      </c>
      <c r="B1928" s="3">
        <v>45561</v>
      </c>
      <c r="C1928" s="2" t="s">
        <v>323</v>
      </c>
      <c r="D1928" s="2" t="s">
        <v>588</v>
      </c>
      <c r="E1928" s="2" t="s">
        <v>45</v>
      </c>
      <c r="F1928" s="4">
        <v>2</v>
      </c>
      <c r="G1928" s="4">
        <v>3560</v>
      </c>
      <c r="H1928" s="4">
        <v>5.5</v>
      </c>
      <c r="I1928" s="4">
        <v>6728.4</v>
      </c>
      <c r="J1928" s="2" t="s">
        <v>16</v>
      </c>
      <c r="K1928" s="2" t="s">
        <v>46</v>
      </c>
    </row>
    <row r="1929" spans="1:11" x14ac:dyDescent="0.35">
      <c r="A1929" s="2" t="s">
        <v>2356</v>
      </c>
      <c r="B1929" s="3">
        <v>45349</v>
      </c>
      <c r="C1929" s="2" t="s">
        <v>484</v>
      </c>
      <c r="D1929" s="2" t="s">
        <v>56</v>
      </c>
      <c r="E1929" s="2" t="s">
        <v>144</v>
      </c>
      <c r="F1929" s="4">
        <v>6</v>
      </c>
      <c r="G1929" s="4">
        <v>970</v>
      </c>
      <c r="H1929" s="4">
        <v>22.5</v>
      </c>
      <c r="I1929" s="4">
        <v>4510.5</v>
      </c>
      <c r="J1929" s="2" t="s">
        <v>73</v>
      </c>
      <c r="K1929" s="2" t="s">
        <v>41</v>
      </c>
    </row>
    <row r="1930" spans="1:11" x14ac:dyDescent="0.35">
      <c r="A1930" s="2" t="s">
        <v>2357</v>
      </c>
      <c r="B1930" s="3">
        <v>45650</v>
      </c>
      <c r="C1930" s="2" t="s">
        <v>885</v>
      </c>
      <c r="D1930" s="2" t="s">
        <v>108</v>
      </c>
      <c r="E1930" s="2" t="s">
        <v>27</v>
      </c>
      <c r="F1930" s="4">
        <v>9</v>
      </c>
      <c r="G1930" s="4">
        <v>3350</v>
      </c>
      <c r="H1930" s="4">
        <v>5.0999999999999996</v>
      </c>
      <c r="I1930" s="4">
        <v>28612.35</v>
      </c>
      <c r="J1930" s="2" t="s">
        <v>16</v>
      </c>
      <c r="K1930" s="2" t="s">
        <v>41</v>
      </c>
    </row>
    <row r="1931" spans="1:11" x14ac:dyDescent="0.35">
      <c r="A1931" s="2" t="s">
        <v>2358</v>
      </c>
      <c r="B1931" s="3">
        <v>45525</v>
      </c>
      <c r="C1931" s="2" t="s">
        <v>2359</v>
      </c>
      <c r="D1931" s="2" t="s">
        <v>39</v>
      </c>
      <c r="E1931" s="2" t="s">
        <v>202</v>
      </c>
      <c r="F1931" s="4">
        <v>6</v>
      </c>
      <c r="G1931" s="4">
        <v>370</v>
      </c>
      <c r="H1931" s="4">
        <v>17.8</v>
      </c>
      <c r="I1931" s="4">
        <v>1824.84</v>
      </c>
      <c r="J1931" s="2" t="s">
        <v>16</v>
      </c>
      <c r="K1931" s="2" t="s">
        <v>41</v>
      </c>
    </row>
    <row r="1932" spans="1:11" x14ac:dyDescent="0.35">
      <c r="A1932" s="2" t="s">
        <v>2360</v>
      </c>
      <c r="B1932" s="3">
        <v>45365</v>
      </c>
      <c r="C1932" s="2" t="s">
        <v>195</v>
      </c>
      <c r="D1932" s="2" t="s">
        <v>60</v>
      </c>
      <c r="E1932" s="2" t="s">
        <v>202</v>
      </c>
      <c r="F1932" s="4">
        <v>3</v>
      </c>
      <c r="G1932" s="4">
        <v>2270</v>
      </c>
      <c r="H1932" s="4">
        <v>8.4</v>
      </c>
      <c r="I1932" s="4">
        <v>6237.96</v>
      </c>
      <c r="J1932" s="2" t="s">
        <v>22</v>
      </c>
      <c r="K1932" s="2" t="s">
        <v>28</v>
      </c>
    </row>
    <row r="1933" spans="1:11" x14ac:dyDescent="0.35">
      <c r="A1933" s="2" t="s">
        <v>2361</v>
      </c>
      <c r="B1933" s="3">
        <v>45464</v>
      </c>
      <c r="C1933" s="2" t="s">
        <v>496</v>
      </c>
      <c r="D1933" s="2" t="s">
        <v>90</v>
      </c>
      <c r="E1933" s="2" t="s">
        <v>87</v>
      </c>
      <c r="F1933" s="4">
        <v>3</v>
      </c>
      <c r="G1933" s="4">
        <v>3450</v>
      </c>
      <c r="H1933" s="4">
        <v>7.2</v>
      </c>
      <c r="I1933" s="4">
        <v>9604.7999999999993</v>
      </c>
      <c r="J1933" s="2" t="s">
        <v>16</v>
      </c>
      <c r="K1933" s="2" t="s">
        <v>46</v>
      </c>
    </row>
    <row r="1934" spans="1:11" x14ac:dyDescent="0.35">
      <c r="A1934" s="2" t="s">
        <v>2362</v>
      </c>
      <c r="B1934" s="3">
        <v>45633</v>
      </c>
      <c r="C1934" s="2" t="s">
        <v>228</v>
      </c>
      <c r="D1934" s="2" t="s">
        <v>111</v>
      </c>
      <c r="E1934" s="2" t="s">
        <v>36</v>
      </c>
      <c r="F1934" s="4">
        <v>9</v>
      </c>
      <c r="G1934" s="4">
        <v>1010</v>
      </c>
      <c r="H1934" s="4">
        <v>17.8</v>
      </c>
      <c r="I1934" s="4">
        <v>7471.98</v>
      </c>
      <c r="J1934" s="2" t="s">
        <v>16</v>
      </c>
      <c r="K1934" s="2" t="s">
        <v>62</v>
      </c>
    </row>
    <row r="1935" spans="1:11" x14ac:dyDescent="0.35">
      <c r="A1935" s="2" t="s">
        <v>2363</v>
      </c>
      <c r="B1935" s="3">
        <v>45373</v>
      </c>
      <c r="C1935" s="2" t="s">
        <v>965</v>
      </c>
      <c r="D1935" s="2" t="s">
        <v>199</v>
      </c>
      <c r="E1935" s="2" t="s">
        <v>77</v>
      </c>
      <c r="F1935" s="4">
        <v>5</v>
      </c>
      <c r="G1935" s="4">
        <v>4610</v>
      </c>
      <c r="H1935" s="4">
        <v>29.8</v>
      </c>
      <c r="I1935" s="4">
        <v>16181.1</v>
      </c>
      <c r="J1935" s="2" t="s">
        <v>69</v>
      </c>
      <c r="K1935" s="2" t="s">
        <v>41</v>
      </c>
    </row>
    <row r="1936" spans="1:11" x14ac:dyDescent="0.35">
      <c r="A1936" s="2" t="s">
        <v>2364</v>
      </c>
      <c r="B1936" s="3">
        <v>45497</v>
      </c>
      <c r="C1936" s="2" t="s">
        <v>419</v>
      </c>
      <c r="D1936" s="2" t="s">
        <v>39</v>
      </c>
      <c r="E1936" s="2" t="s">
        <v>77</v>
      </c>
      <c r="F1936" s="4">
        <v>6</v>
      </c>
      <c r="G1936" s="4">
        <v>370</v>
      </c>
      <c r="H1936" s="4">
        <v>17.899999999999999</v>
      </c>
      <c r="I1936" s="4">
        <v>1822.62</v>
      </c>
      <c r="J1936" s="2" t="s">
        <v>16</v>
      </c>
      <c r="K1936" s="2" t="s">
        <v>28</v>
      </c>
    </row>
    <row r="1937" spans="1:11" x14ac:dyDescent="0.35">
      <c r="A1937" s="2" t="s">
        <v>2365</v>
      </c>
      <c r="B1937" s="3">
        <v>45352</v>
      </c>
      <c r="C1937" s="2" t="s">
        <v>334</v>
      </c>
      <c r="D1937" s="2" t="s">
        <v>296</v>
      </c>
      <c r="E1937" s="2" t="s">
        <v>130</v>
      </c>
      <c r="F1937" s="4">
        <v>6</v>
      </c>
      <c r="G1937" s="4">
        <v>2380</v>
      </c>
      <c r="H1937" s="4">
        <v>13.6</v>
      </c>
      <c r="I1937" s="4">
        <v>12337.92</v>
      </c>
      <c r="J1937" s="2" t="s">
        <v>69</v>
      </c>
      <c r="K1937" s="2" t="s">
        <v>23</v>
      </c>
    </row>
    <row r="1938" spans="1:11" x14ac:dyDescent="0.35">
      <c r="A1938" s="2" t="s">
        <v>2366</v>
      </c>
      <c r="B1938" s="3">
        <v>45379</v>
      </c>
      <c r="C1938" s="2" t="s">
        <v>104</v>
      </c>
      <c r="D1938" s="2" t="s">
        <v>309</v>
      </c>
      <c r="E1938" s="2" t="s">
        <v>83</v>
      </c>
      <c r="F1938" s="4">
        <v>6</v>
      </c>
      <c r="G1938" s="4">
        <v>960</v>
      </c>
      <c r="H1938" s="4">
        <v>15</v>
      </c>
      <c r="I1938" s="4">
        <v>4896</v>
      </c>
      <c r="J1938" s="2" t="s">
        <v>22</v>
      </c>
      <c r="K1938" s="2" t="s">
        <v>62</v>
      </c>
    </row>
    <row r="1939" spans="1:11" x14ac:dyDescent="0.35">
      <c r="A1939" s="2" t="s">
        <v>2367</v>
      </c>
      <c r="B1939" s="3">
        <v>45422</v>
      </c>
      <c r="C1939" s="2" t="s">
        <v>649</v>
      </c>
      <c r="D1939" s="2" t="s">
        <v>44</v>
      </c>
      <c r="E1939" s="2" t="s">
        <v>226</v>
      </c>
      <c r="F1939" s="4">
        <v>3</v>
      </c>
      <c r="G1939" s="4">
        <v>960</v>
      </c>
      <c r="H1939" s="4">
        <v>12.3</v>
      </c>
      <c r="I1939" s="4">
        <v>2525.7600000000002</v>
      </c>
      <c r="J1939" s="2" t="s">
        <v>16</v>
      </c>
      <c r="K1939" s="2" t="s">
        <v>17</v>
      </c>
    </row>
    <row r="1940" spans="1:11" x14ac:dyDescent="0.35">
      <c r="A1940" s="2" t="s">
        <v>2368</v>
      </c>
      <c r="B1940" s="3">
        <v>45413</v>
      </c>
      <c r="C1940" s="2" t="s">
        <v>486</v>
      </c>
      <c r="D1940" s="2" t="s">
        <v>221</v>
      </c>
      <c r="E1940" s="2" t="s">
        <v>158</v>
      </c>
      <c r="F1940" s="4">
        <v>7</v>
      </c>
      <c r="G1940" s="4">
        <v>620</v>
      </c>
      <c r="H1940" s="4">
        <v>5.8</v>
      </c>
      <c r="I1940" s="4">
        <v>4088.28</v>
      </c>
      <c r="J1940" s="2" t="s">
        <v>16</v>
      </c>
      <c r="K1940" s="2" t="s">
        <v>41</v>
      </c>
    </row>
    <row r="1941" spans="1:11" x14ac:dyDescent="0.35">
      <c r="A1941" s="2" t="s">
        <v>2369</v>
      </c>
      <c r="B1941" s="3">
        <v>45467</v>
      </c>
      <c r="C1941" s="2" t="s">
        <v>664</v>
      </c>
      <c r="D1941" s="2" t="s">
        <v>44</v>
      </c>
      <c r="E1941" s="2" t="s">
        <v>121</v>
      </c>
      <c r="F1941" s="4">
        <v>1</v>
      </c>
      <c r="G1941" s="4">
        <v>960</v>
      </c>
      <c r="H1941" s="4">
        <v>4.5999999999999996</v>
      </c>
      <c r="I1941" s="4">
        <v>915.84</v>
      </c>
      <c r="J1941" s="2" t="s">
        <v>16</v>
      </c>
      <c r="K1941" s="2" t="s">
        <v>17</v>
      </c>
    </row>
    <row r="1942" spans="1:11" x14ac:dyDescent="0.35">
      <c r="A1942" s="2" t="s">
        <v>2370</v>
      </c>
      <c r="B1942" s="3">
        <v>45520</v>
      </c>
      <c r="C1942" s="2" t="s">
        <v>422</v>
      </c>
      <c r="D1942" s="2" t="s">
        <v>86</v>
      </c>
      <c r="E1942" s="2" t="s">
        <v>57</v>
      </c>
      <c r="F1942" s="4">
        <v>4</v>
      </c>
      <c r="G1942" s="4">
        <v>3450</v>
      </c>
      <c r="H1942" s="4">
        <v>13.3</v>
      </c>
      <c r="I1942" s="4">
        <v>11964.6</v>
      </c>
      <c r="J1942" s="2" t="s">
        <v>16</v>
      </c>
      <c r="K1942" s="2" t="s">
        <v>17</v>
      </c>
    </row>
    <row r="1943" spans="1:11" x14ac:dyDescent="0.35">
      <c r="A1943" s="2" t="s">
        <v>2371</v>
      </c>
      <c r="B1943" s="3">
        <v>45626</v>
      </c>
      <c r="C1943" s="2" t="s">
        <v>490</v>
      </c>
      <c r="D1943" s="2" t="s">
        <v>102</v>
      </c>
      <c r="E1943" s="2" t="s">
        <v>50</v>
      </c>
      <c r="F1943" s="4">
        <v>10</v>
      </c>
      <c r="G1943" s="4">
        <v>2720</v>
      </c>
      <c r="H1943" s="4">
        <v>3.4</v>
      </c>
      <c r="I1943" s="4">
        <v>26275.200000000001</v>
      </c>
      <c r="J1943" s="2" t="s">
        <v>16</v>
      </c>
      <c r="K1943" s="2" t="s">
        <v>62</v>
      </c>
    </row>
    <row r="1944" spans="1:11" x14ac:dyDescent="0.35">
      <c r="A1944" s="2" t="s">
        <v>2372</v>
      </c>
      <c r="B1944" s="3">
        <v>45452</v>
      </c>
      <c r="C1944" s="2" t="s">
        <v>546</v>
      </c>
      <c r="D1944" s="2" t="s">
        <v>86</v>
      </c>
      <c r="E1944" s="2" t="s">
        <v>50</v>
      </c>
      <c r="F1944" s="4">
        <v>1</v>
      </c>
      <c r="G1944" s="4">
        <v>3450</v>
      </c>
      <c r="H1944" s="4">
        <v>29.4</v>
      </c>
      <c r="I1944" s="4">
        <v>2435.6999999999998</v>
      </c>
      <c r="J1944" s="2" t="s">
        <v>16</v>
      </c>
      <c r="K1944" s="2" t="s">
        <v>41</v>
      </c>
    </row>
    <row r="1945" spans="1:11" x14ac:dyDescent="0.35">
      <c r="A1945" s="2" t="s">
        <v>2373</v>
      </c>
      <c r="B1945" s="3">
        <v>45529</v>
      </c>
      <c r="C1945" s="2" t="s">
        <v>486</v>
      </c>
      <c r="D1945" s="2" t="s">
        <v>105</v>
      </c>
      <c r="E1945" s="2" t="s">
        <v>45</v>
      </c>
      <c r="F1945" s="4">
        <v>5</v>
      </c>
      <c r="G1945" s="4">
        <v>1650</v>
      </c>
      <c r="H1945" s="4">
        <v>29.4</v>
      </c>
      <c r="I1945" s="4">
        <v>5824.5</v>
      </c>
      <c r="J1945" s="2" t="s">
        <v>16</v>
      </c>
      <c r="K1945" s="2" t="s">
        <v>41</v>
      </c>
    </row>
    <row r="1946" spans="1:11" x14ac:dyDescent="0.35">
      <c r="A1946" s="2" t="s">
        <v>2374</v>
      </c>
      <c r="B1946" s="3">
        <v>45639</v>
      </c>
      <c r="C1946" s="2" t="s">
        <v>710</v>
      </c>
      <c r="D1946" s="2" t="s">
        <v>14</v>
      </c>
      <c r="E1946" s="2" t="s">
        <v>133</v>
      </c>
      <c r="F1946" s="4">
        <v>2</v>
      </c>
      <c r="G1946" s="4">
        <v>3620</v>
      </c>
      <c r="H1946" s="4">
        <v>15.6</v>
      </c>
      <c r="I1946" s="4">
        <v>6110.56</v>
      </c>
      <c r="J1946" s="2" t="s">
        <v>16</v>
      </c>
      <c r="K1946" s="2" t="s">
        <v>28</v>
      </c>
    </row>
    <row r="1947" spans="1:11" x14ac:dyDescent="0.35">
      <c r="A1947" s="2" t="s">
        <v>2375</v>
      </c>
      <c r="B1947" s="3">
        <v>45592</v>
      </c>
      <c r="C1947" s="2" t="s">
        <v>25</v>
      </c>
      <c r="D1947" s="2" t="s">
        <v>211</v>
      </c>
      <c r="E1947" s="2" t="s">
        <v>254</v>
      </c>
      <c r="F1947" s="4">
        <v>3</v>
      </c>
      <c r="G1947" s="4">
        <v>300</v>
      </c>
      <c r="H1947" s="4">
        <v>24.8</v>
      </c>
      <c r="I1947" s="4">
        <v>676.8</v>
      </c>
      <c r="J1947" s="2" t="s">
        <v>16</v>
      </c>
      <c r="K1947" s="2" t="s">
        <v>28</v>
      </c>
    </row>
    <row r="1948" spans="1:11" x14ac:dyDescent="0.35">
      <c r="A1948" s="2" t="s">
        <v>2376</v>
      </c>
      <c r="B1948" s="3">
        <v>45338</v>
      </c>
      <c r="C1948" s="2" t="s">
        <v>201</v>
      </c>
      <c r="D1948" s="2" t="s">
        <v>188</v>
      </c>
      <c r="E1948" s="2" t="s">
        <v>144</v>
      </c>
      <c r="F1948" s="4">
        <v>3</v>
      </c>
      <c r="G1948" s="4">
        <v>1540</v>
      </c>
      <c r="H1948" s="4">
        <v>29.5</v>
      </c>
      <c r="I1948" s="4">
        <v>3257.1</v>
      </c>
      <c r="J1948" s="2" t="s">
        <v>16</v>
      </c>
      <c r="K1948" s="2" t="s">
        <v>23</v>
      </c>
    </row>
    <row r="1949" spans="1:11" x14ac:dyDescent="0.35">
      <c r="A1949" s="2" t="s">
        <v>2377</v>
      </c>
      <c r="B1949" s="3">
        <v>45551</v>
      </c>
      <c r="C1949" s="2" t="s">
        <v>708</v>
      </c>
      <c r="D1949" s="2" t="s">
        <v>60</v>
      </c>
      <c r="E1949" s="2" t="s">
        <v>50</v>
      </c>
      <c r="F1949" s="4">
        <v>10</v>
      </c>
      <c r="G1949" s="4">
        <v>2270</v>
      </c>
      <c r="H1949" s="4">
        <v>5.5</v>
      </c>
      <c r="I1949" s="4">
        <v>21451.5</v>
      </c>
      <c r="J1949" s="2" t="s">
        <v>69</v>
      </c>
      <c r="K1949" s="2" t="s">
        <v>46</v>
      </c>
    </row>
    <row r="1950" spans="1:11" x14ac:dyDescent="0.35">
      <c r="A1950" s="2" t="s">
        <v>2378</v>
      </c>
      <c r="B1950" s="3">
        <v>45350</v>
      </c>
      <c r="C1950" s="2" t="s">
        <v>785</v>
      </c>
      <c r="D1950" s="2" t="s">
        <v>64</v>
      </c>
      <c r="E1950" s="2" t="s">
        <v>36</v>
      </c>
      <c r="F1950" s="4">
        <v>3</v>
      </c>
      <c r="G1950" s="4">
        <v>2640</v>
      </c>
      <c r="H1950" s="4">
        <v>28.2</v>
      </c>
      <c r="I1950" s="4">
        <v>5686.56</v>
      </c>
      <c r="J1950" s="2" t="s">
        <v>73</v>
      </c>
      <c r="K1950" s="2" t="s">
        <v>17</v>
      </c>
    </row>
    <row r="1951" spans="1:11" x14ac:dyDescent="0.35">
      <c r="A1951" s="2" t="s">
        <v>2379</v>
      </c>
      <c r="B1951" s="3">
        <v>45507</v>
      </c>
      <c r="C1951" s="2" t="s">
        <v>1179</v>
      </c>
      <c r="D1951" s="2" t="s">
        <v>64</v>
      </c>
      <c r="E1951" s="2" t="s">
        <v>117</v>
      </c>
      <c r="F1951" s="4">
        <v>10</v>
      </c>
      <c r="G1951" s="4">
        <v>2640</v>
      </c>
      <c r="H1951" s="4">
        <v>25.9</v>
      </c>
      <c r="I1951" s="4">
        <v>19562.400000000001</v>
      </c>
      <c r="J1951" s="2" t="s">
        <v>16</v>
      </c>
      <c r="K1951" s="2" t="s">
        <v>17</v>
      </c>
    </row>
    <row r="1952" spans="1:11" x14ac:dyDescent="0.35">
      <c r="A1952" s="2" t="s">
        <v>2380</v>
      </c>
      <c r="B1952" s="3">
        <v>45538</v>
      </c>
      <c r="C1952" s="2" t="s">
        <v>634</v>
      </c>
      <c r="D1952" s="2" t="s">
        <v>49</v>
      </c>
      <c r="E1952" s="2" t="s">
        <v>99</v>
      </c>
      <c r="F1952" s="4">
        <v>2</v>
      </c>
      <c r="G1952" s="4">
        <v>1430</v>
      </c>
      <c r="H1952" s="4">
        <v>5</v>
      </c>
      <c r="I1952" s="4">
        <v>2717</v>
      </c>
      <c r="J1952" s="2" t="s">
        <v>69</v>
      </c>
      <c r="K1952" s="2" t="s">
        <v>28</v>
      </c>
    </row>
    <row r="1953" spans="1:11" x14ac:dyDescent="0.35">
      <c r="A1953" s="2" t="s">
        <v>2381</v>
      </c>
      <c r="B1953" s="3">
        <v>45618</v>
      </c>
      <c r="C1953" s="2" t="s">
        <v>369</v>
      </c>
      <c r="D1953" s="2" t="s">
        <v>116</v>
      </c>
      <c r="E1953" s="2" t="s">
        <v>121</v>
      </c>
      <c r="F1953" s="4">
        <v>6</v>
      </c>
      <c r="G1953" s="4">
        <v>3570</v>
      </c>
      <c r="H1953" s="4">
        <v>28.5</v>
      </c>
      <c r="I1953" s="4">
        <v>15315.3</v>
      </c>
      <c r="J1953" s="2" t="s">
        <v>69</v>
      </c>
      <c r="K1953" s="2" t="s">
        <v>17</v>
      </c>
    </row>
    <row r="1954" spans="1:11" x14ac:dyDescent="0.35">
      <c r="A1954" s="2" t="s">
        <v>2382</v>
      </c>
      <c r="B1954" s="3">
        <v>45444</v>
      </c>
      <c r="C1954" s="2" t="s">
        <v>326</v>
      </c>
      <c r="D1954" s="2" t="s">
        <v>116</v>
      </c>
      <c r="E1954" s="2" t="s">
        <v>45</v>
      </c>
      <c r="F1954" s="4">
        <v>1</v>
      </c>
      <c r="G1954" s="4">
        <v>3570</v>
      </c>
      <c r="H1954" s="4">
        <v>7.7</v>
      </c>
      <c r="I1954" s="4">
        <v>3295.11</v>
      </c>
      <c r="J1954" s="2" t="s">
        <v>16</v>
      </c>
      <c r="K1954" s="2" t="s">
        <v>28</v>
      </c>
    </row>
    <row r="1955" spans="1:11" x14ac:dyDescent="0.35">
      <c r="A1955" s="2" t="s">
        <v>2383</v>
      </c>
      <c r="B1955" s="3">
        <v>45377</v>
      </c>
      <c r="C1955" s="2" t="s">
        <v>1223</v>
      </c>
      <c r="D1955" s="2" t="s">
        <v>177</v>
      </c>
      <c r="E1955" s="2" t="s">
        <v>99</v>
      </c>
      <c r="F1955" s="4">
        <v>9</v>
      </c>
      <c r="G1955" s="4">
        <v>3870</v>
      </c>
      <c r="H1955" s="4">
        <v>11.9</v>
      </c>
      <c r="I1955" s="4">
        <v>30685.23</v>
      </c>
      <c r="J1955" s="2" t="s">
        <v>69</v>
      </c>
      <c r="K1955" s="2" t="s">
        <v>23</v>
      </c>
    </row>
    <row r="1956" spans="1:11" x14ac:dyDescent="0.35">
      <c r="A1956" s="2" t="s">
        <v>2384</v>
      </c>
      <c r="B1956" s="3">
        <v>45515</v>
      </c>
      <c r="C1956" s="2" t="s">
        <v>779</v>
      </c>
      <c r="D1956" s="2" t="s">
        <v>444</v>
      </c>
      <c r="E1956" s="2" t="s">
        <v>27</v>
      </c>
      <c r="F1956" s="4">
        <v>5</v>
      </c>
      <c r="G1956" s="4">
        <v>6940</v>
      </c>
      <c r="H1956" s="4">
        <v>17.399999999999999</v>
      </c>
      <c r="I1956" s="4">
        <v>28662.2</v>
      </c>
      <c r="J1956" s="2" t="s">
        <v>16</v>
      </c>
      <c r="K1956" s="2" t="s">
        <v>23</v>
      </c>
    </row>
    <row r="1957" spans="1:11" x14ac:dyDescent="0.35">
      <c r="A1957" s="2" t="s">
        <v>2385</v>
      </c>
      <c r="B1957" s="3">
        <v>45312</v>
      </c>
      <c r="C1957" s="2" t="s">
        <v>192</v>
      </c>
      <c r="D1957" s="2" t="s">
        <v>39</v>
      </c>
      <c r="E1957" s="2" t="s">
        <v>130</v>
      </c>
      <c r="F1957" s="4">
        <v>6</v>
      </c>
      <c r="G1957" s="4">
        <v>370</v>
      </c>
      <c r="H1957" s="4">
        <v>8.1</v>
      </c>
      <c r="I1957" s="4">
        <v>2040.18</v>
      </c>
      <c r="J1957" s="2" t="s">
        <v>69</v>
      </c>
      <c r="K1957" s="2" t="s">
        <v>62</v>
      </c>
    </row>
    <row r="1958" spans="1:11" x14ac:dyDescent="0.35">
      <c r="A1958" s="2" t="s">
        <v>2386</v>
      </c>
      <c r="B1958" s="3">
        <v>45549</v>
      </c>
      <c r="C1958" s="2" t="s">
        <v>195</v>
      </c>
      <c r="D1958" s="2" t="s">
        <v>588</v>
      </c>
      <c r="E1958" s="2" t="s">
        <v>272</v>
      </c>
      <c r="F1958" s="4">
        <v>8</v>
      </c>
      <c r="G1958" s="4">
        <v>3560</v>
      </c>
      <c r="H1958" s="4">
        <v>23.3</v>
      </c>
      <c r="I1958" s="4">
        <v>21844.16</v>
      </c>
      <c r="J1958" s="2" t="s">
        <v>16</v>
      </c>
      <c r="K1958" s="2" t="s">
        <v>28</v>
      </c>
    </row>
    <row r="1959" spans="1:11" x14ac:dyDescent="0.35">
      <c r="A1959" s="2" t="s">
        <v>2387</v>
      </c>
      <c r="B1959" s="3">
        <v>45633</v>
      </c>
      <c r="C1959" s="2" t="s">
        <v>542</v>
      </c>
      <c r="D1959" s="2" t="s">
        <v>196</v>
      </c>
      <c r="E1959" s="2" t="s">
        <v>57</v>
      </c>
      <c r="F1959" s="4">
        <v>4</v>
      </c>
      <c r="G1959" s="4">
        <v>1220</v>
      </c>
      <c r="H1959" s="4">
        <v>2.7</v>
      </c>
      <c r="I1959" s="4">
        <v>4748.24</v>
      </c>
      <c r="J1959" s="2" t="s">
        <v>16</v>
      </c>
      <c r="K1959" s="2" t="s">
        <v>41</v>
      </c>
    </row>
    <row r="1960" spans="1:11" x14ac:dyDescent="0.35">
      <c r="A1960" s="2" t="s">
        <v>2388</v>
      </c>
      <c r="B1960" s="3">
        <v>45598</v>
      </c>
      <c r="C1960" s="2" t="s">
        <v>646</v>
      </c>
      <c r="D1960" s="2" t="s">
        <v>193</v>
      </c>
      <c r="E1960" s="2" t="s">
        <v>121</v>
      </c>
      <c r="F1960" s="4">
        <v>10</v>
      </c>
      <c r="G1960" s="4">
        <v>4070</v>
      </c>
      <c r="H1960" s="4">
        <v>11.6</v>
      </c>
      <c r="I1960" s="4">
        <v>35978.800000000003</v>
      </c>
      <c r="J1960" s="2" t="s">
        <v>16</v>
      </c>
      <c r="K1960" s="2" t="s">
        <v>23</v>
      </c>
    </row>
    <row r="1961" spans="1:11" x14ac:dyDescent="0.35">
      <c r="A1961" s="2" t="s">
        <v>2389</v>
      </c>
      <c r="B1961" s="3">
        <v>45336</v>
      </c>
      <c r="C1961" s="2" t="s">
        <v>726</v>
      </c>
      <c r="D1961" s="2" t="s">
        <v>31</v>
      </c>
      <c r="E1961" s="2" t="s">
        <v>50</v>
      </c>
      <c r="F1961" s="4">
        <v>10</v>
      </c>
      <c r="G1961" s="4">
        <v>3660</v>
      </c>
      <c r="H1961" s="4">
        <v>28.8</v>
      </c>
      <c r="I1961" s="4">
        <v>26059.200000000001</v>
      </c>
      <c r="J1961" s="2" t="s">
        <v>16</v>
      </c>
      <c r="K1961" s="2" t="s">
        <v>28</v>
      </c>
    </row>
    <row r="1962" spans="1:11" x14ac:dyDescent="0.35">
      <c r="A1962" s="2" t="s">
        <v>2390</v>
      </c>
      <c r="B1962" s="3">
        <v>45449</v>
      </c>
      <c r="C1962" s="2" t="s">
        <v>544</v>
      </c>
      <c r="D1962" s="2" t="s">
        <v>372</v>
      </c>
      <c r="E1962" s="2" t="s">
        <v>232</v>
      </c>
      <c r="F1962" s="4">
        <v>5</v>
      </c>
      <c r="G1962" s="4">
        <v>5080</v>
      </c>
      <c r="H1962" s="4">
        <v>12.1</v>
      </c>
      <c r="I1962" s="4">
        <v>22326.6</v>
      </c>
      <c r="J1962" s="2" t="s">
        <v>16</v>
      </c>
      <c r="K1962" s="2" t="s">
        <v>41</v>
      </c>
    </row>
    <row r="1963" spans="1:11" x14ac:dyDescent="0.35">
      <c r="A1963" s="2" t="s">
        <v>2391</v>
      </c>
      <c r="B1963" s="3">
        <v>45338</v>
      </c>
      <c r="C1963" s="2" t="s">
        <v>726</v>
      </c>
      <c r="D1963" s="2" t="s">
        <v>199</v>
      </c>
      <c r="E1963" s="2" t="s">
        <v>181</v>
      </c>
      <c r="F1963" s="4">
        <v>10</v>
      </c>
      <c r="G1963" s="4">
        <v>4610</v>
      </c>
      <c r="H1963" s="4">
        <v>22.5</v>
      </c>
      <c r="I1963" s="4">
        <v>35727.5</v>
      </c>
      <c r="J1963" s="2" t="s">
        <v>16</v>
      </c>
      <c r="K1963" s="2" t="s">
        <v>28</v>
      </c>
    </row>
    <row r="1964" spans="1:11" x14ac:dyDescent="0.35">
      <c r="A1964" s="2" t="s">
        <v>2392</v>
      </c>
      <c r="B1964" s="3">
        <v>45317</v>
      </c>
      <c r="C1964" s="2" t="s">
        <v>708</v>
      </c>
      <c r="D1964" s="2" t="s">
        <v>208</v>
      </c>
      <c r="E1964" s="2" t="s">
        <v>15</v>
      </c>
      <c r="F1964" s="4">
        <v>3</v>
      </c>
      <c r="G1964" s="4">
        <v>2660</v>
      </c>
      <c r="H1964" s="4">
        <v>15</v>
      </c>
      <c r="I1964" s="4">
        <v>6783</v>
      </c>
      <c r="J1964" s="2" t="s">
        <v>16</v>
      </c>
      <c r="K1964" s="2" t="s">
        <v>46</v>
      </c>
    </row>
    <row r="1965" spans="1:11" x14ac:dyDescent="0.35">
      <c r="A1965" s="2" t="s">
        <v>2393</v>
      </c>
      <c r="B1965" s="3">
        <v>45384</v>
      </c>
      <c r="C1965" s="2" t="s">
        <v>524</v>
      </c>
      <c r="D1965" s="2" t="s">
        <v>35</v>
      </c>
      <c r="E1965" s="2" t="s">
        <v>32</v>
      </c>
      <c r="F1965" s="4">
        <v>5</v>
      </c>
      <c r="G1965" s="4">
        <v>3160</v>
      </c>
      <c r="H1965" s="4">
        <v>1.3</v>
      </c>
      <c r="I1965" s="4">
        <v>15594.6</v>
      </c>
      <c r="J1965" s="2" t="s">
        <v>16</v>
      </c>
      <c r="K1965" s="2" t="s">
        <v>28</v>
      </c>
    </row>
    <row r="1966" spans="1:11" x14ac:dyDescent="0.35">
      <c r="A1966" s="2" t="s">
        <v>2394</v>
      </c>
      <c r="B1966" s="3">
        <v>45325</v>
      </c>
      <c r="C1966" s="2" t="s">
        <v>613</v>
      </c>
      <c r="D1966" s="2" t="s">
        <v>39</v>
      </c>
      <c r="E1966" s="2" t="s">
        <v>68</v>
      </c>
      <c r="F1966" s="4">
        <v>10</v>
      </c>
      <c r="G1966" s="4">
        <v>370</v>
      </c>
      <c r="H1966" s="4">
        <v>29</v>
      </c>
      <c r="I1966" s="4">
        <v>2627</v>
      </c>
      <c r="J1966" s="2" t="s">
        <v>16</v>
      </c>
      <c r="K1966" s="2" t="s">
        <v>28</v>
      </c>
    </row>
    <row r="1967" spans="1:11" x14ac:dyDescent="0.35">
      <c r="A1967" s="2" t="s">
        <v>2395</v>
      </c>
      <c r="B1967" s="3">
        <v>45358</v>
      </c>
      <c r="C1967" s="2" t="s">
        <v>980</v>
      </c>
      <c r="D1967" s="2" t="s">
        <v>111</v>
      </c>
      <c r="E1967" s="2" t="s">
        <v>36</v>
      </c>
      <c r="F1967" s="4">
        <v>10</v>
      </c>
      <c r="G1967" s="4">
        <v>1010</v>
      </c>
      <c r="H1967" s="4">
        <v>14.1</v>
      </c>
      <c r="I1967" s="4">
        <v>8675.9</v>
      </c>
      <c r="J1967" s="2" t="s">
        <v>73</v>
      </c>
      <c r="K1967" s="2" t="s">
        <v>41</v>
      </c>
    </row>
    <row r="1968" spans="1:11" x14ac:dyDescent="0.35">
      <c r="A1968" s="2" t="s">
        <v>2396</v>
      </c>
      <c r="B1968" s="3">
        <v>45586</v>
      </c>
      <c r="C1968" s="2" t="s">
        <v>262</v>
      </c>
      <c r="D1968" s="2" t="s">
        <v>588</v>
      </c>
      <c r="E1968" s="2" t="s">
        <v>99</v>
      </c>
      <c r="F1968" s="4">
        <v>3</v>
      </c>
      <c r="G1968" s="4">
        <v>3560</v>
      </c>
      <c r="H1968" s="4">
        <v>23.6</v>
      </c>
      <c r="I1968" s="4">
        <v>8159.52</v>
      </c>
      <c r="J1968" s="2" t="s">
        <v>16</v>
      </c>
      <c r="K1968" s="2" t="s">
        <v>62</v>
      </c>
    </row>
    <row r="1969" spans="1:11" x14ac:dyDescent="0.35">
      <c r="A1969" s="2" t="s">
        <v>2397</v>
      </c>
      <c r="B1969" s="3">
        <v>45340</v>
      </c>
      <c r="C1969" s="2" t="s">
        <v>253</v>
      </c>
      <c r="D1969" s="2" t="s">
        <v>196</v>
      </c>
      <c r="E1969" s="2" t="s">
        <v>57</v>
      </c>
      <c r="F1969" s="4">
        <v>9</v>
      </c>
      <c r="G1969" s="4">
        <v>1220</v>
      </c>
      <c r="H1969" s="4">
        <v>16.600000000000001</v>
      </c>
      <c r="I1969" s="4">
        <v>9157.32</v>
      </c>
      <c r="J1969" s="2" t="s">
        <v>16</v>
      </c>
      <c r="K1969" s="2" t="s">
        <v>62</v>
      </c>
    </row>
    <row r="1970" spans="1:11" x14ac:dyDescent="0.35">
      <c r="A1970" s="2" t="s">
        <v>2398</v>
      </c>
      <c r="B1970" s="3">
        <v>45343</v>
      </c>
      <c r="C1970" s="2" t="s">
        <v>1160</v>
      </c>
      <c r="D1970" s="2" t="s">
        <v>76</v>
      </c>
      <c r="E1970" s="2" t="s">
        <v>36</v>
      </c>
      <c r="F1970" s="4">
        <v>8</v>
      </c>
      <c r="G1970" s="4">
        <v>190</v>
      </c>
      <c r="H1970" s="4">
        <v>22.3</v>
      </c>
      <c r="I1970" s="4">
        <v>1181.04</v>
      </c>
      <c r="J1970" s="2" t="s">
        <v>16</v>
      </c>
      <c r="K1970" s="2" t="s">
        <v>17</v>
      </c>
    </row>
    <row r="1971" spans="1:11" x14ac:dyDescent="0.35">
      <c r="A1971" s="2" t="s">
        <v>2399</v>
      </c>
      <c r="B1971" s="3">
        <v>45468</v>
      </c>
      <c r="C1971" s="2" t="s">
        <v>334</v>
      </c>
      <c r="D1971" s="2" t="s">
        <v>111</v>
      </c>
      <c r="E1971" s="2" t="s">
        <v>226</v>
      </c>
      <c r="F1971" s="4">
        <v>2</v>
      </c>
      <c r="G1971" s="4">
        <v>1010</v>
      </c>
      <c r="H1971" s="4">
        <v>3.8</v>
      </c>
      <c r="I1971" s="4">
        <v>1943.24</v>
      </c>
      <c r="J1971" s="2" t="s">
        <v>16</v>
      </c>
      <c r="K1971" s="2" t="s">
        <v>23</v>
      </c>
    </row>
    <row r="1972" spans="1:11" x14ac:dyDescent="0.35">
      <c r="A1972" s="2" t="s">
        <v>2400</v>
      </c>
      <c r="B1972" s="3">
        <v>45439</v>
      </c>
      <c r="C1972" s="2" t="s">
        <v>803</v>
      </c>
      <c r="D1972" s="2" t="s">
        <v>67</v>
      </c>
      <c r="E1972" s="2" t="s">
        <v>133</v>
      </c>
      <c r="F1972" s="4">
        <v>4</v>
      </c>
      <c r="G1972" s="4">
        <v>2600</v>
      </c>
      <c r="H1972" s="4">
        <v>29.1</v>
      </c>
      <c r="I1972" s="4">
        <v>7373.6</v>
      </c>
      <c r="J1972" s="2" t="s">
        <v>16</v>
      </c>
      <c r="K1972" s="2" t="s">
        <v>41</v>
      </c>
    </row>
    <row r="1973" spans="1:11" x14ac:dyDescent="0.35">
      <c r="A1973" s="2" t="s">
        <v>2401</v>
      </c>
      <c r="B1973" s="3">
        <v>45517</v>
      </c>
      <c r="C1973" s="2" t="s">
        <v>613</v>
      </c>
      <c r="D1973" s="2" t="s">
        <v>381</v>
      </c>
      <c r="E1973" s="2" t="s">
        <v>158</v>
      </c>
      <c r="F1973" s="4">
        <v>7</v>
      </c>
      <c r="G1973" s="4">
        <v>3450</v>
      </c>
      <c r="H1973" s="4">
        <v>4</v>
      </c>
      <c r="I1973" s="4">
        <v>23184</v>
      </c>
      <c r="J1973" s="2" t="s">
        <v>16</v>
      </c>
      <c r="K1973" s="2" t="s">
        <v>28</v>
      </c>
    </row>
    <row r="1974" spans="1:11" x14ac:dyDescent="0.35">
      <c r="A1974" s="2" t="s">
        <v>2402</v>
      </c>
      <c r="B1974" s="3">
        <v>45311</v>
      </c>
      <c r="C1974" s="2" t="s">
        <v>173</v>
      </c>
      <c r="D1974" s="2" t="s">
        <v>284</v>
      </c>
      <c r="E1974" s="2" t="s">
        <v>50</v>
      </c>
      <c r="F1974" s="4">
        <v>6</v>
      </c>
      <c r="G1974" s="4">
        <v>2510</v>
      </c>
      <c r="H1974" s="4">
        <v>12.7</v>
      </c>
      <c r="I1974" s="4">
        <v>13147.38</v>
      </c>
      <c r="J1974" s="2" t="s">
        <v>16</v>
      </c>
      <c r="K1974" s="2" t="s">
        <v>23</v>
      </c>
    </row>
    <row r="1975" spans="1:11" x14ac:dyDescent="0.35">
      <c r="A1975" s="2" t="s">
        <v>2403</v>
      </c>
      <c r="B1975" s="3">
        <v>45560</v>
      </c>
      <c r="C1975" s="2" t="s">
        <v>38</v>
      </c>
      <c r="D1975" s="2" t="s">
        <v>76</v>
      </c>
      <c r="E1975" s="2" t="s">
        <v>272</v>
      </c>
      <c r="F1975" s="4">
        <v>6</v>
      </c>
      <c r="G1975" s="4">
        <v>190</v>
      </c>
      <c r="H1975" s="4">
        <v>20</v>
      </c>
      <c r="I1975" s="4">
        <v>912</v>
      </c>
      <c r="J1975" s="2" t="s">
        <v>69</v>
      </c>
      <c r="K1975" s="2" t="s">
        <v>41</v>
      </c>
    </row>
    <row r="1976" spans="1:11" x14ac:dyDescent="0.35">
      <c r="A1976" s="2" t="s">
        <v>2404</v>
      </c>
      <c r="B1976" s="3">
        <v>45529</v>
      </c>
      <c r="C1976" s="2" t="s">
        <v>1160</v>
      </c>
      <c r="D1976" s="2" t="s">
        <v>105</v>
      </c>
      <c r="E1976" s="2" t="s">
        <v>158</v>
      </c>
      <c r="F1976" s="4">
        <v>10</v>
      </c>
      <c r="G1976" s="4">
        <v>1650</v>
      </c>
      <c r="H1976" s="4">
        <v>21.5</v>
      </c>
      <c r="I1976" s="4">
        <v>12952.5</v>
      </c>
      <c r="J1976" s="2" t="s">
        <v>16</v>
      </c>
      <c r="K1976" s="2" t="s">
        <v>17</v>
      </c>
    </row>
    <row r="1977" spans="1:11" x14ac:dyDescent="0.35">
      <c r="A1977" s="2" t="s">
        <v>2405</v>
      </c>
      <c r="B1977" s="3">
        <v>45344</v>
      </c>
      <c r="C1977" s="2" t="s">
        <v>48</v>
      </c>
      <c r="D1977" s="2" t="s">
        <v>124</v>
      </c>
      <c r="E1977" s="2" t="s">
        <v>133</v>
      </c>
      <c r="F1977" s="4">
        <v>4</v>
      </c>
      <c r="G1977" s="4">
        <v>2860</v>
      </c>
      <c r="H1977" s="4">
        <v>15.2</v>
      </c>
      <c r="I1977" s="4">
        <v>9701.1200000000008</v>
      </c>
      <c r="J1977" s="2" t="s">
        <v>16</v>
      </c>
      <c r="K1977" s="2" t="s">
        <v>46</v>
      </c>
    </row>
    <row r="1978" spans="1:11" x14ac:dyDescent="0.35">
      <c r="A1978" s="2" t="s">
        <v>2406</v>
      </c>
      <c r="B1978" s="3">
        <v>45589</v>
      </c>
      <c r="C1978" s="2" t="s">
        <v>874</v>
      </c>
      <c r="D1978" s="2" t="s">
        <v>26</v>
      </c>
      <c r="E1978" s="2" t="s">
        <v>57</v>
      </c>
      <c r="F1978" s="4">
        <v>3</v>
      </c>
      <c r="G1978" s="4">
        <v>470</v>
      </c>
      <c r="H1978" s="4">
        <v>14.2</v>
      </c>
      <c r="I1978" s="4">
        <v>1209.78</v>
      </c>
      <c r="J1978" s="2" t="s">
        <v>16</v>
      </c>
      <c r="K1978" s="2" t="s">
        <v>17</v>
      </c>
    </row>
    <row r="1979" spans="1:11" x14ac:dyDescent="0.35">
      <c r="A1979" s="2" t="s">
        <v>2407</v>
      </c>
      <c r="B1979" s="3">
        <v>45469</v>
      </c>
      <c r="C1979" s="2" t="s">
        <v>872</v>
      </c>
      <c r="D1979" s="2" t="s">
        <v>124</v>
      </c>
      <c r="E1979" s="2" t="s">
        <v>99</v>
      </c>
      <c r="F1979" s="4">
        <v>2</v>
      </c>
      <c r="G1979" s="4">
        <v>2860</v>
      </c>
      <c r="H1979" s="4">
        <v>17.899999999999999</v>
      </c>
      <c r="I1979" s="4">
        <v>4696.12</v>
      </c>
      <c r="J1979" s="2" t="s">
        <v>16</v>
      </c>
      <c r="K1979" s="2" t="s">
        <v>62</v>
      </c>
    </row>
    <row r="1980" spans="1:11" x14ac:dyDescent="0.35">
      <c r="A1980" s="2" t="s">
        <v>2408</v>
      </c>
      <c r="B1980" s="3">
        <v>45407</v>
      </c>
      <c r="C1980" s="2" t="s">
        <v>1279</v>
      </c>
      <c r="D1980" s="2" t="s">
        <v>96</v>
      </c>
      <c r="E1980" s="2" t="s">
        <v>232</v>
      </c>
      <c r="F1980" s="4">
        <v>2</v>
      </c>
      <c r="G1980" s="4">
        <v>2480</v>
      </c>
      <c r="H1980" s="4">
        <v>11.5</v>
      </c>
      <c r="I1980" s="4">
        <v>4389.6000000000004</v>
      </c>
      <c r="J1980" s="2" t="s">
        <v>69</v>
      </c>
      <c r="K1980" s="2" t="s">
        <v>41</v>
      </c>
    </row>
    <row r="1981" spans="1:11" x14ac:dyDescent="0.35">
      <c r="A1981" s="2" t="s">
        <v>2409</v>
      </c>
      <c r="B1981" s="3">
        <v>45635</v>
      </c>
      <c r="C1981" s="2" t="s">
        <v>935</v>
      </c>
      <c r="D1981" s="2" t="s">
        <v>224</v>
      </c>
      <c r="E1981" s="2" t="s">
        <v>32</v>
      </c>
      <c r="F1981" s="4">
        <v>10</v>
      </c>
      <c r="G1981" s="4">
        <v>2030</v>
      </c>
      <c r="H1981" s="4">
        <v>29.2</v>
      </c>
      <c r="I1981" s="4">
        <v>14372.4</v>
      </c>
      <c r="J1981" s="2" t="s">
        <v>16</v>
      </c>
      <c r="K1981" s="2" t="s">
        <v>46</v>
      </c>
    </row>
    <row r="1982" spans="1:11" x14ac:dyDescent="0.35">
      <c r="A1982" s="2" t="s">
        <v>2410</v>
      </c>
      <c r="B1982" s="3">
        <v>45489</v>
      </c>
      <c r="C1982" s="2" t="s">
        <v>123</v>
      </c>
      <c r="D1982" s="2" t="s">
        <v>86</v>
      </c>
      <c r="E1982" s="2" t="s">
        <v>254</v>
      </c>
      <c r="F1982" s="4">
        <v>6</v>
      </c>
      <c r="G1982" s="4">
        <v>3450</v>
      </c>
      <c r="H1982" s="4">
        <v>3.5</v>
      </c>
      <c r="I1982" s="4">
        <v>19975.5</v>
      </c>
      <c r="J1982" s="2" t="s">
        <v>73</v>
      </c>
      <c r="K1982" s="2" t="s">
        <v>17</v>
      </c>
    </row>
    <row r="1983" spans="1:11" x14ac:dyDescent="0.35">
      <c r="A1983" s="2" t="s">
        <v>2411</v>
      </c>
      <c r="B1983" s="3">
        <v>45356</v>
      </c>
      <c r="C1983" s="2" t="s">
        <v>531</v>
      </c>
      <c r="D1983" s="2" t="s">
        <v>49</v>
      </c>
      <c r="E1983" s="2" t="s">
        <v>202</v>
      </c>
      <c r="F1983" s="4">
        <v>10</v>
      </c>
      <c r="G1983" s="4">
        <v>1430</v>
      </c>
      <c r="H1983" s="4">
        <v>3.5</v>
      </c>
      <c r="I1983" s="4">
        <v>13799.5</v>
      </c>
      <c r="J1983" s="2" t="s">
        <v>16</v>
      </c>
      <c r="K1983" s="2" t="s">
        <v>23</v>
      </c>
    </row>
    <row r="1984" spans="1:11" x14ac:dyDescent="0.35">
      <c r="A1984" s="2" t="s">
        <v>2412</v>
      </c>
      <c r="B1984" s="3">
        <v>45422</v>
      </c>
      <c r="C1984" s="2" t="s">
        <v>514</v>
      </c>
      <c r="D1984" s="2" t="s">
        <v>20</v>
      </c>
      <c r="E1984" s="2" t="s">
        <v>167</v>
      </c>
      <c r="F1984" s="4">
        <v>1</v>
      </c>
      <c r="G1984" s="4">
        <v>820</v>
      </c>
      <c r="H1984" s="4">
        <v>14.5</v>
      </c>
      <c r="I1984" s="4">
        <v>701.1</v>
      </c>
      <c r="J1984" s="2" t="s">
        <v>69</v>
      </c>
      <c r="K1984" s="2" t="s">
        <v>23</v>
      </c>
    </row>
    <row r="1985" spans="1:11" x14ac:dyDescent="0.35">
      <c r="A1985" s="2" t="s">
        <v>2413</v>
      </c>
      <c r="B1985" s="3">
        <v>45333</v>
      </c>
      <c r="C1985" s="2" t="s">
        <v>967</v>
      </c>
      <c r="D1985" s="2" t="s">
        <v>113</v>
      </c>
      <c r="E1985" s="2" t="s">
        <v>83</v>
      </c>
      <c r="F1985" s="4">
        <v>5</v>
      </c>
      <c r="G1985" s="4">
        <v>4880</v>
      </c>
      <c r="H1985" s="4">
        <v>1.8</v>
      </c>
      <c r="I1985" s="4">
        <v>23960.799999999999</v>
      </c>
      <c r="J1985" s="2" t="s">
        <v>16</v>
      </c>
      <c r="K1985" s="2" t="s">
        <v>46</v>
      </c>
    </row>
    <row r="1986" spans="1:11" x14ac:dyDescent="0.35">
      <c r="A1986" s="2" t="s">
        <v>2414</v>
      </c>
      <c r="B1986" s="3">
        <v>45385</v>
      </c>
      <c r="C1986" s="2" t="s">
        <v>38</v>
      </c>
      <c r="D1986" s="2" t="s">
        <v>108</v>
      </c>
      <c r="E1986" s="2" t="s">
        <v>275</v>
      </c>
      <c r="F1986" s="4">
        <v>8</v>
      </c>
      <c r="G1986" s="4">
        <v>3350</v>
      </c>
      <c r="H1986" s="4">
        <v>26.3</v>
      </c>
      <c r="I1986" s="4">
        <v>19751.599999999999</v>
      </c>
      <c r="J1986" s="2" t="s">
        <v>69</v>
      </c>
      <c r="K1986" s="2" t="s">
        <v>41</v>
      </c>
    </row>
    <row r="1987" spans="1:11" x14ac:dyDescent="0.35">
      <c r="A1987" s="2" t="s">
        <v>2415</v>
      </c>
      <c r="B1987" s="3">
        <v>45298</v>
      </c>
      <c r="C1987" s="2" t="s">
        <v>95</v>
      </c>
      <c r="D1987" s="2" t="s">
        <v>96</v>
      </c>
      <c r="E1987" s="2" t="s">
        <v>214</v>
      </c>
      <c r="F1987" s="4">
        <v>9</v>
      </c>
      <c r="G1987" s="4">
        <v>2480</v>
      </c>
      <c r="H1987" s="4">
        <v>24.3</v>
      </c>
      <c r="I1987" s="4">
        <v>16896.240000000002</v>
      </c>
      <c r="J1987" s="2" t="s">
        <v>16</v>
      </c>
      <c r="K1987" s="2" t="s">
        <v>62</v>
      </c>
    </row>
    <row r="1988" spans="1:11" x14ac:dyDescent="0.35">
      <c r="A1988" s="2" t="s">
        <v>2416</v>
      </c>
      <c r="B1988" s="3">
        <v>45500</v>
      </c>
      <c r="C1988" s="2" t="s">
        <v>160</v>
      </c>
      <c r="D1988" s="2" t="s">
        <v>199</v>
      </c>
      <c r="E1988" s="2" t="s">
        <v>45</v>
      </c>
      <c r="F1988" s="4">
        <v>9</v>
      </c>
      <c r="G1988" s="4">
        <v>4610</v>
      </c>
      <c r="H1988" s="4">
        <v>10</v>
      </c>
      <c r="I1988" s="4">
        <v>37341</v>
      </c>
      <c r="J1988" s="2" t="s">
        <v>16</v>
      </c>
      <c r="K1988" s="2" t="s">
        <v>46</v>
      </c>
    </row>
    <row r="1989" spans="1:11" x14ac:dyDescent="0.35">
      <c r="A1989" s="2" t="s">
        <v>2417</v>
      </c>
      <c r="B1989" s="3">
        <v>45409</v>
      </c>
      <c r="C1989" s="2" t="s">
        <v>980</v>
      </c>
      <c r="D1989" s="2" t="s">
        <v>163</v>
      </c>
      <c r="E1989" s="2" t="s">
        <v>68</v>
      </c>
      <c r="F1989" s="4">
        <v>1</v>
      </c>
      <c r="G1989" s="4">
        <v>3780</v>
      </c>
      <c r="H1989" s="4">
        <v>2.2000000000000002</v>
      </c>
      <c r="I1989" s="4">
        <v>3696.84</v>
      </c>
      <c r="J1989" s="2" t="s">
        <v>16</v>
      </c>
      <c r="K1989" s="2" t="s">
        <v>41</v>
      </c>
    </row>
    <row r="1990" spans="1:11" x14ac:dyDescent="0.35">
      <c r="A1990" s="2" t="s">
        <v>2418</v>
      </c>
      <c r="B1990" s="3">
        <v>45401</v>
      </c>
      <c r="C1990" s="2" t="s">
        <v>634</v>
      </c>
      <c r="D1990" s="2" t="s">
        <v>205</v>
      </c>
      <c r="E1990" s="2" t="s">
        <v>130</v>
      </c>
      <c r="F1990" s="4">
        <v>3</v>
      </c>
      <c r="G1990" s="4">
        <v>3020</v>
      </c>
      <c r="H1990" s="4">
        <v>21.4</v>
      </c>
      <c r="I1990" s="4">
        <v>7121.16</v>
      </c>
      <c r="J1990" s="2" t="s">
        <v>69</v>
      </c>
      <c r="K1990" s="2" t="s">
        <v>28</v>
      </c>
    </row>
    <row r="1991" spans="1:11" x14ac:dyDescent="0.35">
      <c r="A1991" s="2" t="s">
        <v>2419</v>
      </c>
      <c r="B1991" s="3">
        <v>45645</v>
      </c>
      <c r="C1991" s="2" t="s">
        <v>95</v>
      </c>
      <c r="D1991" s="2" t="s">
        <v>431</v>
      </c>
      <c r="E1991" s="2" t="s">
        <v>32</v>
      </c>
      <c r="F1991" s="4">
        <v>10</v>
      </c>
      <c r="G1991" s="4">
        <v>1090</v>
      </c>
      <c r="H1991" s="4">
        <v>29.2</v>
      </c>
      <c r="I1991" s="4">
        <v>7717.2</v>
      </c>
      <c r="J1991" s="2" t="s">
        <v>69</v>
      </c>
      <c r="K1991" s="2" t="s">
        <v>62</v>
      </c>
    </row>
    <row r="1992" spans="1:11" x14ac:dyDescent="0.35">
      <c r="A1992" s="2" t="s">
        <v>2420</v>
      </c>
      <c r="B1992" s="3">
        <v>45616</v>
      </c>
      <c r="C1992" s="2" t="s">
        <v>1033</v>
      </c>
      <c r="D1992" s="2" t="s">
        <v>120</v>
      </c>
      <c r="E1992" s="2" t="s">
        <v>181</v>
      </c>
      <c r="F1992" s="4">
        <v>5</v>
      </c>
      <c r="G1992" s="4">
        <v>5100</v>
      </c>
      <c r="H1992" s="4">
        <v>28.4</v>
      </c>
      <c r="I1992" s="4">
        <v>18258</v>
      </c>
      <c r="J1992" s="2" t="s">
        <v>16</v>
      </c>
      <c r="K1992" s="2" t="s">
        <v>46</v>
      </c>
    </row>
    <row r="1993" spans="1:11" x14ac:dyDescent="0.35">
      <c r="A1993" s="2" t="s">
        <v>2421</v>
      </c>
      <c r="B1993" s="3">
        <v>45352</v>
      </c>
      <c r="C1993" s="2" t="s">
        <v>511</v>
      </c>
      <c r="D1993" s="2" t="s">
        <v>113</v>
      </c>
      <c r="E1993" s="2" t="s">
        <v>36</v>
      </c>
      <c r="F1993" s="4">
        <v>6</v>
      </c>
      <c r="G1993" s="4">
        <v>4880</v>
      </c>
      <c r="H1993" s="4">
        <v>16.8</v>
      </c>
      <c r="I1993" s="4">
        <v>24360.959999999999</v>
      </c>
      <c r="J1993" s="2" t="s">
        <v>16</v>
      </c>
      <c r="K1993" s="2" t="s">
        <v>23</v>
      </c>
    </row>
    <row r="1994" spans="1:11" x14ac:dyDescent="0.35">
      <c r="A1994" s="2" t="s">
        <v>2422</v>
      </c>
      <c r="B1994" s="3">
        <v>45451</v>
      </c>
      <c r="C1994" s="2" t="s">
        <v>626</v>
      </c>
      <c r="D1994" s="2" t="s">
        <v>293</v>
      </c>
      <c r="E1994" s="2" t="s">
        <v>272</v>
      </c>
      <c r="F1994" s="4">
        <v>1</v>
      </c>
      <c r="G1994" s="4">
        <v>5330</v>
      </c>
      <c r="H1994" s="4">
        <v>27.5</v>
      </c>
      <c r="I1994" s="4">
        <v>3864.25</v>
      </c>
      <c r="J1994" s="2" t="s">
        <v>16</v>
      </c>
      <c r="K1994" s="2" t="s">
        <v>62</v>
      </c>
    </row>
    <row r="1995" spans="1:11" x14ac:dyDescent="0.35">
      <c r="A1995" s="2" t="s">
        <v>2423</v>
      </c>
      <c r="B1995" s="3">
        <v>45477</v>
      </c>
      <c r="C1995" s="2" t="s">
        <v>71</v>
      </c>
      <c r="D1995" s="2" t="s">
        <v>224</v>
      </c>
      <c r="E1995" s="2" t="s">
        <v>158</v>
      </c>
      <c r="F1995" s="4">
        <v>7</v>
      </c>
      <c r="G1995" s="4">
        <v>2030</v>
      </c>
      <c r="H1995" s="4">
        <v>5.3</v>
      </c>
      <c r="I1995" s="4">
        <v>13456.87</v>
      </c>
      <c r="J1995" s="2" t="s">
        <v>69</v>
      </c>
      <c r="K1995" s="2" t="s">
        <v>17</v>
      </c>
    </row>
    <row r="1996" spans="1:11" x14ac:dyDescent="0.35">
      <c r="A1996" s="2" t="s">
        <v>2424</v>
      </c>
      <c r="B1996" s="3">
        <v>45360</v>
      </c>
      <c r="C1996" s="2" t="s">
        <v>52</v>
      </c>
      <c r="D1996" s="2" t="s">
        <v>108</v>
      </c>
      <c r="E1996" s="2" t="s">
        <v>45</v>
      </c>
      <c r="F1996" s="4">
        <v>7</v>
      </c>
      <c r="G1996" s="4">
        <v>3350</v>
      </c>
      <c r="H1996" s="4">
        <v>0.4</v>
      </c>
      <c r="I1996" s="4">
        <v>23356.2</v>
      </c>
      <c r="J1996" s="2" t="s">
        <v>16</v>
      </c>
      <c r="K1996" s="2" t="s">
        <v>46</v>
      </c>
    </row>
    <row r="1997" spans="1:11" x14ac:dyDescent="0.35">
      <c r="A1997" s="2" t="s">
        <v>2425</v>
      </c>
      <c r="B1997" s="3">
        <v>45292</v>
      </c>
      <c r="C1997" s="2" t="s">
        <v>92</v>
      </c>
      <c r="D1997" s="2" t="s">
        <v>155</v>
      </c>
      <c r="E1997" s="2" t="s">
        <v>117</v>
      </c>
      <c r="F1997" s="4">
        <v>6</v>
      </c>
      <c r="G1997" s="4">
        <v>3730</v>
      </c>
      <c r="H1997" s="4">
        <v>13.8</v>
      </c>
      <c r="I1997" s="4">
        <v>19291.560000000001</v>
      </c>
      <c r="J1997" s="2" t="s">
        <v>16</v>
      </c>
      <c r="K1997" s="2" t="s">
        <v>23</v>
      </c>
    </row>
    <row r="1998" spans="1:11" x14ac:dyDescent="0.35">
      <c r="A1998" s="2" t="s">
        <v>2426</v>
      </c>
      <c r="B1998" s="3">
        <v>45585</v>
      </c>
      <c r="C1998" s="2" t="s">
        <v>492</v>
      </c>
      <c r="D1998" s="2" t="s">
        <v>337</v>
      </c>
      <c r="E1998" s="2" t="s">
        <v>167</v>
      </c>
      <c r="F1998" s="4">
        <v>6</v>
      </c>
      <c r="G1998" s="4">
        <v>3970</v>
      </c>
      <c r="H1998" s="4">
        <v>5.8</v>
      </c>
      <c r="I1998" s="4">
        <v>22438.44</v>
      </c>
      <c r="J1998" s="2" t="s">
        <v>22</v>
      </c>
      <c r="K1998" s="2" t="s">
        <v>17</v>
      </c>
    </row>
    <row r="1999" spans="1:11" x14ac:dyDescent="0.35">
      <c r="A1999" s="2" t="s">
        <v>2427</v>
      </c>
      <c r="B1999" s="3">
        <v>45592</v>
      </c>
      <c r="C1999" s="2" t="s">
        <v>686</v>
      </c>
      <c r="D1999" s="2" t="s">
        <v>267</v>
      </c>
      <c r="E1999" s="2" t="s">
        <v>202</v>
      </c>
      <c r="F1999" s="4">
        <v>4</v>
      </c>
      <c r="G1999" s="4">
        <v>2210</v>
      </c>
      <c r="H1999" s="4">
        <v>18.2</v>
      </c>
      <c r="I1999" s="4">
        <v>7231.12</v>
      </c>
      <c r="J1999" s="2" t="s">
        <v>22</v>
      </c>
      <c r="K1999" s="2" t="s">
        <v>46</v>
      </c>
    </row>
    <row r="2000" spans="1:11" x14ac:dyDescent="0.35">
      <c r="A2000" s="2" t="s">
        <v>2428</v>
      </c>
      <c r="B2000" s="3">
        <v>45370</v>
      </c>
      <c r="C2000" s="2" t="s">
        <v>567</v>
      </c>
      <c r="D2000" s="2" t="s">
        <v>289</v>
      </c>
      <c r="E2000" s="2" t="s">
        <v>36</v>
      </c>
      <c r="F2000" s="4">
        <v>6</v>
      </c>
      <c r="G2000" s="4">
        <v>5410</v>
      </c>
      <c r="H2000" s="4">
        <v>15.5</v>
      </c>
      <c r="I2000" s="4">
        <v>27428.7</v>
      </c>
      <c r="J2000" s="2" t="s">
        <v>16</v>
      </c>
      <c r="K2000" s="2" t="s">
        <v>28</v>
      </c>
    </row>
    <row r="2001" spans="1:11" x14ac:dyDescent="0.35">
      <c r="A2001" s="2" t="s">
        <v>2429</v>
      </c>
      <c r="B2001" s="3">
        <v>45325</v>
      </c>
      <c r="C2001" s="2" t="s">
        <v>564</v>
      </c>
      <c r="D2001" s="2" t="s">
        <v>372</v>
      </c>
      <c r="E2001" s="2" t="s">
        <v>83</v>
      </c>
      <c r="F2001" s="4">
        <v>6</v>
      </c>
      <c r="G2001" s="4">
        <v>5080</v>
      </c>
      <c r="H2001" s="4">
        <v>28.1</v>
      </c>
      <c r="I2001" s="4">
        <v>21915.119999999999</v>
      </c>
      <c r="J2001" s="2" t="s">
        <v>16</v>
      </c>
      <c r="K2001" s="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F301"/>
  <sheetViews>
    <sheetView workbookViewId="0"/>
  </sheetViews>
  <sheetFormatPr defaultRowHeight="14.5" x14ac:dyDescent="0.35"/>
  <cols>
    <col min="1" max="1" width="13" customWidth="1"/>
    <col min="2" max="2" width="19" customWidth="1"/>
    <col min="3" max="3" width="5" customWidth="1"/>
    <col min="4" max="5" width="11" customWidth="1"/>
    <col min="6" max="6" width="13" customWidth="1"/>
  </cols>
  <sheetData>
    <row r="1" spans="1:6" x14ac:dyDescent="0.35">
      <c r="A1" s="1" t="s">
        <v>3</v>
      </c>
      <c r="B1" s="1" t="s">
        <v>2430</v>
      </c>
      <c r="C1" s="1" t="s">
        <v>2431</v>
      </c>
      <c r="D1" s="1" t="s">
        <v>2432</v>
      </c>
      <c r="E1" s="1" t="s">
        <v>2433</v>
      </c>
      <c r="F1" s="1" t="s">
        <v>2434</v>
      </c>
    </row>
    <row r="2" spans="1:6" x14ac:dyDescent="0.35">
      <c r="A2" s="2" t="s">
        <v>667</v>
      </c>
      <c r="B2" s="2" t="s">
        <v>2435</v>
      </c>
      <c r="C2" s="4">
        <v>36</v>
      </c>
      <c r="D2" s="2" t="s">
        <v>17</v>
      </c>
      <c r="E2" s="2" t="s">
        <v>2436</v>
      </c>
      <c r="F2" s="3">
        <v>44819</v>
      </c>
    </row>
    <row r="3" spans="1:6" x14ac:dyDescent="0.35">
      <c r="A3" s="2" t="s">
        <v>697</v>
      </c>
      <c r="B3" s="2" t="s">
        <v>2437</v>
      </c>
      <c r="C3" s="4">
        <v>42</v>
      </c>
      <c r="D3" s="2" t="s">
        <v>17</v>
      </c>
      <c r="E3" s="2" t="s">
        <v>2438</v>
      </c>
      <c r="F3" s="3">
        <v>44984</v>
      </c>
    </row>
    <row r="4" spans="1:6" x14ac:dyDescent="0.35">
      <c r="A4" s="2" t="s">
        <v>636</v>
      </c>
      <c r="B4" s="2" t="s">
        <v>2439</v>
      </c>
      <c r="C4" s="4">
        <v>33</v>
      </c>
      <c r="D4" s="2" t="s">
        <v>41</v>
      </c>
      <c r="E4" s="2" t="s">
        <v>2436</v>
      </c>
      <c r="F4" s="3">
        <v>44059</v>
      </c>
    </row>
    <row r="5" spans="1:6" x14ac:dyDescent="0.35">
      <c r="A5" s="2" t="s">
        <v>634</v>
      </c>
      <c r="B5" s="2" t="s">
        <v>2440</v>
      </c>
      <c r="C5" s="4">
        <v>53</v>
      </c>
      <c r="D5" s="2" t="s">
        <v>2441</v>
      </c>
      <c r="E5" s="2" t="s">
        <v>2436</v>
      </c>
      <c r="F5" s="3">
        <v>44054</v>
      </c>
    </row>
    <row r="6" spans="1:6" x14ac:dyDescent="0.35">
      <c r="A6" s="2" t="s">
        <v>915</v>
      </c>
      <c r="B6" s="2" t="s">
        <v>2442</v>
      </c>
      <c r="C6" s="4">
        <v>52</v>
      </c>
      <c r="D6" s="2" t="s">
        <v>23</v>
      </c>
      <c r="E6" s="2" t="s">
        <v>2438</v>
      </c>
      <c r="F6" s="3">
        <v>45037</v>
      </c>
    </row>
    <row r="7" spans="1:6" x14ac:dyDescent="0.35">
      <c r="A7" s="2" t="s">
        <v>123</v>
      </c>
      <c r="B7" s="2" t="s">
        <v>2443</v>
      </c>
      <c r="C7" s="4">
        <v>44</v>
      </c>
      <c r="D7" s="2" t="s">
        <v>17</v>
      </c>
      <c r="E7" s="2" t="s">
        <v>2444</v>
      </c>
      <c r="F7" s="3">
        <v>44302</v>
      </c>
    </row>
    <row r="8" spans="1:6" x14ac:dyDescent="0.35">
      <c r="A8" s="2" t="s">
        <v>799</v>
      </c>
      <c r="B8" s="2" t="s">
        <v>2445</v>
      </c>
      <c r="C8" s="4">
        <v>47</v>
      </c>
      <c r="D8" s="2" t="s">
        <v>46</v>
      </c>
      <c r="E8" s="2" t="s">
        <v>2436</v>
      </c>
      <c r="F8" s="3">
        <v>44498</v>
      </c>
    </row>
    <row r="9" spans="1:6" x14ac:dyDescent="0.35">
      <c r="A9" s="2" t="s">
        <v>71</v>
      </c>
      <c r="B9" s="2" t="s">
        <v>2446</v>
      </c>
      <c r="C9" s="4">
        <v>39</v>
      </c>
      <c r="D9" s="2" t="s">
        <v>17</v>
      </c>
      <c r="E9" s="2" t="s">
        <v>2444</v>
      </c>
      <c r="F9" s="3">
        <v>45162</v>
      </c>
    </row>
    <row r="10" spans="1:6" x14ac:dyDescent="0.35">
      <c r="A10" s="2" t="s">
        <v>394</v>
      </c>
      <c r="B10" s="2" t="s">
        <v>2447</v>
      </c>
      <c r="C10" s="4">
        <v>61</v>
      </c>
      <c r="D10" s="2" t="s">
        <v>41</v>
      </c>
      <c r="E10" s="2" t="s">
        <v>2436</v>
      </c>
      <c r="F10" s="3">
        <v>44343</v>
      </c>
    </row>
    <row r="11" spans="1:6" x14ac:dyDescent="0.35">
      <c r="A11" s="2" t="s">
        <v>494</v>
      </c>
      <c r="B11" s="2" t="s">
        <v>2448</v>
      </c>
      <c r="C11" s="4">
        <v>61</v>
      </c>
      <c r="D11" s="2" t="s">
        <v>41</v>
      </c>
      <c r="E11" s="2" t="s">
        <v>2444</v>
      </c>
      <c r="F11" s="3">
        <v>44975</v>
      </c>
    </row>
    <row r="12" spans="1:6" x14ac:dyDescent="0.35">
      <c r="A12" s="2" t="s">
        <v>591</v>
      </c>
      <c r="B12" s="2" t="s">
        <v>2449</v>
      </c>
      <c r="C12" s="4">
        <v>41</v>
      </c>
      <c r="D12" s="2" t="s">
        <v>23</v>
      </c>
      <c r="E12" s="2" t="s">
        <v>2438</v>
      </c>
      <c r="F12" s="3">
        <v>44821</v>
      </c>
    </row>
    <row r="13" spans="1:6" x14ac:dyDescent="0.35">
      <c r="A13" s="2" t="s">
        <v>302</v>
      </c>
      <c r="B13" s="2" t="s">
        <v>2450</v>
      </c>
      <c r="C13" s="4">
        <v>43</v>
      </c>
      <c r="D13" s="2" t="s">
        <v>17</v>
      </c>
      <c r="E13" s="2" t="s">
        <v>2436</v>
      </c>
      <c r="F13" s="3">
        <v>44718</v>
      </c>
    </row>
    <row r="14" spans="1:6" x14ac:dyDescent="0.35">
      <c r="A14" s="2" t="s">
        <v>139</v>
      </c>
      <c r="B14" s="2" t="s">
        <v>2451</v>
      </c>
      <c r="C14" s="4">
        <v>41</v>
      </c>
      <c r="D14" s="2" t="s">
        <v>28</v>
      </c>
      <c r="E14" s="2" t="s">
        <v>2436</v>
      </c>
      <c r="F14" s="3">
        <v>45018</v>
      </c>
    </row>
    <row r="15" spans="1:6" x14ac:dyDescent="0.35">
      <c r="A15" s="2" t="s">
        <v>1593</v>
      </c>
      <c r="B15" s="2" t="s">
        <v>2452</v>
      </c>
      <c r="C15" s="4">
        <v>48</v>
      </c>
      <c r="D15" s="2" t="s">
        <v>46</v>
      </c>
      <c r="E15" s="2" t="s">
        <v>2436</v>
      </c>
      <c r="F15" s="3">
        <v>45225</v>
      </c>
    </row>
    <row r="16" spans="1:6" x14ac:dyDescent="0.35">
      <c r="A16" s="2" t="s">
        <v>1458</v>
      </c>
      <c r="B16" s="2" t="s">
        <v>2453</v>
      </c>
      <c r="C16" s="4">
        <v>31</v>
      </c>
      <c r="D16" s="2" t="s">
        <v>23</v>
      </c>
      <c r="E16" s="2" t="s">
        <v>2436</v>
      </c>
      <c r="F16" s="3">
        <v>44654</v>
      </c>
    </row>
    <row r="17" spans="1:6" x14ac:dyDescent="0.35">
      <c r="A17" s="2" t="s">
        <v>654</v>
      </c>
      <c r="B17" s="2" t="s">
        <v>2454</v>
      </c>
      <c r="C17" s="4">
        <v>26</v>
      </c>
      <c r="D17" s="2" t="s">
        <v>28</v>
      </c>
      <c r="E17" s="2" t="s">
        <v>2444</v>
      </c>
      <c r="F17" s="3">
        <v>45196</v>
      </c>
    </row>
    <row r="18" spans="1:6" x14ac:dyDescent="0.35">
      <c r="A18" s="2" t="s">
        <v>797</v>
      </c>
      <c r="B18" s="2" t="s">
        <v>2455</v>
      </c>
      <c r="C18" s="4">
        <v>38</v>
      </c>
      <c r="D18" s="2" t="s">
        <v>28</v>
      </c>
      <c r="E18" s="2" t="s">
        <v>2444</v>
      </c>
      <c r="F18" s="3">
        <v>44752</v>
      </c>
    </row>
    <row r="19" spans="1:6" x14ac:dyDescent="0.35">
      <c r="A19" s="2" t="s">
        <v>319</v>
      </c>
      <c r="B19" s="2" t="s">
        <v>2456</v>
      </c>
      <c r="C19" s="4">
        <v>54</v>
      </c>
      <c r="D19" s="2" t="s">
        <v>17</v>
      </c>
      <c r="E19" s="2" t="s">
        <v>2444</v>
      </c>
      <c r="F19" s="3">
        <v>43968</v>
      </c>
    </row>
    <row r="20" spans="1:6" x14ac:dyDescent="0.35">
      <c r="A20" s="2" t="s">
        <v>724</v>
      </c>
      <c r="B20" s="2" t="s">
        <v>2457</v>
      </c>
      <c r="C20" s="4">
        <v>22</v>
      </c>
      <c r="D20" s="2" t="s">
        <v>23</v>
      </c>
      <c r="E20" s="2" t="s">
        <v>2436</v>
      </c>
      <c r="F20" s="3">
        <v>44375</v>
      </c>
    </row>
    <row r="21" spans="1:6" x14ac:dyDescent="0.35">
      <c r="A21" s="2" t="s">
        <v>241</v>
      </c>
      <c r="B21" s="2" t="s">
        <v>2458</v>
      </c>
      <c r="C21" s="4">
        <v>46</v>
      </c>
      <c r="D21" s="2" t="s">
        <v>62</v>
      </c>
      <c r="E21" s="2" t="s">
        <v>2436</v>
      </c>
      <c r="F21" s="3">
        <v>43835</v>
      </c>
    </row>
    <row r="22" spans="1:6" x14ac:dyDescent="0.35">
      <c r="A22" s="2" t="s">
        <v>1179</v>
      </c>
      <c r="B22" s="2" t="s">
        <v>2442</v>
      </c>
      <c r="C22" s="4">
        <v>44</v>
      </c>
      <c r="D22" s="2" t="s">
        <v>17</v>
      </c>
      <c r="E22" s="2" t="s">
        <v>2436</v>
      </c>
      <c r="F22" s="3">
        <v>44130</v>
      </c>
    </row>
    <row r="23" spans="1:6" x14ac:dyDescent="0.35">
      <c r="A23" s="2" t="s">
        <v>967</v>
      </c>
      <c r="B23" s="2" t="s">
        <v>2459</v>
      </c>
      <c r="C23" s="4">
        <v>55</v>
      </c>
      <c r="D23" s="2" t="s">
        <v>46</v>
      </c>
      <c r="E23" s="2" t="s">
        <v>2438</v>
      </c>
      <c r="F23" s="3">
        <v>44787</v>
      </c>
    </row>
    <row r="24" spans="1:6" x14ac:dyDescent="0.35">
      <c r="A24" s="2" t="s">
        <v>1223</v>
      </c>
      <c r="B24" s="2" t="s">
        <v>2460</v>
      </c>
      <c r="C24" s="4">
        <v>43</v>
      </c>
      <c r="D24" s="2" t="s">
        <v>23</v>
      </c>
      <c r="E24" s="2" t="s">
        <v>2444</v>
      </c>
      <c r="F24" s="3">
        <v>44403</v>
      </c>
    </row>
    <row r="25" spans="1:6" x14ac:dyDescent="0.35">
      <c r="A25" s="2" t="s">
        <v>354</v>
      </c>
      <c r="B25" s="2" t="s">
        <v>2461</v>
      </c>
      <c r="C25" s="4">
        <v>64</v>
      </c>
      <c r="D25" s="2" t="s">
        <v>2021</v>
      </c>
      <c r="E25" s="2" t="s">
        <v>2444</v>
      </c>
      <c r="F25" s="3">
        <v>44495</v>
      </c>
    </row>
    <row r="26" spans="1:6" x14ac:dyDescent="0.35">
      <c r="A26" s="2" t="s">
        <v>314</v>
      </c>
      <c r="B26" s="2" t="s">
        <v>2462</v>
      </c>
      <c r="C26" s="4">
        <v>23</v>
      </c>
      <c r="D26" s="2" t="s">
        <v>46</v>
      </c>
      <c r="E26" s="2" t="s">
        <v>2436</v>
      </c>
      <c r="F26" s="3">
        <v>44536</v>
      </c>
    </row>
    <row r="27" spans="1:6" x14ac:dyDescent="0.35">
      <c r="A27" s="2" t="s">
        <v>488</v>
      </c>
      <c r="B27" s="2" t="s">
        <v>2463</v>
      </c>
      <c r="C27" s="4">
        <v>62</v>
      </c>
      <c r="D27" s="2" t="s">
        <v>17</v>
      </c>
      <c r="E27" s="2" t="s">
        <v>2436</v>
      </c>
      <c r="F27" s="3">
        <v>43898</v>
      </c>
    </row>
    <row r="28" spans="1:6" x14ac:dyDescent="0.35">
      <c r="A28" s="2" t="s">
        <v>411</v>
      </c>
      <c r="B28" s="2" t="s">
        <v>2464</v>
      </c>
      <c r="C28" s="4">
        <v>52</v>
      </c>
      <c r="D28" s="2" t="s">
        <v>62</v>
      </c>
      <c r="E28" s="2" t="s">
        <v>2438</v>
      </c>
      <c r="F28" s="3">
        <v>45201</v>
      </c>
    </row>
    <row r="29" spans="1:6" x14ac:dyDescent="0.35">
      <c r="A29" s="2" t="s">
        <v>332</v>
      </c>
      <c r="B29" s="2" t="s">
        <v>2465</v>
      </c>
      <c r="C29" s="4">
        <v>59</v>
      </c>
      <c r="D29" s="2" t="s">
        <v>46</v>
      </c>
      <c r="E29" s="2" t="s">
        <v>2436</v>
      </c>
      <c r="F29" s="3">
        <v>44686</v>
      </c>
    </row>
    <row r="30" spans="1:6" x14ac:dyDescent="0.35">
      <c r="A30" s="2" t="s">
        <v>1804</v>
      </c>
      <c r="B30" s="2" t="s">
        <v>2466</v>
      </c>
      <c r="C30" s="4">
        <v>54</v>
      </c>
      <c r="D30" s="2" t="s">
        <v>23</v>
      </c>
      <c r="E30" s="2" t="s">
        <v>2438</v>
      </c>
      <c r="F30" s="3">
        <v>44930</v>
      </c>
    </row>
    <row r="31" spans="1:6" x14ac:dyDescent="0.35">
      <c r="A31" s="2" t="s">
        <v>686</v>
      </c>
      <c r="B31" s="2" t="s">
        <v>2467</v>
      </c>
      <c r="C31" s="4">
        <v>43</v>
      </c>
      <c r="D31" s="2" t="s">
        <v>46</v>
      </c>
      <c r="E31" s="2" t="s">
        <v>2438</v>
      </c>
      <c r="F31" s="3">
        <v>44151</v>
      </c>
    </row>
    <row r="32" spans="1:6" x14ac:dyDescent="0.35">
      <c r="A32" s="2" t="s">
        <v>192</v>
      </c>
      <c r="B32" s="2" t="s">
        <v>2468</v>
      </c>
      <c r="C32" s="4">
        <v>53</v>
      </c>
      <c r="D32" s="2" t="s">
        <v>62</v>
      </c>
      <c r="E32" s="2" t="s">
        <v>2436</v>
      </c>
      <c r="F32" s="3">
        <v>44599</v>
      </c>
    </row>
    <row r="33" spans="1:6" x14ac:dyDescent="0.35">
      <c r="A33" s="2" t="s">
        <v>253</v>
      </c>
      <c r="B33" s="2" t="s">
        <v>2469</v>
      </c>
      <c r="C33" s="4">
        <v>28</v>
      </c>
      <c r="D33" s="2" t="s">
        <v>62</v>
      </c>
      <c r="E33" s="2" t="s">
        <v>2436</v>
      </c>
      <c r="F33" s="3">
        <v>43908</v>
      </c>
    </row>
    <row r="34" spans="1:6" x14ac:dyDescent="0.35">
      <c r="A34" s="2" t="s">
        <v>220</v>
      </c>
      <c r="B34" s="2" t="s">
        <v>2470</v>
      </c>
      <c r="C34" s="4">
        <v>35</v>
      </c>
      <c r="D34" s="2" t="s">
        <v>28</v>
      </c>
      <c r="E34" s="2" t="s">
        <v>2436</v>
      </c>
      <c r="F34" s="3">
        <v>44830</v>
      </c>
    </row>
    <row r="35" spans="1:6" x14ac:dyDescent="0.35">
      <c r="A35" s="2" t="s">
        <v>897</v>
      </c>
      <c r="B35" s="2" t="s">
        <v>2471</v>
      </c>
      <c r="C35" s="4">
        <v>47</v>
      </c>
      <c r="D35" s="2" t="s">
        <v>28</v>
      </c>
      <c r="E35" s="2" t="s">
        <v>2436</v>
      </c>
      <c r="F35" s="3">
        <v>44182</v>
      </c>
    </row>
    <row r="36" spans="1:6" x14ac:dyDescent="0.35">
      <c r="A36" s="2" t="s">
        <v>128</v>
      </c>
      <c r="B36" s="2" t="s">
        <v>2472</v>
      </c>
      <c r="C36" s="4">
        <v>53</v>
      </c>
      <c r="D36" s="2" t="s">
        <v>62</v>
      </c>
      <c r="E36" s="2" t="s">
        <v>2436</v>
      </c>
      <c r="F36" s="3">
        <v>44532</v>
      </c>
    </row>
    <row r="37" spans="1:6" x14ac:dyDescent="0.35">
      <c r="A37" s="2" t="s">
        <v>602</v>
      </c>
      <c r="B37" s="2" t="s">
        <v>2473</v>
      </c>
      <c r="C37" s="4">
        <v>35</v>
      </c>
      <c r="D37" s="2" t="s">
        <v>41</v>
      </c>
      <c r="E37" s="2" t="s">
        <v>2436</v>
      </c>
      <c r="F37" s="3">
        <v>44617</v>
      </c>
    </row>
    <row r="38" spans="1:6" x14ac:dyDescent="0.35">
      <c r="A38" s="2" t="s">
        <v>764</v>
      </c>
      <c r="B38" s="2" t="s">
        <v>2474</v>
      </c>
      <c r="C38" s="4">
        <v>52</v>
      </c>
      <c r="D38" s="2" t="s">
        <v>46</v>
      </c>
      <c r="E38" s="2" t="s">
        <v>2436</v>
      </c>
      <c r="F38" s="3">
        <v>44468</v>
      </c>
    </row>
    <row r="39" spans="1:6" x14ac:dyDescent="0.35">
      <c r="A39" s="2" t="s">
        <v>803</v>
      </c>
      <c r="B39" s="2" t="s">
        <v>2475</v>
      </c>
      <c r="C39" s="4">
        <v>57</v>
      </c>
      <c r="D39" s="2" t="s">
        <v>41</v>
      </c>
      <c r="E39" s="2" t="s">
        <v>2436</v>
      </c>
      <c r="F39" s="3">
        <v>43843</v>
      </c>
    </row>
    <row r="40" spans="1:6" x14ac:dyDescent="0.35">
      <c r="A40" s="2" t="s">
        <v>766</v>
      </c>
      <c r="B40" s="2" t="s">
        <v>2476</v>
      </c>
      <c r="C40" s="4">
        <v>37</v>
      </c>
      <c r="D40" s="2" t="s">
        <v>46</v>
      </c>
      <c r="E40" s="2" t="s">
        <v>2436</v>
      </c>
      <c r="F40" s="3">
        <v>43989</v>
      </c>
    </row>
    <row r="41" spans="1:6" x14ac:dyDescent="0.35">
      <c r="A41" s="2" t="s">
        <v>213</v>
      </c>
      <c r="B41" s="2" t="s">
        <v>2477</v>
      </c>
      <c r="C41" s="4">
        <v>28</v>
      </c>
      <c r="D41" s="2" t="s">
        <v>23</v>
      </c>
      <c r="E41" s="2" t="s">
        <v>2436</v>
      </c>
      <c r="F41" s="3">
        <v>44625</v>
      </c>
    </row>
    <row r="42" spans="1:6" x14ac:dyDescent="0.35">
      <c r="A42" s="2" t="s">
        <v>439</v>
      </c>
      <c r="B42" s="2" t="s">
        <v>2478</v>
      </c>
      <c r="C42" s="4">
        <v>26</v>
      </c>
      <c r="D42" s="2" t="s">
        <v>46</v>
      </c>
      <c r="E42" s="2" t="s">
        <v>2444</v>
      </c>
      <c r="F42" s="3">
        <v>43895</v>
      </c>
    </row>
    <row r="43" spans="1:6" x14ac:dyDescent="0.35">
      <c r="A43" s="2" t="s">
        <v>269</v>
      </c>
      <c r="B43" s="2" t="s">
        <v>2479</v>
      </c>
      <c r="C43" s="4">
        <v>25</v>
      </c>
      <c r="D43" s="2" t="s">
        <v>17</v>
      </c>
      <c r="E43" s="2" t="s">
        <v>2436</v>
      </c>
      <c r="F43" s="3">
        <v>43843</v>
      </c>
    </row>
    <row r="44" spans="1:6" x14ac:dyDescent="0.35">
      <c r="A44" s="2" t="s">
        <v>441</v>
      </c>
      <c r="B44" s="2" t="s">
        <v>2480</v>
      </c>
      <c r="C44" s="4">
        <v>61</v>
      </c>
      <c r="D44" s="2" t="s">
        <v>62</v>
      </c>
      <c r="E44" s="2" t="s">
        <v>2436</v>
      </c>
      <c r="F44" s="3">
        <v>44553</v>
      </c>
    </row>
    <row r="45" spans="1:6" x14ac:dyDescent="0.35">
      <c r="A45" s="2" t="s">
        <v>670</v>
      </c>
      <c r="B45" s="2" t="s">
        <v>2481</v>
      </c>
      <c r="C45" s="4">
        <v>29</v>
      </c>
      <c r="D45" s="2" t="s">
        <v>62</v>
      </c>
      <c r="E45" s="2" t="s">
        <v>2444</v>
      </c>
      <c r="F45" s="3">
        <v>45084</v>
      </c>
    </row>
    <row r="46" spans="1:6" x14ac:dyDescent="0.35">
      <c r="A46" s="2" t="s">
        <v>731</v>
      </c>
      <c r="B46" s="2" t="s">
        <v>2482</v>
      </c>
      <c r="C46" s="4">
        <v>39</v>
      </c>
      <c r="D46" s="2" t="s">
        <v>23</v>
      </c>
      <c r="E46" s="2" t="s">
        <v>2444</v>
      </c>
      <c r="F46" s="3">
        <v>45156</v>
      </c>
    </row>
    <row r="47" spans="1:6" x14ac:dyDescent="0.35">
      <c r="A47" s="2" t="s">
        <v>932</v>
      </c>
      <c r="B47" s="2" t="s">
        <v>2483</v>
      </c>
      <c r="C47" s="4">
        <v>45</v>
      </c>
      <c r="D47" s="2" t="s">
        <v>28</v>
      </c>
      <c r="E47" s="2" t="s">
        <v>2444</v>
      </c>
      <c r="F47" s="3">
        <v>45144</v>
      </c>
    </row>
    <row r="48" spans="1:6" x14ac:dyDescent="0.35">
      <c r="A48" s="2" t="s">
        <v>447</v>
      </c>
      <c r="B48" s="2" t="s">
        <v>2484</v>
      </c>
      <c r="C48" s="4">
        <v>49</v>
      </c>
      <c r="D48" s="2" t="s">
        <v>17</v>
      </c>
      <c r="E48" s="2" t="s">
        <v>2436</v>
      </c>
      <c r="F48" s="3">
        <v>44066</v>
      </c>
    </row>
    <row r="49" spans="1:6" x14ac:dyDescent="0.35">
      <c r="A49" s="2" t="s">
        <v>419</v>
      </c>
      <c r="B49" s="2" t="s">
        <v>2485</v>
      </c>
      <c r="C49" s="4">
        <v>59</v>
      </c>
      <c r="D49" s="2" t="s">
        <v>28</v>
      </c>
      <c r="E49" s="2" t="s">
        <v>2436</v>
      </c>
      <c r="F49" s="3">
        <v>44479</v>
      </c>
    </row>
    <row r="50" spans="1:6" x14ac:dyDescent="0.35">
      <c r="A50" s="2" t="s">
        <v>1287</v>
      </c>
      <c r="B50" s="2" t="s">
        <v>2486</v>
      </c>
      <c r="C50" s="4">
        <v>42</v>
      </c>
      <c r="D50" s="2" t="s">
        <v>41</v>
      </c>
      <c r="E50" s="2" t="s">
        <v>2438</v>
      </c>
      <c r="F50" s="3">
        <v>45116</v>
      </c>
    </row>
    <row r="51" spans="1:6" x14ac:dyDescent="0.35">
      <c r="A51" s="2" t="s">
        <v>484</v>
      </c>
      <c r="B51" s="2" t="s">
        <v>2487</v>
      </c>
      <c r="C51" s="4">
        <v>37</v>
      </c>
      <c r="D51" s="2" t="s">
        <v>41</v>
      </c>
      <c r="E51" s="2" t="s">
        <v>2436</v>
      </c>
      <c r="F51" s="3">
        <v>43967</v>
      </c>
    </row>
    <row r="52" spans="1:6" x14ac:dyDescent="0.35">
      <c r="A52" s="2" t="s">
        <v>237</v>
      </c>
      <c r="B52" s="2" t="s">
        <v>2488</v>
      </c>
      <c r="C52" s="4">
        <v>54</v>
      </c>
      <c r="D52" s="2" t="s">
        <v>17</v>
      </c>
      <c r="E52" s="2" t="s">
        <v>2444</v>
      </c>
      <c r="F52" s="3">
        <v>44613</v>
      </c>
    </row>
    <row r="53" spans="1:6" x14ac:dyDescent="0.35">
      <c r="A53" s="2" t="s">
        <v>75</v>
      </c>
      <c r="B53" s="2" t="s">
        <v>2489</v>
      </c>
      <c r="C53" s="4">
        <v>38</v>
      </c>
      <c r="D53" s="2" t="s">
        <v>17</v>
      </c>
      <c r="E53" s="2" t="s">
        <v>2436</v>
      </c>
      <c r="F53" s="3">
        <v>44209</v>
      </c>
    </row>
    <row r="54" spans="1:6" x14ac:dyDescent="0.35">
      <c r="A54" s="2" t="s">
        <v>152</v>
      </c>
      <c r="B54" s="2" t="s">
        <v>2490</v>
      </c>
      <c r="C54" s="4">
        <v>53</v>
      </c>
      <c r="D54" s="2" t="s">
        <v>28</v>
      </c>
      <c r="E54" s="2" t="s">
        <v>2436</v>
      </c>
      <c r="F54" s="3">
        <v>44288</v>
      </c>
    </row>
    <row r="55" spans="1:6" x14ac:dyDescent="0.35">
      <c r="A55" s="2" t="s">
        <v>801</v>
      </c>
      <c r="B55" s="2" t="s">
        <v>2491</v>
      </c>
      <c r="C55" s="4">
        <v>62</v>
      </c>
      <c r="D55" s="2" t="s">
        <v>41</v>
      </c>
      <c r="E55" s="2" t="s">
        <v>2438</v>
      </c>
      <c r="F55" s="3">
        <v>44482</v>
      </c>
    </row>
    <row r="56" spans="1:6" x14ac:dyDescent="0.35">
      <c r="A56" s="2" t="s">
        <v>533</v>
      </c>
      <c r="B56" s="2" t="s">
        <v>2492</v>
      </c>
      <c r="C56" s="4">
        <v>34</v>
      </c>
      <c r="D56" s="2" t="s">
        <v>46</v>
      </c>
      <c r="E56" s="2" t="s">
        <v>2436</v>
      </c>
      <c r="F56" s="3">
        <v>44753</v>
      </c>
    </row>
    <row r="57" spans="1:6" x14ac:dyDescent="0.35">
      <c r="A57" s="2" t="s">
        <v>82</v>
      </c>
      <c r="B57" s="2" t="s">
        <v>2435</v>
      </c>
      <c r="C57" s="4">
        <v>46</v>
      </c>
      <c r="D57" s="2" t="s">
        <v>46</v>
      </c>
      <c r="E57" s="2" t="s">
        <v>2444</v>
      </c>
      <c r="F57" s="3">
        <v>45202</v>
      </c>
    </row>
    <row r="58" spans="1:6" x14ac:dyDescent="0.35">
      <c r="A58" s="2" t="s">
        <v>699</v>
      </c>
      <c r="B58" s="2" t="s">
        <v>2493</v>
      </c>
      <c r="C58" s="4">
        <v>35</v>
      </c>
      <c r="D58" s="2" t="s">
        <v>17</v>
      </c>
      <c r="E58" s="2" t="s">
        <v>2436</v>
      </c>
      <c r="F58" s="3">
        <v>43917</v>
      </c>
    </row>
    <row r="59" spans="1:6" x14ac:dyDescent="0.35">
      <c r="A59" s="2" t="s">
        <v>945</v>
      </c>
      <c r="B59" s="2" t="s">
        <v>2494</v>
      </c>
      <c r="C59" s="4">
        <v>49</v>
      </c>
      <c r="D59" s="2" t="s">
        <v>46</v>
      </c>
      <c r="E59" s="2" t="s">
        <v>2444</v>
      </c>
      <c r="F59" s="3">
        <v>44471</v>
      </c>
    </row>
    <row r="60" spans="1:6" x14ac:dyDescent="0.35">
      <c r="A60" s="2" t="s">
        <v>416</v>
      </c>
      <c r="B60" s="2" t="s">
        <v>2495</v>
      </c>
      <c r="C60" s="4">
        <v>29</v>
      </c>
      <c r="D60" s="2" t="s">
        <v>17</v>
      </c>
      <c r="E60" s="2" t="s">
        <v>2438</v>
      </c>
      <c r="F60" s="3">
        <v>44796</v>
      </c>
    </row>
    <row r="61" spans="1:6" x14ac:dyDescent="0.35">
      <c r="A61" s="2" t="s">
        <v>1101</v>
      </c>
      <c r="B61" s="2" t="s">
        <v>2496</v>
      </c>
      <c r="C61" s="4">
        <v>39</v>
      </c>
      <c r="D61" s="2" t="s">
        <v>17</v>
      </c>
      <c r="E61" s="2" t="s">
        <v>2436</v>
      </c>
      <c r="F61" s="3">
        <v>43897</v>
      </c>
    </row>
    <row r="62" spans="1:6" x14ac:dyDescent="0.35">
      <c r="A62" s="2" t="s">
        <v>673</v>
      </c>
      <c r="B62" s="2" t="s">
        <v>2497</v>
      </c>
      <c r="C62" s="4">
        <v>64</v>
      </c>
      <c r="D62" s="2" t="s">
        <v>62</v>
      </c>
      <c r="E62" s="2" t="s">
        <v>2436</v>
      </c>
      <c r="F62" s="3">
        <v>43971</v>
      </c>
    </row>
    <row r="63" spans="1:6" x14ac:dyDescent="0.35">
      <c r="A63" s="2" t="s">
        <v>664</v>
      </c>
      <c r="B63" s="2" t="s">
        <v>2498</v>
      </c>
      <c r="C63" s="4">
        <v>54</v>
      </c>
      <c r="D63" s="2" t="s">
        <v>17</v>
      </c>
      <c r="E63" s="2" t="s">
        <v>2436</v>
      </c>
      <c r="F63" s="3">
        <v>45016</v>
      </c>
    </row>
    <row r="64" spans="1:6" x14ac:dyDescent="0.35">
      <c r="A64" s="2" t="s">
        <v>1001</v>
      </c>
      <c r="B64" s="2" t="s">
        <v>2499</v>
      </c>
      <c r="C64" s="4">
        <v>53</v>
      </c>
      <c r="D64" s="2" t="s">
        <v>41</v>
      </c>
      <c r="E64" s="2" t="s">
        <v>2444</v>
      </c>
      <c r="F64" s="3">
        <v>44008</v>
      </c>
    </row>
    <row r="65" spans="1:6" x14ac:dyDescent="0.35">
      <c r="A65" s="2" t="s">
        <v>135</v>
      </c>
      <c r="B65" s="2" t="s">
        <v>2500</v>
      </c>
      <c r="C65" s="4">
        <v>40</v>
      </c>
      <c r="D65" s="2" t="s">
        <v>62</v>
      </c>
      <c r="E65" s="2" t="s">
        <v>2444</v>
      </c>
      <c r="F65" s="3">
        <v>45070</v>
      </c>
    </row>
    <row r="66" spans="1:6" x14ac:dyDescent="0.35">
      <c r="A66" s="2" t="s">
        <v>1109</v>
      </c>
      <c r="B66" s="2" t="s">
        <v>2501</v>
      </c>
      <c r="C66" s="4">
        <v>49</v>
      </c>
      <c r="D66" s="2" t="s">
        <v>23</v>
      </c>
      <c r="E66" s="2" t="s">
        <v>2438</v>
      </c>
      <c r="F66" s="3">
        <v>44543</v>
      </c>
    </row>
    <row r="67" spans="1:6" x14ac:dyDescent="0.35">
      <c r="A67" s="2" t="s">
        <v>643</v>
      </c>
      <c r="B67" s="2" t="s">
        <v>2502</v>
      </c>
      <c r="C67" s="4">
        <v>24</v>
      </c>
      <c r="D67" s="2" t="s">
        <v>28</v>
      </c>
      <c r="E67" s="2" t="s">
        <v>2436</v>
      </c>
      <c r="F67" s="3">
        <v>44851</v>
      </c>
    </row>
    <row r="68" spans="1:6" x14ac:dyDescent="0.35">
      <c r="A68" s="2" t="s">
        <v>403</v>
      </c>
      <c r="B68" s="2" t="s">
        <v>2503</v>
      </c>
      <c r="C68" s="4">
        <v>59</v>
      </c>
      <c r="D68" s="2" t="s">
        <v>28</v>
      </c>
      <c r="E68" s="2" t="s">
        <v>2444</v>
      </c>
      <c r="F68" s="3">
        <v>44020</v>
      </c>
    </row>
    <row r="69" spans="1:6" x14ac:dyDescent="0.35">
      <c r="A69" s="2" t="s">
        <v>462</v>
      </c>
      <c r="B69" s="2" t="s">
        <v>2504</v>
      </c>
      <c r="C69" s="4">
        <v>48</v>
      </c>
      <c r="D69" s="2" t="s">
        <v>28</v>
      </c>
      <c r="E69" s="2" t="s">
        <v>2444</v>
      </c>
      <c r="F69" s="3">
        <v>44553</v>
      </c>
    </row>
    <row r="70" spans="1:6" x14ac:dyDescent="0.35">
      <c r="A70" s="2" t="s">
        <v>146</v>
      </c>
      <c r="B70" s="2" t="s">
        <v>2505</v>
      </c>
      <c r="C70" s="4">
        <v>51</v>
      </c>
      <c r="D70" s="2" t="s">
        <v>23</v>
      </c>
      <c r="E70" s="2" t="s">
        <v>2436</v>
      </c>
      <c r="F70" s="3">
        <v>43906</v>
      </c>
    </row>
    <row r="71" spans="1:6" x14ac:dyDescent="0.35">
      <c r="A71" s="2" t="s">
        <v>300</v>
      </c>
      <c r="B71" s="2" t="s">
        <v>2506</v>
      </c>
      <c r="C71" s="4">
        <v>42</v>
      </c>
      <c r="D71" s="2" t="s">
        <v>41</v>
      </c>
      <c r="E71" s="2" t="s">
        <v>2436</v>
      </c>
      <c r="F71" s="3">
        <v>44568</v>
      </c>
    </row>
    <row r="72" spans="1:6" x14ac:dyDescent="0.35">
      <c r="A72" s="2" t="s">
        <v>30</v>
      </c>
      <c r="B72" s="2" t="s">
        <v>2507</v>
      </c>
      <c r="C72" s="4">
        <v>46</v>
      </c>
      <c r="D72" s="2" t="s">
        <v>28</v>
      </c>
      <c r="E72" s="2" t="s">
        <v>2438</v>
      </c>
      <c r="F72" s="3">
        <v>44574</v>
      </c>
    </row>
    <row r="73" spans="1:6" x14ac:dyDescent="0.35">
      <c r="A73" s="2" t="s">
        <v>807</v>
      </c>
      <c r="B73" s="2" t="s">
        <v>2508</v>
      </c>
      <c r="C73" s="4">
        <v>62</v>
      </c>
      <c r="D73" s="2" t="s">
        <v>41</v>
      </c>
      <c r="E73" s="2" t="s">
        <v>2438</v>
      </c>
      <c r="F73" s="3">
        <v>44301</v>
      </c>
    </row>
    <row r="74" spans="1:6" x14ac:dyDescent="0.35">
      <c r="A74" s="2" t="s">
        <v>509</v>
      </c>
      <c r="B74" s="2" t="s">
        <v>2509</v>
      </c>
      <c r="C74" s="4">
        <v>40</v>
      </c>
      <c r="D74" s="2" t="s">
        <v>17</v>
      </c>
      <c r="E74" s="2" t="s">
        <v>2438</v>
      </c>
      <c r="F74" s="3">
        <v>45190</v>
      </c>
    </row>
    <row r="75" spans="1:6" x14ac:dyDescent="0.35">
      <c r="A75" s="2" t="s">
        <v>708</v>
      </c>
      <c r="B75" s="2" t="s">
        <v>2510</v>
      </c>
      <c r="C75" s="4">
        <v>27</v>
      </c>
      <c r="D75" s="2" t="s">
        <v>46</v>
      </c>
      <c r="E75" s="2" t="s">
        <v>2436</v>
      </c>
      <c r="F75" s="3">
        <v>45100</v>
      </c>
    </row>
    <row r="76" spans="1:6" x14ac:dyDescent="0.35">
      <c r="A76" s="2" t="s">
        <v>453</v>
      </c>
      <c r="B76" s="2" t="s">
        <v>2511</v>
      </c>
      <c r="C76" s="4">
        <v>55</v>
      </c>
      <c r="D76" s="2" t="s">
        <v>41</v>
      </c>
      <c r="E76" s="2" t="s">
        <v>2438</v>
      </c>
      <c r="F76" s="3">
        <v>43973</v>
      </c>
    </row>
    <row r="77" spans="1:6" x14ac:dyDescent="0.35">
      <c r="A77" s="2" t="s">
        <v>1279</v>
      </c>
      <c r="B77" s="2" t="s">
        <v>2512</v>
      </c>
      <c r="C77" s="4">
        <v>38</v>
      </c>
      <c r="D77" s="2" t="s">
        <v>41</v>
      </c>
      <c r="E77" s="2" t="s">
        <v>2436</v>
      </c>
      <c r="F77" s="3">
        <v>43964</v>
      </c>
    </row>
    <row r="78" spans="1:6" x14ac:dyDescent="0.35">
      <c r="A78" s="2" t="s">
        <v>466</v>
      </c>
      <c r="B78" s="2" t="s">
        <v>2513</v>
      </c>
      <c r="C78" s="4">
        <v>48</v>
      </c>
      <c r="D78" s="2" t="s">
        <v>62</v>
      </c>
      <c r="E78" s="2" t="s">
        <v>2444</v>
      </c>
      <c r="F78" s="3">
        <v>44443</v>
      </c>
    </row>
    <row r="79" spans="1:6" x14ac:dyDescent="0.35">
      <c r="A79" s="2" t="s">
        <v>251</v>
      </c>
      <c r="B79" s="2" t="s">
        <v>2514</v>
      </c>
      <c r="C79" s="4">
        <v>31</v>
      </c>
      <c r="D79" s="2" t="s">
        <v>28</v>
      </c>
      <c r="E79" s="2" t="s">
        <v>2436</v>
      </c>
      <c r="F79" s="3">
        <v>45133</v>
      </c>
    </row>
    <row r="80" spans="1:6" x14ac:dyDescent="0.35">
      <c r="A80" s="2" t="s">
        <v>480</v>
      </c>
      <c r="B80" s="2" t="s">
        <v>2515</v>
      </c>
      <c r="C80" s="4">
        <v>60</v>
      </c>
      <c r="D80" s="2" t="s">
        <v>41</v>
      </c>
      <c r="E80" s="2" t="s">
        <v>2438</v>
      </c>
      <c r="F80" s="3">
        <v>44271</v>
      </c>
    </row>
    <row r="81" spans="1:6" x14ac:dyDescent="0.35">
      <c r="A81" s="2" t="s">
        <v>369</v>
      </c>
      <c r="B81" s="2" t="s">
        <v>2516</v>
      </c>
      <c r="C81" s="4">
        <v>30</v>
      </c>
      <c r="D81" s="2" t="s">
        <v>17</v>
      </c>
      <c r="E81" s="2" t="s">
        <v>2444</v>
      </c>
      <c r="F81" s="3">
        <v>43901</v>
      </c>
    </row>
    <row r="82" spans="1:6" x14ac:dyDescent="0.35">
      <c r="A82" s="2" t="s">
        <v>295</v>
      </c>
      <c r="B82" s="2" t="s">
        <v>2517</v>
      </c>
      <c r="C82" s="4">
        <v>25</v>
      </c>
      <c r="D82" s="2" t="s">
        <v>41</v>
      </c>
      <c r="E82" s="2" t="s">
        <v>2436</v>
      </c>
      <c r="F82" s="3">
        <v>44331</v>
      </c>
    </row>
    <row r="83" spans="1:6" x14ac:dyDescent="0.35">
      <c r="A83" s="2" t="s">
        <v>249</v>
      </c>
      <c r="B83" s="2" t="s">
        <v>2518</v>
      </c>
      <c r="C83" s="4">
        <v>36</v>
      </c>
      <c r="D83" s="2" t="s">
        <v>62</v>
      </c>
      <c r="E83" s="2" t="s">
        <v>2444</v>
      </c>
      <c r="F83" s="3">
        <v>44152</v>
      </c>
    </row>
    <row r="84" spans="1:6" x14ac:dyDescent="0.35">
      <c r="A84" s="2" t="s">
        <v>1033</v>
      </c>
      <c r="B84" s="2" t="s">
        <v>2519</v>
      </c>
      <c r="C84" s="4">
        <v>31</v>
      </c>
      <c r="D84" s="2" t="s">
        <v>46</v>
      </c>
      <c r="E84" s="2" t="s">
        <v>2438</v>
      </c>
      <c r="F84" s="3">
        <v>44248</v>
      </c>
    </row>
    <row r="85" spans="1:6" x14ac:dyDescent="0.35">
      <c r="A85" s="2" t="s">
        <v>257</v>
      </c>
      <c r="B85" s="2" t="s">
        <v>2520</v>
      </c>
      <c r="C85" s="4">
        <v>28</v>
      </c>
      <c r="D85" s="2" t="s">
        <v>23</v>
      </c>
      <c r="E85" s="2" t="s">
        <v>2436</v>
      </c>
      <c r="F85" s="3">
        <v>44116</v>
      </c>
    </row>
    <row r="86" spans="1:6" x14ac:dyDescent="0.35">
      <c r="A86" s="2" t="s">
        <v>514</v>
      </c>
      <c r="B86" s="2" t="s">
        <v>2521</v>
      </c>
      <c r="C86" s="4">
        <v>26</v>
      </c>
      <c r="D86" s="2" t="s">
        <v>23</v>
      </c>
      <c r="E86" s="2" t="s">
        <v>2436</v>
      </c>
      <c r="F86" s="3">
        <v>45149</v>
      </c>
    </row>
    <row r="87" spans="1:6" x14ac:dyDescent="0.35">
      <c r="A87" s="2" t="s">
        <v>119</v>
      </c>
      <c r="B87" s="2" t="s">
        <v>2522</v>
      </c>
      <c r="C87" s="4">
        <v>56</v>
      </c>
      <c r="D87" s="2" t="s">
        <v>62</v>
      </c>
      <c r="E87" s="2" t="s">
        <v>2438</v>
      </c>
      <c r="F87" s="3">
        <v>45039</v>
      </c>
    </row>
    <row r="88" spans="1:6" x14ac:dyDescent="0.35">
      <c r="A88" s="2" t="s">
        <v>408</v>
      </c>
      <c r="B88" s="2" t="s">
        <v>2523</v>
      </c>
      <c r="C88" s="4">
        <v>49</v>
      </c>
      <c r="D88" s="2" t="s">
        <v>17</v>
      </c>
      <c r="E88" s="2" t="s">
        <v>2444</v>
      </c>
      <c r="F88" s="3">
        <v>44621</v>
      </c>
    </row>
    <row r="89" spans="1:6" x14ac:dyDescent="0.35">
      <c r="A89" s="2" t="s">
        <v>183</v>
      </c>
      <c r="B89" s="2" t="s">
        <v>2524</v>
      </c>
      <c r="C89" s="4">
        <v>24</v>
      </c>
      <c r="D89" s="2" t="s">
        <v>23</v>
      </c>
      <c r="E89" s="2" t="s">
        <v>2436</v>
      </c>
      <c r="F89" s="3">
        <v>44693</v>
      </c>
    </row>
    <row r="90" spans="1:6" x14ac:dyDescent="0.35">
      <c r="A90" s="2" t="s">
        <v>834</v>
      </c>
      <c r="B90" s="2" t="s">
        <v>2525</v>
      </c>
      <c r="C90" s="4">
        <v>43</v>
      </c>
      <c r="D90" s="2" t="s">
        <v>41</v>
      </c>
      <c r="E90" s="2" t="s">
        <v>2444</v>
      </c>
      <c r="F90" s="3">
        <v>44513</v>
      </c>
    </row>
    <row r="91" spans="1:6" x14ac:dyDescent="0.35">
      <c r="A91" s="2" t="s">
        <v>528</v>
      </c>
      <c r="B91" s="2" t="s">
        <v>2526</v>
      </c>
      <c r="C91" s="4">
        <v>26</v>
      </c>
      <c r="D91" s="2" t="s">
        <v>46</v>
      </c>
      <c r="E91" s="2" t="s">
        <v>2438</v>
      </c>
      <c r="F91" s="3">
        <v>44137</v>
      </c>
    </row>
    <row r="92" spans="1:6" x14ac:dyDescent="0.35">
      <c r="A92" s="2" t="s">
        <v>839</v>
      </c>
      <c r="B92" s="2" t="s">
        <v>2527</v>
      </c>
      <c r="C92" s="4">
        <v>55</v>
      </c>
      <c r="D92" s="2" t="s">
        <v>28</v>
      </c>
      <c r="E92" s="2" t="s">
        <v>2436</v>
      </c>
      <c r="F92" s="3">
        <v>45178</v>
      </c>
    </row>
    <row r="93" spans="1:6" x14ac:dyDescent="0.35">
      <c r="A93" s="2" t="s">
        <v>323</v>
      </c>
      <c r="B93" s="2" t="s">
        <v>2528</v>
      </c>
      <c r="C93" s="4">
        <v>28</v>
      </c>
      <c r="D93" s="2" t="s">
        <v>46</v>
      </c>
      <c r="E93" s="2" t="s">
        <v>2444</v>
      </c>
      <c r="F93" s="3">
        <v>44731</v>
      </c>
    </row>
    <row r="94" spans="1:6" x14ac:dyDescent="0.35">
      <c r="A94" s="2" t="s">
        <v>745</v>
      </c>
      <c r="B94" s="2" t="s">
        <v>2529</v>
      </c>
      <c r="C94" s="4">
        <v>36</v>
      </c>
      <c r="D94" s="2" t="s">
        <v>17</v>
      </c>
      <c r="E94" s="2" t="s">
        <v>2436</v>
      </c>
      <c r="F94" s="3">
        <v>44743</v>
      </c>
    </row>
    <row r="95" spans="1:6" x14ac:dyDescent="0.35">
      <c r="A95" s="2" t="s">
        <v>245</v>
      </c>
      <c r="B95" s="2" t="s">
        <v>2530</v>
      </c>
      <c r="C95" s="4">
        <v>60</v>
      </c>
      <c r="D95" s="2" t="s">
        <v>17</v>
      </c>
      <c r="E95" s="2" t="s">
        <v>2444</v>
      </c>
      <c r="F95" s="3">
        <v>44915</v>
      </c>
    </row>
    <row r="96" spans="1:6" x14ac:dyDescent="0.35">
      <c r="A96" s="2" t="s">
        <v>157</v>
      </c>
      <c r="B96" s="2" t="s">
        <v>2531</v>
      </c>
      <c r="C96" s="4">
        <v>54</v>
      </c>
      <c r="D96" s="2" t="s">
        <v>41</v>
      </c>
      <c r="E96" s="2" t="s">
        <v>2444</v>
      </c>
      <c r="F96" s="3">
        <v>44622</v>
      </c>
    </row>
    <row r="97" spans="1:6" x14ac:dyDescent="0.35">
      <c r="A97" s="2" t="s">
        <v>311</v>
      </c>
      <c r="B97" s="2" t="s">
        <v>2532</v>
      </c>
      <c r="C97" s="4">
        <v>27</v>
      </c>
      <c r="D97" s="2" t="s">
        <v>28</v>
      </c>
      <c r="E97" s="2" t="s">
        <v>2438</v>
      </c>
      <c r="F97" s="3">
        <v>44445</v>
      </c>
    </row>
    <row r="98" spans="1:6" x14ac:dyDescent="0.35">
      <c r="A98" s="2" t="s">
        <v>486</v>
      </c>
      <c r="B98" s="2" t="s">
        <v>2533</v>
      </c>
      <c r="C98" s="4">
        <v>65</v>
      </c>
      <c r="D98" s="2" t="s">
        <v>41</v>
      </c>
      <c r="E98" s="2" t="s">
        <v>2436</v>
      </c>
      <c r="F98" s="3">
        <v>43899</v>
      </c>
    </row>
    <row r="99" spans="1:6" x14ac:dyDescent="0.35">
      <c r="A99" s="2" t="s">
        <v>25</v>
      </c>
      <c r="B99" s="2" t="s">
        <v>2534</v>
      </c>
      <c r="C99" s="4">
        <v>52</v>
      </c>
      <c r="D99" s="2" t="s">
        <v>28</v>
      </c>
      <c r="E99" s="2" t="s">
        <v>2436</v>
      </c>
      <c r="F99" s="3">
        <v>44406</v>
      </c>
    </row>
    <row r="100" spans="1:6" x14ac:dyDescent="0.35">
      <c r="A100" s="2" t="s">
        <v>1653</v>
      </c>
      <c r="B100" s="2" t="s">
        <v>2535</v>
      </c>
      <c r="C100" s="4">
        <v>54</v>
      </c>
      <c r="D100" s="2" t="s">
        <v>46</v>
      </c>
      <c r="E100" s="2" t="s">
        <v>2444</v>
      </c>
      <c r="F100" s="3">
        <v>44938</v>
      </c>
    </row>
    <row r="101" spans="1:6" x14ac:dyDescent="0.35">
      <c r="A101" s="2" t="s">
        <v>1504</v>
      </c>
      <c r="B101" s="2" t="s">
        <v>2536</v>
      </c>
      <c r="C101" s="4">
        <v>60</v>
      </c>
      <c r="D101" s="2" t="s">
        <v>62</v>
      </c>
      <c r="E101" s="2" t="s">
        <v>2438</v>
      </c>
      <c r="F101" s="3">
        <v>45072</v>
      </c>
    </row>
    <row r="102" spans="1:6" x14ac:dyDescent="0.35">
      <c r="A102" s="2" t="s">
        <v>104</v>
      </c>
      <c r="B102" s="2" t="s">
        <v>2537</v>
      </c>
      <c r="C102" s="4">
        <v>40</v>
      </c>
      <c r="D102" s="2" t="s">
        <v>62</v>
      </c>
      <c r="E102" s="2" t="s">
        <v>2444</v>
      </c>
      <c r="F102" s="3">
        <v>44021</v>
      </c>
    </row>
    <row r="103" spans="1:6" x14ac:dyDescent="0.35">
      <c r="A103" s="2" t="s">
        <v>298</v>
      </c>
      <c r="B103" s="2" t="s">
        <v>2538</v>
      </c>
      <c r="C103" s="4">
        <v>62</v>
      </c>
      <c r="D103" s="2" t="s">
        <v>23</v>
      </c>
      <c r="E103" s="2" t="s">
        <v>2444</v>
      </c>
      <c r="F103" s="3">
        <v>45092</v>
      </c>
    </row>
    <row r="104" spans="1:6" x14ac:dyDescent="0.35">
      <c r="A104" s="2" t="s">
        <v>872</v>
      </c>
      <c r="B104" s="2" t="s">
        <v>2539</v>
      </c>
      <c r="C104" s="4">
        <v>54</v>
      </c>
      <c r="D104" s="2" t="s">
        <v>62</v>
      </c>
      <c r="E104" s="2" t="s">
        <v>2438</v>
      </c>
      <c r="F104" s="3">
        <v>45080</v>
      </c>
    </row>
    <row r="105" spans="1:6" x14ac:dyDescent="0.35">
      <c r="A105" s="2" t="s">
        <v>383</v>
      </c>
      <c r="B105" s="2" t="s">
        <v>2540</v>
      </c>
      <c r="C105" s="4">
        <v>43</v>
      </c>
      <c r="D105" s="2" t="s">
        <v>62</v>
      </c>
      <c r="E105" s="2" t="s">
        <v>2438</v>
      </c>
      <c r="F105" s="3">
        <v>44018</v>
      </c>
    </row>
    <row r="106" spans="1:6" x14ac:dyDescent="0.35">
      <c r="A106" s="2" t="s">
        <v>1237</v>
      </c>
      <c r="B106" s="2" t="s">
        <v>2541</v>
      </c>
      <c r="C106" s="4">
        <v>51</v>
      </c>
      <c r="D106" s="2" t="s">
        <v>23</v>
      </c>
      <c r="E106" s="2" t="s">
        <v>2444</v>
      </c>
      <c r="F106" s="3">
        <v>44060</v>
      </c>
    </row>
    <row r="107" spans="1:6" x14ac:dyDescent="0.35">
      <c r="A107" s="2" t="s">
        <v>342</v>
      </c>
      <c r="B107" s="2" t="s">
        <v>2542</v>
      </c>
      <c r="C107" s="4">
        <v>22</v>
      </c>
      <c r="D107" s="2" t="s">
        <v>17</v>
      </c>
      <c r="E107" s="2" t="s">
        <v>2436</v>
      </c>
      <c r="F107" s="3">
        <v>45192</v>
      </c>
    </row>
    <row r="108" spans="1:6" x14ac:dyDescent="0.35">
      <c r="A108" s="2" t="s">
        <v>101</v>
      </c>
      <c r="B108" s="2" t="s">
        <v>2543</v>
      </c>
      <c r="C108" s="4">
        <v>50</v>
      </c>
      <c r="D108" s="2" t="s">
        <v>17</v>
      </c>
      <c r="E108" s="2" t="s">
        <v>2436</v>
      </c>
      <c r="F108" s="3">
        <v>44007</v>
      </c>
    </row>
    <row r="109" spans="1:6" x14ac:dyDescent="0.35">
      <c r="A109" s="2" t="s">
        <v>260</v>
      </c>
      <c r="B109" s="2" t="s">
        <v>2544</v>
      </c>
      <c r="C109" s="4">
        <v>59</v>
      </c>
      <c r="D109" s="2" t="s">
        <v>46</v>
      </c>
      <c r="E109" s="2" t="s">
        <v>2438</v>
      </c>
      <c r="F109" s="3">
        <v>44382</v>
      </c>
    </row>
    <row r="110" spans="1:6" x14ac:dyDescent="0.35">
      <c r="A110" s="2" t="s">
        <v>1160</v>
      </c>
      <c r="B110" s="2" t="s">
        <v>2545</v>
      </c>
      <c r="C110" s="4">
        <v>42</v>
      </c>
      <c r="D110" s="2" t="s">
        <v>17</v>
      </c>
      <c r="E110" s="2" t="s">
        <v>2436</v>
      </c>
      <c r="F110" s="3">
        <v>44698</v>
      </c>
    </row>
    <row r="111" spans="1:6" x14ac:dyDescent="0.35">
      <c r="A111" s="2" t="s">
        <v>553</v>
      </c>
      <c r="B111" s="2" t="s">
        <v>2466</v>
      </c>
      <c r="C111" s="4">
        <v>31</v>
      </c>
      <c r="D111" s="2" t="s">
        <v>17</v>
      </c>
      <c r="E111" s="2" t="s">
        <v>2438</v>
      </c>
      <c r="F111" s="3">
        <v>44346</v>
      </c>
    </row>
    <row r="112" spans="1:6" x14ac:dyDescent="0.35">
      <c r="A112" s="2" t="s">
        <v>351</v>
      </c>
      <c r="B112" s="2" t="s">
        <v>2546</v>
      </c>
      <c r="C112" s="4">
        <v>64</v>
      </c>
      <c r="D112" s="2" t="s">
        <v>23</v>
      </c>
      <c r="E112" s="2" t="s">
        <v>2444</v>
      </c>
      <c r="F112" s="3">
        <v>44309</v>
      </c>
    </row>
    <row r="113" spans="1:6" x14ac:dyDescent="0.35">
      <c r="A113" s="2" t="s">
        <v>165</v>
      </c>
      <c r="B113" s="2" t="s">
        <v>2547</v>
      </c>
      <c r="C113" s="4">
        <v>64</v>
      </c>
      <c r="D113" s="2" t="s">
        <v>62</v>
      </c>
      <c r="E113" s="2" t="s">
        <v>2436</v>
      </c>
      <c r="F113" s="3">
        <v>44015</v>
      </c>
    </row>
    <row r="114" spans="1:6" x14ac:dyDescent="0.35">
      <c r="A114" s="2" t="s">
        <v>326</v>
      </c>
      <c r="B114" s="2" t="s">
        <v>2548</v>
      </c>
      <c r="C114" s="4">
        <v>30</v>
      </c>
      <c r="D114" s="2" t="s">
        <v>28</v>
      </c>
      <c r="E114" s="2" t="s">
        <v>2436</v>
      </c>
      <c r="F114" s="3">
        <v>44490</v>
      </c>
    </row>
    <row r="115" spans="1:6" x14ac:dyDescent="0.35">
      <c r="A115" s="2" t="s">
        <v>345</v>
      </c>
      <c r="B115" s="2" t="s">
        <v>2549</v>
      </c>
      <c r="C115" s="4">
        <v>42</v>
      </c>
      <c r="D115" s="2" t="s">
        <v>46</v>
      </c>
      <c r="E115" s="2" t="s">
        <v>2438</v>
      </c>
      <c r="F115" s="3">
        <v>44907</v>
      </c>
    </row>
    <row r="116" spans="1:6" x14ac:dyDescent="0.35">
      <c r="A116" s="2" t="s">
        <v>546</v>
      </c>
      <c r="B116" s="2" t="s">
        <v>2472</v>
      </c>
      <c r="C116" s="4">
        <v>65</v>
      </c>
      <c r="D116" s="2" t="s">
        <v>41</v>
      </c>
      <c r="E116" s="2" t="s">
        <v>2444</v>
      </c>
      <c r="F116" s="3">
        <v>44381</v>
      </c>
    </row>
    <row r="117" spans="1:6" x14ac:dyDescent="0.35">
      <c r="A117" s="2" t="s">
        <v>1552</v>
      </c>
      <c r="B117" s="2" t="s">
        <v>2550</v>
      </c>
      <c r="C117" s="4">
        <v>53</v>
      </c>
      <c r="D117" s="2" t="s">
        <v>2551</v>
      </c>
      <c r="E117" s="2" t="s">
        <v>2436</v>
      </c>
      <c r="F117" s="3">
        <v>44050</v>
      </c>
    </row>
    <row r="118" spans="1:6" x14ac:dyDescent="0.35">
      <c r="A118" s="2" t="s">
        <v>380</v>
      </c>
      <c r="B118" s="2" t="s">
        <v>2552</v>
      </c>
      <c r="C118" s="4">
        <v>34</v>
      </c>
      <c r="D118" s="2" t="s">
        <v>28</v>
      </c>
      <c r="E118" s="2" t="s">
        <v>2444</v>
      </c>
      <c r="F118" s="3">
        <v>44581</v>
      </c>
    </row>
    <row r="119" spans="1:6" x14ac:dyDescent="0.35">
      <c r="A119" s="2" t="s">
        <v>137</v>
      </c>
      <c r="B119" s="2" t="s">
        <v>2553</v>
      </c>
      <c r="C119" s="4">
        <v>26</v>
      </c>
      <c r="D119" s="2" t="s">
        <v>62</v>
      </c>
      <c r="E119" s="2" t="s">
        <v>2436</v>
      </c>
      <c r="F119" s="3">
        <v>44916</v>
      </c>
    </row>
    <row r="120" spans="1:6" x14ac:dyDescent="0.35">
      <c r="A120" s="2" t="s">
        <v>398</v>
      </c>
      <c r="B120" s="2" t="s">
        <v>2554</v>
      </c>
      <c r="C120" s="4">
        <v>43</v>
      </c>
      <c r="D120" s="2" t="s">
        <v>46</v>
      </c>
      <c r="E120" s="2" t="s">
        <v>2444</v>
      </c>
      <c r="F120" s="3">
        <v>44360</v>
      </c>
    </row>
    <row r="121" spans="1:6" x14ac:dyDescent="0.35">
      <c r="A121" s="2" t="s">
        <v>1163</v>
      </c>
      <c r="B121" s="2" t="s">
        <v>2555</v>
      </c>
      <c r="C121" s="4">
        <v>29</v>
      </c>
      <c r="D121" s="2" t="s">
        <v>41</v>
      </c>
      <c r="E121" s="2" t="s">
        <v>2436</v>
      </c>
      <c r="F121" s="3">
        <v>44871</v>
      </c>
    </row>
    <row r="122" spans="1:6" x14ac:dyDescent="0.35">
      <c r="A122" s="2" t="s">
        <v>451</v>
      </c>
      <c r="B122" s="2" t="s">
        <v>2556</v>
      </c>
      <c r="C122" s="4">
        <v>55</v>
      </c>
      <c r="D122" s="2" t="s">
        <v>28</v>
      </c>
      <c r="E122" s="2" t="s">
        <v>2444</v>
      </c>
      <c r="F122" s="3">
        <v>45119</v>
      </c>
    </row>
    <row r="123" spans="1:6" x14ac:dyDescent="0.35">
      <c r="A123" s="2" t="s">
        <v>1146</v>
      </c>
      <c r="B123" s="2" t="s">
        <v>2557</v>
      </c>
      <c r="C123" s="4">
        <v>44</v>
      </c>
      <c r="D123" s="2" t="s">
        <v>41</v>
      </c>
      <c r="E123" s="2" t="s">
        <v>2436</v>
      </c>
      <c r="F123" s="3">
        <v>44686</v>
      </c>
    </row>
    <row r="124" spans="1:6" x14ac:dyDescent="0.35">
      <c r="A124" s="2" t="s">
        <v>815</v>
      </c>
      <c r="B124" s="2" t="s">
        <v>2558</v>
      </c>
      <c r="C124" s="4">
        <v>44</v>
      </c>
      <c r="D124" s="2" t="s">
        <v>23</v>
      </c>
      <c r="E124" s="2" t="s">
        <v>2438</v>
      </c>
      <c r="F124" s="3">
        <v>44589</v>
      </c>
    </row>
    <row r="125" spans="1:6" x14ac:dyDescent="0.35">
      <c r="A125" s="2" t="s">
        <v>422</v>
      </c>
      <c r="B125" s="2" t="s">
        <v>2559</v>
      </c>
      <c r="C125" s="4">
        <v>57</v>
      </c>
      <c r="D125" s="2" t="s">
        <v>17</v>
      </c>
      <c r="E125" s="2" t="s">
        <v>2436</v>
      </c>
      <c r="F125" s="3">
        <v>44818</v>
      </c>
    </row>
    <row r="126" spans="1:6" x14ac:dyDescent="0.35">
      <c r="A126" s="2" t="s">
        <v>459</v>
      </c>
      <c r="B126" s="2" t="s">
        <v>2560</v>
      </c>
      <c r="C126" s="4">
        <v>45</v>
      </c>
      <c r="D126" s="2" t="s">
        <v>28</v>
      </c>
      <c r="E126" s="2" t="s">
        <v>2436</v>
      </c>
      <c r="F126" s="3">
        <v>44263</v>
      </c>
    </row>
    <row r="127" spans="1:6" x14ac:dyDescent="0.35">
      <c r="A127" s="2" t="s">
        <v>831</v>
      </c>
      <c r="B127" s="2" t="s">
        <v>2561</v>
      </c>
      <c r="C127" s="4">
        <v>37</v>
      </c>
      <c r="D127" s="2" t="s">
        <v>41</v>
      </c>
      <c r="E127" s="2" t="s">
        <v>2436</v>
      </c>
      <c r="F127" s="3">
        <v>44561</v>
      </c>
    </row>
    <row r="128" spans="1:6" x14ac:dyDescent="0.35">
      <c r="A128" s="2" t="s">
        <v>912</v>
      </c>
      <c r="B128" s="2" t="s">
        <v>2467</v>
      </c>
      <c r="C128" s="4">
        <v>36</v>
      </c>
      <c r="D128" s="2" t="s">
        <v>46</v>
      </c>
      <c r="E128" s="2" t="s">
        <v>2444</v>
      </c>
      <c r="F128" s="3">
        <v>45036</v>
      </c>
    </row>
    <row r="129" spans="1:6" x14ac:dyDescent="0.35">
      <c r="A129" s="2" t="s">
        <v>881</v>
      </c>
      <c r="B129" s="2" t="s">
        <v>2562</v>
      </c>
      <c r="C129" s="4">
        <v>35</v>
      </c>
      <c r="D129" s="2" t="s">
        <v>62</v>
      </c>
      <c r="E129" s="2" t="s">
        <v>2436</v>
      </c>
      <c r="F129" s="3">
        <v>44602</v>
      </c>
    </row>
    <row r="130" spans="1:6" x14ac:dyDescent="0.35">
      <c r="A130" s="2" t="s">
        <v>228</v>
      </c>
      <c r="B130" s="2" t="s">
        <v>2563</v>
      </c>
      <c r="C130" s="4">
        <v>29</v>
      </c>
      <c r="D130" s="2" t="s">
        <v>2564</v>
      </c>
      <c r="E130" s="2" t="s">
        <v>2436</v>
      </c>
      <c r="F130" s="3">
        <v>44930</v>
      </c>
    </row>
    <row r="131" spans="1:6" x14ac:dyDescent="0.35">
      <c r="A131" s="2" t="s">
        <v>770</v>
      </c>
      <c r="B131" s="2" t="s">
        <v>2565</v>
      </c>
      <c r="C131" s="4">
        <v>41</v>
      </c>
      <c r="D131" s="2" t="s">
        <v>46</v>
      </c>
      <c r="E131" s="2" t="s">
        <v>2438</v>
      </c>
      <c r="F131" s="3">
        <v>44897</v>
      </c>
    </row>
    <row r="132" spans="1:6" x14ac:dyDescent="0.35">
      <c r="A132" s="2" t="s">
        <v>288</v>
      </c>
      <c r="B132" s="2" t="s">
        <v>2566</v>
      </c>
      <c r="C132" s="4">
        <v>28</v>
      </c>
      <c r="D132" s="2" t="s">
        <v>2441</v>
      </c>
      <c r="E132" s="2" t="s">
        <v>2444</v>
      </c>
      <c r="F132" s="3">
        <v>44158</v>
      </c>
    </row>
    <row r="133" spans="1:6" x14ac:dyDescent="0.35">
      <c r="A133" s="2" t="s">
        <v>613</v>
      </c>
      <c r="B133" s="2" t="s">
        <v>2567</v>
      </c>
      <c r="C133" s="4">
        <v>41</v>
      </c>
      <c r="D133" s="2" t="s">
        <v>28</v>
      </c>
      <c r="E133" s="2" t="s">
        <v>2436</v>
      </c>
      <c r="F133" s="3">
        <v>44754</v>
      </c>
    </row>
    <row r="134" spans="1:6" x14ac:dyDescent="0.35">
      <c r="A134" s="2" t="s">
        <v>271</v>
      </c>
      <c r="B134" s="2" t="s">
        <v>2568</v>
      </c>
      <c r="C134" s="4">
        <v>26</v>
      </c>
      <c r="D134" s="2" t="s">
        <v>23</v>
      </c>
      <c r="E134" s="2" t="s">
        <v>2436</v>
      </c>
      <c r="F134" s="3">
        <v>43837</v>
      </c>
    </row>
    <row r="135" spans="1:6" x14ac:dyDescent="0.35">
      <c r="A135" s="2" t="s">
        <v>555</v>
      </c>
      <c r="B135" s="2" t="s">
        <v>2569</v>
      </c>
      <c r="C135" s="4">
        <v>40</v>
      </c>
      <c r="D135" s="2" t="s">
        <v>28</v>
      </c>
      <c r="E135" s="2" t="s">
        <v>2436</v>
      </c>
      <c r="F135" s="3">
        <v>45111</v>
      </c>
    </row>
    <row r="136" spans="1:6" x14ac:dyDescent="0.35">
      <c r="A136" s="2" t="s">
        <v>492</v>
      </c>
      <c r="B136" s="2" t="s">
        <v>2570</v>
      </c>
      <c r="C136" s="4">
        <v>24</v>
      </c>
      <c r="D136" s="2" t="s">
        <v>17</v>
      </c>
      <c r="E136" s="2" t="s">
        <v>2444</v>
      </c>
      <c r="F136" s="3">
        <v>44673</v>
      </c>
    </row>
    <row r="137" spans="1:6" x14ac:dyDescent="0.35">
      <c r="A137" s="2" t="s">
        <v>779</v>
      </c>
      <c r="B137" s="2" t="s">
        <v>2571</v>
      </c>
      <c r="C137" s="4">
        <v>26</v>
      </c>
      <c r="D137" s="2" t="s">
        <v>23</v>
      </c>
      <c r="E137" s="2" t="s">
        <v>2444</v>
      </c>
      <c r="F137" s="3">
        <v>44122</v>
      </c>
    </row>
    <row r="138" spans="1:6" x14ac:dyDescent="0.35">
      <c r="A138" s="2" t="s">
        <v>376</v>
      </c>
      <c r="B138" s="2" t="s">
        <v>2530</v>
      </c>
      <c r="C138" s="4">
        <v>41</v>
      </c>
      <c r="D138" s="2" t="s">
        <v>41</v>
      </c>
      <c r="E138" s="2" t="s">
        <v>2436</v>
      </c>
      <c r="F138" s="3">
        <v>44946</v>
      </c>
    </row>
    <row r="139" spans="1:6" x14ac:dyDescent="0.35">
      <c r="A139" s="2" t="s">
        <v>646</v>
      </c>
      <c r="B139" s="2" t="s">
        <v>2572</v>
      </c>
      <c r="C139" s="4">
        <v>24</v>
      </c>
      <c r="D139" s="2" t="s">
        <v>23</v>
      </c>
      <c r="E139" s="2" t="s">
        <v>2436</v>
      </c>
      <c r="F139" s="3">
        <v>43955</v>
      </c>
    </row>
    <row r="140" spans="1:6" x14ac:dyDescent="0.35">
      <c r="A140" s="2" t="s">
        <v>262</v>
      </c>
      <c r="B140" s="2" t="s">
        <v>2573</v>
      </c>
      <c r="C140" s="4">
        <v>65</v>
      </c>
      <c r="D140" s="2" t="s">
        <v>62</v>
      </c>
      <c r="E140" s="2" t="s">
        <v>2444</v>
      </c>
      <c r="F140" s="3">
        <v>43997</v>
      </c>
    </row>
    <row r="141" spans="1:6" x14ac:dyDescent="0.35">
      <c r="A141" s="2" t="s">
        <v>1982</v>
      </c>
      <c r="B141" s="2" t="s">
        <v>2574</v>
      </c>
      <c r="C141" s="4">
        <v>39</v>
      </c>
      <c r="D141" s="2" t="s">
        <v>62</v>
      </c>
      <c r="E141" s="2" t="s">
        <v>2444</v>
      </c>
      <c r="F141" s="3">
        <v>43854</v>
      </c>
    </row>
    <row r="142" spans="1:6" x14ac:dyDescent="0.35">
      <c r="A142" s="2" t="s">
        <v>557</v>
      </c>
      <c r="B142" s="2" t="s">
        <v>2575</v>
      </c>
      <c r="C142" s="4">
        <v>22</v>
      </c>
      <c r="D142" s="2" t="s">
        <v>62</v>
      </c>
      <c r="E142" s="2" t="s">
        <v>2438</v>
      </c>
      <c r="F142" s="3">
        <v>45069</v>
      </c>
    </row>
    <row r="143" spans="1:6" x14ac:dyDescent="0.35">
      <c r="A143" s="2" t="s">
        <v>107</v>
      </c>
      <c r="B143" s="2" t="s">
        <v>2518</v>
      </c>
      <c r="C143" s="4">
        <v>55</v>
      </c>
      <c r="D143" s="2" t="s">
        <v>2576</v>
      </c>
      <c r="E143" s="2" t="s">
        <v>2438</v>
      </c>
      <c r="F143" s="3">
        <v>44597</v>
      </c>
    </row>
    <row r="144" spans="1:6" x14ac:dyDescent="0.35">
      <c r="A144" s="2" t="s">
        <v>115</v>
      </c>
      <c r="B144" s="2" t="s">
        <v>2577</v>
      </c>
      <c r="C144" s="4">
        <v>52</v>
      </c>
      <c r="D144" s="2" t="s">
        <v>23</v>
      </c>
      <c r="E144" s="2" t="s">
        <v>2444</v>
      </c>
      <c r="F144" s="3">
        <v>44194</v>
      </c>
    </row>
    <row r="145" spans="1:6" x14ac:dyDescent="0.35">
      <c r="A145" s="2" t="s">
        <v>994</v>
      </c>
      <c r="B145" s="2" t="s">
        <v>2578</v>
      </c>
      <c r="C145" s="4">
        <v>49</v>
      </c>
      <c r="D145" s="2" t="s">
        <v>23</v>
      </c>
      <c r="E145" s="2" t="s">
        <v>2436</v>
      </c>
      <c r="F145" s="3">
        <v>44931</v>
      </c>
    </row>
    <row r="146" spans="1:6" x14ac:dyDescent="0.35">
      <c r="A146" s="2" t="s">
        <v>305</v>
      </c>
      <c r="B146" s="2" t="s">
        <v>2579</v>
      </c>
      <c r="C146" s="4">
        <v>44</v>
      </c>
      <c r="D146" s="2" t="s">
        <v>46</v>
      </c>
      <c r="E146" s="2" t="s">
        <v>2444</v>
      </c>
      <c r="F146" s="3">
        <v>44009</v>
      </c>
    </row>
    <row r="147" spans="1:6" x14ac:dyDescent="0.35">
      <c r="A147" s="2" t="s">
        <v>347</v>
      </c>
      <c r="B147" s="2" t="s">
        <v>2580</v>
      </c>
      <c r="C147" s="4">
        <v>22</v>
      </c>
      <c r="D147" s="2" t="s">
        <v>62</v>
      </c>
      <c r="E147" s="2" t="s">
        <v>2436</v>
      </c>
      <c r="F147" s="3">
        <v>44681</v>
      </c>
    </row>
    <row r="148" spans="1:6" x14ac:dyDescent="0.35">
      <c r="A148" s="2" t="s">
        <v>55</v>
      </c>
      <c r="B148" s="2" t="s">
        <v>2581</v>
      </c>
      <c r="C148" s="4">
        <v>56</v>
      </c>
      <c r="D148" s="2" t="s">
        <v>17</v>
      </c>
      <c r="E148" s="2" t="s">
        <v>2436</v>
      </c>
      <c r="F148" s="3">
        <v>44644</v>
      </c>
    </row>
    <row r="149" spans="1:6" x14ac:dyDescent="0.35">
      <c r="A149" s="2" t="s">
        <v>752</v>
      </c>
      <c r="B149" s="2" t="s">
        <v>2582</v>
      </c>
      <c r="C149" s="4">
        <v>32</v>
      </c>
      <c r="D149" s="2" t="s">
        <v>23</v>
      </c>
      <c r="E149" s="2" t="s">
        <v>2436</v>
      </c>
      <c r="F149" s="3">
        <v>44014</v>
      </c>
    </row>
    <row r="150" spans="1:6" x14ac:dyDescent="0.35">
      <c r="A150" s="2" t="s">
        <v>317</v>
      </c>
      <c r="B150" s="2" t="s">
        <v>2583</v>
      </c>
      <c r="C150" s="4">
        <v>44</v>
      </c>
      <c r="D150" s="2" t="s">
        <v>1750</v>
      </c>
      <c r="E150" s="2" t="s">
        <v>2436</v>
      </c>
      <c r="F150" s="3">
        <v>44390</v>
      </c>
    </row>
    <row r="151" spans="1:6" x14ac:dyDescent="0.35">
      <c r="A151" s="2" t="s">
        <v>336</v>
      </c>
      <c r="B151" s="2" t="s">
        <v>2573</v>
      </c>
      <c r="C151" s="4">
        <v>53</v>
      </c>
      <c r="D151" s="2" t="s">
        <v>17</v>
      </c>
      <c r="E151" s="2" t="s">
        <v>2444</v>
      </c>
      <c r="F151" s="3">
        <v>45208</v>
      </c>
    </row>
    <row r="152" spans="1:6" x14ac:dyDescent="0.35">
      <c r="A152" s="2" t="s">
        <v>544</v>
      </c>
      <c r="B152" s="2" t="s">
        <v>2584</v>
      </c>
      <c r="C152" s="4">
        <v>53</v>
      </c>
      <c r="D152" s="2" t="s">
        <v>41</v>
      </c>
      <c r="E152" s="2" t="s">
        <v>2436</v>
      </c>
      <c r="F152" s="3">
        <v>43999</v>
      </c>
    </row>
    <row r="153" spans="1:6" x14ac:dyDescent="0.35">
      <c r="A153" s="2" t="s">
        <v>160</v>
      </c>
      <c r="B153" s="2" t="s">
        <v>2585</v>
      </c>
      <c r="C153" s="4">
        <v>64</v>
      </c>
      <c r="D153" s="2" t="s">
        <v>46</v>
      </c>
      <c r="E153" s="2" t="s">
        <v>2444</v>
      </c>
      <c r="F153" s="3">
        <v>44209</v>
      </c>
    </row>
    <row r="154" spans="1:6" x14ac:dyDescent="0.35">
      <c r="A154" s="2" t="s">
        <v>615</v>
      </c>
      <c r="B154" s="2" t="s">
        <v>2586</v>
      </c>
      <c r="C154" s="4">
        <v>35</v>
      </c>
      <c r="D154" s="2" t="s">
        <v>41</v>
      </c>
      <c r="E154" s="2" t="s">
        <v>2436</v>
      </c>
      <c r="F154" s="3">
        <v>44787</v>
      </c>
    </row>
    <row r="155" spans="1:6" x14ac:dyDescent="0.35">
      <c r="A155" s="2" t="s">
        <v>736</v>
      </c>
      <c r="B155" s="2" t="s">
        <v>2587</v>
      </c>
      <c r="C155" s="4">
        <v>36</v>
      </c>
      <c r="D155" s="2" t="s">
        <v>17</v>
      </c>
      <c r="E155" s="2" t="s">
        <v>2436</v>
      </c>
      <c r="F155" s="3">
        <v>44370</v>
      </c>
    </row>
    <row r="156" spans="1:6" x14ac:dyDescent="0.35">
      <c r="A156" s="2" t="s">
        <v>537</v>
      </c>
      <c r="B156" s="2" t="s">
        <v>2588</v>
      </c>
      <c r="C156" s="4">
        <v>40</v>
      </c>
      <c r="D156" s="2" t="s">
        <v>17</v>
      </c>
      <c r="E156" s="2" t="s">
        <v>2438</v>
      </c>
      <c r="F156" s="3">
        <v>44693</v>
      </c>
    </row>
    <row r="157" spans="1:6" x14ac:dyDescent="0.35">
      <c r="A157" s="2" t="s">
        <v>965</v>
      </c>
      <c r="B157" s="2" t="s">
        <v>2589</v>
      </c>
      <c r="C157" s="4">
        <v>33</v>
      </c>
      <c r="D157" s="2" t="s">
        <v>41</v>
      </c>
      <c r="E157" s="2" t="s">
        <v>2436</v>
      </c>
      <c r="F157" s="3">
        <v>45229</v>
      </c>
    </row>
    <row r="158" spans="1:6" x14ac:dyDescent="0.35">
      <c r="A158" s="2" t="s">
        <v>632</v>
      </c>
      <c r="B158" s="2" t="s">
        <v>2590</v>
      </c>
      <c r="C158" s="4">
        <v>52</v>
      </c>
      <c r="D158" s="2" t="s">
        <v>17</v>
      </c>
      <c r="E158" s="2" t="s">
        <v>2438</v>
      </c>
      <c r="F158" s="3">
        <v>44896</v>
      </c>
    </row>
    <row r="159" spans="1:6" x14ac:dyDescent="0.35">
      <c r="A159" s="2" t="s">
        <v>1025</v>
      </c>
      <c r="B159" s="2" t="s">
        <v>2591</v>
      </c>
      <c r="C159" s="4">
        <v>42</v>
      </c>
      <c r="D159" s="2" t="s">
        <v>17</v>
      </c>
      <c r="E159" s="2" t="s">
        <v>2438</v>
      </c>
      <c r="F159" s="3">
        <v>44617</v>
      </c>
    </row>
    <row r="160" spans="1:6" x14ac:dyDescent="0.35">
      <c r="A160" s="2" t="s">
        <v>95</v>
      </c>
      <c r="B160" s="2" t="s">
        <v>2592</v>
      </c>
      <c r="C160" s="4">
        <v>32</v>
      </c>
      <c r="D160" s="2" t="s">
        <v>2564</v>
      </c>
      <c r="E160" s="2" t="s">
        <v>2436</v>
      </c>
      <c r="F160" s="3">
        <v>44432</v>
      </c>
    </row>
    <row r="161" spans="1:6" x14ac:dyDescent="0.35">
      <c r="A161" s="2" t="s">
        <v>584</v>
      </c>
      <c r="B161" s="2" t="s">
        <v>2593</v>
      </c>
      <c r="C161" s="4">
        <v>27</v>
      </c>
      <c r="D161" s="2" t="s">
        <v>62</v>
      </c>
      <c r="E161" s="2" t="s">
        <v>2436</v>
      </c>
      <c r="F161" s="3">
        <v>44481</v>
      </c>
    </row>
    <row r="162" spans="1:6" x14ac:dyDescent="0.35">
      <c r="A162" s="2" t="s">
        <v>218</v>
      </c>
      <c r="B162" s="2" t="s">
        <v>2594</v>
      </c>
      <c r="C162" s="4">
        <v>38</v>
      </c>
      <c r="D162" s="2" t="s">
        <v>23</v>
      </c>
      <c r="E162" s="2" t="s">
        <v>2436</v>
      </c>
      <c r="F162" s="3">
        <v>43880</v>
      </c>
    </row>
    <row r="163" spans="1:6" x14ac:dyDescent="0.35">
      <c r="A163" s="2" t="s">
        <v>449</v>
      </c>
      <c r="B163" s="2" t="s">
        <v>2595</v>
      </c>
      <c r="C163" s="4">
        <v>35</v>
      </c>
      <c r="D163" s="2" t="s">
        <v>41</v>
      </c>
      <c r="E163" s="2" t="s">
        <v>2438</v>
      </c>
      <c r="F163" s="3">
        <v>44741</v>
      </c>
    </row>
    <row r="164" spans="1:6" x14ac:dyDescent="0.35">
      <c r="A164" s="2" t="s">
        <v>414</v>
      </c>
      <c r="B164" s="2" t="s">
        <v>2462</v>
      </c>
      <c r="C164" s="4">
        <v>49</v>
      </c>
      <c r="D164" s="2" t="s">
        <v>17</v>
      </c>
      <c r="E164" s="2" t="s">
        <v>2436</v>
      </c>
      <c r="F164" s="3">
        <v>44971</v>
      </c>
    </row>
    <row r="165" spans="1:6" x14ac:dyDescent="0.35">
      <c r="A165" s="2" t="s">
        <v>282</v>
      </c>
      <c r="B165" s="2" t="s">
        <v>2447</v>
      </c>
      <c r="C165" s="4">
        <v>60</v>
      </c>
      <c r="D165" s="2" t="s">
        <v>23</v>
      </c>
      <c r="E165" s="2" t="s">
        <v>2436</v>
      </c>
      <c r="F165" s="3">
        <v>44739</v>
      </c>
    </row>
    <row r="166" spans="1:6" x14ac:dyDescent="0.35">
      <c r="A166" s="2" t="s">
        <v>386</v>
      </c>
      <c r="B166" s="2" t="s">
        <v>2481</v>
      </c>
      <c r="C166" s="4">
        <v>29</v>
      </c>
      <c r="D166" s="2" t="s">
        <v>17</v>
      </c>
      <c r="E166" s="2" t="s">
        <v>2436</v>
      </c>
      <c r="F166" s="3">
        <v>44046</v>
      </c>
    </row>
    <row r="167" spans="1:6" x14ac:dyDescent="0.35">
      <c r="A167" s="2" t="s">
        <v>598</v>
      </c>
      <c r="B167" s="2" t="s">
        <v>2596</v>
      </c>
      <c r="C167" s="4">
        <v>31</v>
      </c>
      <c r="D167" s="2" t="s">
        <v>62</v>
      </c>
      <c r="E167" s="2" t="s">
        <v>2436</v>
      </c>
      <c r="F167" s="3">
        <v>44331</v>
      </c>
    </row>
    <row r="168" spans="1:6" x14ac:dyDescent="0.35">
      <c r="A168" s="2" t="s">
        <v>567</v>
      </c>
      <c r="B168" s="2" t="s">
        <v>2597</v>
      </c>
      <c r="C168" s="4">
        <v>43</v>
      </c>
      <c r="D168" s="2" t="s">
        <v>28</v>
      </c>
      <c r="E168" s="2" t="s">
        <v>2436</v>
      </c>
      <c r="F168" s="3">
        <v>44891</v>
      </c>
    </row>
    <row r="169" spans="1:6" x14ac:dyDescent="0.35">
      <c r="A169" s="2" t="s">
        <v>210</v>
      </c>
      <c r="B169" s="2" t="s">
        <v>2598</v>
      </c>
      <c r="C169" s="4">
        <v>25</v>
      </c>
      <c r="D169" s="2" t="s">
        <v>17</v>
      </c>
      <c r="E169" s="2" t="s">
        <v>2436</v>
      </c>
      <c r="F169" s="3">
        <v>44406</v>
      </c>
    </row>
    <row r="170" spans="1:6" x14ac:dyDescent="0.35">
      <c r="A170" s="2" t="s">
        <v>539</v>
      </c>
      <c r="B170" s="2" t="s">
        <v>2599</v>
      </c>
      <c r="C170" s="4">
        <v>42</v>
      </c>
      <c r="D170" s="2" t="s">
        <v>46</v>
      </c>
      <c r="E170" s="2" t="s">
        <v>2444</v>
      </c>
      <c r="F170" s="3">
        <v>45072</v>
      </c>
    </row>
    <row r="171" spans="1:6" x14ac:dyDescent="0.35">
      <c r="A171" s="2" t="s">
        <v>279</v>
      </c>
      <c r="B171" s="2" t="s">
        <v>2600</v>
      </c>
      <c r="C171" s="4">
        <v>22</v>
      </c>
      <c r="D171" s="2" t="s">
        <v>41</v>
      </c>
      <c r="E171" s="2" t="s">
        <v>2444</v>
      </c>
      <c r="F171" s="3">
        <v>45110</v>
      </c>
    </row>
    <row r="172" spans="1:6" x14ac:dyDescent="0.35">
      <c r="A172" s="2" t="s">
        <v>518</v>
      </c>
      <c r="B172" s="2" t="s">
        <v>2601</v>
      </c>
      <c r="C172" s="4">
        <v>30</v>
      </c>
      <c r="D172" s="2" t="s">
        <v>23</v>
      </c>
      <c r="E172" s="2" t="s">
        <v>2438</v>
      </c>
      <c r="F172" s="3">
        <v>44540</v>
      </c>
    </row>
    <row r="173" spans="1:6" x14ac:dyDescent="0.35">
      <c r="A173" s="2" t="s">
        <v>371</v>
      </c>
      <c r="B173" s="2" t="s">
        <v>2602</v>
      </c>
      <c r="C173" s="4">
        <v>65</v>
      </c>
      <c r="D173" s="2" t="s">
        <v>17</v>
      </c>
      <c r="E173" s="2" t="s">
        <v>2436</v>
      </c>
      <c r="F173" s="3">
        <v>44918</v>
      </c>
    </row>
    <row r="174" spans="1:6" x14ac:dyDescent="0.35">
      <c r="A174" s="2" t="s">
        <v>482</v>
      </c>
      <c r="B174" s="2" t="s">
        <v>2603</v>
      </c>
      <c r="C174" s="4">
        <v>65</v>
      </c>
      <c r="D174" s="2" t="s">
        <v>41</v>
      </c>
      <c r="E174" s="2" t="s">
        <v>2436</v>
      </c>
      <c r="F174" s="3">
        <v>44342</v>
      </c>
    </row>
    <row r="175" spans="1:6" x14ac:dyDescent="0.35">
      <c r="A175" s="2" t="s">
        <v>874</v>
      </c>
      <c r="B175" s="2" t="s">
        <v>2604</v>
      </c>
      <c r="C175" s="4">
        <v>54</v>
      </c>
      <c r="D175" s="2" t="s">
        <v>17</v>
      </c>
      <c r="E175" s="2" t="s">
        <v>2436</v>
      </c>
      <c r="F175" s="3">
        <v>44609</v>
      </c>
    </row>
    <row r="176" spans="1:6" x14ac:dyDescent="0.35">
      <c r="A176" s="2" t="s">
        <v>195</v>
      </c>
      <c r="B176" s="2" t="s">
        <v>2605</v>
      </c>
      <c r="C176" s="4">
        <v>55</v>
      </c>
      <c r="D176" s="2" t="s">
        <v>28</v>
      </c>
      <c r="E176" s="2" t="s">
        <v>2438</v>
      </c>
      <c r="F176" s="3">
        <v>44423</v>
      </c>
    </row>
    <row r="177" spans="1:6" x14ac:dyDescent="0.35">
      <c r="A177" s="2" t="s">
        <v>179</v>
      </c>
      <c r="B177" s="2" t="s">
        <v>2606</v>
      </c>
      <c r="C177" s="4">
        <v>34</v>
      </c>
      <c r="D177" s="2" t="s">
        <v>46</v>
      </c>
      <c r="E177" s="2" t="s">
        <v>2444</v>
      </c>
      <c r="F177" s="3">
        <v>44091</v>
      </c>
    </row>
    <row r="178" spans="1:6" x14ac:dyDescent="0.35">
      <c r="A178" s="2" t="s">
        <v>141</v>
      </c>
      <c r="B178" s="2" t="s">
        <v>2533</v>
      </c>
      <c r="C178" s="4">
        <v>36</v>
      </c>
      <c r="D178" s="2" t="s">
        <v>41</v>
      </c>
      <c r="E178" s="2" t="s">
        <v>2444</v>
      </c>
      <c r="F178" s="3">
        <v>44589</v>
      </c>
    </row>
    <row r="179" spans="1:6" x14ac:dyDescent="0.35">
      <c r="A179" s="2" t="s">
        <v>473</v>
      </c>
      <c r="B179" s="2" t="s">
        <v>2607</v>
      </c>
      <c r="C179" s="4">
        <v>25</v>
      </c>
      <c r="D179" s="2" t="s">
        <v>62</v>
      </c>
      <c r="E179" s="2" t="s">
        <v>2436</v>
      </c>
      <c r="F179" s="3">
        <v>45164</v>
      </c>
    </row>
    <row r="180" spans="1:6" x14ac:dyDescent="0.35">
      <c r="A180" s="2" t="s">
        <v>991</v>
      </c>
      <c r="B180" s="2" t="s">
        <v>2608</v>
      </c>
      <c r="C180" s="4">
        <v>54</v>
      </c>
      <c r="D180" s="2" t="s">
        <v>41</v>
      </c>
      <c r="E180" s="2" t="s">
        <v>2444</v>
      </c>
      <c r="F180" s="3">
        <v>44959</v>
      </c>
    </row>
    <row r="181" spans="1:6" x14ac:dyDescent="0.35">
      <c r="A181" s="2" t="s">
        <v>34</v>
      </c>
      <c r="B181" s="2" t="s">
        <v>2609</v>
      </c>
      <c r="C181" s="4">
        <v>36</v>
      </c>
      <c r="D181" s="2" t="s">
        <v>23</v>
      </c>
      <c r="E181" s="2" t="s">
        <v>2436</v>
      </c>
      <c r="F181" s="3">
        <v>45172</v>
      </c>
    </row>
    <row r="182" spans="1:6" x14ac:dyDescent="0.35">
      <c r="A182" s="2" t="s">
        <v>286</v>
      </c>
      <c r="B182" s="2" t="s">
        <v>2610</v>
      </c>
      <c r="C182" s="4">
        <v>38</v>
      </c>
      <c r="D182" s="2" t="s">
        <v>28</v>
      </c>
      <c r="E182" s="2" t="s">
        <v>2444</v>
      </c>
      <c r="F182" s="3">
        <v>44245</v>
      </c>
    </row>
    <row r="183" spans="1:6" x14ac:dyDescent="0.35">
      <c r="A183" s="2" t="s">
        <v>89</v>
      </c>
      <c r="B183" s="2" t="s">
        <v>2611</v>
      </c>
      <c r="C183" s="4">
        <v>54</v>
      </c>
      <c r="D183" s="2" t="s">
        <v>41</v>
      </c>
      <c r="E183" s="2" t="s">
        <v>2436</v>
      </c>
      <c r="F183" s="3">
        <v>43942</v>
      </c>
    </row>
    <row r="184" spans="1:6" x14ac:dyDescent="0.35">
      <c r="A184" s="2" t="s">
        <v>572</v>
      </c>
      <c r="B184" s="2" t="s">
        <v>2612</v>
      </c>
      <c r="C184" s="4">
        <v>27</v>
      </c>
      <c r="D184" s="2" t="s">
        <v>41</v>
      </c>
      <c r="E184" s="2" t="s">
        <v>2444</v>
      </c>
      <c r="F184" s="3">
        <v>43936</v>
      </c>
    </row>
    <row r="185" spans="1:6" x14ac:dyDescent="0.35">
      <c r="A185" s="2" t="s">
        <v>79</v>
      </c>
      <c r="B185" s="2" t="s">
        <v>2613</v>
      </c>
      <c r="C185" s="4">
        <v>63</v>
      </c>
      <c r="D185" s="2" t="s">
        <v>17</v>
      </c>
      <c r="E185" s="2" t="s">
        <v>2436</v>
      </c>
      <c r="F185" s="3">
        <v>44642</v>
      </c>
    </row>
    <row r="186" spans="1:6" x14ac:dyDescent="0.35">
      <c r="A186" s="2" t="s">
        <v>490</v>
      </c>
      <c r="B186" s="2" t="s">
        <v>2614</v>
      </c>
      <c r="C186" s="4">
        <v>43</v>
      </c>
      <c r="D186" s="2" t="s">
        <v>62</v>
      </c>
      <c r="E186" s="2" t="s">
        <v>2444</v>
      </c>
      <c r="F186" s="3">
        <v>44140</v>
      </c>
    </row>
    <row r="187" spans="1:6" x14ac:dyDescent="0.35">
      <c r="A187" s="2" t="s">
        <v>143</v>
      </c>
      <c r="B187" s="2" t="s">
        <v>2603</v>
      </c>
      <c r="C187" s="4">
        <v>42</v>
      </c>
      <c r="D187" s="2" t="s">
        <v>46</v>
      </c>
      <c r="E187" s="2" t="s">
        <v>2436</v>
      </c>
      <c r="F187" s="3">
        <v>45162</v>
      </c>
    </row>
    <row r="188" spans="1:6" x14ac:dyDescent="0.35">
      <c r="A188" s="2" t="s">
        <v>330</v>
      </c>
      <c r="B188" s="2" t="s">
        <v>2615</v>
      </c>
      <c r="C188" s="4">
        <v>51</v>
      </c>
      <c r="D188" s="2" t="s">
        <v>23</v>
      </c>
      <c r="E188" s="2" t="s">
        <v>2444</v>
      </c>
      <c r="F188" s="3">
        <v>43918</v>
      </c>
    </row>
    <row r="189" spans="1:6" x14ac:dyDescent="0.35">
      <c r="A189" s="2" t="s">
        <v>1190</v>
      </c>
      <c r="B189" s="2" t="s">
        <v>2616</v>
      </c>
      <c r="C189" s="4">
        <v>54</v>
      </c>
      <c r="D189" s="2" t="s">
        <v>46</v>
      </c>
      <c r="E189" s="2" t="s">
        <v>2436</v>
      </c>
      <c r="F189" s="3">
        <v>44476</v>
      </c>
    </row>
    <row r="190" spans="1:6" x14ac:dyDescent="0.35">
      <c r="A190" s="2" t="s">
        <v>230</v>
      </c>
      <c r="B190" s="2" t="s">
        <v>2617</v>
      </c>
      <c r="C190" s="4">
        <v>41</v>
      </c>
      <c r="D190" s="2" t="s">
        <v>23</v>
      </c>
      <c r="E190" s="2" t="s">
        <v>2436</v>
      </c>
      <c r="F190" s="3">
        <v>44392</v>
      </c>
    </row>
    <row r="191" spans="1:6" x14ac:dyDescent="0.35">
      <c r="A191" s="2" t="s">
        <v>757</v>
      </c>
      <c r="B191" s="2" t="s">
        <v>2618</v>
      </c>
      <c r="C191" s="4">
        <v>52</v>
      </c>
      <c r="D191" s="2" t="s">
        <v>62</v>
      </c>
      <c r="E191" s="2" t="s">
        <v>2436</v>
      </c>
      <c r="F191" s="3">
        <v>44668</v>
      </c>
    </row>
    <row r="192" spans="1:6" x14ac:dyDescent="0.35">
      <c r="A192" s="2" t="s">
        <v>223</v>
      </c>
      <c r="B192" s="2" t="s">
        <v>2619</v>
      </c>
      <c r="C192" s="4">
        <v>43</v>
      </c>
      <c r="D192" s="2" t="s">
        <v>62</v>
      </c>
      <c r="E192" s="2" t="s">
        <v>2444</v>
      </c>
      <c r="F192" s="3">
        <v>44080</v>
      </c>
    </row>
    <row r="193" spans="1:6" x14ac:dyDescent="0.35">
      <c r="A193" s="2" t="s">
        <v>358</v>
      </c>
      <c r="B193" s="2" t="s">
        <v>2620</v>
      </c>
      <c r="C193" s="4">
        <v>55</v>
      </c>
      <c r="D193" s="2" t="s">
        <v>46</v>
      </c>
      <c r="E193" s="2" t="s">
        <v>2436</v>
      </c>
      <c r="F193" s="3">
        <v>44663</v>
      </c>
    </row>
    <row r="194" spans="1:6" x14ac:dyDescent="0.35">
      <c r="A194" s="2" t="s">
        <v>239</v>
      </c>
      <c r="B194" s="2" t="s">
        <v>2621</v>
      </c>
      <c r="C194" s="4">
        <v>42</v>
      </c>
      <c r="D194" s="2" t="s">
        <v>46</v>
      </c>
      <c r="E194" s="2" t="s">
        <v>2436</v>
      </c>
      <c r="F194" s="3">
        <v>43886</v>
      </c>
    </row>
    <row r="195" spans="1:6" x14ac:dyDescent="0.35">
      <c r="A195" s="2" t="s">
        <v>187</v>
      </c>
      <c r="B195" s="2" t="s">
        <v>2472</v>
      </c>
      <c r="C195" s="4">
        <v>55</v>
      </c>
      <c r="D195" s="2" t="s">
        <v>28</v>
      </c>
      <c r="E195" s="2" t="s">
        <v>2444</v>
      </c>
      <c r="F195" s="3">
        <v>43869</v>
      </c>
    </row>
    <row r="196" spans="1:6" x14ac:dyDescent="0.35">
      <c r="A196" s="2" t="s">
        <v>850</v>
      </c>
      <c r="B196" s="2" t="s">
        <v>2622</v>
      </c>
      <c r="C196" s="4">
        <v>28</v>
      </c>
      <c r="D196" s="2" t="s">
        <v>46</v>
      </c>
      <c r="E196" s="2" t="s">
        <v>2436</v>
      </c>
      <c r="F196" s="3">
        <v>44056</v>
      </c>
    </row>
    <row r="197" spans="1:6" x14ac:dyDescent="0.35">
      <c r="A197" s="2" t="s">
        <v>609</v>
      </c>
      <c r="B197" s="2" t="s">
        <v>2623</v>
      </c>
      <c r="C197" s="4">
        <v>26</v>
      </c>
      <c r="D197" s="2" t="s">
        <v>23</v>
      </c>
      <c r="E197" s="2" t="s">
        <v>2436</v>
      </c>
      <c r="F197" s="3">
        <v>44738</v>
      </c>
    </row>
    <row r="198" spans="1:6" x14ac:dyDescent="0.35">
      <c r="A198" s="2" t="s">
        <v>392</v>
      </c>
      <c r="B198" s="2" t="s">
        <v>2624</v>
      </c>
      <c r="C198" s="4">
        <v>55</v>
      </c>
      <c r="D198" s="2" t="s">
        <v>46</v>
      </c>
      <c r="E198" s="2" t="s">
        <v>2436</v>
      </c>
      <c r="F198" s="3">
        <v>44715</v>
      </c>
    </row>
    <row r="199" spans="1:6" x14ac:dyDescent="0.35">
      <c r="A199" s="2" t="s">
        <v>550</v>
      </c>
      <c r="B199" s="2" t="s">
        <v>2625</v>
      </c>
      <c r="C199" s="4">
        <v>22</v>
      </c>
      <c r="D199" s="2" t="s">
        <v>23</v>
      </c>
      <c r="E199" s="2" t="s">
        <v>2438</v>
      </c>
      <c r="F199" s="3">
        <v>44907</v>
      </c>
    </row>
    <row r="200" spans="1:6" x14ac:dyDescent="0.35">
      <c r="A200" s="2" t="s">
        <v>895</v>
      </c>
      <c r="B200" s="2" t="s">
        <v>2626</v>
      </c>
      <c r="C200" s="4">
        <v>31</v>
      </c>
      <c r="D200" s="2" t="s">
        <v>62</v>
      </c>
      <c r="E200" s="2" t="s">
        <v>2444</v>
      </c>
      <c r="F200" s="3">
        <v>44821</v>
      </c>
    </row>
    <row r="201" spans="1:6" x14ac:dyDescent="0.35">
      <c r="A201" s="2" t="s">
        <v>234</v>
      </c>
      <c r="B201" s="2" t="s">
        <v>2570</v>
      </c>
      <c r="C201" s="4">
        <v>46</v>
      </c>
      <c r="D201" s="2" t="s">
        <v>2564</v>
      </c>
      <c r="E201" s="2" t="s">
        <v>2438</v>
      </c>
      <c r="F201" s="3">
        <v>44396</v>
      </c>
    </row>
    <row r="202" spans="1:6" x14ac:dyDescent="0.35">
      <c r="A202" s="2" t="s">
        <v>837</v>
      </c>
      <c r="B202" s="2" t="s">
        <v>2627</v>
      </c>
      <c r="C202" s="4">
        <v>31</v>
      </c>
      <c r="D202" s="2" t="s">
        <v>62</v>
      </c>
      <c r="E202" s="2" t="s">
        <v>2436</v>
      </c>
      <c r="F202" s="3">
        <v>44629</v>
      </c>
    </row>
    <row r="203" spans="1:6" x14ac:dyDescent="0.35">
      <c r="A203" s="2" t="s">
        <v>19</v>
      </c>
      <c r="B203" s="2" t="s">
        <v>2628</v>
      </c>
      <c r="C203" s="4">
        <v>39</v>
      </c>
      <c r="D203" s="2" t="s">
        <v>23</v>
      </c>
      <c r="E203" s="2" t="s">
        <v>2436</v>
      </c>
      <c r="F203" s="3">
        <v>44149</v>
      </c>
    </row>
    <row r="204" spans="1:6" x14ac:dyDescent="0.35">
      <c r="A204" s="2" t="s">
        <v>201</v>
      </c>
      <c r="B204" s="2" t="s">
        <v>2629</v>
      </c>
      <c r="C204" s="4">
        <v>55</v>
      </c>
      <c r="D204" s="2" t="s">
        <v>23</v>
      </c>
      <c r="E204" s="2" t="s">
        <v>2444</v>
      </c>
      <c r="F204" s="3">
        <v>44912</v>
      </c>
    </row>
    <row r="205" spans="1:6" x14ac:dyDescent="0.35">
      <c r="A205" s="2" t="s">
        <v>59</v>
      </c>
      <c r="B205" s="2" t="s">
        <v>2630</v>
      </c>
      <c r="C205" s="4">
        <v>60</v>
      </c>
      <c r="D205" s="2" t="s">
        <v>62</v>
      </c>
      <c r="E205" s="2" t="s">
        <v>2436</v>
      </c>
      <c r="F205" s="3">
        <v>44738</v>
      </c>
    </row>
    <row r="206" spans="1:6" x14ac:dyDescent="0.35">
      <c r="A206" s="2" t="s">
        <v>906</v>
      </c>
      <c r="B206" s="2" t="s">
        <v>2476</v>
      </c>
      <c r="C206" s="4">
        <v>29</v>
      </c>
      <c r="D206" s="2" t="s">
        <v>17</v>
      </c>
      <c r="E206" s="2" t="s">
        <v>2438</v>
      </c>
      <c r="F206" s="3">
        <v>45075</v>
      </c>
    </row>
    <row r="207" spans="1:6" x14ac:dyDescent="0.35">
      <c r="A207" s="2" t="s">
        <v>899</v>
      </c>
      <c r="B207" s="2" t="s">
        <v>2513</v>
      </c>
      <c r="C207" s="4">
        <v>40</v>
      </c>
      <c r="D207" s="2" t="s">
        <v>41</v>
      </c>
      <c r="E207" s="2" t="s">
        <v>2436</v>
      </c>
      <c r="F207" s="3">
        <v>45127</v>
      </c>
    </row>
    <row r="208" spans="1:6" x14ac:dyDescent="0.35">
      <c r="A208" s="2" t="s">
        <v>1819</v>
      </c>
      <c r="B208" s="2" t="s">
        <v>2631</v>
      </c>
      <c r="C208" s="4">
        <v>34</v>
      </c>
      <c r="D208" s="2" t="s">
        <v>62</v>
      </c>
      <c r="E208" s="2" t="s">
        <v>2444</v>
      </c>
      <c r="F208" s="3">
        <v>43954</v>
      </c>
    </row>
    <row r="209" spans="1:6" x14ac:dyDescent="0.35">
      <c r="A209" s="2" t="s">
        <v>265</v>
      </c>
      <c r="B209" s="2" t="s">
        <v>2632</v>
      </c>
      <c r="C209" s="4">
        <v>49</v>
      </c>
      <c r="D209" s="2" t="s">
        <v>41</v>
      </c>
      <c r="E209" s="2" t="s">
        <v>2436</v>
      </c>
      <c r="F209" s="3">
        <v>45082</v>
      </c>
    </row>
    <row r="210" spans="1:6" x14ac:dyDescent="0.35">
      <c r="A210" s="2" t="s">
        <v>714</v>
      </c>
      <c r="B210" s="2" t="s">
        <v>2633</v>
      </c>
      <c r="C210" s="4">
        <v>31</v>
      </c>
      <c r="D210" s="2" t="s">
        <v>17</v>
      </c>
      <c r="E210" s="2" t="s">
        <v>2436</v>
      </c>
      <c r="F210" s="3">
        <v>44258</v>
      </c>
    </row>
    <row r="211" spans="1:6" x14ac:dyDescent="0.35">
      <c r="A211" s="2" t="s">
        <v>356</v>
      </c>
      <c r="B211" s="2" t="s">
        <v>2634</v>
      </c>
      <c r="C211" s="4">
        <v>48</v>
      </c>
      <c r="D211" s="2" t="s">
        <v>17</v>
      </c>
      <c r="E211" s="2" t="s">
        <v>2438</v>
      </c>
      <c r="F211" s="3">
        <v>44968</v>
      </c>
    </row>
    <row r="212" spans="1:6" x14ac:dyDescent="0.35">
      <c r="A212" s="2" t="s">
        <v>1120</v>
      </c>
      <c r="B212" s="2" t="s">
        <v>2635</v>
      </c>
      <c r="C212" s="4">
        <v>36</v>
      </c>
      <c r="D212" s="2" t="s">
        <v>46</v>
      </c>
      <c r="E212" s="2" t="s">
        <v>2436</v>
      </c>
      <c r="F212" s="3">
        <v>44251</v>
      </c>
    </row>
    <row r="213" spans="1:6" x14ac:dyDescent="0.35">
      <c r="A213" s="2" t="s">
        <v>629</v>
      </c>
      <c r="B213" s="2" t="s">
        <v>2636</v>
      </c>
      <c r="C213" s="4">
        <v>46</v>
      </c>
      <c r="D213" s="2" t="s">
        <v>23</v>
      </c>
      <c r="E213" s="2" t="s">
        <v>2444</v>
      </c>
      <c r="F213" s="3">
        <v>44594</v>
      </c>
    </row>
    <row r="214" spans="1:6" x14ac:dyDescent="0.35">
      <c r="A214" s="2" t="s">
        <v>984</v>
      </c>
      <c r="B214" s="2" t="s">
        <v>2472</v>
      </c>
      <c r="C214" s="4">
        <v>37</v>
      </c>
      <c r="D214" s="2" t="s">
        <v>41</v>
      </c>
      <c r="E214" s="2" t="s">
        <v>2436</v>
      </c>
      <c r="F214" s="3">
        <v>44431</v>
      </c>
    </row>
    <row r="215" spans="1:6" x14ac:dyDescent="0.35">
      <c r="A215" s="2" t="s">
        <v>811</v>
      </c>
      <c r="B215" s="2" t="s">
        <v>2637</v>
      </c>
      <c r="C215" s="4">
        <v>22</v>
      </c>
      <c r="D215" s="2" t="s">
        <v>41</v>
      </c>
      <c r="E215" s="2" t="s">
        <v>2436</v>
      </c>
      <c r="F215" s="3">
        <v>44453</v>
      </c>
    </row>
    <row r="216" spans="1:6" x14ac:dyDescent="0.35">
      <c r="A216" s="2" t="s">
        <v>691</v>
      </c>
      <c r="B216" s="2" t="s">
        <v>2638</v>
      </c>
      <c r="C216" s="4">
        <v>52</v>
      </c>
      <c r="D216" s="2" t="s">
        <v>62</v>
      </c>
      <c r="E216" s="2" t="s">
        <v>2436</v>
      </c>
      <c r="F216" s="3">
        <v>45105</v>
      </c>
    </row>
    <row r="217" spans="1:6" x14ac:dyDescent="0.35">
      <c r="A217" s="2" t="s">
        <v>321</v>
      </c>
      <c r="B217" s="2" t="s">
        <v>2639</v>
      </c>
      <c r="C217" s="4">
        <v>50</v>
      </c>
      <c r="D217" s="2" t="s">
        <v>41</v>
      </c>
      <c r="E217" s="2" t="s">
        <v>2436</v>
      </c>
      <c r="F217" s="3">
        <v>44204</v>
      </c>
    </row>
    <row r="218" spans="1:6" x14ac:dyDescent="0.35">
      <c r="A218" s="2" t="s">
        <v>785</v>
      </c>
      <c r="B218" s="2" t="s">
        <v>2640</v>
      </c>
      <c r="C218" s="4">
        <v>59</v>
      </c>
      <c r="D218" s="2" t="s">
        <v>17</v>
      </c>
      <c r="E218" s="2" t="s">
        <v>2444</v>
      </c>
      <c r="F218" s="3">
        <v>44877</v>
      </c>
    </row>
    <row r="219" spans="1:6" x14ac:dyDescent="0.35">
      <c r="A219" s="2" t="s">
        <v>526</v>
      </c>
      <c r="B219" s="2" t="s">
        <v>2641</v>
      </c>
      <c r="C219" s="4">
        <v>39</v>
      </c>
      <c r="D219" s="2" t="s">
        <v>41</v>
      </c>
      <c r="E219" s="2" t="s">
        <v>2436</v>
      </c>
      <c r="F219" s="3">
        <v>44849</v>
      </c>
    </row>
    <row r="220" spans="1:6" x14ac:dyDescent="0.35">
      <c r="A220" s="2" t="s">
        <v>274</v>
      </c>
      <c r="B220" s="2" t="s">
        <v>2642</v>
      </c>
      <c r="C220" s="4">
        <v>38</v>
      </c>
      <c r="D220" s="2" t="s">
        <v>23</v>
      </c>
      <c r="E220" s="2" t="s">
        <v>2438</v>
      </c>
      <c r="F220" s="3">
        <v>44321</v>
      </c>
    </row>
    <row r="221" spans="1:6" x14ac:dyDescent="0.35">
      <c r="A221" s="2" t="s">
        <v>1290</v>
      </c>
      <c r="B221" s="2" t="s">
        <v>2643</v>
      </c>
      <c r="C221" s="4">
        <v>34</v>
      </c>
      <c r="D221" s="2" t="s">
        <v>23</v>
      </c>
      <c r="E221" s="2" t="s">
        <v>2436</v>
      </c>
      <c r="F221" s="3">
        <v>43978</v>
      </c>
    </row>
    <row r="222" spans="1:6" x14ac:dyDescent="0.35">
      <c r="A222" s="2" t="s">
        <v>710</v>
      </c>
      <c r="B222" s="2" t="s">
        <v>2644</v>
      </c>
      <c r="C222" s="4">
        <v>29</v>
      </c>
      <c r="D222" s="2" t="s">
        <v>28</v>
      </c>
      <c r="E222" s="2" t="s">
        <v>2444</v>
      </c>
      <c r="F222" s="3">
        <v>44061</v>
      </c>
    </row>
    <row r="223" spans="1:6" x14ac:dyDescent="0.35">
      <c r="A223" s="2" t="s">
        <v>154</v>
      </c>
      <c r="B223" s="2" t="s">
        <v>2645</v>
      </c>
      <c r="C223" s="4">
        <v>37</v>
      </c>
      <c r="D223" s="2" t="s">
        <v>23</v>
      </c>
      <c r="E223" s="2" t="s">
        <v>2436</v>
      </c>
      <c r="F223" s="3">
        <v>43877</v>
      </c>
    </row>
    <row r="224" spans="1:6" x14ac:dyDescent="0.35">
      <c r="A224" s="2" t="s">
        <v>824</v>
      </c>
      <c r="B224" s="2" t="s">
        <v>2646</v>
      </c>
      <c r="C224" s="4">
        <v>46</v>
      </c>
      <c r="D224" s="2" t="s">
        <v>46</v>
      </c>
      <c r="E224" s="2" t="s">
        <v>2436</v>
      </c>
      <c r="F224" s="3">
        <v>44743</v>
      </c>
    </row>
    <row r="225" spans="1:6" x14ac:dyDescent="0.35">
      <c r="A225" s="2" t="s">
        <v>334</v>
      </c>
      <c r="B225" s="2" t="s">
        <v>2647</v>
      </c>
      <c r="C225" s="4">
        <v>24</v>
      </c>
      <c r="D225" s="2" t="s">
        <v>23</v>
      </c>
      <c r="E225" s="2" t="s">
        <v>2438</v>
      </c>
      <c r="F225" s="3">
        <v>44558</v>
      </c>
    </row>
    <row r="226" spans="1:6" x14ac:dyDescent="0.35">
      <c r="A226" s="2" t="s">
        <v>693</v>
      </c>
      <c r="B226" s="2" t="s">
        <v>2500</v>
      </c>
      <c r="C226" s="4">
        <v>26</v>
      </c>
      <c r="D226" s="2" t="s">
        <v>23</v>
      </c>
      <c r="E226" s="2" t="s">
        <v>2444</v>
      </c>
      <c r="F226" s="3">
        <v>44213</v>
      </c>
    </row>
    <row r="227" spans="1:6" x14ac:dyDescent="0.35">
      <c r="A227" s="2" t="s">
        <v>173</v>
      </c>
      <c r="B227" s="2" t="s">
        <v>2648</v>
      </c>
      <c r="C227" s="4">
        <v>52</v>
      </c>
      <c r="D227" s="2" t="s">
        <v>23</v>
      </c>
      <c r="E227" s="2" t="s">
        <v>2438</v>
      </c>
      <c r="F227" s="3">
        <v>44650</v>
      </c>
    </row>
    <row r="228" spans="1:6" x14ac:dyDescent="0.35">
      <c r="A228" s="2" t="s">
        <v>935</v>
      </c>
      <c r="B228" s="2" t="s">
        <v>2532</v>
      </c>
      <c r="C228" s="4">
        <v>44</v>
      </c>
      <c r="D228" s="2" t="s">
        <v>46</v>
      </c>
      <c r="E228" s="2" t="s">
        <v>2444</v>
      </c>
      <c r="F228" s="3">
        <v>44121</v>
      </c>
    </row>
    <row r="229" spans="1:6" x14ac:dyDescent="0.35">
      <c r="A229" s="2" t="s">
        <v>389</v>
      </c>
      <c r="B229" s="2" t="s">
        <v>2649</v>
      </c>
      <c r="C229" s="4">
        <v>37</v>
      </c>
      <c r="D229" s="2" t="s">
        <v>17</v>
      </c>
      <c r="E229" s="2" t="s">
        <v>2438</v>
      </c>
      <c r="F229" s="3">
        <v>43952</v>
      </c>
    </row>
    <row r="230" spans="1:6" x14ac:dyDescent="0.35">
      <c r="A230" s="2" t="s">
        <v>1122</v>
      </c>
      <c r="B230" s="2" t="s">
        <v>2650</v>
      </c>
      <c r="C230" s="4">
        <v>25</v>
      </c>
      <c r="D230" s="2" t="s">
        <v>62</v>
      </c>
      <c r="E230" s="2" t="s">
        <v>2444</v>
      </c>
      <c r="F230" s="3">
        <v>44453</v>
      </c>
    </row>
    <row r="231" spans="1:6" x14ac:dyDescent="0.35">
      <c r="A231" s="2" t="s">
        <v>243</v>
      </c>
      <c r="B231" s="2" t="s">
        <v>2651</v>
      </c>
      <c r="C231" s="4">
        <v>33</v>
      </c>
      <c r="D231" s="2" t="s">
        <v>17</v>
      </c>
      <c r="E231" s="2" t="s">
        <v>2438</v>
      </c>
      <c r="F231" s="3">
        <v>43963</v>
      </c>
    </row>
    <row r="232" spans="1:6" x14ac:dyDescent="0.35">
      <c r="A232" s="2" t="s">
        <v>531</v>
      </c>
      <c r="B232" s="2" t="s">
        <v>2652</v>
      </c>
      <c r="C232" s="4">
        <v>61</v>
      </c>
      <c r="D232" s="2" t="s">
        <v>23</v>
      </c>
      <c r="E232" s="2" t="s">
        <v>2436</v>
      </c>
      <c r="F232" s="3">
        <v>45030</v>
      </c>
    </row>
    <row r="233" spans="1:6" x14ac:dyDescent="0.35">
      <c r="A233" s="2" t="s">
        <v>468</v>
      </c>
      <c r="B233" s="2" t="s">
        <v>2653</v>
      </c>
      <c r="C233" s="4">
        <v>38</v>
      </c>
      <c r="D233" s="2" t="s">
        <v>62</v>
      </c>
      <c r="E233" s="2" t="s">
        <v>2436</v>
      </c>
      <c r="F233" s="3">
        <v>44364</v>
      </c>
    </row>
    <row r="234" spans="1:6" x14ac:dyDescent="0.35">
      <c r="A234" s="2" t="s">
        <v>888</v>
      </c>
      <c r="B234" s="2" t="s">
        <v>2618</v>
      </c>
      <c r="C234" s="4">
        <v>65</v>
      </c>
      <c r="D234" s="2" t="s">
        <v>41</v>
      </c>
      <c r="E234" s="2" t="s">
        <v>2444</v>
      </c>
      <c r="F234" s="3">
        <v>43850</v>
      </c>
    </row>
    <row r="235" spans="1:6" x14ac:dyDescent="0.35">
      <c r="A235" s="2" t="s">
        <v>176</v>
      </c>
      <c r="B235" s="2" t="s">
        <v>2654</v>
      </c>
      <c r="C235" s="4">
        <v>34</v>
      </c>
      <c r="D235" s="2" t="s">
        <v>46</v>
      </c>
      <c r="E235" s="2" t="s">
        <v>2436</v>
      </c>
      <c r="F235" s="3">
        <v>44175</v>
      </c>
    </row>
    <row r="236" spans="1:6" x14ac:dyDescent="0.35">
      <c r="A236" s="2" t="s">
        <v>892</v>
      </c>
      <c r="B236" s="2" t="s">
        <v>2538</v>
      </c>
      <c r="C236" s="4">
        <v>31</v>
      </c>
      <c r="D236" s="2" t="s">
        <v>23</v>
      </c>
      <c r="E236" s="2" t="s">
        <v>2436</v>
      </c>
      <c r="F236" s="3">
        <v>43903</v>
      </c>
    </row>
    <row r="237" spans="1:6" x14ac:dyDescent="0.35">
      <c r="A237" s="2" t="s">
        <v>812</v>
      </c>
      <c r="B237" s="2" t="s">
        <v>2655</v>
      </c>
      <c r="C237" s="4">
        <v>28</v>
      </c>
      <c r="D237" s="2" t="s">
        <v>62</v>
      </c>
      <c r="E237" s="2" t="s">
        <v>2444</v>
      </c>
      <c r="F237" s="3">
        <v>43949</v>
      </c>
    </row>
    <row r="238" spans="1:6" x14ac:dyDescent="0.35">
      <c r="A238" s="2" t="s">
        <v>885</v>
      </c>
      <c r="B238" s="2" t="s">
        <v>2656</v>
      </c>
      <c r="C238" s="4">
        <v>49</v>
      </c>
      <c r="D238" s="2" t="s">
        <v>41</v>
      </c>
      <c r="E238" s="2" t="s">
        <v>2436</v>
      </c>
      <c r="F238" s="3">
        <v>44068</v>
      </c>
    </row>
    <row r="239" spans="1:6" x14ac:dyDescent="0.35">
      <c r="A239" s="2" t="s">
        <v>564</v>
      </c>
      <c r="B239" s="2" t="s">
        <v>2492</v>
      </c>
      <c r="C239" s="4">
        <v>49</v>
      </c>
      <c r="D239" s="2" t="s">
        <v>28</v>
      </c>
      <c r="E239" s="2" t="s">
        <v>2436</v>
      </c>
      <c r="F239" s="3">
        <v>44377</v>
      </c>
    </row>
    <row r="240" spans="1:6" x14ac:dyDescent="0.35">
      <c r="A240" s="2" t="s">
        <v>340</v>
      </c>
      <c r="B240" s="2" t="s">
        <v>2657</v>
      </c>
      <c r="C240" s="4">
        <v>61</v>
      </c>
      <c r="D240" s="2" t="s">
        <v>41</v>
      </c>
      <c r="E240" s="2" t="s">
        <v>2436</v>
      </c>
      <c r="F240" s="3">
        <v>43981</v>
      </c>
    </row>
    <row r="241" spans="1:6" x14ac:dyDescent="0.35">
      <c r="A241" s="2" t="s">
        <v>401</v>
      </c>
      <c r="B241" s="2" t="s">
        <v>2658</v>
      </c>
      <c r="C241" s="4">
        <v>35</v>
      </c>
      <c r="D241" s="2" t="s">
        <v>23</v>
      </c>
      <c r="E241" s="2" t="s">
        <v>2438</v>
      </c>
      <c r="F241" s="3">
        <v>44337</v>
      </c>
    </row>
    <row r="242" spans="1:6" x14ac:dyDescent="0.35">
      <c r="A242" s="2" t="s">
        <v>126</v>
      </c>
      <c r="B242" s="2" t="s">
        <v>2659</v>
      </c>
      <c r="C242" s="4">
        <v>47</v>
      </c>
      <c r="D242" s="2" t="s">
        <v>17</v>
      </c>
      <c r="E242" s="2" t="s">
        <v>2438</v>
      </c>
      <c r="F242" s="3">
        <v>44195</v>
      </c>
    </row>
    <row r="243" spans="1:6" x14ac:dyDescent="0.35">
      <c r="A243" s="2" t="s">
        <v>511</v>
      </c>
      <c r="B243" s="2" t="s">
        <v>2558</v>
      </c>
      <c r="C243" s="4">
        <v>59</v>
      </c>
      <c r="D243" s="2" t="s">
        <v>23</v>
      </c>
      <c r="E243" s="2" t="s">
        <v>2444</v>
      </c>
      <c r="F243" s="3">
        <v>44474</v>
      </c>
    </row>
    <row r="244" spans="1:6" x14ac:dyDescent="0.35">
      <c r="A244" s="2" t="s">
        <v>13</v>
      </c>
      <c r="B244" s="2" t="s">
        <v>2599</v>
      </c>
      <c r="C244" s="4">
        <v>44</v>
      </c>
      <c r="D244" s="2" t="s">
        <v>17</v>
      </c>
      <c r="E244" s="2" t="s">
        <v>2444</v>
      </c>
      <c r="F244" s="3">
        <v>43861</v>
      </c>
    </row>
    <row r="245" spans="1:6" x14ac:dyDescent="0.35">
      <c r="A245" s="2" t="s">
        <v>919</v>
      </c>
      <c r="B245" s="2" t="s">
        <v>2660</v>
      </c>
      <c r="C245" s="4">
        <v>61</v>
      </c>
      <c r="D245" s="2" t="s">
        <v>46</v>
      </c>
      <c r="E245" s="2" t="s">
        <v>2436</v>
      </c>
      <c r="F245" s="3">
        <v>44483</v>
      </c>
    </row>
    <row r="246" spans="1:6" x14ac:dyDescent="0.35">
      <c r="A246" s="2" t="s">
        <v>626</v>
      </c>
      <c r="B246" s="2" t="s">
        <v>2661</v>
      </c>
      <c r="C246" s="4">
        <v>65</v>
      </c>
      <c r="D246" s="2" t="s">
        <v>62</v>
      </c>
      <c r="E246" s="2" t="s">
        <v>2436</v>
      </c>
      <c r="F246" s="3">
        <v>44851</v>
      </c>
    </row>
    <row r="247" spans="1:6" x14ac:dyDescent="0.35">
      <c r="A247" s="2" t="s">
        <v>475</v>
      </c>
      <c r="B247" s="2" t="s">
        <v>2662</v>
      </c>
      <c r="C247" s="4">
        <v>29</v>
      </c>
      <c r="D247" s="2" t="s">
        <v>28</v>
      </c>
      <c r="E247" s="2" t="s">
        <v>2444</v>
      </c>
      <c r="F247" s="3">
        <v>44477</v>
      </c>
    </row>
    <row r="248" spans="1:6" x14ac:dyDescent="0.35">
      <c r="A248" s="2" t="s">
        <v>605</v>
      </c>
      <c r="B248" s="2" t="s">
        <v>2663</v>
      </c>
      <c r="C248" s="4">
        <v>35</v>
      </c>
      <c r="D248" s="2" t="s">
        <v>17</v>
      </c>
      <c r="E248" s="2" t="s">
        <v>2444</v>
      </c>
      <c r="F248" s="3">
        <v>43966</v>
      </c>
    </row>
    <row r="249" spans="1:6" x14ac:dyDescent="0.35">
      <c r="A249" s="2" t="s">
        <v>247</v>
      </c>
      <c r="B249" s="2" t="s">
        <v>2664</v>
      </c>
      <c r="C249" s="4">
        <v>57</v>
      </c>
      <c r="D249" s="2" t="s">
        <v>23</v>
      </c>
      <c r="E249" s="2" t="s">
        <v>2444</v>
      </c>
      <c r="F249" s="3">
        <v>44557</v>
      </c>
    </row>
    <row r="250" spans="1:6" x14ac:dyDescent="0.35">
      <c r="A250" s="2" t="s">
        <v>542</v>
      </c>
      <c r="B250" s="2" t="s">
        <v>2665</v>
      </c>
      <c r="C250" s="4">
        <v>44</v>
      </c>
      <c r="D250" s="2" t="s">
        <v>41</v>
      </c>
      <c r="E250" s="2" t="s">
        <v>2436</v>
      </c>
      <c r="F250" s="3">
        <v>43866</v>
      </c>
    </row>
    <row r="251" spans="1:6" x14ac:dyDescent="0.35">
      <c r="A251" s="2" t="s">
        <v>110</v>
      </c>
      <c r="B251" s="2" t="s">
        <v>2666</v>
      </c>
      <c r="C251" s="4">
        <v>31</v>
      </c>
      <c r="D251" s="2" t="s">
        <v>28</v>
      </c>
      <c r="E251" s="2" t="s">
        <v>2436</v>
      </c>
      <c r="F251" s="3">
        <v>44575</v>
      </c>
    </row>
    <row r="252" spans="1:6" x14ac:dyDescent="0.35">
      <c r="A252" s="2" t="s">
        <v>457</v>
      </c>
      <c r="B252" s="2" t="s">
        <v>2667</v>
      </c>
      <c r="C252" s="4">
        <v>44</v>
      </c>
      <c r="D252" s="2" t="s">
        <v>41</v>
      </c>
      <c r="E252" s="2" t="s">
        <v>2436</v>
      </c>
      <c r="F252" s="3">
        <v>45121</v>
      </c>
    </row>
    <row r="253" spans="1:6" x14ac:dyDescent="0.35">
      <c r="A253" s="2" t="s">
        <v>929</v>
      </c>
      <c r="B253" s="2" t="s">
        <v>2668</v>
      </c>
      <c r="C253" s="4">
        <v>27</v>
      </c>
      <c r="D253" s="2" t="s">
        <v>46</v>
      </c>
      <c r="E253" s="2" t="s">
        <v>2436</v>
      </c>
      <c r="F253" s="3">
        <v>45004</v>
      </c>
    </row>
    <row r="254" spans="1:6" x14ac:dyDescent="0.35">
      <c r="A254" s="2" t="s">
        <v>328</v>
      </c>
      <c r="B254" s="2" t="s">
        <v>2669</v>
      </c>
      <c r="C254" s="4">
        <v>53</v>
      </c>
      <c r="D254" s="2" t="s">
        <v>28</v>
      </c>
      <c r="E254" s="2" t="s">
        <v>2444</v>
      </c>
      <c r="F254" s="3">
        <v>43892</v>
      </c>
    </row>
    <row r="255" spans="1:6" x14ac:dyDescent="0.35">
      <c r="A255" s="2" t="s">
        <v>829</v>
      </c>
      <c r="B255" s="2" t="s">
        <v>2670</v>
      </c>
      <c r="C255" s="4">
        <v>35</v>
      </c>
      <c r="D255" s="2" t="s">
        <v>46</v>
      </c>
      <c r="E255" s="2" t="s">
        <v>2436</v>
      </c>
      <c r="F255" s="3">
        <v>44000</v>
      </c>
    </row>
    <row r="256" spans="1:6" x14ac:dyDescent="0.35">
      <c r="A256" s="2" t="s">
        <v>291</v>
      </c>
      <c r="B256" s="2" t="s">
        <v>2457</v>
      </c>
      <c r="C256" s="4">
        <v>51</v>
      </c>
      <c r="D256" s="2" t="s">
        <v>23</v>
      </c>
      <c r="E256" s="2" t="s">
        <v>2438</v>
      </c>
      <c r="F256" s="3">
        <v>44458</v>
      </c>
    </row>
    <row r="257" spans="1:6" x14ac:dyDescent="0.35">
      <c r="A257" s="2" t="s">
        <v>618</v>
      </c>
      <c r="B257" s="2" t="s">
        <v>2671</v>
      </c>
      <c r="C257" s="4">
        <v>28</v>
      </c>
      <c r="D257" s="2" t="s">
        <v>62</v>
      </c>
      <c r="E257" s="2" t="s">
        <v>2436</v>
      </c>
      <c r="F257" s="3">
        <v>44694</v>
      </c>
    </row>
    <row r="258" spans="1:6" x14ac:dyDescent="0.35">
      <c r="A258" s="2" t="s">
        <v>1050</v>
      </c>
      <c r="B258" s="2" t="s">
        <v>2672</v>
      </c>
      <c r="C258" s="4">
        <v>46</v>
      </c>
      <c r="D258" s="2" t="s">
        <v>41</v>
      </c>
      <c r="E258" s="2" t="s">
        <v>2438</v>
      </c>
      <c r="F258" s="3">
        <v>43849</v>
      </c>
    </row>
    <row r="259" spans="1:6" x14ac:dyDescent="0.35">
      <c r="A259" s="2" t="s">
        <v>204</v>
      </c>
      <c r="B259" s="2" t="s">
        <v>2673</v>
      </c>
      <c r="C259" s="4">
        <v>44</v>
      </c>
      <c r="D259" s="2" t="s">
        <v>17</v>
      </c>
      <c r="E259" s="2" t="s">
        <v>2436</v>
      </c>
      <c r="F259" s="3">
        <v>43874</v>
      </c>
    </row>
    <row r="260" spans="1:6" x14ac:dyDescent="0.35">
      <c r="A260" s="2" t="s">
        <v>98</v>
      </c>
      <c r="B260" s="2" t="s">
        <v>2674</v>
      </c>
      <c r="C260" s="4">
        <v>34</v>
      </c>
      <c r="D260" s="2" t="s">
        <v>41</v>
      </c>
      <c r="E260" s="2" t="s">
        <v>2436</v>
      </c>
      <c r="F260" s="3">
        <v>44086</v>
      </c>
    </row>
    <row r="261" spans="1:6" x14ac:dyDescent="0.35">
      <c r="A261" s="2" t="s">
        <v>52</v>
      </c>
      <c r="B261" s="2" t="s">
        <v>2675</v>
      </c>
      <c r="C261" s="4">
        <v>42</v>
      </c>
      <c r="D261" s="2" t="s">
        <v>46</v>
      </c>
      <c r="E261" s="2" t="s">
        <v>2436</v>
      </c>
      <c r="F261" s="3">
        <v>44866</v>
      </c>
    </row>
    <row r="262" spans="1:6" x14ac:dyDescent="0.35">
      <c r="A262" s="2" t="s">
        <v>190</v>
      </c>
      <c r="B262" s="2" t="s">
        <v>2676</v>
      </c>
      <c r="C262" s="4">
        <v>54</v>
      </c>
      <c r="D262" s="2" t="s">
        <v>28</v>
      </c>
      <c r="E262" s="2" t="s">
        <v>2436</v>
      </c>
      <c r="F262" s="3">
        <v>43845</v>
      </c>
    </row>
    <row r="263" spans="1:6" x14ac:dyDescent="0.35">
      <c r="A263" s="2" t="s">
        <v>535</v>
      </c>
      <c r="B263" s="2" t="s">
        <v>2677</v>
      </c>
      <c r="C263" s="4">
        <v>52</v>
      </c>
      <c r="D263" s="2" t="s">
        <v>41</v>
      </c>
      <c r="E263" s="2" t="s">
        <v>2436</v>
      </c>
      <c r="F263" s="3">
        <v>44636</v>
      </c>
    </row>
    <row r="264" spans="1:6" x14ac:dyDescent="0.35">
      <c r="A264" s="2" t="s">
        <v>198</v>
      </c>
      <c r="B264" s="2" t="s">
        <v>2678</v>
      </c>
      <c r="C264" s="4">
        <v>40</v>
      </c>
      <c r="D264" s="2" t="s">
        <v>41</v>
      </c>
      <c r="E264" s="2" t="s">
        <v>2436</v>
      </c>
      <c r="F264" s="3">
        <v>44758</v>
      </c>
    </row>
    <row r="265" spans="1:6" x14ac:dyDescent="0.35">
      <c r="A265" s="2" t="s">
        <v>436</v>
      </c>
      <c r="B265" s="2" t="s">
        <v>2679</v>
      </c>
      <c r="C265" s="4">
        <v>59</v>
      </c>
      <c r="D265" s="2" t="s">
        <v>17</v>
      </c>
      <c r="E265" s="2" t="s">
        <v>2436</v>
      </c>
      <c r="F265" s="3">
        <v>45042</v>
      </c>
    </row>
    <row r="266" spans="1:6" x14ac:dyDescent="0.35">
      <c r="A266" s="2" t="s">
        <v>92</v>
      </c>
      <c r="B266" s="2" t="s">
        <v>2680</v>
      </c>
      <c r="C266" s="4">
        <v>49</v>
      </c>
      <c r="D266" s="2" t="s">
        <v>23</v>
      </c>
      <c r="E266" s="2" t="s">
        <v>2436</v>
      </c>
      <c r="F266" s="3">
        <v>44555</v>
      </c>
    </row>
    <row r="267" spans="1:6" x14ac:dyDescent="0.35">
      <c r="A267" s="2" t="s">
        <v>877</v>
      </c>
      <c r="B267" s="2" t="s">
        <v>2681</v>
      </c>
      <c r="C267" s="4">
        <v>65</v>
      </c>
      <c r="D267" s="2" t="s">
        <v>17</v>
      </c>
      <c r="E267" s="2" t="s">
        <v>2436</v>
      </c>
      <c r="F267" s="3">
        <v>44469</v>
      </c>
    </row>
    <row r="268" spans="1:6" x14ac:dyDescent="0.35">
      <c r="A268" s="2" t="s">
        <v>185</v>
      </c>
      <c r="B268" s="2" t="s">
        <v>2682</v>
      </c>
      <c r="C268" s="4">
        <v>27</v>
      </c>
      <c r="D268" s="2" t="s">
        <v>62</v>
      </c>
      <c r="E268" s="2" t="s">
        <v>2436</v>
      </c>
      <c r="F268" s="3">
        <v>44352</v>
      </c>
    </row>
    <row r="269" spans="1:6" x14ac:dyDescent="0.35">
      <c r="A269" s="2" t="s">
        <v>1557</v>
      </c>
      <c r="B269" s="2" t="s">
        <v>2683</v>
      </c>
      <c r="C269" s="4">
        <v>35</v>
      </c>
      <c r="D269" s="2" t="s">
        <v>23</v>
      </c>
      <c r="E269" s="2" t="s">
        <v>2436</v>
      </c>
      <c r="F269" s="3">
        <v>44991</v>
      </c>
    </row>
    <row r="270" spans="1:6" x14ac:dyDescent="0.35">
      <c r="A270" s="2" t="s">
        <v>649</v>
      </c>
      <c r="B270" s="2" t="s">
        <v>2684</v>
      </c>
      <c r="C270" s="4">
        <v>48</v>
      </c>
      <c r="D270" s="2" t="s">
        <v>17</v>
      </c>
      <c r="E270" s="2" t="s">
        <v>2436</v>
      </c>
      <c r="F270" s="3">
        <v>44429</v>
      </c>
    </row>
    <row r="271" spans="1:6" x14ac:dyDescent="0.35">
      <c r="A271" s="2" t="s">
        <v>688</v>
      </c>
      <c r="B271" s="2" t="s">
        <v>2685</v>
      </c>
      <c r="C271" s="4">
        <v>29</v>
      </c>
      <c r="D271" s="2" t="s">
        <v>46</v>
      </c>
      <c r="E271" s="2" t="s">
        <v>2436</v>
      </c>
      <c r="F271" s="3">
        <v>44410</v>
      </c>
    </row>
    <row r="272" spans="1:6" x14ac:dyDescent="0.35">
      <c r="A272" s="2" t="s">
        <v>496</v>
      </c>
      <c r="B272" s="2" t="s">
        <v>2530</v>
      </c>
      <c r="C272" s="4">
        <v>41</v>
      </c>
      <c r="D272" s="2" t="s">
        <v>46</v>
      </c>
      <c r="E272" s="2" t="s">
        <v>2438</v>
      </c>
      <c r="F272" s="3">
        <v>44441</v>
      </c>
    </row>
    <row r="273" spans="1:6" x14ac:dyDescent="0.35">
      <c r="A273" s="2" t="s">
        <v>956</v>
      </c>
      <c r="B273" s="2" t="s">
        <v>2686</v>
      </c>
      <c r="C273" s="4">
        <v>47</v>
      </c>
      <c r="D273" s="2" t="s">
        <v>41</v>
      </c>
      <c r="E273" s="2" t="s">
        <v>2444</v>
      </c>
      <c r="F273" s="3">
        <v>44634</v>
      </c>
    </row>
    <row r="274" spans="1:6" x14ac:dyDescent="0.35">
      <c r="A274" s="2" t="s">
        <v>85</v>
      </c>
      <c r="B274" s="2" t="s">
        <v>2687</v>
      </c>
      <c r="C274" s="4">
        <v>32</v>
      </c>
      <c r="D274" s="2" t="s">
        <v>62</v>
      </c>
      <c r="E274" s="2" t="s">
        <v>2438</v>
      </c>
      <c r="F274" s="3">
        <v>44221</v>
      </c>
    </row>
    <row r="275" spans="1:6" x14ac:dyDescent="0.35">
      <c r="A275" s="2" t="s">
        <v>433</v>
      </c>
      <c r="B275" s="2" t="s">
        <v>2688</v>
      </c>
      <c r="C275" s="4">
        <v>36</v>
      </c>
      <c r="D275" s="2" t="s">
        <v>46</v>
      </c>
      <c r="E275" s="2" t="s">
        <v>2438</v>
      </c>
      <c r="F275" s="3">
        <v>44381</v>
      </c>
    </row>
    <row r="276" spans="1:6" x14ac:dyDescent="0.35">
      <c r="A276" s="2" t="s">
        <v>38</v>
      </c>
      <c r="B276" s="2" t="s">
        <v>2689</v>
      </c>
      <c r="C276" s="4">
        <v>36</v>
      </c>
      <c r="D276" s="2" t="s">
        <v>41</v>
      </c>
      <c r="E276" s="2" t="s">
        <v>2436</v>
      </c>
      <c r="F276" s="3">
        <v>45106</v>
      </c>
    </row>
    <row r="277" spans="1:6" x14ac:dyDescent="0.35">
      <c r="A277" s="2" t="s">
        <v>1428</v>
      </c>
      <c r="B277" s="2" t="s">
        <v>2484</v>
      </c>
      <c r="C277" s="4">
        <v>26</v>
      </c>
      <c r="D277" s="2" t="s">
        <v>23</v>
      </c>
      <c r="E277" s="2" t="s">
        <v>2436</v>
      </c>
      <c r="F277" s="3">
        <v>44272</v>
      </c>
    </row>
    <row r="278" spans="1:6" x14ac:dyDescent="0.35">
      <c r="A278" s="2" t="s">
        <v>470</v>
      </c>
      <c r="B278" s="2" t="s">
        <v>2501</v>
      </c>
      <c r="C278" s="4">
        <v>34</v>
      </c>
      <c r="D278" s="2" t="s">
        <v>23</v>
      </c>
      <c r="E278" s="2" t="s">
        <v>2438</v>
      </c>
      <c r="F278" s="3">
        <v>44958</v>
      </c>
    </row>
    <row r="279" spans="1:6" x14ac:dyDescent="0.35">
      <c r="A279" s="2" t="s">
        <v>976</v>
      </c>
      <c r="B279" s="2" t="s">
        <v>2690</v>
      </c>
      <c r="C279" s="4">
        <v>41</v>
      </c>
      <c r="D279" s="2" t="s">
        <v>62</v>
      </c>
      <c r="E279" s="2" t="s">
        <v>2436</v>
      </c>
      <c r="F279" s="3">
        <v>43973</v>
      </c>
    </row>
    <row r="280" spans="1:6" x14ac:dyDescent="0.35">
      <c r="A280" s="2" t="s">
        <v>658</v>
      </c>
      <c r="B280" s="2" t="s">
        <v>2671</v>
      </c>
      <c r="C280" s="4">
        <v>56</v>
      </c>
      <c r="D280" s="2" t="s">
        <v>41</v>
      </c>
      <c r="E280" s="2" t="s">
        <v>2436</v>
      </c>
      <c r="F280" s="3">
        <v>44517</v>
      </c>
    </row>
    <row r="281" spans="1:6" x14ac:dyDescent="0.35">
      <c r="A281" s="2" t="s">
        <v>66</v>
      </c>
      <c r="B281" s="2" t="s">
        <v>2691</v>
      </c>
      <c r="C281" s="4">
        <v>27</v>
      </c>
      <c r="D281" s="2" t="s">
        <v>28</v>
      </c>
      <c r="E281" s="2" t="s">
        <v>2444</v>
      </c>
      <c r="F281" s="3">
        <v>45059</v>
      </c>
    </row>
    <row r="282" spans="1:6" x14ac:dyDescent="0.35">
      <c r="A282" s="2" t="s">
        <v>48</v>
      </c>
      <c r="B282" s="2" t="s">
        <v>2456</v>
      </c>
      <c r="C282" s="4">
        <v>57</v>
      </c>
      <c r="D282" s="2" t="s">
        <v>46</v>
      </c>
      <c r="E282" s="2" t="s">
        <v>2438</v>
      </c>
      <c r="F282" s="3">
        <v>44029</v>
      </c>
    </row>
    <row r="283" spans="1:6" x14ac:dyDescent="0.35">
      <c r="A283" s="2" t="s">
        <v>207</v>
      </c>
      <c r="B283" s="2" t="s">
        <v>2692</v>
      </c>
      <c r="C283" s="4">
        <v>29</v>
      </c>
      <c r="D283" s="2" t="s">
        <v>62</v>
      </c>
      <c r="E283" s="2" t="s">
        <v>2438</v>
      </c>
      <c r="F283" s="3">
        <v>44631</v>
      </c>
    </row>
    <row r="284" spans="1:6" x14ac:dyDescent="0.35">
      <c r="A284" s="2" t="s">
        <v>148</v>
      </c>
      <c r="B284" s="2" t="s">
        <v>2693</v>
      </c>
      <c r="C284" s="4">
        <v>50</v>
      </c>
      <c r="D284" s="2" t="s">
        <v>2441</v>
      </c>
      <c r="E284" s="2" t="s">
        <v>2444</v>
      </c>
      <c r="F284" s="3">
        <v>44869</v>
      </c>
    </row>
    <row r="285" spans="1:6" x14ac:dyDescent="0.35">
      <c r="A285" s="2" t="s">
        <v>430</v>
      </c>
      <c r="B285" s="2" t="s">
        <v>2694</v>
      </c>
      <c r="C285" s="4">
        <v>65</v>
      </c>
      <c r="D285" s="2" t="s">
        <v>62</v>
      </c>
      <c r="E285" s="2" t="s">
        <v>2444</v>
      </c>
      <c r="F285" s="3">
        <v>44047</v>
      </c>
    </row>
    <row r="286" spans="1:6" x14ac:dyDescent="0.35">
      <c r="A286" s="2" t="s">
        <v>521</v>
      </c>
      <c r="B286" s="2" t="s">
        <v>2695</v>
      </c>
      <c r="C286" s="4">
        <v>22</v>
      </c>
      <c r="D286" s="2" t="s">
        <v>62</v>
      </c>
      <c r="E286" s="2" t="s">
        <v>2436</v>
      </c>
      <c r="F286" s="3">
        <v>44593</v>
      </c>
    </row>
    <row r="287" spans="1:6" x14ac:dyDescent="0.35">
      <c r="A287" s="2" t="s">
        <v>1745</v>
      </c>
      <c r="B287" s="2" t="s">
        <v>2696</v>
      </c>
      <c r="C287" s="4">
        <v>62</v>
      </c>
      <c r="D287" s="2" t="s">
        <v>28</v>
      </c>
      <c r="E287" s="2" t="s">
        <v>2436</v>
      </c>
      <c r="F287" s="3">
        <v>44489</v>
      </c>
    </row>
    <row r="288" spans="1:6" x14ac:dyDescent="0.35">
      <c r="A288" s="2" t="s">
        <v>307</v>
      </c>
      <c r="B288" s="2" t="s">
        <v>2697</v>
      </c>
      <c r="C288" s="4">
        <v>53</v>
      </c>
      <c r="D288" s="2" t="s">
        <v>23</v>
      </c>
      <c r="E288" s="2" t="s">
        <v>2444</v>
      </c>
      <c r="F288" s="3">
        <v>44738</v>
      </c>
    </row>
    <row r="289" spans="1:6" x14ac:dyDescent="0.35">
      <c r="A289" s="2" t="s">
        <v>1463</v>
      </c>
      <c r="B289" s="2" t="s">
        <v>2698</v>
      </c>
      <c r="C289" s="4">
        <v>25</v>
      </c>
      <c r="D289" s="2" t="s">
        <v>62</v>
      </c>
      <c r="E289" s="2" t="s">
        <v>2438</v>
      </c>
      <c r="F289" s="3">
        <v>44450</v>
      </c>
    </row>
    <row r="290" spans="1:6" x14ac:dyDescent="0.35">
      <c r="A290" s="2" t="s">
        <v>980</v>
      </c>
      <c r="B290" s="2" t="s">
        <v>2699</v>
      </c>
      <c r="C290" s="4">
        <v>54</v>
      </c>
      <c r="D290" s="2" t="s">
        <v>41</v>
      </c>
      <c r="E290" s="2" t="s">
        <v>2436</v>
      </c>
      <c r="F290" s="3">
        <v>44720</v>
      </c>
    </row>
    <row r="291" spans="1:6" x14ac:dyDescent="0.35">
      <c r="A291" s="2" t="s">
        <v>726</v>
      </c>
      <c r="B291" s="2" t="s">
        <v>2700</v>
      </c>
      <c r="C291" s="4">
        <v>63</v>
      </c>
      <c r="D291" s="2" t="s">
        <v>28</v>
      </c>
      <c r="E291" s="2" t="s">
        <v>2436</v>
      </c>
      <c r="F291" s="3">
        <v>44330</v>
      </c>
    </row>
    <row r="292" spans="1:6" x14ac:dyDescent="0.35">
      <c r="A292" s="2" t="s">
        <v>162</v>
      </c>
      <c r="B292" s="2" t="s">
        <v>2701</v>
      </c>
      <c r="C292" s="4">
        <v>29</v>
      </c>
      <c r="D292" s="2" t="s">
        <v>17</v>
      </c>
      <c r="E292" s="2" t="s">
        <v>2444</v>
      </c>
      <c r="F292" s="3">
        <v>43950</v>
      </c>
    </row>
    <row r="293" spans="1:6" x14ac:dyDescent="0.35">
      <c r="A293" s="2" t="s">
        <v>681</v>
      </c>
      <c r="B293" s="2" t="s">
        <v>2529</v>
      </c>
      <c r="C293" s="4">
        <v>32</v>
      </c>
      <c r="D293" s="2" t="s">
        <v>46</v>
      </c>
      <c r="E293" s="2" t="s">
        <v>2436</v>
      </c>
      <c r="F293" s="3">
        <v>43968</v>
      </c>
    </row>
    <row r="294" spans="1:6" x14ac:dyDescent="0.35">
      <c r="A294" s="2" t="s">
        <v>43</v>
      </c>
      <c r="B294" s="2" t="s">
        <v>2702</v>
      </c>
      <c r="C294" s="4">
        <v>27</v>
      </c>
      <c r="D294" s="2" t="s">
        <v>46</v>
      </c>
      <c r="E294" s="2" t="s">
        <v>2436</v>
      </c>
      <c r="F294" s="3">
        <v>44335</v>
      </c>
    </row>
    <row r="295" spans="1:6" x14ac:dyDescent="0.35">
      <c r="A295" s="2" t="s">
        <v>363</v>
      </c>
      <c r="B295" s="2" t="s">
        <v>2462</v>
      </c>
      <c r="C295" s="4">
        <v>31</v>
      </c>
      <c r="D295" s="2" t="s">
        <v>28</v>
      </c>
      <c r="E295" s="2" t="s">
        <v>2438</v>
      </c>
      <c r="F295" s="3">
        <v>43885</v>
      </c>
    </row>
    <row r="296" spans="1:6" x14ac:dyDescent="0.35">
      <c r="A296" s="2" t="s">
        <v>524</v>
      </c>
      <c r="B296" s="2" t="s">
        <v>2703</v>
      </c>
      <c r="C296" s="4">
        <v>48</v>
      </c>
      <c r="D296" s="2" t="s">
        <v>28</v>
      </c>
      <c r="E296" s="2" t="s">
        <v>2444</v>
      </c>
      <c r="F296" s="3">
        <v>43863</v>
      </c>
    </row>
    <row r="297" spans="1:6" x14ac:dyDescent="0.35">
      <c r="A297" s="2" t="s">
        <v>499</v>
      </c>
      <c r="B297" s="2" t="s">
        <v>2704</v>
      </c>
      <c r="C297" s="4">
        <v>47</v>
      </c>
      <c r="D297" s="2" t="s">
        <v>28</v>
      </c>
      <c r="E297" s="2" t="s">
        <v>2438</v>
      </c>
      <c r="F297" s="3">
        <v>44784</v>
      </c>
    </row>
    <row r="298" spans="1:6" x14ac:dyDescent="0.35">
      <c r="A298" s="2" t="s">
        <v>580</v>
      </c>
      <c r="B298" s="2" t="s">
        <v>2705</v>
      </c>
      <c r="C298" s="4">
        <v>50</v>
      </c>
      <c r="D298" s="2" t="s">
        <v>62</v>
      </c>
      <c r="E298" s="2" t="s">
        <v>2436</v>
      </c>
      <c r="F298" s="3">
        <v>44027</v>
      </c>
    </row>
    <row r="299" spans="1:6" x14ac:dyDescent="0.35">
      <c r="A299" s="2" t="s">
        <v>349</v>
      </c>
      <c r="B299" s="2" t="s">
        <v>2706</v>
      </c>
      <c r="C299" s="4">
        <v>44</v>
      </c>
      <c r="D299" s="2" t="s">
        <v>28</v>
      </c>
      <c r="E299" s="2" t="s">
        <v>2436</v>
      </c>
      <c r="F299" s="3">
        <v>43840</v>
      </c>
    </row>
    <row r="300" spans="1:6" x14ac:dyDescent="0.35">
      <c r="A300" s="2" t="s">
        <v>641</v>
      </c>
      <c r="B300" s="2" t="s">
        <v>2619</v>
      </c>
      <c r="C300" s="4">
        <v>51</v>
      </c>
      <c r="D300" s="2" t="s">
        <v>41</v>
      </c>
      <c r="E300" s="2" t="s">
        <v>2438</v>
      </c>
      <c r="F300" s="3">
        <v>44675</v>
      </c>
    </row>
    <row r="301" spans="1:6" x14ac:dyDescent="0.35">
      <c r="A301" s="2" t="s">
        <v>1226</v>
      </c>
      <c r="B301" s="2" t="s">
        <v>2707</v>
      </c>
      <c r="C301" s="4">
        <v>38</v>
      </c>
      <c r="D301" s="2" t="s">
        <v>41</v>
      </c>
      <c r="E301" s="2" t="s">
        <v>2436</v>
      </c>
      <c r="F301" s="3">
        <v>43932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</sheetPr>
  <dimension ref="A1:F61"/>
  <sheetViews>
    <sheetView workbookViewId="0"/>
  </sheetViews>
  <sheetFormatPr defaultRowHeight="14.5" x14ac:dyDescent="0.35"/>
  <cols>
    <col min="1" max="1" width="12" customWidth="1"/>
    <col min="2" max="2" width="22" customWidth="1"/>
    <col min="3" max="3" width="13" customWidth="1"/>
    <col min="4" max="4" width="11" customWidth="1"/>
    <col min="5" max="5" width="12" customWidth="1"/>
    <col min="6" max="6" width="11" customWidth="1"/>
  </cols>
  <sheetData>
    <row r="1" spans="1:6" x14ac:dyDescent="0.35">
      <c r="A1" s="1" t="s">
        <v>4</v>
      </c>
      <c r="B1" s="1" t="s">
        <v>2708</v>
      </c>
      <c r="C1" s="1" t="s">
        <v>2709</v>
      </c>
      <c r="D1" s="1" t="s">
        <v>2710</v>
      </c>
      <c r="E1" s="1" t="s">
        <v>7</v>
      </c>
      <c r="F1" s="1" t="s">
        <v>2711</v>
      </c>
    </row>
    <row r="2" spans="1:6" x14ac:dyDescent="0.35">
      <c r="A2" s="2" t="s">
        <v>293</v>
      </c>
      <c r="B2" s="2" t="s">
        <v>2712</v>
      </c>
      <c r="C2" s="2" t="s">
        <v>2713</v>
      </c>
      <c r="D2" s="4">
        <v>2405</v>
      </c>
      <c r="E2" s="4">
        <v>5330</v>
      </c>
      <c r="F2" s="2" t="b">
        <v>1</v>
      </c>
    </row>
    <row r="3" spans="1:6" x14ac:dyDescent="0.35">
      <c r="A3" s="2" t="s">
        <v>67</v>
      </c>
      <c r="B3" s="2" t="s">
        <v>2714</v>
      </c>
      <c r="C3" s="2" t="s">
        <v>2713</v>
      </c>
      <c r="D3" s="4">
        <v>1052</v>
      </c>
      <c r="E3" s="4">
        <v>2600</v>
      </c>
      <c r="F3" s="2" t="b">
        <v>1</v>
      </c>
    </row>
    <row r="4" spans="1:6" x14ac:dyDescent="0.35">
      <c r="A4" s="2" t="s">
        <v>116</v>
      </c>
      <c r="B4" s="2" t="s">
        <v>2715</v>
      </c>
      <c r="C4" s="2" t="s">
        <v>2713</v>
      </c>
      <c r="D4" s="4">
        <v>1665</v>
      </c>
      <c r="E4" s="4">
        <v>3570</v>
      </c>
      <c r="F4" s="2" t="b">
        <v>1</v>
      </c>
    </row>
    <row r="5" spans="1:6" x14ac:dyDescent="0.35">
      <c r="A5" s="2" t="s">
        <v>177</v>
      </c>
      <c r="B5" s="2" t="s">
        <v>2716</v>
      </c>
      <c r="C5" s="2" t="s">
        <v>2713</v>
      </c>
      <c r="D5" s="4">
        <v>1559</v>
      </c>
      <c r="E5" s="4">
        <v>3870</v>
      </c>
      <c r="F5" s="2" t="b">
        <v>1</v>
      </c>
    </row>
    <row r="6" spans="1:6" x14ac:dyDescent="0.35">
      <c r="A6" s="2" t="s">
        <v>211</v>
      </c>
      <c r="B6" s="2" t="s">
        <v>2717</v>
      </c>
      <c r="C6" s="2" t="s">
        <v>2713</v>
      </c>
      <c r="D6" s="4">
        <v>128</v>
      </c>
      <c r="E6" s="4">
        <v>300</v>
      </c>
      <c r="F6" s="2" t="b">
        <v>1</v>
      </c>
    </row>
    <row r="7" spans="1:6" x14ac:dyDescent="0.35">
      <c r="A7" s="2" t="s">
        <v>337</v>
      </c>
      <c r="B7" s="2" t="s">
        <v>2718</v>
      </c>
      <c r="C7" s="2" t="s">
        <v>2713</v>
      </c>
      <c r="D7" s="4">
        <v>2865</v>
      </c>
      <c r="E7" s="4">
        <v>3970</v>
      </c>
      <c r="F7" s="2" t="b">
        <v>1</v>
      </c>
    </row>
    <row r="8" spans="1:6" x14ac:dyDescent="0.35">
      <c r="A8" s="2" t="s">
        <v>49</v>
      </c>
      <c r="B8" s="2" t="s">
        <v>2719</v>
      </c>
      <c r="C8" s="2" t="s">
        <v>2713</v>
      </c>
      <c r="D8" s="4">
        <v>861</v>
      </c>
      <c r="E8" s="4">
        <v>1430</v>
      </c>
      <c r="F8" s="2" t="b">
        <v>1</v>
      </c>
    </row>
    <row r="9" spans="1:6" x14ac:dyDescent="0.35">
      <c r="A9" s="2" t="s">
        <v>208</v>
      </c>
      <c r="B9" s="2" t="s">
        <v>2720</v>
      </c>
      <c r="C9" s="2" t="s">
        <v>2713</v>
      </c>
      <c r="D9" s="4">
        <v>1259</v>
      </c>
      <c r="E9" s="4">
        <v>2660</v>
      </c>
      <c r="F9" s="2" t="b">
        <v>0</v>
      </c>
    </row>
    <row r="10" spans="1:6" x14ac:dyDescent="0.35">
      <c r="A10" s="2" t="s">
        <v>196</v>
      </c>
      <c r="B10" s="2" t="s">
        <v>2721</v>
      </c>
      <c r="C10" s="2" t="s">
        <v>2713</v>
      </c>
      <c r="D10" s="4">
        <v>517</v>
      </c>
      <c r="E10" s="4">
        <v>1220</v>
      </c>
      <c r="F10" s="2" t="b">
        <v>1</v>
      </c>
    </row>
    <row r="11" spans="1:6" x14ac:dyDescent="0.35">
      <c r="A11" s="2" t="s">
        <v>64</v>
      </c>
      <c r="B11" s="2" t="s">
        <v>2722</v>
      </c>
      <c r="C11" s="2" t="s">
        <v>2713</v>
      </c>
      <c r="D11" s="4">
        <v>1149</v>
      </c>
      <c r="E11" s="4">
        <v>2640</v>
      </c>
      <c r="F11" s="2" t="b">
        <v>1</v>
      </c>
    </row>
    <row r="12" spans="1:6" x14ac:dyDescent="0.35">
      <c r="A12" s="2" t="s">
        <v>381</v>
      </c>
      <c r="B12" s="2" t="s">
        <v>2723</v>
      </c>
      <c r="C12" s="2" t="s">
        <v>2724</v>
      </c>
      <c r="D12" s="4">
        <v>1748</v>
      </c>
      <c r="E12" s="4">
        <v>3450</v>
      </c>
      <c r="F12" s="2" t="b">
        <v>1</v>
      </c>
    </row>
    <row r="13" spans="1:6" x14ac:dyDescent="0.35">
      <c r="A13" s="2" t="s">
        <v>35</v>
      </c>
      <c r="B13" s="2" t="s">
        <v>2725</v>
      </c>
      <c r="C13" s="2" t="s">
        <v>2724</v>
      </c>
      <c r="D13" s="4">
        <v>1886</v>
      </c>
      <c r="E13" s="4">
        <v>3160</v>
      </c>
      <c r="F13" s="2" t="b">
        <v>1</v>
      </c>
    </row>
    <row r="14" spans="1:6" x14ac:dyDescent="0.35">
      <c r="A14" s="2" t="s">
        <v>166</v>
      </c>
      <c r="B14" s="2" t="s">
        <v>2726</v>
      </c>
      <c r="C14" s="2" t="s">
        <v>2724</v>
      </c>
      <c r="D14" s="4">
        <v>2611</v>
      </c>
      <c r="E14" s="4">
        <v>3640</v>
      </c>
      <c r="F14" s="2" t="b">
        <v>1</v>
      </c>
    </row>
    <row r="15" spans="1:6" x14ac:dyDescent="0.35">
      <c r="A15" s="2" t="s">
        <v>14</v>
      </c>
      <c r="B15" s="2" t="s">
        <v>2727</v>
      </c>
      <c r="C15" s="2" t="s">
        <v>2724</v>
      </c>
      <c r="D15" s="4">
        <v>2509</v>
      </c>
      <c r="E15" s="4">
        <v>3620</v>
      </c>
      <c r="F15" s="2" t="b">
        <v>1</v>
      </c>
    </row>
    <row r="16" spans="1:6" x14ac:dyDescent="0.35">
      <c r="A16" s="2" t="s">
        <v>102</v>
      </c>
      <c r="B16" s="2" t="s">
        <v>2728</v>
      </c>
      <c r="C16" s="2" t="s">
        <v>2724</v>
      </c>
      <c r="D16" s="4">
        <v>1962</v>
      </c>
      <c r="E16" s="4">
        <v>2720</v>
      </c>
      <c r="F16" s="2" t="b">
        <v>1</v>
      </c>
    </row>
    <row r="17" spans="1:6" x14ac:dyDescent="0.35">
      <c r="A17" s="2" t="s">
        <v>221</v>
      </c>
      <c r="B17" s="2" t="s">
        <v>2729</v>
      </c>
      <c r="C17" s="2" t="s">
        <v>2724</v>
      </c>
      <c r="D17" s="4">
        <v>396</v>
      </c>
      <c r="E17" s="4">
        <v>620</v>
      </c>
      <c r="F17" s="2" t="b">
        <v>1</v>
      </c>
    </row>
    <row r="18" spans="1:6" x14ac:dyDescent="0.35">
      <c r="A18" s="2" t="s">
        <v>284</v>
      </c>
      <c r="B18" s="2" t="s">
        <v>2730</v>
      </c>
      <c r="C18" s="2" t="s">
        <v>2724</v>
      </c>
      <c r="D18" s="4">
        <v>1075</v>
      </c>
      <c r="E18" s="4">
        <v>2510</v>
      </c>
      <c r="F18" s="2" t="b">
        <v>0</v>
      </c>
    </row>
    <row r="19" spans="1:6" x14ac:dyDescent="0.35">
      <c r="A19" s="2" t="s">
        <v>588</v>
      </c>
      <c r="B19" s="2" t="s">
        <v>2731</v>
      </c>
      <c r="C19" s="2" t="s">
        <v>2724</v>
      </c>
      <c r="D19" s="4">
        <v>2629</v>
      </c>
      <c r="E19" s="4">
        <v>3560</v>
      </c>
      <c r="F19" s="2" t="b">
        <v>1</v>
      </c>
    </row>
    <row r="20" spans="1:6" x14ac:dyDescent="0.35">
      <c r="A20" s="2" t="s">
        <v>96</v>
      </c>
      <c r="B20" s="2" t="s">
        <v>2732</v>
      </c>
      <c r="C20" s="2" t="s">
        <v>2724</v>
      </c>
      <c r="D20" s="4">
        <v>1173</v>
      </c>
      <c r="E20" s="4">
        <v>2480</v>
      </c>
      <c r="F20" s="2" t="b">
        <v>1</v>
      </c>
    </row>
    <row r="21" spans="1:6" x14ac:dyDescent="0.35">
      <c r="A21" s="2" t="s">
        <v>20</v>
      </c>
      <c r="B21" s="2" t="s">
        <v>2733</v>
      </c>
      <c r="C21" s="2" t="s">
        <v>2724</v>
      </c>
      <c r="D21" s="4">
        <v>391</v>
      </c>
      <c r="E21" s="4">
        <v>820</v>
      </c>
      <c r="F21" s="2" t="b">
        <v>1</v>
      </c>
    </row>
    <row r="22" spans="1:6" x14ac:dyDescent="0.35">
      <c r="A22" s="2" t="s">
        <v>129</v>
      </c>
      <c r="B22" s="2" t="s">
        <v>2734</v>
      </c>
      <c r="C22" s="2" t="s">
        <v>2735</v>
      </c>
      <c r="D22" s="4">
        <v>1435</v>
      </c>
      <c r="E22" s="4">
        <v>2760</v>
      </c>
      <c r="F22" s="2" t="b">
        <v>1</v>
      </c>
    </row>
    <row r="23" spans="1:6" x14ac:dyDescent="0.35">
      <c r="A23" s="2" t="s">
        <v>174</v>
      </c>
      <c r="B23" s="2" t="s">
        <v>2736</v>
      </c>
      <c r="C23" s="2" t="s">
        <v>2735</v>
      </c>
      <c r="D23" s="4">
        <v>1412</v>
      </c>
      <c r="E23" s="4">
        <v>2270</v>
      </c>
      <c r="F23" s="2" t="b">
        <v>1</v>
      </c>
    </row>
    <row r="24" spans="1:6" x14ac:dyDescent="0.35">
      <c r="A24" s="2" t="s">
        <v>296</v>
      </c>
      <c r="B24" s="2" t="s">
        <v>2737</v>
      </c>
      <c r="C24" s="2" t="s">
        <v>2735</v>
      </c>
      <c r="D24" s="4">
        <v>1182</v>
      </c>
      <c r="E24" s="4">
        <v>2380</v>
      </c>
      <c r="F24" s="2" t="b">
        <v>1</v>
      </c>
    </row>
    <row r="25" spans="1:6" x14ac:dyDescent="0.35">
      <c r="A25" s="2" t="s">
        <v>60</v>
      </c>
      <c r="B25" s="2" t="s">
        <v>2738</v>
      </c>
      <c r="C25" s="2" t="s">
        <v>2735</v>
      </c>
      <c r="D25" s="4">
        <v>1203</v>
      </c>
      <c r="E25" s="4">
        <v>2270</v>
      </c>
      <c r="F25" s="2" t="b">
        <v>1</v>
      </c>
    </row>
    <row r="26" spans="1:6" x14ac:dyDescent="0.35">
      <c r="A26" s="2" t="s">
        <v>280</v>
      </c>
      <c r="B26" s="2" t="s">
        <v>2739</v>
      </c>
      <c r="C26" s="2" t="s">
        <v>2735</v>
      </c>
      <c r="D26" s="4">
        <v>2911</v>
      </c>
      <c r="E26" s="4">
        <v>4060</v>
      </c>
      <c r="F26" s="2" t="b">
        <v>1</v>
      </c>
    </row>
    <row r="27" spans="1:6" x14ac:dyDescent="0.35">
      <c r="A27" s="2" t="s">
        <v>193</v>
      </c>
      <c r="B27" s="2" t="s">
        <v>2740</v>
      </c>
      <c r="C27" s="2" t="s">
        <v>2735</v>
      </c>
      <c r="D27" s="4">
        <v>2027</v>
      </c>
      <c r="E27" s="4">
        <v>4070</v>
      </c>
      <c r="F27" s="2" t="b">
        <v>1</v>
      </c>
    </row>
    <row r="28" spans="1:6" x14ac:dyDescent="0.35">
      <c r="A28" s="2" t="s">
        <v>163</v>
      </c>
      <c r="B28" s="2" t="s">
        <v>2741</v>
      </c>
      <c r="C28" s="2" t="s">
        <v>2735</v>
      </c>
      <c r="D28" s="4">
        <v>2436</v>
      </c>
      <c r="E28" s="4">
        <v>3780</v>
      </c>
      <c r="F28" s="2" t="b">
        <v>1</v>
      </c>
    </row>
    <row r="29" spans="1:6" x14ac:dyDescent="0.35">
      <c r="A29" s="2" t="s">
        <v>31</v>
      </c>
      <c r="B29" s="2" t="s">
        <v>2742</v>
      </c>
      <c r="C29" s="2" t="s">
        <v>2735</v>
      </c>
      <c r="D29" s="4">
        <v>2214</v>
      </c>
      <c r="E29" s="4">
        <v>3660</v>
      </c>
      <c r="F29" s="2" t="b">
        <v>0</v>
      </c>
    </row>
    <row r="30" spans="1:6" x14ac:dyDescent="0.35">
      <c r="A30" s="2" t="s">
        <v>267</v>
      </c>
      <c r="B30" s="2" t="s">
        <v>2743</v>
      </c>
      <c r="C30" s="2" t="s">
        <v>2735</v>
      </c>
      <c r="D30" s="4">
        <v>1010</v>
      </c>
      <c r="E30" s="4">
        <v>2210</v>
      </c>
      <c r="F30" s="2" t="b">
        <v>1</v>
      </c>
    </row>
    <row r="31" spans="1:6" x14ac:dyDescent="0.35">
      <c r="A31" s="2" t="s">
        <v>56</v>
      </c>
      <c r="B31" s="2" t="s">
        <v>2744</v>
      </c>
      <c r="C31" s="2" t="s">
        <v>2735</v>
      </c>
      <c r="D31" s="4">
        <v>434</v>
      </c>
      <c r="E31" s="4">
        <v>970</v>
      </c>
      <c r="F31" s="2" t="b">
        <v>1</v>
      </c>
    </row>
    <row r="32" spans="1:6" x14ac:dyDescent="0.35">
      <c r="A32" s="2" t="s">
        <v>155</v>
      </c>
      <c r="B32" s="2" t="s">
        <v>2745</v>
      </c>
      <c r="C32" s="2" t="s">
        <v>2746</v>
      </c>
      <c r="D32" s="4">
        <v>2135</v>
      </c>
      <c r="E32" s="4">
        <v>3730</v>
      </c>
      <c r="F32" s="2" t="b">
        <v>1</v>
      </c>
    </row>
    <row r="33" spans="1:6" x14ac:dyDescent="0.35">
      <c r="A33" s="2" t="s">
        <v>39</v>
      </c>
      <c r="B33" s="2" t="s">
        <v>2747</v>
      </c>
      <c r="C33" s="2" t="s">
        <v>2746</v>
      </c>
      <c r="D33" s="4">
        <v>288</v>
      </c>
      <c r="E33" s="4">
        <v>370</v>
      </c>
      <c r="F33" s="2" t="b">
        <v>1</v>
      </c>
    </row>
    <row r="34" spans="1:6" x14ac:dyDescent="0.35">
      <c r="A34" s="2" t="s">
        <v>224</v>
      </c>
      <c r="B34" s="2" t="s">
        <v>2748</v>
      </c>
      <c r="C34" s="2" t="s">
        <v>2746</v>
      </c>
      <c r="D34" s="4">
        <v>1143</v>
      </c>
      <c r="E34" s="4">
        <v>2030</v>
      </c>
      <c r="F34" s="2" t="b">
        <v>1</v>
      </c>
    </row>
    <row r="35" spans="1:6" x14ac:dyDescent="0.35">
      <c r="A35" s="2" t="s">
        <v>372</v>
      </c>
      <c r="B35" s="2" t="s">
        <v>2749</v>
      </c>
      <c r="C35" s="2" t="s">
        <v>2746</v>
      </c>
      <c r="D35" s="4">
        <v>2459</v>
      </c>
      <c r="E35" s="4">
        <v>5080</v>
      </c>
      <c r="F35" s="2" t="b">
        <v>1</v>
      </c>
    </row>
    <row r="36" spans="1:6" x14ac:dyDescent="0.35">
      <c r="A36" s="2" t="s">
        <v>431</v>
      </c>
      <c r="B36" s="2" t="s">
        <v>2750</v>
      </c>
      <c r="C36" s="2" t="s">
        <v>2746</v>
      </c>
      <c r="D36" s="4">
        <v>464</v>
      </c>
      <c r="E36" s="4">
        <v>1090</v>
      </c>
      <c r="F36" s="2" t="b">
        <v>1</v>
      </c>
    </row>
    <row r="37" spans="1:6" x14ac:dyDescent="0.35">
      <c r="A37" s="2" t="s">
        <v>72</v>
      </c>
      <c r="B37" s="2" t="s">
        <v>2751</v>
      </c>
      <c r="C37" s="2" t="s">
        <v>2746</v>
      </c>
      <c r="D37" s="4">
        <v>1556</v>
      </c>
      <c r="E37" s="4">
        <v>3250</v>
      </c>
      <c r="F37" s="2" t="b">
        <v>1</v>
      </c>
    </row>
    <row r="38" spans="1:6" x14ac:dyDescent="0.35">
      <c r="A38" s="2" t="s">
        <v>132</v>
      </c>
      <c r="B38" s="2" t="s">
        <v>2752</v>
      </c>
      <c r="C38" s="2" t="s">
        <v>2746</v>
      </c>
      <c r="D38" s="4">
        <v>329</v>
      </c>
      <c r="E38" s="4">
        <v>660</v>
      </c>
      <c r="F38" s="2" t="b">
        <v>1</v>
      </c>
    </row>
    <row r="39" spans="1:6" x14ac:dyDescent="0.35">
      <c r="A39" s="2" t="s">
        <v>53</v>
      </c>
      <c r="B39" s="2" t="s">
        <v>2753</v>
      </c>
      <c r="C39" s="2" t="s">
        <v>2746</v>
      </c>
      <c r="D39" s="4">
        <v>2549</v>
      </c>
      <c r="E39" s="4">
        <v>5490</v>
      </c>
      <c r="F39" s="2" t="b">
        <v>1</v>
      </c>
    </row>
    <row r="40" spans="1:6" x14ac:dyDescent="0.35">
      <c r="A40" s="2" t="s">
        <v>199</v>
      </c>
      <c r="B40" s="2" t="s">
        <v>2754</v>
      </c>
      <c r="C40" s="2" t="s">
        <v>2746</v>
      </c>
      <c r="D40" s="4">
        <v>1850</v>
      </c>
      <c r="E40" s="4">
        <v>4610</v>
      </c>
      <c r="F40" s="2" t="b">
        <v>1</v>
      </c>
    </row>
    <row r="41" spans="1:6" x14ac:dyDescent="0.35">
      <c r="A41" s="2" t="s">
        <v>93</v>
      </c>
      <c r="B41" s="2" t="s">
        <v>2755</v>
      </c>
      <c r="C41" s="2" t="s">
        <v>2746</v>
      </c>
      <c r="D41" s="4">
        <v>519</v>
      </c>
      <c r="E41" s="4">
        <v>1080</v>
      </c>
      <c r="F41" s="2" t="b">
        <v>1</v>
      </c>
    </row>
    <row r="42" spans="1:6" x14ac:dyDescent="0.35">
      <c r="A42" s="2" t="s">
        <v>188</v>
      </c>
      <c r="B42" s="2" t="s">
        <v>2756</v>
      </c>
      <c r="C42" s="2" t="s">
        <v>2757</v>
      </c>
      <c r="D42" s="4">
        <v>647</v>
      </c>
      <c r="E42" s="4">
        <v>1540</v>
      </c>
      <c r="F42" s="2" t="b">
        <v>0</v>
      </c>
    </row>
    <row r="43" spans="1:6" x14ac:dyDescent="0.35">
      <c r="A43" s="2" t="s">
        <v>315</v>
      </c>
      <c r="B43" s="2" t="s">
        <v>2758</v>
      </c>
      <c r="C43" s="2" t="s">
        <v>2757</v>
      </c>
      <c r="D43" s="4">
        <v>1219</v>
      </c>
      <c r="E43" s="4">
        <v>2290</v>
      </c>
      <c r="F43" s="2" t="b">
        <v>1</v>
      </c>
    </row>
    <row r="44" spans="1:6" x14ac:dyDescent="0.35">
      <c r="A44" s="2" t="s">
        <v>108</v>
      </c>
      <c r="B44" s="2" t="s">
        <v>2759</v>
      </c>
      <c r="C44" s="2" t="s">
        <v>2757</v>
      </c>
      <c r="D44" s="4">
        <v>1728</v>
      </c>
      <c r="E44" s="4">
        <v>3350</v>
      </c>
      <c r="F44" s="2" t="b">
        <v>1</v>
      </c>
    </row>
    <row r="45" spans="1:6" x14ac:dyDescent="0.35">
      <c r="A45" s="2" t="s">
        <v>105</v>
      </c>
      <c r="B45" s="2" t="s">
        <v>2760</v>
      </c>
      <c r="C45" s="2" t="s">
        <v>2757</v>
      </c>
      <c r="D45" s="4">
        <v>1222</v>
      </c>
      <c r="E45" s="4">
        <v>1650</v>
      </c>
      <c r="F45" s="2" t="b">
        <v>1</v>
      </c>
    </row>
    <row r="46" spans="1:6" x14ac:dyDescent="0.35">
      <c r="A46" s="2" t="s">
        <v>205</v>
      </c>
      <c r="B46" s="2" t="s">
        <v>2761</v>
      </c>
      <c r="C46" s="2" t="s">
        <v>2757</v>
      </c>
      <c r="D46" s="4">
        <v>1626</v>
      </c>
      <c r="E46" s="4">
        <v>3020</v>
      </c>
      <c r="F46" s="2" t="b">
        <v>1</v>
      </c>
    </row>
    <row r="47" spans="1:6" x14ac:dyDescent="0.35">
      <c r="A47" s="2" t="s">
        <v>113</v>
      </c>
      <c r="B47" s="2" t="s">
        <v>2762</v>
      </c>
      <c r="C47" s="2" t="s">
        <v>2757</v>
      </c>
      <c r="D47" s="4">
        <v>2768</v>
      </c>
      <c r="E47" s="4">
        <v>4880</v>
      </c>
      <c r="F47" s="2" t="b">
        <v>1</v>
      </c>
    </row>
    <row r="48" spans="1:6" x14ac:dyDescent="0.35">
      <c r="A48" s="2" t="s">
        <v>86</v>
      </c>
      <c r="B48" s="2" t="s">
        <v>2763</v>
      </c>
      <c r="C48" s="2" t="s">
        <v>2757</v>
      </c>
      <c r="D48" s="4">
        <v>2420</v>
      </c>
      <c r="E48" s="4">
        <v>3450</v>
      </c>
      <c r="F48" s="2" t="b">
        <v>1</v>
      </c>
    </row>
    <row r="49" spans="1:6" x14ac:dyDescent="0.35">
      <c r="A49" s="2" t="s">
        <v>120</v>
      </c>
      <c r="B49" s="2" t="s">
        <v>2764</v>
      </c>
      <c r="C49" s="2" t="s">
        <v>2757</v>
      </c>
      <c r="D49" s="4">
        <v>2237</v>
      </c>
      <c r="E49" s="4">
        <v>5100</v>
      </c>
      <c r="F49" s="2" t="b">
        <v>1</v>
      </c>
    </row>
    <row r="50" spans="1:6" x14ac:dyDescent="0.35">
      <c r="A50" s="2" t="s">
        <v>309</v>
      </c>
      <c r="B50" s="2" t="s">
        <v>2765</v>
      </c>
      <c r="C50" s="2" t="s">
        <v>2757</v>
      </c>
      <c r="D50" s="4">
        <v>675</v>
      </c>
      <c r="E50" s="4">
        <v>960</v>
      </c>
      <c r="F50" s="2" t="b">
        <v>1</v>
      </c>
    </row>
    <row r="51" spans="1:6" x14ac:dyDescent="0.35">
      <c r="A51" s="2" t="s">
        <v>170</v>
      </c>
      <c r="B51" s="2" t="s">
        <v>2766</v>
      </c>
      <c r="C51" s="2" t="s">
        <v>2757</v>
      </c>
      <c r="D51" s="4">
        <v>2617</v>
      </c>
      <c r="E51" s="4">
        <v>6080</v>
      </c>
      <c r="F51" s="2" t="b">
        <v>1</v>
      </c>
    </row>
    <row r="52" spans="1:6" x14ac:dyDescent="0.35">
      <c r="A52" s="2" t="s">
        <v>90</v>
      </c>
      <c r="B52" s="2" t="s">
        <v>2767</v>
      </c>
      <c r="C52" s="2" t="s">
        <v>2768</v>
      </c>
      <c r="D52" s="4">
        <v>2467</v>
      </c>
      <c r="E52" s="4">
        <v>3450</v>
      </c>
      <c r="F52" s="2" t="b">
        <v>1</v>
      </c>
    </row>
    <row r="53" spans="1:6" x14ac:dyDescent="0.35">
      <c r="A53" s="2" t="s">
        <v>289</v>
      </c>
      <c r="B53" s="2" t="s">
        <v>2769</v>
      </c>
      <c r="C53" s="2" t="s">
        <v>2768</v>
      </c>
      <c r="D53" s="4">
        <v>2265</v>
      </c>
      <c r="E53" s="4">
        <v>5410</v>
      </c>
      <c r="F53" s="2" t="b">
        <v>1</v>
      </c>
    </row>
    <row r="54" spans="1:6" x14ac:dyDescent="0.35">
      <c r="A54" s="2" t="s">
        <v>26</v>
      </c>
      <c r="B54" s="2" t="s">
        <v>2770</v>
      </c>
      <c r="C54" s="2" t="s">
        <v>2768</v>
      </c>
      <c r="D54" s="4">
        <v>302</v>
      </c>
      <c r="E54" s="4">
        <v>470</v>
      </c>
      <c r="F54" s="2" t="b">
        <v>0</v>
      </c>
    </row>
    <row r="55" spans="1:6" x14ac:dyDescent="0.35">
      <c r="A55" s="2" t="s">
        <v>111</v>
      </c>
      <c r="B55" s="2" t="s">
        <v>2771</v>
      </c>
      <c r="C55" s="2" t="s">
        <v>2768</v>
      </c>
      <c r="D55" s="4">
        <v>516</v>
      </c>
      <c r="E55" s="4">
        <v>1010</v>
      </c>
      <c r="F55" s="2" t="b">
        <v>1</v>
      </c>
    </row>
    <row r="56" spans="1:6" x14ac:dyDescent="0.35">
      <c r="A56" s="2" t="s">
        <v>124</v>
      </c>
      <c r="B56" s="2" t="s">
        <v>2772</v>
      </c>
      <c r="C56" s="2" t="s">
        <v>2768</v>
      </c>
      <c r="D56" s="4">
        <v>2028</v>
      </c>
      <c r="E56" s="4">
        <v>2860</v>
      </c>
      <c r="F56" s="2" t="b">
        <v>1</v>
      </c>
    </row>
    <row r="57" spans="1:6" x14ac:dyDescent="0.35">
      <c r="A57" s="2" t="s">
        <v>444</v>
      </c>
      <c r="B57" s="2" t="s">
        <v>2773</v>
      </c>
      <c r="C57" s="2" t="s">
        <v>2768</v>
      </c>
      <c r="D57" s="4">
        <v>2827</v>
      </c>
      <c r="E57" s="4">
        <v>6940</v>
      </c>
      <c r="F57" s="2" t="b">
        <v>1</v>
      </c>
    </row>
    <row r="58" spans="1:6" x14ac:dyDescent="0.35">
      <c r="A58" s="2" t="s">
        <v>44</v>
      </c>
      <c r="B58" s="2" t="s">
        <v>2774</v>
      </c>
      <c r="C58" s="2" t="s">
        <v>2768</v>
      </c>
      <c r="D58" s="4">
        <v>705</v>
      </c>
      <c r="E58" s="4">
        <v>960</v>
      </c>
      <c r="F58" s="2" t="b">
        <v>1</v>
      </c>
    </row>
    <row r="59" spans="1:6" x14ac:dyDescent="0.35">
      <c r="A59" s="2" t="s">
        <v>80</v>
      </c>
      <c r="B59" s="2" t="s">
        <v>2775</v>
      </c>
      <c r="C59" s="2" t="s">
        <v>2768</v>
      </c>
      <c r="D59" s="4">
        <v>974</v>
      </c>
      <c r="E59" s="4">
        <v>2400</v>
      </c>
      <c r="F59" s="2" t="b">
        <v>1</v>
      </c>
    </row>
    <row r="60" spans="1:6" x14ac:dyDescent="0.35">
      <c r="A60" s="2" t="s">
        <v>390</v>
      </c>
      <c r="B60" s="2" t="s">
        <v>2776</v>
      </c>
      <c r="C60" s="2" t="s">
        <v>2768</v>
      </c>
      <c r="D60" s="4">
        <v>1860</v>
      </c>
      <c r="E60" s="4">
        <v>3780</v>
      </c>
      <c r="F60" s="2" t="b">
        <v>1</v>
      </c>
    </row>
    <row r="61" spans="1:6" x14ac:dyDescent="0.35">
      <c r="A61" s="2" t="s">
        <v>76</v>
      </c>
      <c r="B61" s="2" t="s">
        <v>2777</v>
      </c>
      <c r="C61" s="2" t="s">
        <v>2768</v>
      </c>
      <c r="D61" s="4">
        <v>147</v>
      </c>
      <c r="E61" s="4">
        <v>190</v>
      </c>
      <c r="F61" s="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</sheetPr>
  <dimension ref="A1:E31"/>
  <sheetViews>
    <sheetView workbookViewId="0"/>
  </sheetViews>
  <sheetFormatPr defaultRowHeight="14.5" x14ac:dyDescent="0.35"/>
  <cols>
    <col min="1" max="1" width="8" customWidth="1"/>
    <col min="2" max="2" width="17" customWidth="1"/>
    <col min="3" max="3" width="8" customWidth="1"/>
    <col min="4" max="4" width="12" customWidth="1"/>
    <col min="5" max="5" width="14" customWidth="1"/>
  </cols>
  <sheetData>
    <row r="1" spans="1:5" x14ac:dyDescent="0.35">
      <c r="A1" s="1" t="s">
        <v>2778</v>
      </c>
      <c r="B1" s="1" t="s">
        <v>2779</v>
      </c>
      <c r="C1" s="1" t="s">
        <v>2780</v>
      </c>
      <c r="D1" s="1" t="s">
        <v>2781</v>
      </c>
      <c r="E1" s="1" t="s">
        <v>2782</v>
      </c>
    </row>
    <row r="2" spans="1:5" x14ac:dyDescent="0.35">
      <c r="A2" s="2" t="s">
        <v>144</v>
      </c>
      <c r="B2" s="2" t="s">
        <v>2783</v>
      </c>
      <c r="C2" s="2" t="s">
        <v>2784</v>
      </c>
      <c r="D2" s="3">
        <v>44207</v>
      </c>
      <c r="E2" s="2"/>
    </row>
    <row r="3" spans="1:5" x14ac:dyDescent="0.35">
      <c r="A3" s="2" t="s">
        <v>226</v>
      </c>
      <c r="B3" s="2" t="s">
        <v>2785</v>
      </c>
      <c r="C3" s="2" t="s">
        <v>2784</v>
      </c>
      <c r="D3" s="3">
        <v>44028</v>
      </c>
      <c r="E3" s="2"/>
    </row>
    <row r="4" spans="1:5" x14ac:dyDescent="0.35">
      <c r="A4" s="2" t="s">
        <v>77</v>
      </c>
      <c r="B4" s="2" t="s">
        <v>2786</v>
      </c>
      <c r="C4" s="2" t="s">
        <v>2784</v>
      </c>
      <c r="D4" s="3">
        <v>43651</v>
      </c>
      <c r="E4" s="2"/>
    </row>
    <row r="5" spans="1:5" x14ac:dyDescent="0.35">
      <c r="A5" s="2" t="s">
        <v>68</v>
      </c>
      <c r="B5" s="2" t="s">
        <v>2787</v>
      </c>
      <c r="C5" s="2" t="s">
        <v>2784</v>
      </c>
      <c r="D5" s="3">
        <v>44907</v>
      </c>
      <c r="E5" s="2"/>
    </row>
    <row r="6" spans="1:5" x14ac:dyDescent="0.35">
      <c r="A6" s="2" t="s">
        <v>21</v>
      </c>
      <c r="B6" s="2" t="s">
        <v>2788</v>
      </c>
      <c r="C6" s="2" t="s">
        <v>2784</v>
      </c>
      <c r="D6" s="3">
        <v>43588</v>
      </c>
      <c r="E6" s="2" t="s">
        <v>144</v>
      </c>
    </row>
    <row r="7" spans="1:5" x14ac:dyDescent="0.35">
      <c r="A7" s="2" t="s">
        <v>32</v>
      </c>
      <c r="B7" s="2" t="s">
        <v>2702</v>
      </c>
      <c r="C7" s="2" t="s">
        <v>2784</v>
      </c>
      <c r="D7" s="3">
        <v>44131</v>
      </c>
      <c r="E7" s="2" t="s">
        <v>144</v>
      </c>
    </row>
    <row r="8" spans="1:5" x14ac:dyDescent="0.35">
      <c r="A8" s="2" t="s">
        <v>15</v>
      </c>
      <c r="B8" s="2" t="s">
        <v>2789</v>
      </c>
      <c r="C8" s="2" t="s">
        <v>2784</v>
      </c>
      <c r="D8" s="3">
        <v>43493</v>
      </c>
      <c r="E8" s="2" t="s">
        <v>144</v>
      </c>
    </row>
    <row r="9" spans="1:5" x14ac:dyDescent="0.35">
      <c r="A9" s="2" t="s">
        <v>36</v>
      </c>
      <c r="B9" s="2" t="s">
        <v>2691</v>
      </c>
      <c r="C9" s="2" t="s">
        <v>2784</v>
      </c>
      <c r="D9" s="3">
        <v>44693</v>
      </c>
      <c r="E9" s="2" t="s">
        <v>144</v>
      </c>
    </row>
    <row r="10" spans="1:5" x14ac:dyDescent="0.35">
      <c r="A10" s="2" t="s">
        <v>133</v>
      </c>
      <c r="B10" s="2" t="s">
        <v>2790</v>
      </c>
      <c r="C10" s="2" t="s">
        <v>2791</v>
      </c>
      <c r="D10" s="3">
        <v>44804</v>
      </c>
      <c r="E10" s="2" t="s">
        <v>226</v>
      </c>
    </row>
    <row r="11" spans="1:5" x14ac:dyDescent="0.35">
      <c r="A11" s="2" t="s">
        <v>61</v>
      </c>
      <c r="B11" s="2" t="s">
        <v>2792</v>
      </c>
      <c r="C11" s="2" t="s">
        <v>2791</v>
      </c>
      <c r="D11" s="3">
        <v>43904</v>
      </c>
      <c r="E11" s="2" t="s">
        <v>226</v>
      </c>
    </row>
    <row r="12" spans="1:5" x14ac:dyDescent="0.35">
      <c r="A12" s="2" t="s">
        <v>202</v>
      </c>
      <c r="B12" s="2" t="s">
        <v>2793</v>
      </c>
      <c r="C12" s="2" t="s">
        <v>2791</v>
      </c>
      <c r="D12" s="3">
        <v>44622</v>
      </c>
      <c r="E12" s="2" t="s">
        <v>226</v>
      </c>
    </row>
    <row r="13" spans="1:5" x14ac:dyDescent="0.35">
      <c r="A13" s="2" t="s">
        <v>254</v>
      </c>
      <c r="B13" s="2" t="s">
        <v>2794</v>
      </c>
      <c r="C13" s="2" t="s">
        <v>2791</v>
      </c>
      <c r="D13" s="3">
        <v>44890</v>
      </c>
      <c r="E13" s="2" t="s">
        <v>226</v>
      </c>
    </row>
    <row r="14" spans="1:5" x14ac:dyDescent="0.35">
      <c r="A14" s="2" t="s">
        <v>181</v>
      </c>
      <c r="B14" s="2" t="s">
        <v>2795</v>
      </c>
      <c r="C14" s="2" t="s">
        <v>2791</v>
      </c>
      <c r="D14" s="3">
        <v>45215</v>
      </c>
      <c r="E14" s="2" t="s">
        <v>226</v>
      </c>
    </row>
    <row r="15" spans="1:5" x14ac:dyDescent="0.35">
      <c r="A15" s="2" t="s">
        <v>27</v>
      </c>
      <c r="B15" s="2" t="s">
        <v>2796</v>
      </c>
      <c r="C15" s="2" t="s">
        <v>2791</v>
      </c>
      <c r="D15" s="3">
        <v>44469</v>
      </c>
      <c r="E15" s="2" t="s">
        <v>226</v>
      </c>
    </row>
    <row r="16" spans="1:5" x14ac:dyDescent="0.35">
      <c r="A16" s="2" t="s">
        <v>117</v>
      </c>
      <c r="B16" s="2" t="s">
        <v>2797</v>
      </c>
      <c r="C16" s="2" t="s">
        <v>2791</v>
      </c>
      <c r="D16" s="3">
        <v>45231</v>
      </c>
      <c r="E16" s="2" t="s">
        <v>226</v>
      </c>
    </row>
    <row r="17" spans="1:5" x14ac:dyDescent="0.35">
      <c r="A17" s="2" t="s">
        <v>275</v>
      </c>
      <c r="B17" s="2" t="s">
        <v>2798</v>
      </c>
      <c r="C17" s="2" t="s">
        <v>2791</v>
      </c>
      <c r="D17" s="3">
        <v>43614</v>
      </c>
      <c r="E17" s="2" t="s">
        <v>226</v>
      </c>
    </row>
    <row r="18" spans="1:5" x14ac:dyDescent="0.35">
      <c r="A18" s="2" t="s">
        <v>167</v>
      </c>
      <c r="B18" s="2" t="s">
        <v>2799</v>
      </c>
      <c r="C18" s="2" t="s">
        <v>2800</v>
      </c>
      <c r="D18" s="3">
        <v>43685</v>
      </c>
      <c r="E18" s="2" t="s">
        <v>77</v>
      </c>
    </row>
    <row r="19" spans="1:5" x14ac:dyDescent="0.35">
      <c r="A19" s="2" t="s">
        <v>232</v>
      </c>
      <c r="B19" s="2" t="s">
        <v>2801</v>
      </c>
      <c r="C19" s="2" t="s">
        <v>2800</v>
      </c>
      <c r="D19" s="3">
        <v>43428</v>
      </c>
      <c r="E19" s="2" t="s">
        <v>77</v>
      </c>
    </row>
    <row r="20" spans="1:5" x14ac:dyDescent="0.35">
      <c r="A20" s="2" t="s">
        <v>50</v>
      </c>
      <c r="B20" s="2" t="s">
        <v>2802</v>
      </c>
      <c r="C20" s="2" t="s">
        <v>2800</v>
      </c>
      <c r="D20" s="3">
        <v>43576</v>
      </c>
      <c r="E20" s="2" t="s">
        <v>77</v>
      </c>
    </row>
    <row r="21" spans="1:5" x14ac:dyDescent="0.35">
      <c r="A21" s="2" t="s">
        <v>121</v>
      </c>
      <c r="B21" s="2" t="s">
        <v>2803</v>
      </c>
      <c r="C21" s="2" t="s">
        <v>2800</v>
      </c>
      <c r="D21" s="3">
        <v>43254</v>
      </c>
      <c r="E21" s="2" t="s">
        <v>77</v>
      </c>
    </row>
    <row r="22" spans="1:5" x14ac:dyDescent="0.35">
      <c r="A22" s="2" t="s">
        <v>87</v>
      </c>
      <c r="B22" s="2" t="s">
        <v>2804</v>
      </c>
      <c r="C22" s="2" t="s">
        <v>2800</v>
      </c>
      <c r="D22" s="3">
        <v>43260</v>
      </c>
      <c r="E22" s="2" t="s">
        <v>77</v>
      </c>
    </row>
    <row r="23" spans="1:5" x14ac:dyDescent="0.35">
      <c r="A23" s="2" t="s">
        <v>214</v>
      </c>
      <c r="B23" s="2" t="s">
        <v>2805</v>
      </c>
      <c r="C23" s="2" t="s">
        <v>2800</v>
      </c>
      <c r="D23" s="3">
        <v>43146</v>
      </c>
      <c r="E23" s="2" t="s">
        <v>77</v>
      </c>
    </row>
    <row r="24" spans="1:5" x14ac:dyDescent="0.35">
      <c r="A24" s="2" t="s">
        <v>83</v>
      </c>
      <c r="B24" s="2" t="s">
        <v>2806</v>
      </c>
      <c r="C24" s="2" t="s">
        <v>2800</v>
      </c>
      <c r="D24" s="3">
        <v>44777</v>
      </c>
      <c r="E24" s="2" t="s">
        <v>77</v>
      </c>
    </row>
    <row r="25" spans="1:5" x14ac:dyDescent="0.35">
      <c r="A25" s="2" t="s">
        <v>45</v>
      </c>
      <c r="B25" s="2" t="s">
        <v>2807</v>
      </c>
      <c r="C25" s="2" t="s">
        <v>2808</v>
      </c>
      <c r="D25" s="3">
        <v>43371</v>
      </c>
      <c r="E25" s="2" t="s">
        <v>68</v>
      </c>
    </row>
    <row r="26" spans="1:5" x14ac:dyDescent="0.35">
      <c r="A26" s="2" t="s">
        <v>40</v>
      </c>
      <c r="B26" s="2" t="s">
        <v>2809</v>
      </c>
      <c r="C26" s="2" t="s">
        <v>2808</v>
      </c>
      <c r="D26" s="3">
        <v>43781</v>
      </c>
      <c r="E26" s="2" t="s">
        <v>68</v>
      </c>
    </row>
    <row r="27" spans="1:5" x14ac:dyDescent="0.35">
      <c r="A27" s="2" t="s">
        <v>130</v>
      </c>
      <c r="B27" s="2" t="s">
        <v>2810</v>
      </c>
      <c r="C27" s="2" t="s">
        <v>2808</v>
      </c>
      <c r="D27" s="3">
        <v>43570</v>
      </c>
      <c r="E27" s="2" t="s">
        <v>68</v>
      </c>
    </row>
    <row r="28" spans="1:5" x14ac:dyDescent="0.35">
      <c r="A28" s="2" t="s">
        <v>272</v>
      </c>
      <c r="B28" s="2" t="s">
        <v>2811</v>
      </c>
      <c r="C28" s="2" t="s">
        <v>2808</v>
      </c>
      <c r="D28" s="3">
        <v>45199</v>
      </c>
      <c r="E28" s="2" t="s">
        <v>68</v>
      </c>
    </row>
    <row r="29" spans="1:5" x14ac:dyDescent="0.35">
      <c r="A29" s="2" t="s">
        <v>57</v>
      </c>
      <c r="B29" s="2" t="s">
        <v>2812</v>
      </c>
      <c r="C29" s="2" t="s">
        <v>2808</v>
      </c>
      <c r="D29" s="3">
        <v>44898</v>
      </c>
      <c r="E29" s="2" t="s">
        <v>68</v>
      </c>
    </row>
    <row r="30" spans="1:5" x14ac:dyDescent="0.35">
      <c r="A30" s="2" t="s">
        <v>158</v>
      </c>
      <c r="B30" s="2" t="s">
        <v>2813</v>
      </c>
      <c r="C30" s="2" t="s">
        <v>2808</v>
      </c>
      <c r="D30" s="3">
        <v>45191</v>
      </c>
      <c r="E30" s="2" t="s">
        <v>68</v>
      </c>
    </row>
    <row r="31" spans="1:5" x14ac:dyDescent="0.35">
      <c r="A31" s="2" t="s">
        <v>99</v>
      </c>
      <c r="B31" s="2" t="s">
        <v>2814</v>
      </c>
      <c r="C31" s="2" t="s">
        <v>2808</v>
      </c>
      <c r="D31" s="3">
        <v>44506</v>
      </c>
      <c r="E31" s="2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</sheetPr>
  <dimension ref="A1:M31"/>
  <sheetViews>
    <sheetView workbookViewId="0"/>
  </sheetViews>
  <sheetFormatPr defaultRowHeight="14.5" x14ac:dyDescent="0.35"/>
  <cols>
    <col min="1" max="13" width="8" customWidth="1"/>
  </cols>
  <sheetData>
    <row r="1" spans="1:13" x14ac:dyDescent="0.35">
      <c r="A1" s="1" t="s">
        <v>2778</v>
      </c>
      <c r="B1" s="1" t="s">
        <v>2815</v>
      </c>
      <c r="C1" s="1" t="s">
        <v>2816</v>
      </c>
      <c r="D1" s="1" t="s">
        <v>2817</v>
      </c>
      <c r="E1" s="1" t="s">
        <v>2818</v>
      </c>
      <c r="F1" s="1" t="s">
        <v>2819</v>
      </c>
      <c r="G1" s="1" t="s">
        <v>2820</v>
      </c>
      <c r="H1" s="1" t="s">
        <v>2821</v>
      </c>
      <c r="I1" s="1" t="s">
        <v>2822</v>
      </c>
      <c r="J1" s="1" t="s">
        <v>2823</v>
      </c>
      <c r="K1" s="1" t="s">
        <v>2824</v>
      </c>
      <c r="L1" s="1" t="s">
        <v>2825</v>
      </c>
      <c r="M1" s="1" t="s">
        <v>2826</v>
      </c>
    </row>
    <row r="2" spans="1:13" x14ac:dyDescent="0.35">
      <c r="A2" s="2" t="s">
        <v>144</v>
      </c>
      <c r="B2" s="4">
        <v>231324</v>
      </c>
      <c r="C2" s="4">
        <v>171682</v>
      </c>
      <c r="D2" s="4">
        <v>234376</v>
      </c>
      <c r="E2" s="4">
        <v>326967</v>
      </c>
      <c r="F2" s="4">
        <v>350588</v>
      </c>
      <c r="G2" s="4">
        <v>385324</v>
      </c>
      <c r="H2" s="4">
        <v>307980</v>
      </c>
      <c r="I2" s="4">
        <v>327947</v>
      </c>
      <c r="J2" s="4">
        <v>181016</v>
      </c>
      <c r="K2" s="4">
        <v>374039</v>
      </c>
      <c r="L2" s="4">
        <v>212805</v>
      </c>
      <c r="M2" s="4">
        <v>405999</v>
      </c>
    </row>
    <row r="3" spans="1:13" x14ac:dyDescent="0.35">
      <c r="A3" s="2" t="s">
        <v>226</v>
      </c>
      <c r="B3" s="4">
        <v>438126</v>
      </c>
      <c r="C3" s="4">
        <v>346266</v>
      </c>
      <c r="D3" s="4">
        <v>329993</v>
      </c>
      <c r="E3" s="4">
        <v>370744</v>
      </c>
      <c r="F3" s="4">
        <v>294660</v>
      </c>
      <c r="G3" s="4">
        <v>341556</v>
      </c>
      <c r="H3" s="4">
        <v>151934</v>
      </c>
      <c r="I3" s="4">
        <v>223794</v>
      </c>
      <c r="J3" s="4">
        <v>438641</v>
      </c>
      <c r="K3" s="4">
        <v>344308</v>
      </c>
      <c r="L3" s="4">
        <v>296172</v>
      </c>
      <c r="M3" s="4">
        <v>304288</v>
      </c>
    </row>
    <row r="4" spans="1:13" x14ac:dyDescent="0.35">
      <c r="A4" s="2" t="s">
        <v>77</v>
      </c>
      <c r="B4" s="4">
        <v>358703</v>
      </c>
      <c r="C4" s="4">
        <v>320519</v>
      </c>
      <c r="D4" s="4">
        <v>327321</v>
      </c>
      <c r="E4" s="4">
        <v>298753</v>
      </c>
      <c r="F4" s="4">
        <v>254636</v>
      </c>
      <c r="G4" s="4">
        <v>351929</v>
      </c>
      <c r="H4" s="4">
        <v>264723</v>
      </c>
      <c r="I4" s="4">
        <v>216459</v>
      </c>
      <c r="J4" s="4">
        <v>391945</v>
      </c>
      <c r="K4" s="4">
        <v>362426</v>
      </c>
      <c r="L4" s="4">
        <v>289199</v>
      </c>
      <c r="M4" s="4">
        <v>301863</v>
      </c>
    </row>
    <row r="5" spans="1:13" x14ac:dyDescent="0.35">
      <c r="A5" s="2" t="s">
        <v>68</v>
      </c>
      <c r="B5" s="4">
        <v>389594</v>
      </c>
      <c r="C5" s="4">
        <v>376422</v>
      </c>
      <c r="D5" s="4">
        <v>324156</v>
      </c>
      <c r="E5" s="4">
        <v>420255</v>
      </c>
      <c r="F5" s="4">
        <v>409107</v>
      </c>
      <c r="G5" s="4">
        <v>269954</v>
      </c>
      <c r="H5" s="4">
        <v>179097</v>
      </c>
      <c r="I5" s="4">
        <v>370568</v>
      </c>
      <c r="J5" s="4">
        <v>387395</v>
      </c>
      <c r="K5" s="4">
        <v>243454</v>
      </c>
      <c r="L5" s="4">
        <v>232530</v>
      </c>
      <c r="M5" s="4">
        <v>201999</v>
      </c>
    </row>
    <row r="6" spans="1:13" x14ac:dyDescent="0.35">
      <c r="A6" s="2" t="s">
        <v>21</v>
      </c>
      <c r="B6" s="4">
        <v>436862</v>
      </c>
      <c r="C6" s="4">
        <v>391158</v>
      </c>
      <c r="D6" s="4">
        <v>340224</v>
      </c>
      <c r="E6" s="4">
        <v>170548</v>
      </c>
      <c r="F6" s="4">
        <v>229390</v>
      </c>
      <c r="G6" s="4">
        <v>349525</v>
      </c>
      <c r="H6" s="4">
        <v>154683</v>
      </c>
      <c r="I6" s="4">
        <v>320848</v>
      </c>
      <c r="J6" s="4">
        <v>354452</v>
      </c>
      <c r="K6" s="4">
        <v>377180</v>
      </c>
      <c r="L6" s="4">
        <v>342347</v>
      </c>
      <c r="M6" s="4">
        <v>183362</v>
      </c>
    </row>
    <row r="7" spans="1:13" x14ac:dyDescent="0.35">
      <c r="A7" s="2" t="s">
        <v>32</v>
      </c>
      <c r="B7" s="4">
        <v>348734</v>
      </c>
      <c r="C7" s="4">
        <v>358191</v>
      </c>
      <c r="D7" s="4">
        <v>250385</v>
      </c>
      <c r="E7" s="4">
        <v>219657</v>
      </c>
      <c r="F7" s="4">
        <v>249365</v>
      </c>
      <c r="G7" s="4">
        <v>435704</v>
      </c>
      <c r="H7" s="4">
        <v>260892</v>
      </c>
      <c r="I7" s="4">
        <v>250741</v>
      </c>
      <c r="J7" s="4">
        <v>358402</v>
      </c>
      <c r="K7" s="4">
        <v>379858</v>
      </c>
      <c r="L7" s="4">
        <v>213280</v>
      </c>
      <c r="M7" s="4">
        <v>224634</v>
      </c>
    </row>
    <row r="8" spans="1:13" x14ac:dyDescent="0.35">
      <c r="A8" s="2" t="s">
        <v>15</v>
      </c>
      <c r="B8" s="4">
        <v>280057</v>
      </c>
      <c r="C8" s="4">
        <v>330342</v>
      </c>
      <c r="D8" s="4">
        <v>336856</v>
      </c>
      <c r="E8" s="4">
        <v>227425</v>
      </c>
      <c r="F8" s="4">
        <v>233647</v>
      </c>
      <c r="G8" s="4">
        <v>307088</v>
      </c>
      <c r="H8" s="4">
        <v>370724</v>
      </c>
      <c r="I8" s="4">
        <v>440008</v>
      </c>
      <c r="J8" s="4">
        <v>406347</v>
      </c>
      <c r="K8" s="4">
        <v>217357</v>
      </c>
      <c r="L8" s="4">
        <v>299289</v>
      </c>
      <c r="M8" s="4">
        <v>214568</v>
      </c>
    </row>
    <row r="9" spans="1:13" x14ac:dyDescent="0.35">
      <c r="A9" s="2" t="s">
        <v>36</v>
      </c>
      <c r="B9" s="4">
        <v>252886</v>
      </c>
      <c r="C9" s="4">
        <v>206057</v>
      </c>
      <c r="D9" s="4">
        <v>318209</v>
      </c>
      <c r="E9" s="4">
        <v>411230</v>
      </c>
      <c r="F9" s="4">
        <v>448660</v>
      </c>
      <c r="G9" s="4">
        <v>171135</v>
      </c>
      <c r="H9" s="4">
        <v>305339</v>
      </c>
      <c r="I9" s="4">
        <v>432264</v>
      </c>
      <c r="J9" s="4">
        <v>294273</v>
      </c>
      <c r="K9" s="4">
        <v>371409</v>
      </c>
      <c r="L9" s="4">
        <v>284207</v>
      </c>
      <c r="M9" s="4">
        <v>437068</v>
      </c>
    </row>
    <row r="10" spans="1:13" x14ac:dyDescent="0.35">
      <c r="A10" s="2" t="s">
        <v>133</v>
      </c>
      <c r="B10" s="4">
        <v>268752</v>
      </c>
      <c r="C10" s="4">
        <v>393256</v>
      </c>
      <c r="D10" s="4">
        <v>310649</v>
      </c>
      <c r="E10" s="4">
        <v>246237</v>
      </c>
      <c r="F10" s="4">
        <v>271287</v>
      </c>
      <c r="G10" s="4">
        <v>314545</v>
      </c>
      <c r="H10" s="4">
        <v>406506</v>
      </c>
      <c r="I10" s="4">
        <v>334930</v>
      </c>
      <c r="J10" s="4">
        <v>348625</v>
      </c>
      <c r="K10" s="4">
        <v>408928</v>
      </c>
      <c r="L10" s="4">
        <v>243749</v>
      </c>
      <c r="M10" s="4">
        <v>418409</v>
      </c>
    </row>
    <row r="11" spans="1:13" x14ac:dyDescent="0.35">
      <c r="A11" s="2" t="s">
        <v>61</v>
      </c>
      <c r="B11" s="4">
        <v>384734</v>
      </c>
      <c r="C11" s="4">
        <v>156698</v>
      </c>
      <c r="D11" s="4">
        <v>283679</v>
      </c>
      <c r="E11" s="4">
        <v>276085</v>
      </c>
      <c r="F11" s="4">
        <v>409270</v>
      </c>
      <c r="G11" s="4">
        <v>285230</v>
      </c>
      <c r="H11" s="4">
        <v>304233</v>
      </c>
      <c r="I11" s="4">
        <v>178221</v>
      </c>
      <c r="J11" s="4">
        <v>284216</v>
      </c>
      <c r="K11" s="4">
        <v>287373</v>
      </c>
      <c r="L11" s="4">
        <v>229082</v>
      </c>
      <c r="M11" s="4">
        <v>298969</v>
      </c>
    </row>
    <row r="12" spans="1:13" x14ac:dyDescent="0.35">
      <c r="A12" s="2" t="s">
        <v>202</v>
      </c>
      <c r="B12" s="4">
        <v>186029</v>
      </c>
      <c r="C12" s="4">
        <v>151419</v>
      </c>
      <c r="D12" s="4">
        <v>253251</v>
      </c>
      <c r="E12" s="4">
        <v>379757</v>
      </c>
      <c r="F12" s="4">
        <v>204209</v>
      </c>
      <c r="G12" s="4">
        <v>179396</v>
      </c>
      <c r="H12" s="4">
        <v>378008</v>
      </c>
      <c r="I12" s="4">
        <v>182649</v>
      </c>
      <c r="J12" s="4">
        <v>267772</v>
      </c>
      <c r="K12" s="4">
        <v>350352</v>
      </c>
      <c r="L12" s="4">
        <v>358042</v>
      </c>
      <c r="M12" s="4">
        <v>359960</v>
      </c>
    </row>
    <row r="13" spans="1:13" x14ac:dyDescent="0.35">
      <c r="A13" s="2" t="s">
        <v>254</v>
      </c>
      <c r="B13" s="4">
        <v>352158</v>
      </c>
      <c r="C13" s="4">
        <v>251181</v>
      </c>
      <c r="D13" s="4">
        <v>321255</v>
      </c>
      <c r="E13" s="4">
        <v>300863</v>
      </c>
      <c r="F13" s="4">
        <v>241731</v>
      </c>
      <c r="G13" s="4">
        <v>393275</v>
      </c>
      <c r="H13" s="4">
        <v>313561</v>
      </c>
      <c r="I13" s="4">
        <v>283604</v>
      </c>
      <c r="J13" s="4">
        <v>429065</v>
      </c>
      <c r="K13" s="4">
        <v>194420</v>
      </c>
      <c r="L13" s="4">
        <v>254168</v>
      </c>
      <c r="M13" s="4">
        <v>389283</v>
      </c>
    </row>
    <row r="14" spans="1:13" x14ac:dyDescent="0.35">
      <c r="A14" s="2" t="s">
        <v>181</v>
      </c>
      <c r="B14" s="4">
        <v>350003</v>
      </c>
      <c r="C14" s="4">
        <v>384951</v>
      </c>
      <c r="D14" s="4">
        <v>424777</v>
      </c>
      <c r="E14" s="4">
        <v>323282</v>
      </c>
      <c r="F14" s="4">
        <v>427290</v>
      </c>
      <c r="G14" s="4">
        <v>363819</v>
      </c>
      <c r="H14" s="4">
        <v>279496</v>
      </c>
      <c r="I14" s="4">
        <v>190932</v>
      </c>
      <c r="J14" s="4">
        <v>347420</v>
      </c>
      <c r="K14" s="4">
        <v>160215</v>
      </c>
      <c r="L14" s="4">
        <v>388600</v>
      </c>
      <c r="M14" s="4">
        <v>437901</v>
      </c>
    </row>
    <row r="15" spans="1:13" x14ac:dyDescent="0.35">
      <c r="A15" s="2" t="s">
        <v>27</v>
      </c>
      <c r="B15" s="4">
        <v>307327</v>
      </c>
      <c r="C15" s="4">
        <v>377256</v>
      </c>
      <c r="D15" s="4">
        <v>236349</v>
      </c>
      <c r="E15" s="4">
        <v>321223</v>
      </c>
      <c r="F15" s="4">
        <v>268119</v>
      </c>
      <c r="G15" s="4">
        <v>294020</v>
      </c>
      <c r="H15" s="4">
        <v>312180</v>
      </c>
      <c r="I15" s="4">
        <v>390845</v>
      </c>
      <c r="J15" s="4">
        <v>432317</v>
      </c>
      <c r="K15" s="4">
        <v>277613</v>
      </c>
      <c r="L15" s="4">
        <v>373411</v>
      </c>
      <c r="M15" s="4">
        <v>214349</v>
      </c>
    </row>
    <row r="16" spans="1:13" x14ac:dyDescent="0.35">
      <c r="A16" s="2" t="s">
        <v>117</v>
      </c>
      <c r="B16" s="4">
        <v>414207</v>
      </c>
      <c r="C16" s="4">
        <v>376391</v>
      </c>
      <c r="D16" s="4">
        <v>192739</v>
      </c>
      <c r="E16" s="4">
        <v>165892</v>
      </c>
      <c r="F16" s="4">
        <v>187659</v>
      </c>
      <c r="G16" s="4">
        <v>283837</v>
      </c>
      <c r="H16" s="4">
        <v>434871</v>
      </c>
      <c r="I16" s="4">
        <v>369518</v>
      </c>
      <c r="J16" s="4">
        <v>171986</v>
      </c>
      <c r="K16" s="4">
        <v>328460</v>
      </c>
      <c r="L16" s="4">
        <v>418857</v>
      </c>
      <c r="M16" s="4">
        <v>159947</v>
      </c>
    </row>
    <row r="17" spans="1:13" x14ac:dyDescent="0.35">
      <c r="A17" s="2" t="s">
        <v>275</v>
      </c>
      <c r="B17" s="4">
        <v>335614</v>
      </c>
      <c r="C17" s="4">
        <v>325577</v>
      </c>
      <c r="D17" s="4">
        <v>217575</v>
      </c>
      <c r="E17" s="4">
        <v>427851</v>
      </c>
      <c r="F17" s="4">
        <v>438020</v>
      </c>
      <c r="G17" s="4">
        <v>276675</v>
      </c>
      <c r="H17" s="4">
        <v>331096</v>
      </c>
      <c r="I17" s="4">
        <v>282103</v>
      </c>
      <c r="J17" s="4">
        <v>321062</v>
      </c>
      <c r="K17" s="4">
        <v>235137</v>
      </c>
      <c r="L17" s="4">
        <v>279755</v>
      </c>
      <c r="M17" s="4">
        <v>230523</v>
      </c>
    </row>
    <row r="18" spans="1:13" x14ac:dyDescent="0.35">
      <c r="A18" s="2" t="s">
        <v>167</v>
      </c>
      <c r="B18" s="4">
        <v>369725</v>
      </c>
      <c r="C18" s="4">
        <v>181516</v>
      </c>
      <c r="D18" s="4">
        <v>233993</v>
      </c>
      <c r="E18" s="4">
        <v>194261</v>
      </c>
      <c r="F18" s="4">
        <v>233332</v>
      </c>
      <c r="G18" s="4">
        <v>359011</v>
      </c>
      <c r="H18" s="4">
        <v>219264</v>
      </c>
      <c r="I18" s="4">
        <v>391688</v>
      </c>
      <c r="J18" s="4">
        <v>191502</v>
      </c>
      <c r="K18" s="4">
        <v>216536</v>
      </c>
      <c r="L18" s="4">
        <v>205649</v>
      </c>
      <c r="M18" s="4">
        <v>285932</v>
      </c>
    </row>
    <row r="19" spans="1:13" x14ac:dyDescent="0.35">
      <c r="A19" s="2" t="s">
        <v>232</v>
      </c>
      <c r="B19" s="4">
        <v>257718</v>
      </c>
      <c r="C19" s="4">
        <v>413773</v>
      </c>
      <c r="D19" s="4">
        <v>202301</v>
      </c>
      <c r="E19" s="4">
        <v>257477</v>
      </c>
      <c r="F19" s="4">
        <v>372470</v>
      </c>
      <c r="G19" s="4">
        <v>371047</v>
      </c>
      <c r="H19" s="4">
        <v>169457</v>
      </c>
      <c r="I19" s="4">
        <v>202077</v>
      </c>
      <c r="J19" s="4">
        <v>406637</v>
      </c>
      <c r="K19" s="4">
        <v>255393</v>
      </c>
      <c r="L19" s="4">
        <v>158049</v>
      </c>
      <c r="M19" s="4">
        <v>317073</v>
      </c>
    </row>
    <row r="20" spans="1:13" x14ac:dyDescent="0.35">
      <c r="A20" s="2" t="s">
        <v>50</v>
      </c>
      <c r="B20" s="4">
        <v>277098</v>
      </c>
      <c r="C20" s="4">
        <v>284984</v>
      </c>
      <c r="D20" s="4">
        <v>164922</v>
      </c>
      <c r="E20" s="4">
        <v>181579</v>
      </c>
      <c r="F20" s="4">
        <v>260717</v>
      </c>
      <c r="G20" s="4">
        <v>414136</v>
      </c>
      <c r="H20" s="4">
        <v>305447</v>
      </c>
      <c r="I20" s="4">
        <v>283691</v>
      </c>
      <c r="J20" s="4">
        <v>359591</v>
      </c>
      <c r="K20" s="4">
        <v>415531</v>
      </c>
      <c r="L20" s="4">
        <v>383485</v>
      </c>
      <c r="M20" s="4">
        <v>154976</v>
      </c>
    </row>
    <row r="21" spans="1:13" x14ac:dyDescent="0.35">
      <c r="A21" s="2" t="s">
        <v>121</v>
      </c>
      <c r="B21" s="4">
        <v>212521</v>
      </c>
      <c r="C21" s="4">
        <v>245361</v>
      </c>
      <c r="D21" s="4">
        <v>402338</v>
      </c>
      <c r="E21" s="4">
        <v>153034</v>
      </c>
      <c r="F21" s="4">
        <v>274863</v>
      </c>
      <c r="G21" s="4">
        <v>238363</v>
      </c>
      <c r="H21" s="4">
        <v>231270</v>
      </c>
      <c r="I21" s="4">
        <v>245700</v>
      </c>
      <c r="J21" s="4">
        <v>368067</v>
      </c>
      <c r="K21" s="4">
        <v>297022</v>
      </c>
      <c r="L21" s="4">
        <v>413149</v>
      </c>
      <c r="M21" s="4">
        <v>156857</v>
      </c>
    </row>
    <row r="22" spans="1:13" x14ac:dyDescent="0.35">
      <c r="A22" s="2" t="s">
        <v>87</v>
      </c>
      <c r="B22" s="4">
        <v>162799</v>
      </c>
      <c r="C22" s="4">
        <v>304758</v>
      </c>
      <c r="D22" s="4">
        <v>405377</v>
      </c>
      <c r="E22" s="4">
        <v>179658</v>
      </c>
      <c r="F22" s="4">
        <v>404994</v>
      </c>
      <c r="G22" s="4">
        <v>193255</v>
      </c>
      <c r="H22" s="4">
        <v>355444</v>
      </c>
      <c r="I22" s="4">
        <v>246543</v>
      </c>
      <c r="J22" s="4">
        <v>329852</v>
      </c>
      <c r="K22" s="4">
        <v>224665</v>
      </c>
      <c r="L22" s="4">
        <v>361938</v>
      </c>
      <c r="M22" s="4">
        <v>165860</v>
      </c>
    </row>
    <row r="23" spans="1:13" x14ac:dyDescent="0.35">
      <c r="A23" s="2" t="s">
        <v>214</v>
      </c>
      <c r="B23" s="4">
        <v>356537</v>
      </c>
      <c r="C23" s="4">
        <v>448297</v>
      </c>
      <c r="D23" s="4">
        <v>156014</v>
      </c>
      <c r="E23" s="4">
        <v>157667</v>
      </c>
      <c r="F23" s="4">
        <v>172713</v>
      </c>
      <c r="G23" s="4">
        <v>196305</v>
      </c>
      <c r="H23" s="4">
        <v>442484</v>
      </c>
      <c r="I23" s="4">
        <v>293581</v>
      </c>
      <c r="J23" s="4">
        <v>280862</v>
      </c>
      <c r="K23" s="4">
        <v>340676</v>
      </c>
      <c r="L23" s="4">
        <v>343411</v>
      </c>
      <c r="M23" s="4">
        <v>437921</v>
      </c>
    </row>
    <row r="24" spans="1:13" x14ac:dyDescent="0.35">
      <c r="A24" s="2" t="s">
        <v>83</v>
      </c>
      <c r="B24" s="4">
        <v>218099</v>
      </c>
      <c r="C24" s="4">
        <v>412956</v>
      </c>
      <c r="D24" s="4">
        <v>438770</v>
      </c>
      <c r="E24" s="4">
        <v>172679</v>
      </c>
      <c r="F24" s="4">
        <v>343868</v>
      </c>
      <c r="G24" s="4">
        <v>390384</v>
      </c>
      <c r="H24" s="4">
        <v>400933</v>
      </c>
      <c r="I24" s="4">
        <v>211614</v>
      </c>
      <c r="J24" s="4">
        <v>201857</v>
      </c>
      <c r="K24" s="4">
        <v>430835</v>
      </c>
      <c r="L24" s="4">
        <v>193076</v>
      </c>
      <c r="M24" s="4">
        <v>372598</v>
      </c>
    </row>
    <row r="25" spans="1:13" x14ac:dyDescent="0.35">
      <c r="A25" s="2" t="s">
        <v>45</v>
      </c>
      <c r="B25" s="4">
        <v>168635</v>
      </c>
      <c r="C25" s="4">
        <v>214511</v>
      </c>
      <c r="D25" s="4">
        <v>169022</v>
      </c>
      <c r="E25" s="4">
        <v>247159</v>
      </c>
      <c r="F25" s="4">
        <v>304981</v>
      </c>
      <c r="G25" s="4">
        <v>387353</v>
      </c>
      <c r="H25" s="4">
        <v>167057</v>
      </c>
      <c r="I25" s="4">
        <v>403051</v>
      </c>
      <c r="J25" s="4">
        <v>184207</v>
      </c>
      <c r="K25" s="4">
        <v>350145</v>
      </c>
      <c r="L25" s="4">
        <v>376579</v>
      </c>
      <c r="M25" s="4">
        <v>364718</v>
      </c>
    </row>
    <row r="26" spans="1:13" x14ac:dyDescent="0.35">
      <c r="A26" s="2" t="s">
        <v>40</v>
      </c>
      <c r="B26" s="4">
        <v>241742</v>
      </c>
      <c r="C26" s="4">
        <v>376544</v>
      </c>
      <c r="D26" s="4">
        <v>289689</v>
      </c>
      <c r="E26" s="4">
        <v>291365</v>
      </c>
      <c r="F26" s="4">
        <v>151669</v>
      </c>
      <c r="G26" s="4">
        <v>237046</v>
      </c>
      <c r="H26" s="4">
        <v>215592</v>
      </c>
      <c r="I26" s="4">
        <v>256462</v>
      </c>
      <c r="J26" s="4">
        <v>219765</v>
      </c>
      <c r="K26" s="4">
        <v>305885</v>
      </c>
      <c r="L26" s="4">
        <v>170489</v>
      </c>
      <c r="M26" s="4">
        <v>328169</v>
      </c>
    </row>
    <row r="27" spans="1:13" x14ac:dyDescent="0.35">
      <c r="A27" s="2" t="s">
        <v>130</v>
      </c>
      <c r="B27" s="4">
        <v>206632</v>
      </c>
      <c r="C27" s="4">
        <v>418219</v>
      </c>
      <c r="D27" s="4">
        <v>218871</v>
      </c>
      <c r="E27" s="4">
        <v>424496</v>
      </c>
      <c r="F27" s="4">
        <v>269328</v>
      </c>
      <c r="G27" s="4">
        <v>261309</v>
      </c>
      <c r="H27" s="4">
        <v>244265</v>
      </c>
      <c r="I27" s="4">
        <v>228393</v>
      </c>
      <c r="J27" s="4">
        <v>410956</v>
      </c>
      <c r="K27" s="4">
        <v>314259</v>
      </c>
      <c r="L27" s="4">
        <v>297459</v>
      </c>
      <c r="M27" s="4">
        <v>251313</v>
      </c>
    </row>
    <row r="28" spans="1:13" x14ac:dyDescent="0.35">
      <c r="A28" s="2" t="s">
        <v>272</v>
      </c>
      <c r="B28" s="4">
        <v>239781</v>
      </c>
      <c r="C28" s="4">
        <v>430605</v>
      </c>
      <c r="D28" s="4">
        <v>190908</v>
      </c>
      <c r="E28" s="4">
        <v>229129</v>
      </c>
      <c r="F28" s="4">
        <v>196262</v>
      </c>
      <c r="G28" s="4">
        <v>377844</v>
      </c>
      <c r="H28" s="4">
        <v>293147</v>
      </c>
      <c r="I28" s="4">
        <v>370985</v>
      </c>
      <c r="J28" s="4">
        <v>420128</v>
      </c>
      <c r="K28" s="4">
        <v>433140</v>
      </c>
      <c r="L28" s="4">
        <v>408093</v>
      </c>
      <c r="M28" s="4">
        <v>255969</v>
      </c>
    </row>
    <row r="29" spans="1:13" x14ac:dyDescent="0.35">
      <c r="A29" s="2" t="s">
        <v>57</v>
      </c>
      <c r="B29" s="4">
        <v>426872</v>
      </c>
      <c r="C29" s="4">
        <v>171719</v>
      </c>
      <c r="D29" s="4">
        <v>169701</v>
      </c>
      <c r="E29" s="4">
        <v>347987</v>
      </c>
      <c r="F29" s="4">
        <v>216195</v>
      </c>
      <c r="G29" s="4">
        <v>412271</v>
      </c>
      <c r="H29" s="4">
        <v>416393</v>
      </c>
      <c r="I29" s="4">
        <v>353569</v>
      </c>
      <c r="J29" s="4">
        <v>323287</v>
      </c>
      <c r="K29" s="4">
        <v>301789</v>
      </c>
      <c r="L29" s="4">
        <v>208839</v>
      </c>
      <c r="M29" s="4">
        <v>369454</v>
      </c>
    </row>
    <row r="30" spans="1:13" x14ac:dyDescent="0.35">
      <c r="A30" s="2" t="s">
        <v>158</v>
      </c>
      <c r="B30" s="4">
        <v>233369</v>
      </c>
      <c r="C30" s="4">
        <v>371909</v>
      </c>
      <c r="D30" s="4">
        <v>355248</v>
      </c>
      <c r="E30" s="4">
        <v>156409</v>
      </c>
      <c r="F30" s="4">
        <v>308725</v>
      </c>
      <c r="G30" s="4">
        <v>192883</v>
      </c>
      <c r="H30" s="4">
        <v>180902</v>
      </c>
      <c r="I30" s="4">
        <v>168654</v>
      </c>
      <c r="J30" s="4">
        <v>256191</v>
      </c>
      <c r="K30" s="4">
        <v>320737</v>
      </c>
      <c r="L30" s="4">
        <v>430108</v>
      </c>
      <c r="M30" s="4">
        <v>307413</v>
      </c>
    </row>
    <row r="31" spans="1:13" x14ac:dyDescent="0.35">
      <c r="A31" s="2" t="s">
        <v>99</v>
      </c>
      <c r="B31" s="4">
        <v>151584</v>
      </c>
      <c r="C31" s="4">
        <v>221679</v>
      </c>
      <c r="D31" s="4">
        <v>385157</v>
      </c>
      <c r="E31" s="4">
        <v>290386</v>
      </c>
      <c r="F31" s="4">
        <v>236041</v>
      </c>
      <c r="G31" s="4">
        <v>407985</v>
      </c>
      <c r="H31" s="4">
        <v>184446</v>
      </c>
      <c r="I31" s="4">
        <v>342894</v>
      </c>
      <c r="J31" s="4">
        <v>180344</v>
      </c>
      <c r="K31" s="4">
        <v>292917</v>
      </c>
      <c r="L31" s="4">
        <v>314858</v>
      </c>
      <c r="M31" s="4">
        <v>364057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F21"/>
  <sheetViews>
    <sheetView topLeftCell="A17" workbookViewId="0">
      <selection sqref="A1:F1"/>
    </sheetView>
  </sheetViews>
  <sheetFormatPr defaultRowHeight="14.5" x14ac:dyDescent="0.35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9.7265625" customWidth="1"/>
  </cols>
  <sheetData>
    <row r="1" spans="1:6" ht="20" customHeight="1" x14ac:dyDescent="0.35">
      <c r="A1" s="56" t="s">
        <v>2827</v>
      </c>
      <c r="B1" s="55"/>
      <c r="C1" s="55"/>
      <c r="D1" s="55"/>
      <c r="E1" s="55"/>
      <c r="F1" s="55"/>
    </row>
    <row r="2" spans="1:6" x14ac:dyDescent="0.35">
      <c r="A2" s="54" t="s">
        <v>2828</v>
      </c>
      <c r="B2" s="55"/>
      <c r="C2" s="55"/>
      <c r="D2" s="55"/>
      <c r="E2" s="55"/>
      <c r="F2" s="55"/>
    </row>
    <row r="3" spans="1:6" x14ac:dyDescent="0.35">
      <c r="A3" s="14"/>
      <c r="B3" s="14"/>
      <c r="C3" s="14"/>
      <c r="D3" s="14"/>
      <c r="E3" s="14"/>
      <c r="F3" s="14"/>
    </row>
    <row r="4" spans="1:6" ht="16" customHeight="1" x14ac:dyDescent="0.35">
      <c r="A4" s="15" t="s">
        <v>2829</v>
      </c>
      <c r="B4" s="15" t="s">
        <v>2830</v>
      </c>
      <c r="C4" s="15" t="s">
        <v>0</v>
      </c>
      <c r="D4" s="15" t="s">
        <v>2831</v>
      </c>
      <c r="E4" s="15" t="s">
        <v>2832</v>
      </c>
      <c r="F4" s="15" t="s">
        <v>2833</v>
      </c>
    </row>
    <row r="5" spans="1:6" ht="28" customHeight="1" x14ac:dyDescent="0.35">
      <c r="A5" s="16" t="s">
        <v>2834</v>
      </c>
      <c r="B5" s="17" t="s">
        <v>2835</v>
      </c>
      <c r="C5" s="18">
        <v>3</v>
      </c>
      <c r="D5" s="19" t="s">
        <v>2836</v>
      </c>
      <c r="E5" s="20" t="str">
        <f>Calculations!$U$2</f>
        <v>CUST-0173</v>
      </c>
      <c r="F5" s="21" t="s">
        <v>2837</v>
      </c>
    </row>
    <row r="6" spans="1:6" ht="28" customHeight="1" x14ac:dyDescent="0.35">
      <c r="A6" s="16" t="s">
        <v>2838</v>
      </c>
      <c r="B6" s="17" t="s">
        <v>2839</v>
      </c>
      <c r="C6" s="18">
        <v>3</v>
      </c>
      <c r="D6" s="19" t="s">
        <v>2840</v>
      </c>
      <c r="E6" s="20" t="str">
        <f>Calculations!$U$3</f>
        <v>Dumbbells 5kg</v>
      </c>
      <c r="F6" s="21" t="s">
        <v>2841</v>
      </c>
    </row>
    <row r="7" spans="1:6" ht="28" customHeight="1" x14ac:dyDescent="0.35">
      <c r="A7" s="16" t="s">
        <v>2842</v>
      </c>
      <c r="B7" s="17" t="s">
        <v>2843</v>
      </c>
      <c r="C7" s="18">
        <v>3</v>
      </c>
      <c r="D7" s="19" t="s">
        <v>2844</v>
      </c>
      <c r="E7" s="20" t="str">
        <f>Calculations!$U$4</f>
        <v>Nisha Menon</v>
      </c>
      <c r="F7" s="21" t="s">
        <v>2841</v>
      </c>
    </row>
    <row r="8" spans="1:6" ht="28" customHeight="1" x14ac:dyDescent="0.35">
      <c r="A8" s="16" t="s">
        <v>2845</v>
      </c>
      <c r="B8" s="17" t="s">
        <v>2846</v>
      </c>
      <c r="C8" s="18">
        <v>4</v>
      </c>
      <c r="D8" s="19" t="s">
        <v>2847</v>
      </c>
      <c r="E8" s="48">
        <f>Calculations!$U$5</f>
        <v>321255</v>
      </c>
      <c r="F8" s="21" t="s">
        <v>2848</v>
      </c>
    </row>
    <row r="9" spans="1:6" ht="28" customHeight="1" x14ac:dyDescent="0.35">
      <c r="A9" s="16" t="s">
        <v>2849</v>
      </c>
      <c r="B9" s="17" t="s">
        <v>2850</v>
      </c>
      <c r="C9" s="18">
        <v>4</v>
      </c>
      <c r="D9" s="19" t="s">
        <v>2851</v>
      </c>
      <c r="E9" s="20" t="str">
        <f>Calculations!$U$6</f>
        <v>Electronics</v>
      </c>
      <c r="F9" s="21" t="s">
        <v>2841</v>
      </c>
    </row>
    <row r="10" spans="1:6" ht="28" customHeight="1" x14ac:dyDescent="0.35">
      <c r="A10" s="16" t="s">
        <v>2852</v>
      </c>
      <c r="B10" s="17" t="s">
        <v>2853</v>
      </c>
      <c r="C10" s="18">
        <v>3</v>
      </c>
      <c r="D10" s="19" t="s">
        <v>2854</v>
      </c>
      <c r="E10" s="20" t="str">
        <f>Calculations!$U$7</f>
        <v>Bronze</v>
      </c>
      <c r="F10" s="21" t="s">
        <v>2841</v>
      </c>
    </row>
    <row r="11" spans="1:6" ht="28" customHeight="1" x14ac:dyDescent="0.35">
      <c r="A11" s="16" t="s">
        <v>2855</v>
      </c>
      <c r="B11" s="17" t="s">
        <v>2856</v>
      </c>
      <c r="C11" s="18">
        <v>3</v>
      </c>
      <c r="D11" s="19" t="s">
        <v>2857</v>
      </c>
      <c r="E11" s="20" t="str">
        <f>Calculations!$U$8</f>
        <v>Sanjay Kapoor (South)</v>
      </c>
      <c r="F11" s="21" t="s">
        <v>2841</v>
      </c>
    </row>
    <row r="12" spans="1:6" ht="28" customHeight="1" x14ac:dyDescent="0.35">
      <c r="A12" s="16" t="s">
        <v>2858</v>
      </c>
      <c r="B12" s="17" t="s">
        <v>2859</v>
      </c>
      <c r="C12" s="18">
        <v>2</v>
      </c>
      <c r="D12" s="19" t="s">
        <v>2860</v>
      </c>
      <c r="E12" s="20" t="str">
        <f>Calculations!$U$9</f>
        <v>Amit Singh</v>
      </c>
      <c r="F12" s="21" t="s">
        <v>2841</v>
      </c>
    </row>
    <row r="15" spans="1:6" x14ac:dyDescent="0.35">
      <c r="B15" s="11" t="s">
        <v>2861</v>
      </c>
    </row>
    <row r="17" spans="2:3" x14ac:dyDescent="0.35">
      <c r="B17" s="12" t="s">
        <v>2862</v>
      </c>
      <c r="C17" s="12" t="s">
        <v>2863</v>
      </c>
    </row>
    <row r="18" spans="2:3" x14ac:dyDescent="0.35">
      <c r="B18" s="13">
        <v>0</v>
      </c>
      <c r="C18" s="13" t="s">
        <v>2864</v>
      </c>
    </row>
    <row r="19" spans="2:3" x14ac:dyDescent="0.35">
      <c r="B19" s="13">
        <v>5</v>
      </c>
      <c r="C19" s="13" t="s">
        <v>2865</v>
      </c>
    </row>
    <row r="20" spans="2:3" x14ac:dyDescent="0.35">
      <c r="B20" s="13">
        <v>15</v>
      </c>
      <c r="C20" s="13" t="s">
        <v>2866</v>
      </c>
    </row>
    <row r="21" spans="2:3" x14ac:dyDescent="0.35">
      <c r="B21" s="13">
        <v>25</v>
      </c>
      <c r="C21" s="13" t="s">
        <v>2867</v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F10"/>
  <sheetViews>
    <sheetView workbookViewId="0">
      <selection sqref="A1:F1"/>
    </sheetView>
  </sheetViews>
  <sheetFormatPr defaultRowHeight="14.5" x14ac:dyDescent="0.35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20" customHeight="1" x14ac:dyDescent="0.35">
      <c r="A1" s="56" t="s">
        <v>2868</v>
      </c>
      <c r="B1" s="55"/>
      <c r="C1" s="55"/>
      <c r="D1" s="55"/>
      <c r="E1" s="55"/>
      <c r="F1" s="55"/>
    </row>
    <row r="2" spans="1:6" x14ac:dyDescent="0.35">
      <c r="A2" s="54" t="s">
        <v>2869</v>
      </c>
      <c r="B2" s="55"/>
      <c r="C2" s="55"/>
      <c r="D2" s="55"/>
      <c r="E2" s="55"/>
      <c r="F2" s="55"/>
    </row>
    <row r="3" spans="1:6" x14ac:dyDescent="0.35">
      <c r="A3" s="14"/>
      <c r="B3" s="14"/>
      <c r="C3" s="14"/>
      <c r="D3" s="14"/>
      <c r="E3" s="14"/>
      <c r="F3" s="14"/>
    </row>
    <row r="4" spans="1:6" ht="16" customHeight="1" x14ac:dyDescent="0.35">
      <c r="A4" s="15" t="s">
        <v>2829</v>
      </c>
      <c r="B4" s="15" t="s">
        <v>2830</v>
      </c>
      <c r="C4" s="15" t="s">
        <v>0</v>
      </c>
      <c r="D4" s="15" t="s">
        <v>2831</v>
      </c>
      <c r="E4" s="15" t="s">
        <v>2832</v>
      </c>
      <c r="F4" s="15" t="s">
        <v>2833</v>
      </c>
    </row>
    <row r="5" spans="1:6" ht="28" customHeight="1" x14ac:dyDescent="0.35">
      <c r="A5" s="16" t="s">
        <v>2870</v>
      </c>
      <c r="B5" s="17" t="s">
        <v>2871</v>
      </c>
      <c r="C5" s="18">
        <v>3</v>
      </c>
      <c r="D5" s="19" t="s">
        <v>2872</v>
      </c>
      <c r="E5" s="48">
        <f>Calculations!$U$10</f>
        <v>20</v>
      </c>
      <c r="F5" s="21" t="s">
        <v>2848</v>
      </c>
    </row>
    <row r="6" spans="1:6" ht="28" customHeight="1" x14ac:dyDescent="0.35">
      <c r="A6" s="16" t="s">
        <v>2873</v>
      </c>
      <c r="B6" s="17" t="s">
        <v>2874</v>
      </c>
      <c r="C6" s="18">
        <v>3</v>
      </c>
      <c r="D6" s="19" t="s">
        <v>2875</v>
      </c>
      <c r="E6" s="48">
        <f>Calculations!$U$11</f>
        <v>15</v>
      </c>
      <c r="F6" s="21" t="s">
        <v>2848</v>
      </c>
    </row>
    <row r="7" spans="1:6" ht="28" customHeight="1" x14ac:dyDescent="0.35">
      <c r="A7" s="16" t="s">
        <v>2876</v>
      </c>
      <c r="B7" s="17" t="s">
        <v>2877</v>
      </c>
      <c r="C7" s="18">
        <v>3</v>
      </c>
      <c r="D7" s="19" t="s">
        <v>2878</v>
      </c>
      <c r="E7" s="48">
        <f>Calculations!$U$12</f>
        <v>6</v>
      </c>
      <c r="F7" s="21" t="s">
        <v>2848</v>
      </c>
    </row>
    <row r="8" spans="1:6" ht="28" customHeight="1" x14ac:dyDescent="0.35">
      <c r="A8" s="16" t="s">
        <v>2879</v>
      </c>
      <c r="B8" s="17" t="s">
        <v>2880</v>
      </c>
      <c r="C8" s="18">
        <v>4</v>
      </c>
      <c r="D8" s="19" t="s">
        <v>2881</v>
      </c>
      <c r="E8" s="48">
        <f>Calculations!$U$13</f>
        <v>30</v>
      </c>
      <c r="F8" s="21" t="s">
        <v>2848</v>
      </c>
    </row>
    <row r="9" spans="1:6" ht="28" customHeight="1" x14ac:dyDescent="0.35">
      <c r="A9" s="16" t="s">
        <v>2882</v>
      </c>
      <c r="B9" s="17" t="s">
        <v>2883</v>
      </c>
      <c r="C9" s="18">
        <v>3</v>
      </c>
      <c r="D9" s="19" t="s">
        <v>2884</v>
      </c>
      <c r="E9" s="48">
        <f>Calculations!$U$14</f>
        <v>174</v>
      </c>
      <c r="F9" s="21" t="s">
        <v>2848</v>
      </c>
    </row>
    <row r="10" spans="1:6" ht="28" customHeight="1" x14ac:dyDescent="0.35">
      <c r="A10" s="16" t="s">
        <v>2885</v>
      </c>
      <c r="B10" s="17" t="s">
        <v>2886</v>
      </c>
      <c r="C10" s="18">
        <v>4</v>
      </c>
      <c r="D10" s="19" t="s">
        <v>2887</v>
      </c>
      <c r="E10" s="48">
        <f>Calculations!$U$15</f>
        <v>58</v>
      </c>
      <c r="F10" s="21" t="s">
        <v>2848</v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F10"/>
  <sheetViews>
    <sheetView workbookViewId="0">
      <selection sqref="A1:F1"/>
    </sheetView>
  </sheetViews>
  <sheetFormatPr defaultRowHeight="14.5" x14ac:dyDescent="0.35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20" customHeight="1" x14ac:dyDescent="0.35">
      <c r="A1" s="57" t="s">
        <v>2888</v>
      </c>
      <c r="B1" s="53"/>
      <c r="C1" s="53"/>
      <c r="D1" s="53"/>
      <c r="E1" s="53"/>
      <c r="F1" s="53"/>
    </row>
    <row r="2" spans="1:6" x14ac:dyDescent="0.35">
      <c r="A2" s="54" t="s">
        <v>2889</v>
      </c>
      <c r="B2" s="55"/>
      <c r="C2" s="55"/>
      <c r="D2" s="55"/>
      <c r="E2" s="55"/>
      <c r="F2" s="55"/>
    </row>
    <row r="3" spans="1:6" x14ac:dyDescent="0.35">
      <c r="A3" s="14"/>
      <c r="B3" s="14"/>
      <c r="C3" s="14"/>
      <c r="D3" s="14"/>
      <c r="E3" s="14"/>
      <c r="F3" s="14"/>
    </row>
    <row r="4" spans="1:6" ht="16" customHeight="1" x14ac:dyDescent="0.35">
      <c r="A4" s="15" t="s">
        <v>2829</v>
      </c>
      <c r="B4" s="15" t="s">
        <v>2830</v>
      </c>
      <c r="C4" s="15" t="s">
        <v>0</v>
      </c>
      <c r="D4" s="15" t="s">
        <v>2831</v>
      </c>
      <c r="E4" s="15" t="s">
        <v>2832</v>
      </c>
      <c r="F4" s="15" t="s">
        <v>2833</v>
      </c>
    </row>
    <row r="5" spans="1:6" ht="28" customHeight="1" x14ac:dyDescent="0.35">
      <c r="A5" s="16" t="s">
        <v>2890</v>
      </c>
      <c r="B5" s="17" t="s">
        <v>2891</v>
      </c>
      <c r="C5" s="18">
        <v>4</v>
      </c>
      <c r="D5" s="19" t="s">
        <v>2892</v>
      </c>
      <c r="E5" s="49">
        <f>Calculations!$U$16</f>
        <v>1217239.0099999998</v>
      </c>
      <c r="F5" s="21" t="s">
        <v>2893</v>
      </c>
    </row>
    <row r="6" spans="1:6" ht="28" customHeight="1" x14ac:dyDescent="0.35">
      <c r="A6" s="16" t="s">
        <v>2894</v>
      </c>
      <c r="B6" s="17" t="s">
        <v>2895</v>
      </c>
      <c r="C6" s="18">
        <v>3</v>
      </c>
      <c r="D6" s="19" t="s">
        <v>2896</v>
      </c>
      <c r="E6" s="48">
        <f>Calculations!$U$17</f>
        <v>723</v>
      </c>
      <c r="F6" s="21" t="s">
        <v>2848</v>
      </c>
    </row>
    <row r="7" spans="1:6" ht="28" customHeight="1" x14ac:dyDescent="0.35">
      <c r="A7" s="16" t="s">
        <v>2897</v>
      </c>
      <c r="B7" s="17" t="s">
        <v>2898</v>
      </c>
      <c r="C7" s="18">
        <v>5</v>
      </c>
      <c r="D7" s="19" t="s">
        <v>2899</v>
      </c>
      <c r="E7" s="49">
        <f>Calculations!$U$18</f>
        <v>13981.401558441557</v>
      </c>
      <c r="F7" s="21" t="s">
        <v>2893</v>
      </c>
    </row>
    <row r="8" spans="1:6" ht="28" customHeight="1" x14ac:dyDescent="0.35">
      <c r="A8" s="16" t="s">
        <v>2900</v>
      </c>
      <c r="B8" s="17" t="s">
        <v>2901</v>
      </c>
      <c r="C8" s="18">
        <v>4</v>
      </c>
      <c r="D8" s="19" t="s">
        <v>2902</v>
      </c>
      <c r="E8" s="49">
        <f>Calculations!$U$19</f>
        <v>3342678.55</v>
      </c>
      <c r="F8" s="21" t="s">
        <v>2893</v>
      </c>
    </row>
    <row r="9" spans="1:6" ht="28" customHeight="1" x14ac:dyDescent="0.35">
      <c r="A9" s="16" t="s">
        <v>2903</v>
      </c>
      <c r="B9" s="17" t="s">
        <v>2904</v>
      </c>
      <c r="C9" s="18">
        <v>5</v>
      </c>
      <c r="D9" s="19" t="s">
        <v>2905</v>
      </c>
      <c r="E9" s="20" t="str">
        <f>Calculations!$U$20</f>
        <v>Below</v>
      </c>
      <c r="F9" s="21" t="s">
        <v>2841</v>
      </c>
    </row>
    <row r="10" spans="1:6" ht="28" customHeight="1" x14ac:dyDescent="0.35">
      <c r="A10" s="16" t="s">
        <v>2906</v>
      </c>
      <c r="B10" s="17" t="s">
        <v>2907</v>
      </c>
      <c r="C10" s="18">
        <v>4</v>
      </c>
      <c r="D10" s="19" t="s">
        <v>2908</v>
      </c>
      <c r="E10" s="49">
        <f>Calculations!$U$21</f>
        <v>982568.40000000014</v>
      </c>
      <c r="F10" s="21" t="s">
        <v>2893</v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F9"/>
  <sheetViews>
    <sheetView workbookViewId="0">
      <selection sqref="A1:F1"/>
    </sheetView>
  </sheetViews>
  <sheetFormatPr defaultRowHeight="14.5" x14ac:dyDescent="0.35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20" customHeight="1" x14ac:dyDescent="0.35">
      <c r="A1" s="57" t="s">
        <v>2909</v>
      </c>
      <c r="B1" s="53"/>
      <c r="C1" s="53"/>
      <c r="D1" s="53"/>
      <c r="E1" s="53"/>
      <c r="F1" s="53"/>
    </row>
    <row r="2" spans="1:6" x14ac:dyDescent="0.35">
      <c r="A2" s="58" t="s">
        <v>2910</v>
      </c>
      <c r="B2" s="53"/>
      <c r="C2" s="53"/>
      <c r="D2" s="53"/>
      <c r="E2" s="53"/>
      <c r="F2" s="53"/>
    </row>
    <row r="4" spans="1:6" ht="16" customHeight="1" x14ac:dyDescent="0.35">
      <c r="A4" s="1" t="s">
        <v>2829</v>
      </c>
      <c r="B4" s="1" t="s">
        <v>2830</v>
      </c>
      <c r="C4" s="1" t="s">
        <v>0</v>
      </c>
      <c r="D4" s="1" t="s">
        <v>2831</v>
      </c>
      <c r="E4" s="1" t="s">
        <v>2832</v>
      </c>
      <c r="F4" s="1" t="s">
        <v>2833</v>
      </c>
    </row>
    <row r="5" spans="1:6" ht="28" customHeight="1" x14ac:dyDescent="0.35">
      <c r="A5" s="5" t="s">
        <v>2911</v>
      </c>
      <c r="B5" s="6" t="s">
        <v>2912</v>
      </c>
      <c r="C5" s="7">
        <v>4</v>
      </c>
      <c r="D5" s="8" t="s">
        <v>2913</v>
      </c>
      <c r="E5" s="50">
        <f>Calculations!$U$22</f>
        <v>1314107.3899999999</v>
      </c>
      <c r="F5" s="10" t="s">
        <v>2893</v>
      </c>
    </row>
    <row r="6" spans="1:6" ht="28" customHeight="1" x14ac:dyDescent="0.35">
      <c r="A6" s="5" t="s">
        <v>2914</v>
      </c>
      <c r="B6" s="6" t="s">
        <v>2915</v>
      </c>
      <c r="C6" s="7">
        <v>4</v>
      </c>
      <c r="D6" s="8" t="s">
        <v>2916</v>
      </c>
      <c r="E6" s="50">
        <f>Calculations!$U$23</f>
        <v>216421.52000000002</v>
      </c>
      <c r="F6" s="10" t="s">
        <v>2893</v>
      </c>
    </row>
    <row r="7" spans="1:6" ht="28" customHeight="1" x14ac:dyDescent="0.35">
      <c r="A7" s="5" t="s">
        <v>2917</v>
      </c>
      <c r="B7" s="6" t="s">
        <v>2918</v>
      </c>
      <c r="C7" s="7">
        <v>4</v>
      </c>
      <c r="D7" s="8" t="s">
        <v>2919</v>
      </c>
      <c r="E7" s="51">
        <f>Calculations!$U$24</f>
        <v>0.14023150471988341</v>
      </c>
      <c r="F7" s="10" t="s">
        <v>2920</v>
      </c>
    </row>
    <row r="8" spans="1:6" ht="28" customHeight="1" x14ac:dyDescent="0.35">
      <c r="A8" s="5" t="s">
        <v>2921</v>
      </c>
      <c r="B8" s="6" t="s">
        <v>2922</v>
      </c>
      <c r="C8" s="7">
        <v>4</v>
      </c>
      <c r="D8" s="8" t="s">
        <v>2923</v>
      </c>
      <c r="E8" s="50">
        <f>Calculations!$U$25</f>
        <v>6459442.9800000004</v>
      </c>
      <c r="F8" s="10" t="s">
        <v>2893</v>
      </c>
    </row>
    <row r="9" spans="1:6" ht="28" customHeight="1" x14ac:dyDescent="0.35">
      <c r="A9" s="5" t="s">
        <v>2924</v>
      </c>
      <c r="B9" s="6" t="s">
        <v>2925</v>
      </c>
      <c r="C9" s="7">
        <v>4</v>
      </c>
      <c r="D9" s="8" t="s">
        <v>2926</v>
      </c>
      <c r="E9" s="51">
        <f>Calculations!$U$26</f>
        <v>0.4488087270396342</v>
      </c>
      <c r="F9" s="10" t="s">
        <v>2920</v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F9"/>
  <sheetViews>
    <sheetView tabSelected="1" topLeftCell="E1" workbookViewId="0">
      <selection sqref="A1:F1"/>
    </sheetView>
  </sheetViews>
  <sheetFormatPr defaultRowHeight="14.5" x14ac:dyDescent="0.35"/>
  <cols>
    <col min="1" max="1" width="6" customWidth="1"/>
    <col min="2" max="2" width="60" customWidth="1"/>
    <col min="3" max="3" width="8" customWidth="1"/>
    <col min="4" max="4" width="30" customWidth="1"/>
    <col min="5" max="5" width="38" customWidth="1"/>
    <col min="6" max="6" width="15" customWidth="1"/>
  </cols>
  <sheetData>
    <row r="1" spans="1:6" ht="20" customHeight="1" x14ac:dyDescent="0.35">
      <c r="A1" s="57" t="s">
        <v>2927</v>
      </c>
      <c r="B1" s="53"/>
      <c r="C1" s="53"/>
      <c r="D1" s="53"/>
      <c r="E1" s="53"/>
      <c r="F1" s="53"/>
    </row>
    <row r="2" spans="1:6" x14ac:dyDescent="0.35">
      <c r="A2" s="58" t="s">
        <v>2928</v>
      </c>
      <c r="B2" s="53"/>
      <c r="C2" s="53"/>
      <c r="D2" s="53"/>
      <c r="E2" s="53"/>
      <c r="F2" s="53"/>
    </row>
    <row r="4" spans="1:6" ht="16" customHeight="1" x14ac:dyDescent="0.35">
      <c r="A4" s="1" t="s">
        <v>2829</v>
      </c>
      <c r="B4" s="1" t="s">
        <v>2830</v>
      </c>
      <c r="C4" s="1" t="s">
        <v>0</v>
      </c>
      <c r="D4" s="1" t="s">
        <v>2831</v>
      </c>
      <c r="E4" s="1" t="s">
        <v>2832</v>
      </c>
      <c r="F4" s="1" t="s">
        <v>2833</v>
      </c>
    </row>
    <row r="5" spans="1:6" ht="28" customHeight="1" x14ac:dyDescent="0.35">
      <c r="A5" s="5" t="s">
        <v>2929</v>
      </c>
      <c r="B5" s="6" t="s">
        <v>2930</v>
      </c>
      <c r="C5" s="7">
        <v>2</v>
      </c>
      <c r="D5" s="8" t="s">
        <v>2931</v>
      </c>
      <c r="E5" s="9" t="e">
        <f ca="1">Calculations!$U$27</f>
        <v>#N/A</v>
      </c>
      <c r="F5" s="10" t="s">
        <v>2841</v>
      </c>
    </row>
    <row r="6" spans="1:6" ht="28" customHeight="1" x14ac:dyDescent="0.35">
      <c r="A6" s="5" t="s">
        <v>2932</v>
      </c>
      <c r="B6" s="6" t="s">
        <v>2933</v>
      </c>
      <c r="C6" s="7">
        <v>2</v>
      </c>
      <c r="D6" s="8" t="s">
        <v>2934</v>
      </c>
      <c r="E6" s="50">
        <f>Calculations!$U$28</f>
        <v>18050689.600000005</v>
      </c>
      <c r="F6" s="10" t="s">
        <v>2893</v>
      </c>
    </row>
    <row r="7" spans="1:6" ht="28" customHeight="1" x14ac:dyDescent="0.35">
      <c r="A7" s="5" t="s">
        <v>2935</v>
      </c>
      <c r="B7" s="6" t="s">
        <v>2936</v>
      </c>
      <c r="C7" s="7">
        <v>3</v>
      </c>
      <c r="D7" s="8" t="s">
        <v>2937</v>
      </c>
      <c r="E7" s="9" t="e">
        <f ca="1">Calculations!$U$29</f>
        <v>#N/A</v>
      </c>
      <c r="F7" s="10" t="s">
        <v>2841</v>
      </c>
    </row>
    <row r="8" spans="1:6" ht="32" customHeight="1" x14ac:dyDescent="0.35">
      <c r="A8" s="5" t="s">
        <v>2938</v>
      </c>
      <c r="B8" s="6" t="s">
        <v>2939</v>
      </c>
      <c r="C8" s="7">
        <v>2</v>
      </c>
      <c r="D8" s="8" t="s">
        <v>2940</v>
      </c>
      <c r="E8" s="52" t="e">
        <f ca="1">Calculations!$U$30</f>
        <v>#NAME?</v>
      </c>
      <c r="F8" s="10" t="s">
        <v>2841</v>
      </c>
    </row>
    <row r="9" spans="1:6" ht="28" customHeight="1" x14ac:dyDescent="0.35">
      <c r="A9" s="5" t="s">
        <v>2941</v>
      </c>
      <c r="B9" s="6" t="s">
        <v>2942</v>
      </c>
      <c r="C9" s="7">
        <v>1</v>
      </c>
      <c r="D9" s="8" t="s">
        <v>2943</v>
      </c>
      <c r="E9" s="50" t="e">
        <f ca="1">Calculations!$U$31</f>
        <v>#NAME?</v>
      </c>
      <c r="F9" s="10" t="s">
        <v>2893</v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P2001"/>
  <sheetViews>
    <sheetView showGridLines="0" workbookViewId="0"/>
  </sheetViews>
  <sheetFormatPr defaultRowHeight="14.5" x14ac:dyDescent="0.35"/>
  <cols>
    <col min="1" max="1" width="14" customWidth="1"/>
    <col min="2" max="19" width="13" customWidth="1"/>
    <col min="20" max="20" width="10" customWidth="1"/>
    <col min="21" max="21" width="24" customWidth="1"/>
    <col min="22" max="22" width="30" customWidth="1"/>
    <col min="23" max="26" width="15" customWidth="1"/>
    <col min="28" max="58" width="12" customWidth="1"/>
    <col min="60" max="68" width="15" customWidth="1"/>
  </cols>
  <sheetData>
    <row r="1" spans="1:68" ht="29" x14ac:dyDescent="0.35">
      <c r="A1" s="23" t="s">
        <v>2944</v>
      </c>
      <c r="B1" s="24" t="s">
        <v>2945</v>
      </c>
      <c r="C1" s="24" t="s">
        <v>2946</v>
      </c>
      <c r="D1" s="24" t="s">
        <v>2947</v>
      </c>
      <c r="E1" s="24" t="s">
        <v>2948</v>
      </c>
      <c r="F1" s="24" t="s">
        <v>2949</v>
      </c>
      <c r="G1" s="24" t="s">
        <v>2950</v>
      </c>
      <c r="H1" s="24" t="s">
        <v>2951</v>
      </c>
      <c r="I1" s="24" t="s">
        <v>2952</v>
      </c>
      <c r="J1" s="24" t="s">
        <v>2953</v>
      </c>
      <c r="K1" s="24" t="s">
        <v>2954</v>
      </c>
      <c r="L1" s="24" t="s">
        <v>2955</v>
      </c>
      <c r="M1" s="24" t="s">
        <v>2956</v>
      </c>
      <c r="N1" s="24" t="s">
        <v>2957</v>
      </c>
      <c r="O1" s="24" t="s">
        <v>2958</v>
      </c>
      <c r="P1" s="24" t="s">
        <v>2959</v>
      </c>
      <c r="Q1" s="24" t="s">
        <v>2960</v>
      </c>
      <c r="R1" s="24" t="s">
        <v>2961</v>
      </c>
      <c r="S1" s="25" t="s">
        <v>2962</v>
      </c>
      <c r="T1" s="31" t="s">
        <v>2830</v>
      </c>
      <c r="U1" s="31" t="s">
        <v>2963</v>
      </c>
      <c r="V1" s="31" t="s">
        <v>2964</v>
      </c>
      <c r="W1" s="31" t="s">
        <v>2965</v>
      </c>
      <c r="X1" s="31" t="s">
        <v>2966</v>
      </c>
      <c r="Y1" s="31" t="s">
        <v>2967</v>
      </c>
      <c r="Z1" s="31" t="s">
        <v>2968</v>
      </c>
      <c r="AB1" s="22" t="s">
        <v>2969</v>
      </c>
      <c r="AC1" s="22" t="s">
        <v>144</v>
      </c>
      <c r="AD1" s="22" t="s">
        <v>226</v>
      </c>
      <c r="AE1" s="22" t="s">
        <v>77</v>
      </c>
      <c r="AF1" s="22" t="s">
        <v>68</v>
      </c>
      <c r="AG1" s="22" t="s">
        <v>21</v>
      </c>
      <c r="AH1" s="22" t="s">
        <v>32</v>
      </c>
      <c r="AI1" s="22" t="s">
        <v>15</v>
      </c>
      <c r="AJ1" s="22" t="s">
        <v>36</v>
      </c>
      <c r="AK1" s="22" t="s">
        <v>133</v>
      </c>
      <c r="AL1" s="22" t="s">
        <v>61</v>
      </c>
      <c r="AM1" s="22" t="s">
        <v>202</v>
      </c>
      <c r="AN1" s="22" t="s">
        <v>254</v>
      </c>
      <c r="AO1" s="22" t="s">
        <v>181</v>
      </c>
      <c r="AP1" s="22" t="s">
        <v>27</v>
      </c>
      <c r="AQ1" s="22" t="s">
        <v>117</v>
      </c>
      <c r="AR1" s="22" t="s">
        <v>275</v>
      </c>
      <c r="AS1" s="22" t="s">
        <v>167</v>
      </c>
      <c r="AT1" s="22" t="s">
        <v>232</v>
      </c>
      <c r="AU1" s="22" t="s">
        <v>50</v>
      </c>
      <c r="AV1" s="22" t="s">
        <v>121</v>
      </c>
      <c r="AW1" s="22" t="s">
        <v>87</v>
      </c>
      <c r="AX1" s="22" t="s">
        <v>214</v>
      </c>
      <c r="AY1" s="22" t="s">
        <v>83</v>
      </c>
      <c r="AZ1" s="22" t="s">
        <v>45</v>
      </c>
      <c r="BA1" s="22" t="s">
        <v>40</v>
      </c>
      <c r="BB1" s="22" t="s">
        <v>130</v>
      </c>
      <c r="BC1" s="22" t="s">
        <v>272</v>
      </c>
      <c r="BD1" s="22" t="s">
        <v>57</v>
      </c>
      <c r="BE1" s="22" t="s">
        <v>158</v>
      </c>
      <c r="BF1" s="22" t="s">
        <v>99</v>
      </c>
      <c r="BH1" s="31" t="s">
        <v>2947</v>
      </c>
      <c r="BI1" s="31" t="s">
        <v>2970</v>
      </c>
      <c r="BJ1" s="31" t="s">
        <v>2971</v>
      </c>
      <c r="BK1" s="31" t="s">
        <v>2972</v>
      </c>
      <c r="BL1" s="22" t="s">
        <v>2973</v>
      </c>
      <c r="BM1" s="22" t="s">
        <v>2974</v>
      </c>
      <c r="BN1" s="22" t="s">
        <v>2975</v>
      </c>
      <c r="BO1" s="22" t="s">
        <v>2976</v>
      </c>
      <c r="BP1" s="22" t="s">
        <v>2977</v>
      </c>
    </row>
    <row r="2" spans="1:68" x14ac:dyDescent="0.35">
      <c r="A2" s="26" t="str">
        <f>Orders!A2</f>
        <v>ORD-00001</v>
      </c>
      <c r="B2" s="33">
        <f>Orders!B2</f>
        <v>45549</v>
      </c>
      <c r="C2" t="str">
        <f>Orders!C2</f>
        <v>CUST-0243</v>
      </c>
      <c r="D2" t="str">
        <f>Orders!D2</f>
        <v>PROD-014</v>
      </c>
      <c r="E2" t="str">
        <f>Orders!E2</f>
        <v>R007</v>
      </c>
      <c r="F2">
        <f>Orders!F2</f>
        <v>8</v>
      </c>
      <c r="G2" s="35">
        <f>Orders!G2</f>
        <v>3620</v>
      </c>
      <c r="H2" s="37">
        <f>Orders!H2</f>
        <v>15.4</v>
      </c>
      <c r="I2" s="39">
        <f>Orders!I2</f>
        <v>24500.16</v>
      </c>
      <c r="J2" t="str">
        <f>Orders!J2</f>
        <v>Completed</v>
      </c>
      <c r="K2" t="str">
        <f>Orders!K2</f>
        <v>Pune</v>
      </c>
      <c r="L2" t="str">
        <f>IFERROR(VLOOKUP(D2,Products!$A$2:$F$61,3,FALSE),"")</f>
        <v>Apparel</v>
      </c>
      <c r="M2">
        <f>IFERROR(VLOOKUP(D2,Products!$A$2:$F$61,4,FALSE),"")</f>
        <v>2509</v>
      </c>
      <c r="N2" t="str">
        <f>IFERROR(VLOOKUP(E2,Sales_Reps!$A$2:$E$31,3,FALSE),"")</f>
        <v>North</v>
      </c>
      <c r="O2" t="str">
        <f>IFERROR(VLOOKUP(C2,Customers!$A$2:$F$301,5,FALSE),"")</f>
        <v>SMB</v>
      </c>
      <c r="P2">
        <f>IFERROR(VLOOKUP(C2,Customers!$A$2:$F$301,3,FALSE),"")</f>
        <v>44</v>
      </c>
      <c r="Q2" s="41">
        <f t="shared" ref="Q2:Q65" si="0">IFERROR((G2-M2)/G2,0)</f>
        <v>0.3069060773480663</v>
      </c>
      <c r="R2" t="str">
        <f>IFERROR(VLOOKUP(C2,Customers!$A$2:$F$301,1,FALSE),"")</f>
        <v>CUST-0243</v>
      </c>
      <c r="S2" s="27" t="b">
        <f>IFERROR(VLOOKUP(D2,Products!$A$2:$F$61,6,FALSE),"")</f>
        <v>1</v>
      </c>
      <c r="T2" s="32" t="s">
        <v>2834</v>
      </c>
      <c r="U2" s="32" t="str">
        <f>INDEX($C$2:$C$2001,MATCH("ORD-00234",$A$2:$A$2001,0))</f>
        <v>CUST-0173</v>
      </c>
      <c r="V2" s="32" t="s">
        <v>2978</v>
      </c>
      <c r="W2" s="32" t="str">
        <f>Sales_Reps!A2</f>
        <v>R001</v>
      </c>
      <c r="X2" s="32" t="str">
        <f>Sales_Reps!B2</f>
        <v>Rajesh Malhotra</v>
      </c>
      <c r="Y2" s="43">
        <f t="shared" ref="Y2:Y31" si="1">SUMIF($E$2:$E$2001,W2,$I$2:$I$2001)</f>
        <v>789849.60000000009</v>
      </c>
      <c r="Z2" s="32" t="e">
        <f t="shared" ref="Z2:Z31" ca="1" si="2">_xludf.RANK.EQ(Y2,$Y$2:$Y$31,0)</f>
        <v>#NAME?</v>
      </c>
      <c r="AB2" s="44">
        <f>DATE(2024,1,1)</f>
        <v>45292</v>
      </c>
      <c r="AC2" s="39">
        <f t="shared" ref="AC2:AL13" si="3">SUMIFS($I$2:$I$2001,$B$2:$B$2001,"&gt;="&amp;$AB2,$B$2:$B$2001,"&lt;"&amp;EDATE($AB2,1),$E$2:$E$2001,AC$1)</f>
        <v>43650.559999999998</v>
      </c>
      <c r="AD2" s="39">
        <f t="shared" si="3"/>
        <v>51707.32</v>
      </c>
      <c r="AE2" s="39">
        <f t="shared" si="3"/>
        <v>54307</v>
      </c>
      <c r="AF2" s="39">
        <f t="shared" si="3"/>
        <v>57892.110000000008</v>
      </c>
      <c r="AG2" s="39">
        <f t="shared" si="3"/>
        <v>70665.509999999995</v>
      </c>
      <c r="AH2" s="39">
        <f t="shared" si="3"/>
        <v>84968.56</v>
      </c>
      <c r="AI2" s="39">
        <f t="shared" si="3"/>
        <v>92029.91</v>
      </c>
      <c r="AJ2" s="39">
        <f t="shared" si="3"/>
        <v>61557.020000000004</v>
      </c>
      <c r="AK2" s="39">
        <f t="shared" si="3"/>
        <v>125547.54</v>
      </c>
      <c r="AL2" s="39">
        <f t="shared" si="3"/>
        <v>43078.21</v>
      </c>
      <c r="AM2" s="39">
        <f t="shared" ref="AM2:AV13" si="4">SUMIFS($I$2:$I$2001,$B$2:$B$2001,"&gt;="&amp;$AB2,$B$2:$B$2001,"&lt;"&amp;EDATE($AB2,1),$E$2:$E$2001,AM$1)</f>
        <v>88791.72</v>
      </c>
      <c r="AN2" s="39">
        <f t="shared" si="4"/>
        <v>70680.03</v>
      </c>
      <c r="AO2" s="39">
        <f t="shared" si="4"/>
        <v>51609.120000000003</v>
      </c>
      <c r="AP2" s="39">
        <f t="shared" si="4"/>
        <v>87497.74</v>
      </c>
      <c r="AQ2" s="39">
        <f t="shared" si="4"/>
        <v>118901.05999999998</v>
      </c>
      <c r="AR2" s="39">
        <f t="shared" si="4"/>
        <v>62195.839999999997</v>
      </c>
      <c r="AS2" s="39">
        <f t="shared" si="4"/>
        <v>73856.39</v>
      </c>
      <c r="AT2" s="39">
        <f t="shared" si="4"/>
        <v>101638.5</v>
      </c>
      <c r="AU2" s="39">
        <f t="shared" si="4"/>
        <v>30895.18</v>
      </c>
      <c r="AV2" s="39">
        <f t="shared" si="4"/>
        <v>41744.44000000001</v>
      </c>
      <c r="AW2" s="39">
        <f t="shared" ref="AW2:BF13" si="5">SUMIFS($I$2:$I$2001,$B$2:$B$2001,"&gt;="&amp;$AB2,$B$2:$B$2001,"&lt;"&amp;EDATE($AB2,1),$E$2:$E$2001,AW$1)</f>
        <v>2689.92</v>
      </c>
      <c r="AX2" s="39">
        <f t="shared" si="5"/>
        <v>158207.84</v>
      </c>
      <c r="AY2" s="39">
        <f t="shared" si="5"/>
        <v>54606.060000000005</v>
      </c>
      <c r="AZ2" s="39">
        <f t="shared" si="5"/>
        <v>24937.08</v>
      </c>
      <c r="BA2" s="39">
        <f t="shared" si="5"/>
        <v>56041.840000000004</v>
      </c>
      <c r="BB2" s="39">
        <f t="shared" si="5"/>
        <v>12767.82</v>
      </c>
      <c r="BC2" s="39">
        <f t="shared" si="5"/>
        <v>77569.16</v>
      </c>
      <c r="BD2" s="39">
        <f t="shared" si="5"/>
        <v>36574.000000000007</v>
      </c>
      <c r="BE2" s="39">
        <f t="shared" si="5"/>
        <v>45369.15</v>
      </c>
      <c r="BF2" s="39">
        <f t="shared" si="5"/>
        <v>59170.81</v>
      </c>
      <c r="BH2" s="32" t="str">
        <f>Products!A2</f>
        <v>PROD-001</v>
      </c>
      <c r="BI2" s="32" t="str">
        <f>Products!B2</f>
        <v>Smartphone Pro</v>
      </c>
      <c r="BJ2" s="43">
        <f t="shared" ref="BJ2:BJ33" si="6">SUMIFS($I$2:$I$2001,$N$2:$N$2001,"West",$D$2:$D$2001,BH2)</f>
        <v>155358.84</v>
      </c>
      <c r="BK2" s="32" t="e">
        <f t="shared" ref="BK2:BK33" ca="1" si="7">_xludf.RANK.EQ(BJ2,$BJ$2:$BJ$61,0)</f>
        <v>#NAME?</v>
      </c>
      <c r="BL2">
        <v>0</v>
      </c>
      <c r="BM2">
        <v>0</v>
      </c>
      <c r="BN2">
        <v>1.8867924528301886E-2</v>
      </c>
      <c r="BO2">
        <v>0</v>
      </c>
      <c r="BP2">
        <v>0</v>
      </c>
    </row>
    <row r="3" spans="1:68" x14ac:dyDescent="0.35">
      <c r="A3" s="26" t="str">
        <f>Orders!A3</f>
        <v>ORD-00002</v>
      </c>
      <c r="B3" s="33">
        <f>Orders!B3</f>
        <v>45340</v>
      </c>
      <c r="C3" t="str">
        <f>Orders!C3</f>
        <v>CUST-0202</v>
      </c>
      <c r="D3" t="str">
        <f>Orders!D3</f>
        <v>PROD-020</v>
      </c>
      <c r="E3" t="str">
        <f>Orders!E3</f>
        <v>R005</v>
      </c>
      <c r="F3">
        <f>Orders!F3</f>
        <v>2</v>
      </c>
      <c r="G3" s="35">
        <f>Orders!G3</f>
        <v>820</v>
      </c>
      <c r="H3" s="37">
        <f>Orders!H3</f>
        <v>10.8</v>
      </c>
      <c r="I3" s="39">
        <f>Orders!I3</f>
        <v>1462.88</v>
      </c>
      <c r="J3" t="str">
        <f>Orders!J3</f>
        <v>Pending</v>
      </c>
      <c r="K3" t="str">
        <f>Orders!K3</f>
        <v>Chennai</v>
      </c>
      <c r="L3" t="str">
        <f>IFERROR(VLOOKUP(D3,Products!$A$2:$F$61,3,FALSE),"")</f>
        <v>Apparel</v>
      </c>
      <c r="M3">
        <f>IFERROR(VLOOKUP(D3,Products!$A$2:$F$61,4,FALSE),"")</f>
        <v>391</v>
      </c>
      <c r="N3" t="str">
        <f>IFERROR(VLOOKUP(E3,Sales_Reps!$A$2:$E$31,3,FALSE),"")</f>
        <v>North</v>
      </c>
      <c r="O3" t="str">
        <f>IFERROR(VLOOKUP(C3,Customers!$A$2:$F$301,5,FALSE),"")</f>
        <v>Retail</v>
      </c>
      <c r="P3">
        <f>IFERROR(VLOOKUP(C3,Customers!$A$2:$F$301,3,FALSE),"")</f>
        <v>39</v>
      </c>
      <c r="Q3" s="41">
        <f t="shared" si="0"/>
        <v>0.52317073170731709</v>
      </c>
      <c r="R3" t="str">
        <f>IFERROR(VLOOKUP(C3,Customers!$A$2:$F$301,1,FALSE),"")</f>
        <v>CUST-0202</v>
      </c>
      <c r="S3" s="27" t="b">
        <f>IFERROR(VLOOKUP(D3,Products!$A$2:$F$61,6,FALSE),"")</f>
        <v>1</v>
      </c>
      <c r="T3" s="32" t="s">
        <v>2838</v>
      </c>
      <c r="U3" s="32" t="str">
        <f>VLOOKUP(INDEX($D$2:$D$2001,MATCH("ORD-00456",$A$2:$A$2001,0)),Products!$A$2:$F$61,2,FALSE)</f>
        <v>Dumbbells 5kg</v>
      </c>
      <c r="V3" s="32" t="s">
        <v>2979</v>
      </c>
      <c r="W3" s="32" t="str">
        <f>Sales_Reps!A3</f>
        <v>R002</v>
      </c>
      <c r="X3" s="32" t="str">
        <f>Sales_Reps!B3</f>
        <v>Sunita Malhotra</v>
      </c>
      <c r="Y3" s="43">
        <f t="shared" si="1"/>
        <v>980063.65999999968</v>
      </c>
      <c r="Z3" s="32" t="e">
        <f t="shared" ca="1" si="2"/>
        <v>#NAME?</v>
      </c>
      <c r="AB3" s="44">
        <f>DATE(2024,2,1)</f>
        <v>45323</v>
      </c>
      <c r="AC3" s="39">
        <f t="shared" si="3"/>
        <v>127005.17000000001</v>
      </c>
      <c r="AD3" s="39">
        <f t="shared" si="3"/>
        <v>125187.78</v>
      </c>
      <c r="AE3" s="39">
        <f t="shared" si="3"/>
        <v>32452</v>
      </c>
      <c r="AF3" s="39">
        <f t="shared" si="3"/>
        <v>58818.559999999998</v>
      </c>
      <c r="AG3" s="39">
        <f t="shared" si="3"/>
        <v>57914.81</v>
      </c>
      <c r="AH3" s="39">
        <f t="shared" si="3"/>
        <v>34581.99</v>
      </c>
      <c r="AI3" s="39">
        <f t="shared" si="3"/>
        <v>130276.04</v>
      </c>
      <c r="AJ3" s="39">
        <f t="shared" si="3"/>
        <v>23463.300000000003</v>
      </c>
      <c r="AK3" s="39">
        <f t="shared" si="3"/>
        <v>25935.550000000003</v>
      </c>
      <c r="AL3" s="39">
        <f t="shared" si="3"/>
        <v>74555.64</v>
      </c>
      <c r="AM3" s="39">
        <f t="shared" si="4"/>
        <v>112894.06000000001</v>
      </c>
      <c r="AN3" s="39">
        <f t="shared" si="4"/>
        <v>110195.45999999999</v>
      </c>
      <c r="AO3" s="39">
        <f t="shared" si="4"/>
        <v>139218.07999999999</v>
      </c>
      <c r="AP3" s="39">
        <f t="shared" si="4"/>
        <v>79488</v>
      </c>
      <c r="AQ3" s="39">
        <f t="shared" si="4"/>
        <v>89654.68</v>
      </c>
      <c r="AR3" s="39">
        <f t="shared" si="4"/>
        <v>90583.239999999991</v>
      </c>
      <c r="AS3" s="39">
        <f t="shared" si="4"/>
        <v>27297.839999999997</v>
      </c>
      <c r="AT3" s="39">
        <f t="shared" si="4"/>
        <v>121362.43999999999</v>
      </c>
      <c r="AU3" s="39">
        <f t="shared" si="4"/>
        <v>97513.340000000011</v>
      </c>
      <c r="AV3" s="39">
        <f t="shared" si="4"/>
        <v>13855.82</v>
      </c>
      <c r="AW3" s="39">
        <f t="shared" si="5"/>
        <v>104662.05</v>
      </c>
      <c r="AX3" s="39">
        <f t="shared" si="5"/>
        <v>46819.11</v>
      </c>
      <c r="AY3" s="39">
        <f t="shared" si="5"/>
        <v>120382.87</v>
      </c>
      <c r="AZ3" s="39">
        <f t="shared" si="5"/>
        <v>97833.739999999991</v>
      </c>
      <c r="BA3" s="39">
        <f t="shared" si="5"/>
        <v>43978.47</v>
      </c>
      <c r="BB3" s="39">
        <f t="shared" si="5"/>
        <v>18592.259999999998</v>
      </c>
      <c r="BC3" s="39">
        <f t="shared" si="5"/>
        <v>80384.530000000013</v>
      </c>
      <c r="BD3" s="39">
        <f t="shared" si="5"/>
        <v>63178.48</v>
      </c>
      <c r="BE3" s="39">
        <f t="shared" si="5"/>
        <v>142134.07</v>
      </c>
      <c r="BF3" s="39">
        <f t="shared" si="5"/>
        <v>17274.29</v>
      </c>
      <c r="BH3" s="32" t="str">
        <f>Products!A3</f>
        <v>PROD-002</v>
      </c>
      <c r="BI3" s="32" t="str">
        <f>Products!B3</f>
        <v>Wireless Earbuds</v>
      </c>
      <c r="BJ3" s="43">
        <f t="shared" si="6"/>
        <v>105284.40000000001</v>
      </c>
      <c r="BK3" s="32" t="e">
        <f t="shared" ca="1" si="7"/>
        <v>#NAME?</v>
      </c>
      <c r="BL3">
        <v>0</v>
      </c>
      <c r="BM3">
        <v>0</v>
      </c>
      <c r="BN3">
        <v>1.8867924528301886E-2</v>
      </c>
      <c r="BO3">
        <v>0</v>
      </c>
      <c r="BP3">
        <v>0</v>
      </c>
    </row>
    <row r="4" spans="1:68" x14ac:dyDescent="0.35">
      <c r="A4" s="26" t="str">
        <f>Orders!A4</f>
        <v>ORD-00003</v>
      </c>
      <c r="B4" s="33">
        <f>Orders!B4</f>
        <v>45371</v>
      </c>
      <c r="C4" t="str">
        <f>Orders!C4</f>
        <v>CUST-0098</v>
      </c>
      <c r="D4" t="str">
        <f>Orders!D4</f>
        <v>PROD-053</v>
      </c>
      <c r="E4" t="str">
        <f>Orders!E4</f>
        <v>R014</v>
      </c>
      <c r="F4">
        <f>Orders!F4</f>
        <v>8</v>
      </c>
      <c r="G4" s="35">
        <f>Orders!G4</f>
        <v>470</v>
      </c>
      <c r="H4" s="37">
        <f>Orders!H4</f>
        <v>3.3</v>
      </c>
      <c r="I4" s="39">
        <f>Orders!I4</f>
        <v>3635.92</v>
      </c>
      <c r="J4" t="str">
        <f>Orders!J4</f>
        <v>Pending</v>
      </c>
      <c r="K4" t="str">
        <f>Orders!K4</f>
        <v>Delhi</v>
      </c>
      <c r="L4" t="str">
        <f>IFERROR(VLOOKUP(D4,Products!$A$2:$F$61,3,FALSE),"")</f>
        <v>Sports</v>
      </c>
      <c r="M4">
        <f>IFERROR(VLOOKUP(D4,Products!$A$2:$F$61,4,FALSE),"")</f>
        <v>302</v>
      </c>
      <c r="N4" t="str">
        <f>IFERROR(VLOOKUP(E4,Sales_Reps!$A$2:$E$31,3,FALSE),"")</f>
        <v>South</v>
      </c>
      <c r="O4" t="str">
        <f>IFERROR(VLOOKUP(C4,Customers!$A$2:$F$301,5,FALSE),"")</f>
        <v>Retail</v>
      </c>
      <c r="P4">
        <f>IFERROR(VLOOKUP(C4,Customers!$A$2:$F$301,3,FALSE),"")</f>
        <v>52</v>
      </c>
      <c r="Q4" s="41">
        <f t="shared" si="0"/>
        <v>0.35744680851063831</v>
      </c>
      <c r="R4" t="str">
        <f>IFERROR(VLOOKUP(C4,Customers!$A$2:$F$301,1,FALSE),"")</f>
        <v>CUST-0098</v>
      </c>
      <c r="S4" s="27" t="b">
        <f>IFERROR(VLOOKUP(D4,Products!$A$2:$F$61,6,FALSE),"")</f>
        <v>0</v>
      </c>
      <c r="T4" s="32" t="s">
        <v>2842</v>
      </c>
      <c r="U4" s="32" t="str">
        <f>INDEX(Sales_Reps!$B$2:$B$31,MATCH(INDEX($E$2:$E$2001,MATCH("ORD-00987",$A$2:$A$2001,0)),Sales_Reps!$A$2:$A$31,0))</f>
        <v>Nisha Menon</v>
      </c>
      <c r="V4" s="32" t="s">
        <v>2980</v>
      </c>
      <c r="W4" s="32" t="str">
        <f>Sales_Reps!A4</f>
        <v>R003</v>
      </c>
      <c r="X4" s="32" t="str">
        <f>Sales_Reps!B4</f>
        <v>Amit Singh</v>
      </c>
      <c r="Y4" s="43">
        <f t="shared" si="1"/>
        <v>986692.91</v>
      </c>
      <c r="Z4" s="32" t="e">
        <f t="shared" ca="1" si="2"/>
        <v>#NAME?</v>
      </c>
      <c r="AB4" s="44">
        <f>DATE(2024,3,1)</f>
        <v>45352</v>
      </c>
      <c r="AC4" s="39">
        <f t="shared" si="3"/>
        <v>58208.49</v>
      </c>
      <c r="AD4" s="39">
        <f t="shared" si="3"/>
        <v>53533</v>
      </c>
      <c r="AE4" s="39">
        <f t="shared" si="3"/>
        <v>107489.23000000001</v>
      </c>
      <c r="AF4" s="39">
        <f t="shared" si="3"/>
        <v>14394.38</v>
      </c>
      <c r="AG4" s="39">
        <f t="shared" si="3"/>
        <v>85853.430000000008</v>
      </c>
      <c r="AH4" s="39">
        <f t="shared" si="3"/>
        <v>145435.13</v>
      </c>
      <c r="AI4" s="39">
        <f t="shared" si="3"/>
        <v>105489.82999999999</v>
      </c>
      <c r="AJ4" s="39">
        <f t="shared" si="3"/>
        <v>164615.04999999999</v>
      </c>
      <c r="AK4" s="39">
        <f t="shared" si="3"/>
        <v>19130.39</v>
      </c>
      <c r="AL4" s="39">
        <f t="shared" si="3"/>
        <v>0</v>
      </c>
      <c r="AM4" s="39">
        <f t="shared" si="4"/>
        <v>77891.760000000009</v>
      </c>
      <c r="AN4" s="39">
        <f t="shared" si="4"/>
        <v>20450.240000000002</v>
      </c>
      <c r="AO4" s="39">
        <f t="shared" si="4"/>
        <v>80024.44</v>
      </c>
      <c r="AP4" s="39">
        <f t="shared" si="4"/>
        <v>85611.839999999997</v>
      </c>
      <c r="AQ4" s="39">
        <f t="shared" si="4"/>
        <v>67837.490000000005</v>
      </c>
      <c r="AR4" s="39">
        <f t="shared" si="4"/>
        <v>153834.45000000001</v>
      </c>
      <c r="AS4" s="39">
        <f t="shared" si="4"/>
        <v>120293.66</v>
      </c>
      <c r="AT4" s="39">
        <f t="shared" si="4"/>
        <v>51595.619999999995</v>
      </c>
      <c r="AU4" s="39">
        <f t="shared" si="4"/>
        <v>68954.539999999994</v>
      </c>
      <c r="AV4" s="39">
        <f t="shared" si="4"/>
        <v>215416.30000000002</v>
      </c>
      <c r="AW4" s="39">
        <f t="shared" si="5"/>
        <v>100685.62</v>
      </c>
      <c r="AX4" s="39">
        <f t="shared" si="5"/>
        <v>51327.360000000001</v>
      </c>
      <c r="AY4" s="39">
        <f t="shared" si="5"/>
        <v>82920.600000000006</v>
      </c>
      <c r="AZ4" s="39">
        <f t="shared" si="5"/>
        <v>63984.05</v>
      </c>
      <c r="BA4" s="39">
        <f t="shared" si="5"/>
        <v>130752.95000000001</v>
      </c>
      <c r="BB4" s="39">
        <f t="shared" si="5"/>
        <v>66759.360000000001</v>
      </c>
      <c r="BC4" s="39">
        <f t="shared" si="5"/>
        <v>36563.800000000003</v>
      </c>
      <c r="BD4" s="39">
        <f t="shared" si="5"/>
        <v>65497.58</v>
      </c>
      <c r="BE4" s="39">
        <f t="shared" si="5"/>
        <v>63730.97</v>
      </c>
      <c r="BF4" s="39">
        <f t="shared" si="5"/>
        <v>122041.05999999998</v>
      </c>
      <c r="BH4" s="32" t="str">
        <f>Products!A4</f>
        <v>PROD-003</v>
      </c>
      <c r="BI4" s="32" t="str">
        <f>Products!B4</f>
        <v>Smart Watch</v>
      </c>
      <c r="BJ4" s="43">
        <f t="shared" si="6"/>
        <v>248025.75</v>
      </c>
      <c r="BK4" s="32" t="e">
        <f t="shared" ca="1" si="7"/>
        <v>#NAME?</v>
      </c>
      <c r="BL4">
        <v>0</v>
      </c>
      <c r="BM4">
        <v>0</v>
      </c>
      <c r="BN4">
        <v>1.8518518518518517E-2</v>
      </c>
      <c r="BO4">
        <v>0</v>
      </c>
      <c r="BP4">
        <v>1</v>
      </c>
    </row>
    <row r="5" spans="1:68" x14ac:dyDescent="0.35">
      <c r="A5" s="26" t="str">
        <f>Orders!A5</f>
        <v>ORD-00004</v>
      </c>
      <c r="B5" s="33">
        <f>Orders!B5</f>
        <v>45413</v>
      </c>
      <c r="C5" t="str">
        <f>Orders!C5</f>
        <v>CUST-0071</v>
      </c>
      <c r="D5" t="str">
        <f>Orders!D5</f>
        <v>PROD-028</v>
      </c>
      <c r="E5" t="str">
        <f>Orders!E5</f>
        <v>R006</v>
      </c>
      <c r="F5">
        <f>Orders!F5</f>
        <v>1</v>
      </c>
      <c r="G5" s="35">
        <f>Orders!G5</f>
        <v>3660</v>
      </c>
      <c r="H5" s="37">
        <f>Orders!H5</f>
        <v>15.7</v>
      </c>
      <c r="I5" s="39">
        <f>Orders!I5</f>
        <v>3085.38</v>
      </c>
      <c r="J5" t="str">
        <f>Orders!J5</f>
        <v>Completed</v>
      </c>
      <c r="K5" t="str">
        <f>Orders!K5</f>
        <v>Delhi</v>
      </c>
      <c r="L5" t="str">
        <f>IFERROR(VLOOKUP(D5,Products!$A$2:$F$61,3,FALSE),"")</f>
        <v>Grocery</v>
      </c>
      <c r="M5">
        <f>IFERROR(VLOOKUP(D5,Products!$A$2:$F$61,4,FALSE),"")</f>
        <v>2214</v>
      </c>
      <c r="N5" t="str">
        <f>IFERROR(VLOOKUP(E5,Sales_Reps!$A$2:$E$31,3,FALSE),"")</f>
        <v>North</v>
      </c>
      <c r="O5" t="str">
        <f>IFERROR(VLOOKUP(C5,Customers!$A$2:$F$301,5,FALSE),"")</f>
        <v>Corporate</v>
      </c>
      <c r="P5">
        <f>IFERROR(VLOOKUP(C5,Customers!$A$2:$F$301,3,FALSE),"")</f>
        <v>46</v>
      </c>
      <c r="Q5" s="41">
        <f t="shared" si="0"/>
        <v>0.39508196721311473</v>
      </c>
      <c r="R5" t="str">
        <f>IFERROR(VLOOKUP(C5,Customers!$A$2:$F$301,1,FALSE),"")</f>
        <v>CUST-0071</v>
      </c>
      <c r="S5" s="27" t="b">
        <f>IFERROR(VLOOKUP(D5,Products!$A$2:$F$61,6,FALSE),"")</f>
        <v>0</v>
      </c>
      <c r="T5" s="32" t="s">
        <v>2845</v>
      </c>
      <c r="U5" s="32">
        <f>INDEX(Targets!$A$2:$M$31,MATCH("R012",Targets!$A$2:$A$31,0),MATCH("Mar-24",Targets!$A$1:$M$1,0))</f>
        <v>321255</v>
      </c>
      <c r="V5" s="32" t="s">
        <v>2981</v>
      </c>
      <c r="W5" s="32" t="str">
        <f>Sales_Reps!A5</f>
        <v>R004</v>
      </c>
      <c r="X5" s="32" t="str">
        <f>Sales_Reps!B5</f>
        <v>Priya Singh</v>
      </c>
      <c r="Y5" s="43">
        <f t="shared" si="1"/>
        <v>589026.2899999998</v>
      </c>
      <c r="Z5" s="32" t="e">
        <f t="shared" ca="1" si="2"/>
        <v>#NAME?</v>
      </c>
      <c r="AB5" s="44">
        <f>DATE(2024,4,1)</f>
        <v>45383</v>
      </c>
      <c r="AC5" s="39">
        <f t="shared" si="3"/>
        <v>33643.480000000003</v>
      </c>
      <c r="AD5" s="39">
        <f t="shared" si="3"/>
        <v>46286.92</v>
      </c>
      <c r="AE5" s="39">
        <f t="shared" si="3"/>
        <v>96349.859999999986</v>
      </c>
      <c r="AF5" s="39">
        <f t="shared" si="3"/>
        <v>23036.539999999997</v>
      </c>
      <c r="AG5" s="39">
        <f t="shared" si="3"/>
        <v>46025.56</v>
      </c>
      <c r="AH5" s="39">
        <f t="shared" si="3"/>
        <v>170939.91000000003</v>
      </c>
      <c r="AI5" s="39">
        <f t="shared" si="3"/>
        <v>48536.18</v>
      </c>
      <c r="AJ5" s="39">
        <f t="shared" si="3"/>
        <v>12044.560000000001</v>
      </c>
      <c r="AK5" s="39">
        <f t="shared" si="3"/>
        <v>74565.159999999989</v>
      </c>
      <c r="AL5" s="39">
        <f t="shared" si="3"/>
        <v>41398.06</v>
      </c>
      <c r="AM5" s="39">
        <f t="shared" si="4"/>
        <v>30549.1</v>
      </c>
      <c r="AN5" s="39">
        <f t="shared" si="4"/>
        <v>24950.800000000003</v>
      </c>
      <c r="AO5" s="39">
        <f t="shared" si="4"/>
        <v>41420.609999999993</v>
      </c>
      <c r="AP5" s="39">
        <f t="shared" si="4"/>
        <v>101517.16999999998</v>
      </c>
      <c r="AQ5" s="39">
        <f t="shared" si="4"/>
        <v>107626.6</v>
      </c>
      <c r="AR5" s="39">
        <f t="shared" si="4"/>
        <v>75094.84</v>
      </c>
      <c r="AS5" s="39">
        <f t="shared" si="4"/>
        <v>32212.65</v>
      </c>
      <c r="AT5" s="39">
        <f t="shared" si="4"/>
        <v>210613.93000000002</v>
      </c>
      <c r="AU5" s="39">
        <f t="shared" si="4"/>
        <v>112510.04000000001</v>
      </c>
      <c r="AV5" s="39">
        <f t="shared" si="4"/>
        <v>49921.2</v>
      </c>
      <c r="AW5" s="39">
        <f t="shared" si="5"/>
        <v>71054.8</v>
      </c>
      <c r="AX5" s="39">
        <f t="shared" si="5"/>
        <v>93303.01999999999</v>
      </c>
      <c r="AY5" s="39">
        <f t="shared" si="5"/>
        <v>216421.52000000002</v>
      </c>
      <c r="AZ5" s="39">
        <f t="shared" si="5"/>
        <v>56736.5</v>
      </c>
      <c r="BA5" s="39">
        <f t="shared" si="5"/>
        <v>49945.919999999991</v>
      </c>
      <c r="BB5" s="39">
        <f t="shared" si="5"/>
        <v>131132.87999999998</v>
      </c>
      <c r="BC5" s="39">
        <f t="shared" si="5"/>
        <v>78106.28</v>
      </c>
      <c r="BD5" s="39">
        <f t="shared" si="5"/>
        <v>45577.729999999996</v>
      </c>
      <c r="BE5" s="39">
        <f t="shared" si="5"/>
        <v>124581.45</v>
      </c>
      <c r="BF5" s="39">
        <f t="shared" si="5"/>
        <v>36350.86</v>
      </c>
      <c r="BH5" s="32" t="str">
        <f>Products!A5</f>
        <v>PROD-004</v>
      </c>
      <c r="BI5" s="32" t="str">
        <f>Products!B5</f>
        <v>Laptop Bag</v>
      </c>
      <c r="BJ5" s="43">
        <f t="shared" si="6"/>
        <v>198124.65</v>
      </c>
      <c r="BK5" s="32" t="e">
        <f t="shared" ca="1" si="7"/>
        <v>#NAME?</v>
      </c>
      <c r="BL5">
        <v>0</v>
      </c>
      <c r="BM5">
        <v>0</v>
      </c>
      <c r="BN5">
        <v>2.3809523809523808E-2</v>
      </c>
      <c r="BO5">
        <v>0</v>
      </c>
      <c r="BP5">
        <v>1</v>
      </c>
    </row>
    <row r="6" spans="1:68" x14ac:dyDescent="0.35">
      <c r="A6" s="26" t="str">
        <f>Orders!A6</f>
        <v>ORD-00005</v>
      </c>
      <c r="B6" s="33">
        <f>Orders!B6</f>
        <v>45611</v>
      </c>
      <c r="C6" t="str">
        <f>Orders!C6</f>
        <v>CUST-0180</v>
      </c>
      <c r="D6" t="str">
        <f>Orders!D6</f>
        <v>PROD-012</v>
      </c>
      <c r="E6" t="str">
        <f>Orders!E6</f>
        <v>R008</v>
      </c>
      <c r="F6">
        <f>Orders!F6</f>
        <v>1</v>
      </c>
      <c r="G6" s="35">
        <f>Orders!G6</f>
        <v>3160</v>
      </c>
      <c r="H6" s="37">
        <f>Orders!H6</f>
        <v>26</v>
      </c>
      <c r="I6" s="39">
        <f>Orders!I6</f>
        <v>2338.4</v>
      </c>
      <c r="J6" t="str">
        <f>Orders!J6</f>
        <v>Completed</v>
      </c>
      <c r="K6" t="str">
        <f>Orders!K6</f>
        <v>Chennai</v>
      </c>
      <c r="L6" t="str">
        <f>IFERROR(VLOOKUP(D6,Products!$A$2:$F$61,3,FALSE),"")</f>
        <v>Apparel</v>
      </c>
      <c r="M6">
        <f>IFERROR(VLOOKUP(D6,Products!$A$2:$F$61,4,FALSE),"")</f>
        <v>1886</v>
      </c>
      <c r="N6" t="str">
        <f>IFERROR(VLOOKUP(E6,Sales_Reps!$A$2:$E$31,3,FALSE),"")</f>
        <v>North</v>
      </c>
      <c r="O6" t="str">
        <f>IFERROR(VLOOKUP(C6,Customers!$A$2:$F$301,5,FALSE),"")</f>
        <v>Retail</v>
      </c>
      <c r="P6">
        <f>IFERROR(VLOOKUP(C6,Customers!$A$2:$F$301,3,FALSE),"")</f>
        <v>36</v>
      </c>
      <c r="Q6" s="41">
        <f t="shared" si="0"/>
        <v>0.4031645569620253</v>
      </c>
      <c r="R6" t="str">
        <f>IFERROR(VLOOKUP(C6,Customers!$A$2:$F$301,1,FALSE),"")</f>
        <v>CUST-0180</v>
      </c>
      <c r="S6" s="27" t="b">
        <f>IFERROR(VLOOKUP(D6,Products!$A$2:$F$61,6,FALSE),"")</f>
        <v>1</v>
      </c>
      <c r="T6" s="32" t="s">
        <v>2849</v>
      </c>
      <c r="U6" s="32" t="str">
        <f>VLOOKUP(INDEX($D$2:$D$2001,MATCH("ORD-01500",$A$2:$A$2001,0)),Products!$A$2:$F$61,3,FALSE)</f>
        <v>Electronics</v>
      </c>
      <c r="V6" s="32" t="s">
        <v>2982</v>
      </c>
      <c r="W6" s="32" t="str">
        <f>Sales_Reps!A6</f>
        <v>R005</v>
      </c>
      <c r="X6" s="32" t="str">
        <f>Sales_Reps!B6</f>
        <v>Vikram Patel</v>
      </c>
      <c r="Y6" s="43">
        <f t="shared" si="1"/>
        <v>782445.33</v>
      </c>
      <c r="Z6" s="32" t="e">
        <f t="shared" ca="1" si="2"/>
        <v>#NAME?</v>
      </c>
      <c r="AB6" s="44">
        <f>DATE(2024,5,1)</f>
        <v>45413</v>
      </c>
      <c r="AC6" s="39">
        <f t="shared" si="3"/>
        <v>44809.659999999996</v>
      </c>
      <c r="AD6" s="39">
        <f t="shared" si="3"/>
        <v>89794.86</v>
      </c>
      <c r="AE6" s="39">
        <f t="shared" si="3"/>
        <v>139257.72</v>
      </c>
      <c r="AF6" s="39">
        <f t="shared" si="3"/>
        <v>140739.80000000002</v>
      </c>
      <c r="AG6" s="39">
        <f t="shared" si="3"/>
        <v>67702.820000000007</v>
      </c>
      <c r="AH6" s="39">
        <f t="shared" si="3"/>
        <v>78322.48000000001</v>
      </c>
      <c r="AI6" s="39">
        <f t="shared" si="3"/>
        <v>41157.840000000004</v>
      </c>
      <c r="AJ6" s="39">
        <f t="shared" si="3"/>
        <v>67200.569999999992</v>
      </c>
      <c r="AK6" s="39">
        <f t="shared" si="3"/>
        <v>100231.54</v>
      </c>
      <c r="AL6" s="39">
        <f t="shared" si="3"/>
        <v>83732.94</v>
      </c>
      <c r="AM6" s="39">
        <f t="shared" si="4"/>
        <v>10392.16</v>
      </c>
      <c r="AN6" s="39">
        <f t="shared" si="4"/>
        <v>37183.630000000005</v>
      </c>
      <c r="AO6" s="39">
        <f t="shared" si="4"/>
        <v>80787.31</v>
      </c>
      <c r="AP6" s="39">
        <f t="shared" si="4"/>
        <v>154170.19999999998</v>
      </c>
      <c r="AQ6" s="39">
        <f t="shared" si="4"/>
        <v>146185.96000000002</v>
      </c>
      <c r="AR6" s="39">
        <f t="shared" si="4"/>
        <v>67937.959999999992</v>
      </c>
      <c r="AS6" s="39">
        <f t="shared" si="4"/>
        <v>113791.15</v>
      </c>
      <c r="AT6" s="39">
        <f t="shared" si="4"/>
        <v>173129.47</v>
      </c>
      <c r="AU6" s="39">
        <f t="shared" si="4"/>
        <v>58746.86</v>
      </c>
      <c r="AV6" s="39">
        <f t="shared" si="4"/>
        <v>182980.02999999997</v>
      </c>
      <c r="AW6" s="39">
        <f t="shared" si="5"/>
        <v>56143.78</v>
      </c>
      <c r="AX6" s="39">
        <f t="shared" si="5"/>
        <v>8802.7900000000009</v>
      </c>
      <c r="AY6" s="39">
        <f t="shared" si="5"/>
        <v>40444.230000000003</v>
      </c>
      <c r="AZ6" s="39">
        <f t="shared" si="5"/>
        <v>125217.67</v>
      </c>
      <c r="BA6" s="39">
        <f t="shared" si="5"/>
        <v>59507.42</v>
      </c>
      <c r="BB6" s="39">
        <f t="shared" si="5"/>
        <v>30080.400000000001</v>
      </c>
      <c r="BC6" s="39">
        <f t="shared" si="5"/>
        <v>85103.459999999992</v>
      </c>
      <c r="BD6" s="39">
        <f t="shared" si="5"/>
        <v>68897.649999999994</v>
      </c>
      <c r="BE6" s="39">
        <f t="shared" si="5"/>
        <v>180359.49</v>
      </c>
      <c r="BF6" s="39">
        <f t="shared" si="5"/>
        <v>47579.17</v>
      </c>
      <c r="BH6" s="32" t="str">
        <f>Products!A6</f>
        <v>PROD-005</v>
      </c>
      <c r="BI6" s="32" t="str">
        <f>Products!B6</f>
        <v>Power Bank</v>
      </c>
      <c r="BJ6" s="43">
        <f t="shared" si="6"/>
        <v>7449.9000000000005</v>
      </c>
      <c r="BK6" s="32" t="e">
        <f t="shared" ca="1" si="7"/>
        <v>#NAME?</v>
      </c>
      <c r="BL6">
        <v>0</v>
      </c>
      <c r="BM6">
        <v>0</v>
      </c>
      <c r="BN6">
        <v>1.8867924528301886E-2</v>
      </c>
      <c r="BO6">
        <v>0</v>
      </c>
      <c r="BP6">
        <v>0</v>
      </c>
    </row>
    <row r="7" spans="1:68" x14ac:dyDescent="0.35">
      <c r="A7" s="26" t="str">
        <f>Orders!A7</f>
        <v>ORD-00006</v>
      </c>
      <c r="B7" s="33">
        <f>Orders!B7</f>
        <v>45406</v>
      </c>
      <c r="C7" t="str">
        <f>Orders!C7</f>
        <v>CUST-0275</v>
      </c>
      <c r="D7" t="str">
        <f>Orders!D7</f>
        <v>PROD-032</v>
      </c>
      <c r="E7" t="str">
        <f>Orders!E7</f>
        <v>R025</v>
      </c>
      <c r="F7">
        <f>Orders!F7</f>
        <v>4</v>
      </c>
      <c r="G7" s="35">
        <f>Orders!G7</f>
        <v>370</v>
      </c>
      <c r="H7" s="37">
        <f>Orders!H7</f>
        <v>29</v>
      </c>
      <c r="I7" s="39">
        <f>Orders!I7</f>
        <v>1050.8</v>
      </c>
      <c r="J7" t="str">
        <f>Orders!J7</f>
        <v>Completed</v>
      </c>
      <c r="K7" t="str">
        <f>Orders!K7</f>
        <v>Mumbai</v>
      </c>
      <c r="L7" t="str">
        <f>IFERROR(VLOOKUP(D7,Products!$A$2:$F$61,3,FALSE),"")</f>
        <v>Home</v>
      </c>
      <c r="M7">
        <f>IFERROR(VLOOKUP(D7,Products!$A$2:$F$61,4,FALSE),"")</f>
        <v>288</v>
      </c>
      <c r="N7" t="str">
        <f>IFERROR(VLOOKUP(E7,Sales_Reps!$A$2:$E$31,3,FALSE),"")</f>
        <v>West</v>
      </c>
      <c r="O7" t="str">
        <f>IFERROR(VLOOKUP(C7,Customers!$A$2:$F$301,5,FALSE),"")</f>
        <v>Retail</v>
      </c>
      <c r="P7">
        <f>IFERROR(VLOOKUP(C7,Customers!$A$2:$F$301,3,FALSE),"")</f>
        <v>36</v>
      </c>
      <c r="Q7" s="41">
        <f t="shared" si="0"/>
        <v>0.22162162162162163</v>
      </c>
      <c r="R7" t="str">
        <f>IFERROR(VLOOKUP(C7,Customers!$A$2:$F$301,1,FALSE),"")</f>
        <v>CUST-0275</v>
      </c>
      <c r="S7" s="27" t="b">
        <f>IFERROR(VLOOKUP(D7,Products!$A$2:$F$61,6,FALSE),"")</f>
        <v>1</v>
      </c>
      <c r="T7" s="32" t="s">
        <v>2852</v>
      </c>
      <c r="U7" s="32" t="str">
        <f>VLOOKUP(INDEX($H$2:$H$2001,MATCH("ORD-00789",$A$2:$A$2001,0)),Q1_Lookups!$B$18:$C$21,2,TRUE)</f>
        <v>Bronze</v>
      </c>
      <c r="V7" s="32" t="s">
        <v>2983</v>
      </c>
      <c r="W7" s="32" t="str">
        <f>Sales_Reps!A7</f>
        <v>R006</v>
      </c>
      <c r="X7" s="32" t="str">
        <f>Sales_Reps!B7</f>
        <v>Neha Desai</v>
      </c>
      <c r="Y7" s="43">
        <f t="shared" si="1"/>
        <v>1138648.73</v>
      </c>
      <c r="Z7" s="32" t="e">
        <f t="shared" ca="1" si="2"/>
        <v>#NAME?</v>
      </c>
      <c r="AB7" s="44">
        <f>DATE(2024,6,1)</f>
        <v>45444</v>
      </c>
      <c r="AC7" s="39">
        <f t="shared" si="3"/>
        <v>82789.949999999983</v>
      </c>
      <c r="AD7" s="39">
        <f t="shared" si="3"/>
        <v>82753.37000000001</v>
      </c>
      <c r="AE7" s="39">
        <f t="shared" si="3"/>
        <v>37966.089999999997</v>
      </c>
      <c r="AF7" s="39">
        <f t="shared" si="3"/>
        <v>42388.119999999995</v>
      </c>
      <c r="AG7" s="39">
        <f t="shared" si="3"/>
        <v>113205.31999999999</v>
      </c>
      <c r="AH7" s="39">
        <f t="shared" si="3"/>
        <v>191251.6</v>
      </c>
      <c r="AI7" s="39">
        <f t="shared" si="3"/>
        <v>58895.109999999993</v>
      </c>
      <c r="AJ7" s="39">
        <f t="shared" si="3"/>
        <v>82481.440000000002</v>
      </c>
      <c r="AK7" s="39">
        <f t="shared" si="3"/>
        <v>69794.649999999994</v>
      </c>
      <c r="AL7" s="39">
        <f t="shared" si="3"/>
        <v>29458.160000000003</v>
      </c>
      <c r="AM7" s="39">
        <f t="shared" si="4"/>
        <v>45625.440000000002</v>
      </c>
      <c r="AN7" s="39">
        <f t="shared" si="4"/>
        <v>59218.28</v>
      </c>
      <c r="AO7" s="39">
        <f t="shared" si="4"/>
        <v>33836.58</v>
      </c>
      <c r="AP7" s="39">
        <f t="shared" si="4"/>
        <v>15951.6</v>
      </c>
      <c r="AQ7" s="39">
        <f t="shared" si="4"/>
        <v>12840.400000000001</v>
      </c>
      <c r="AR7" s="39">
        <f t="shared" si="4"/>
        <v>55791.51</v>
      </c>
      <c r="AS7" s="39">
        <f t="shared" si="4"/>
        <v>73782.34</v>
      </c>
      <c r="AT7" s="39">
        <f t="shared" si="4"/>
        <v>117809.47</v>
      </c>
      <c r="AU7" s="39">
        <f t="shared" si="4"/>
        <v>107491.77999999998</v>
      </c>
      <c r="AV7" s="39">
        <f t="shared" si="4"/>
        <v>90724.13</v>
      </c>
      <c r="AW7" s="39">
        <f t="shared" si="5"/>
        <v>65924.819999999992</v>
      </c>
      <c r="AX7" s="39">
        <f t="shared" si="5"/>
        <v>61415.64</v>
      </c>
      <c r="AY7" s="39">
        <f t="shared" si="5"/>
        <v>102315.15</v>
      </c>
      <c r="AZ7" s="39">
        <f t="shared" si="5"/>
        <v>53450.710000000006</v>
      </c>
      <c r="BA7" s="39">
        <f t="shared" si="5"/>
        <v>66753.66</v>
      </c>
      <c r="BB7" s="39">
        <f t="shared" si="5"/>
        <v>19115.52</v>
      </c>
      <c r="BC7" s="39">
        <f t="shared" si="5"/>
        <v>49268.729999999996</v>
      </c>
      <c r="BD7" s="39">
        <f t="shared" si="5"/>
        <v>47140.72</v>
      </c>
      <c r="BE7" s="39">
        <f t="shared" si="5"/>
        <v>29011.879999999997</v>
      </c>
      <c r="BF7" s="39">
        <f t="shared" si="5"/>
        <v>67486.899999999994</v>
      </c>
      <c r="BH7" s="32" t="str">
        <f>Products!A7</f>
        <v>PROD-006</v>
      </c>
      <c r="BI7" s="32" t="str">
        <f>Products!B7</f>
        <v>Bluetooth Speaker</v>
      </c>
      <c r="BJ7" s="43">
        <f t="shared" si="6"/>
        <v>100869.76000000001</v>
      </c>
      <c r="BK7" s="32" t="e">
        <f t="shared" ca="1" si="7"/>
        <v>#NAME?</v>
      </c>
      <c r="BL7">
        <v>0</v>
      </c>
      <c r="BM7">
        <v>0</v>
      </c>
      <c r="BN7">
        <v>1.8867924528301886E-2</v>
      </c>
      <c r="BO7">
        <v>0</v>
      </c>
      <c r="BP7">
        <v>0</v>
      </c>
    </row>
    <row r="8" spans="1:68" x14ac:dyDescent="0.35">
      <c r="A8" s="26" t="str">
        <f>Orders!A8</f>
        <v>ORD-00007</v>
      </c>
      <c r="B8" s="33">
        <f>Orders!B8</f>
        <v>45455</v>
      </c>
      <c r="C8" t="str">
        <f>Orders!C8</f>
        <v>CUST-0293</v>
      </c>
      <c r="D8" t="str">
        <f>Orders!D8</f>
        <v>PROD-057</v>
      </c>
      <c r="E8" t="str">
        <f>Orders!E8</f>
        <v>R024</v>
      </c>
      <c r="F8">
        <f>Orders!F8</f>
        <v>3</v>
      </c>
      <c r="G8" s="35">
        <f>Orders!G8</f>
        <v>960</v>
      </c>
      <c r="H8" s="37">
        <f>Orders!H8</f>
        <v>5.8</v>
      </c>
      <c r="I8" s="39">
        <f>Orders!I8</f>
        <v>2712.96</v>
      </c>
      <c r="J8" t="str">
        <f>Orders!J8</f>
        <v>Completed</v>
      </c>
      <c r="K8" t="str">
        <f>Orders!K8</f>
        <v>Bengaluru</v>
      </c>
      <c r="L8" t="str">
        <f>IFERROR(VLOOKUP(D8,Products!$A$2:$F$61,3,FALSE),"")</f>
        <v>Sports</v>
      </c>
      <c r="M8">
        <f>IFERROR(VLOOKUP(D8,Products!$A$2:$F$61,4,FALSE),"")</f>
        <v>705</v>
      </c>
      <c r="N8" t="str">
        <f>IFERROR(VLOOKUP(E8,Sales_Reps!$A$2:$E$31,3,FALSE),"")</f>
        <v>West</v>
      </c>
      <c r="O8" t="str">
        <f>IFERROR(VLOOKUP(C8,Customers!$A$2:$F$301,5,FALSE),"")</f>
        <v>Retail</v>
      </c>
      <c r="P8">
        <f>IFERROR(VLOOKUP(C8,Customers!$A$2:$F$301,3,FALSE),"")</f>
        <v>27</v>
      </c>
      <c r="Q8" s="41">
        <f t="shared" si="0"/>
        <v>0.265625</v>
      </c>
      <c r="R8" t="str">
        <f>IFERROR(VLOOKUP(C8,Customers!$A$2:$F$301,1,FALSE),"")</f>
        <v>CUST-0293</v>
      </c>
      <c r="S8" s="27" t="b">
        <f>IFERROR(VLOOKUP(D8,Products!$A$2:$F$61,6,FALSE),"")</f>
        <v>1</v>
      </c>
      <c r="T8" s="32" t="s">
        <v>2855</v>
      </c>
      <c r="U8" s="45" t="str">
        <f>INDEX(Sales_Reps!$B$2:$B$31,MATCH(INDEX($E$2:$E$2001,MATCH("ORD-01234",$A$2:$A$2001,0)),Sales_Reps!$A$2:$A$31,0))&amp;" ("&amp;INDEX(Sales_Reps!$C$2:$C$31,MATCH(INDEX($E$2:$E$2001,MATCH("ORD-01234",$A$2:$A$2001,0)),Sales_Reps!$A$2:$A$31,0))&amp;")"</f>
        <v>Sanjay Kapoor (South)</v>
      </c>
      <c r="V8" s="32" t="s">
        <v>2984</v>
      </c>
      <c r="W8" s="32" t="str">
        <f>Sales_Reps!A8</f>
        <v>R007</v>
      </c>
      <c r="X8" s="32" t="str">
        <f>Sales_Reps!B8</f>
        <v>Suresh Menon</v>
      </c>
      <c r="Y8" s="43">
        <f t="shared" si="1"/>
        <v>855749.67999999982</v>
      </c>
      <c r="Z8" s="32" t="e">
        <f t="shared" ca="1" si="2"/>
        <v>#NAME?</v>
      </c>
      <c r="AB8" s="44">
        <f>DATE(2024,7,1)</f>
        <v>45474</v>
      </c>
      <c r="AC8" s="39">
        <f t="shared" si="3"/>
        <v>28761.200000000001</v>
      </c>
      <c r="AD8" s="39">
        <f t="shared" si="3"/>
        <v>62949.74</v>
      </c>
      <c r="AE8" s="39">
        <f t="shared" si="3"/>
        <v>185921.75</v>
      </c>
      <c r="AF8" s="39">
        <f t="shared" si="3"/>
        <v>7823.4800000000005</v>
      </c>
      <c r="AG8" s="39">
        <f t="shared" si="3"/>
        <v>20649.349999999999</v>
      </c>
      <c r="AH8" s="39">
        <f t="shared" si="3"/>
        <v>38479.32</v>
      </c>
      <c r="AI8" s="39">
        <f t="shared" si="3"/>
        <v>11528.24</v>
      </c>
      <c r="AJ8" s="39">
        <f t="shared" si="3"/>
        <v>75853.47</v>
      </c>
      <c r="AK8" s="39">
        <f t="shared" si="3"/>
        <v>99012.62</v>
      </c>
      <c r="AL8" s="39">
        <f t="shared" si="3"/>
        <v>96008.48</v>
      </c>
      <c r="AM8" s="39">
        <f t="shared" si="4"/>
        <v>31373.22</v>
      </c>
      <c r="AN8" s="39">
        <f t="shared" si="4"/>
        <v>75017.78</v>
      </c>
      <c r="AO8" s="39">
        <f t="shared" si="4"/>
        <v>32733.739999999998</v>
      </c>
      <c r="AP8" s="39">
        <f t="shared" si="4"/>
        <v>74760.149999999994</v>
      </c>
      <c r="AQ8" s="39">
        <f t="shared" si="4"/>
        <v>51083.420000000006</v>
      </c>
      <c r="AR8" s="39">
        <f t="shared" si="4"/>
        <v>70547.11</v>
      </c>
      <c r="AS8" s="39">
        <f t="shared" si="4"/>
        <v>4516.7</v>
      </c>
      <c r="AT8" s="39">
        <f t="shared" si="4"/>
        <v>41039.879999999997</v>
      </c>
      <c r="AU8" s="39">
        <f t="shared" si="4"/>
        <v>72372.48000000001</v>
      </c>
      <c r="AV8" s="39">
        <f t="shared" si="4"/>
        <v>28955.710000000003</v>
      </c>
      <c r="AW8" s="39">
        <f t="shared" si="5"/>
        <v>72167.3</v>
      </c>
      <c r="AX8" s="39">
        <f t="shared" si="5"/>
        <v>210918.24</v>
      </c>
      <c r="AY8" s="39">
        <f t="shared" si="5"/>
        <v>89062.989999999991</v>
      </c>
      <c r="AZ8" s="39">
        <f t="shared" si="5"/>
        <v>58773.84</v>
      </c>
      <c r="BA8" s="39">
        <f t="shared" si="5"/>
        <v>140235.22</v>
      </c>
      <c r="BB8" s="39">
        <f t="shared" si="5"/>
        <v>13927.630000000001</v>
      </c>
      <c r="BC8" s="39">
        <f t="shared" si="5"/>
        <v>32250.519999999997</v>
      </c>
      <c r="BD8" s="39">
        <f t="shared" si="5"/>
        <v>88182.8</v>
      </c>
      <c r="BE8" s="39">
        <f t="shared" si="5"/>
        <v>60836.130000000005</v>
      </c>
      <c r="BF8" s="39">
        <f t="shared" si="5"/>
        <v>89271.18</v>
      </c>
      <c r="BH8" s="32" t="str">
        <f>Products!A8</f>
        <v>PROD-007</v>
      </c>
      <c r="BI8" s="32" t="str">
        <f>Products!B8</f>
        <v>USB-C Cable</v>
      </c>
      <c r="BJ8" s="43">
        <f t="shared" si="6"/>
        <v>38531.35</v>
      </c>
      <c r="BK8" s="32" t="e">
        <f t="shared" ca="1" si="7"/>
        <v>#NAME?</v>
      </c>
      <c r="BL8">
        <v>0</v>
      </c>
      <c r="BM8">
        <v>0</v>
      </c>
      <c r="BN8">
        <v>2.1276595744680851E-2</v>
      </c>
      <c r="BO8">
        <v>0</v>
      </c>
      <c r="BP8">
        <v>0</v>
      </c>
    </row>
    <row r="9" spans="1:68" x14ac:dyDescent="0.35">
      <c r="A9" s="26" t="str">
        <f>Orders!A9</f>
        <v>ORD-00008</v>
      </c>
      <c r="B9" s="33">
        <f>Orders!B9</f>
        <v>45617</v>
      </c>
      <c r="C9" t="str">
        <f>Orders!C9</f>
        <v>CUST-0281</v>
      </c>
      <c r="D9" t="str">
        <f>Orders!D9</f>
        <v>PROD-007</v>
      </c>
      <c r="E9" t="str">
        <f>Orders!E9</f>
        <v>R019</v>
      </c>
      <c r="F9">
        <f>Orders!F9</f>
        <v>8</v>
      </c>
      <c r="G9" s="35">
        <f>Orders!G9</f>
        <v>1430</v>
      </c>
      <c r="H9" s="37">
        <f>Orders!H9</f>
        <v>2.4</v>
      </c>
      <c r="I9" s="39">
        <f>Orders!I9</f>
        <v>11165.44</v>
      </c>
      <c r="J9" t="str">
        <f>Orders!J9</f>
        <v>Completed</v>
      </c>
      <c r="K9" t="str">
        <f>Orders!K9</f>
        <v>Bengaluru</v>
      </c>
      <c r="L9" t="str">
        <f>IFERROR(VLOOKUP(D9,Products!$A$2:$F$61,3,FALSE),"")</f>
        <v>Electronics</v>
      </c>
      <c r="M9">
        <f>IFERROR(VLOOKUP(D9,Products!$A$2:$F$61,4,FALSE),"")</f>
        <v>861</v>
      </c>
      <c r="N9" t="str">
        <f>IFERROR(VLOOKUP(E9,Sales_Reps!$A$2:$E$31,3,FALSE),"")</f>
        <v>East</v>
      </c>
      <c r="O9" t="str">
        <f>IFERROR(VLOOKUP(C9,Customers!$A$2:$F$301,5,FALSE),"")</f>
        <v>Corporate</v>
      </c>
      <c r="P9">
        <f>IFERROR(VLOOKUP(C9,Customers!$A$2:$F$301,3,FALSE),"")</f>
        <v>57</v>
      </c>
      <c r="Q9" s="41">
        <f t="shared" si="0"/>
        <v>0.39790209790209791</v>
      </c>
      <c r="R9" t="str">
        <f>IFERROR(VLOOKUP(C9,Customers!$A$2:$F$301,1,FALSE),"")</f>
        <v>CUST-0281</v>
      </c>
      <c r="S9" s="27" t="b">
        <f>IFERROR(VLOOKUP(D9,Products!$A$2:$F$61,6,FALSE),"")</f>
        <v>1</v>
      </c>
      <c r="T9" s="32" t="s">
        <v>2858</v>
      </c>
      <c r="U9" s="32" t="str">
        <f>INDEX(Sales_Reps!$B$2:$B$31,MATCH(INDEX(Sales_Reps!$E$2:$E$31,MATCH("R017",Sales_Reps!$A$2:$A$31,0)),Sales_Reps!$A$2:$A$31,0))</f>
        <v>Amit Singh</v>
      </c>
      <c r="V9" s="32" t="s">
        <v>2985</v>
      </c>
      <c r="W9" s="32" t="str">
        <f>Sales_Reps!A9</f>
        <v>R008</v>
      </c>
      <c r="X9" s="32" t="str">
        <f>Sales_Reps!B9</f>
        <v>Kavita Patel</v>
      </c>
      <c r="Y9" s="43">
        <f t="shared" si="1"/>
        <v>861553.33</v>
      </c>
      <c r="Z9" s="32" t="e">
        <f t="shared" ca="1" si="2"/>
        <v>#NAME?</v>
      </c>
      <c r="AB9" s="44">
        <f>DATE(2024,8,1)</f>
        <v>45505</v>
      </c>
      <c r="AC9" s="39">
        <f t="shared" si="3"/>
        <v>92676.920000000013</v>
      </c>
      <c r="AD9" s="39">
        <f t="shared" si="3"/>
        <v>134500.5</v>
      </c>
      <c r="AE9" s="39">
        <f t="shared" si="3"/>
        <v>114656.26999999999</v>
      </c>
      <c r="AF9" s="39">
        <f t="shared" si="3"/>
        <v>55975.340000000004</v>
      </c>
      <c r="AG9" s="39">
        <f t="shared" si="3"/>
        <v>15060.279999999999</v>
      </c>
      <c r="AH9" s="39">
        <f t="shared" si="3"/>
        <v>61857.899999999994</v>
      </c>
      <c r="AI9" s="39">
        <f t="shared" si="3"/>
        <v>70196.800000000003</v>
      </c>
      <c r="AJ9" s="39">
        <f t="shared" si="3"/>
        <v>61043.439999999995</v>
      </c>
      <c r="AK9" s="39">
        <f t="shared" si="3"/>
        <v>116575.84999999999</v>
      </c>
      <c r="AL9" s="39">
        <f t="shared" si="3"/>
        <v>111335.79000000001</v>
      </c>
      <c r="AM9" s="39">
        <f t="shared" si="4"/>
        <v>129473.95999999999</v>
      </c>
      <c r="AN9" s="39">
        <f t="shared" si="4"/>
        <v>115185.59</v>
      </c>
      <c r="AO9" s="39">
        <f t="shared" si="4"/>
        <v>70557.86</v>
      </c>
      <c r="AP9" s="39">
        <f t="shared" si="4"/>
        <v>113977.93999999999</v>
      </c>
      <c r="AQ9" s="39">
        <f t="shared" si="4"/>
        <v>114985.86000000002</v>
      </c>
      <c r="AR9" s="39">
        <f t="shared" si="4"/>
        <v>119357.27</v>
      </c>
      <c r="AS9" s="39">
        <f t="shared" si="4"/>
        <v>88015.95</v>
      </c>
      <c r="AT9" s="39">
        <f t="shared" si="4"/>
        <v>26814.3</v>
      </c>
      <c r="AU9" s="39">
        <f t="shared" si="4"/>
        <v>20666.8</v>
      </c>
      <c r="AV9" s="39">
        <f t="shared" si="4"/>
        <v>107718.33</v>
      </c>
      <c r="AW9" s="39">
        <f t="shared" si="5"/>
        <v>44212.2</v>
      </c>
      <c r="AX9" s="39">
        <f t="shared" si="5"/>
        <v>81133.64</v>
      </c>
      <c r="AY9" s="39">
        <f t="shared" si="5"/>
        <v>50585.599999999999</v>
      </c>
      <c r="AZ9" s="39">
        <f t="shared" si="5"/>
        <v>66015.240000000005</v>
      </c>
      <c r="BA9" s="39">
        <f t="shared" si="5"/>
        <v>61143.740000000005</v>
      </c>
      <c r="BB9" s="39">
        <f t="shared" si="5"/>
        <v>89359.819999999992</v>
      </c>
      <c r="BC9" s="39">
        <f t="shared" si="5"/>
        <v>18606.830000000002</v>
      </c>
      <c r="BD9" s="39">
        <f t="shared" si="5"/>
        <v>168231.25</v>
      </c>
      <c r="BE9" s="39">
        <f t="shared" si="5"/>
        <v>134005.79</v>
      </c>
      <c r="BF9" s="39">
        <f t="shared" si="5"/>
        <v>74000.900000000009</v>
      </c>
      <c r="BH9" s="32" t="str">
        <f>Products!A9</f>
        <v>PROD-008</v>
      </c>
      <c r="BI9" s="32" t="str">
        <f>Products!B9</f>
        <v>Wireless Mouse</v>
      </c>
      <c r="BJ9" s="43">
        <f t="shared" si="6"/>
        <v>7807.1</v>
      </c>
      <c r="BK9" s="32" t="e">
        <f t="shared" ca="1" si="7"/>
        <v>#NAME?</v>
      </c>
      <c r="BL9">
        <v>0</v>
      </c>
      <c r="BM9">
        <v>0</v>
      </c>
      <c r="BN9">
        <v>1.8867924528301886E-2</v>
      </c>
      <c r="BO9">
        <v>0</v>
      </c>
      <c r="BP9">
        <v>0</v>
      </c>
    </row>
    <row r="10" spans="1:68" x14ac:dyDescent="0.35">
      <c r="A10" s="26" t="str">
        <f>Orders!A10</f>
        <v>ORD-00009</v>
      </c>
      <c r="B10" s="33">
        <f>Orders!B10</f>
        <v>45549</v>
      </c>
      <c r="C10" t="str">
        <f>Orders!C10</f>
        <v>CUST-0260</v>
      </c>
      <c r="D10" t="str">
        <f>Orders!D10</f>
        <v>PROD-038</v>
      </c>
      <c r="E10" t="str">
        <f>Orders!E10</f>
        <v>R008</v>
      </c>
      <c r="F10">
        <f>Orders!F10</f>
        <v>3</v>
      </c>
      <c r="G10" s="35">
        <f>Orders!G10</f>
        <v>5490</v>
      </c>
      <c r="H10" s="37">
        <f>Orders!H10</f>
        <v>14.2</v>
      </c>
      <c r="I10" s="39">
        <f>Orders!I10</f>
        <v>14131.26</v>
      </c>
      <c r="J10" t="str">
        <f>Orders!J10</f>
        <v>Completed</v>
      </c>
      <c r="K10" t="str">
        <f>Orders!K10</f>
        <v>Bengaluru</v>
      </c>
      <c r="L10" t="str">
        <f>IFERROR(VLOOKUP(D10,Products!$A$2:$F$61,3,FALSE),"")</f>
        <v>Home</v>
      </c>
      <c r="M10">
        <f>IFERROR(VLOOKUP(D10,Products!$A$2:$F$61,4,FALSE),"")</f>
        <v>2549</v>
      </c>
      <c r="N10" t="str">
        <f>IFERROR(VLOOKUP(E10,Sales_Reps!$A$2:$E$31,3,FALSE),"")</f>
        <v>North</v>
      </c>
      <c r="O10" t="str">
        <f>IFERROR(VLOOKUP(C10,Customers!$A$2:$F$301,5,FALSE),"")</f>
        <v>Retail</v>
      </c>
      <c r="P10">
        <f>IFERROR(VLOOKUP(C10,Customers!$A$2:$F$301,3,FALSE),"")</f>
        <v>42</v>
      </c>
      <c r="Q10" s="41">
        <f t="shared" si="0"/>
        <v>0.53570127504553733</v>
      </c>
      <c r="R10" t="str">
        <f>IFERROR(VLOOKUP(C10,Customers!$A$2:$F$301,1,FALSE),"")</f>
        <v>CUST-0260</v>
      </c>
      <c r="S10" s="27" t="b">
        <f>IFERROR(VLOOKUP(D10,Products!$A$2:$F$61,6,FALSE),"")</f>
        <v>1</v>
      </c>
      <c r="T10" s="32" t="s">
        <v>2870</v>
      </c>
      <c r="U10" s="32">
        <v>20</v>
      </c>
      <c r="V10" s="32" t="s">
        <v>2986</v>
      </c>
      <c r="W10" s="32" t="str">
        <f>Sales_Reps!A10</f>
        <v>R009</v>
      </c>
      <c r="X10" s="32" t="str">
        <f>Sales_Reps!B10</f>
        <v>Manoj Patel</v>
      </c>
      <c r="Y10" s="43">
        <f t="shared" si="1"/>
        <v>914554.71999999986</v>
      </c>
      <c r="Z10" s="32" t="e">
        <f t="shared" ca="1" si="2"/>
        <v>#NAME?</v>
      </c>
      <c r="AB10" s="44">
        <f>DATE(2024,9,1)</f>
        <v>45536</v>
      </c>
      <c r="AC10" s="39">
        <f t="shared" si="3"/>
        <v>88884.34</v>
      </c>
      <c r="AD10" s="39">
        <f t="shared" si="3"/>
        <v>91647.290000000008</v>
      </c>
      <c r="AE10" s="39">
        <f t="shared" si="3"/>
        <v>69896.72</v>
      </c>
      <c r="AF10" s="39">
        <f t="shared" si="3"/>
        <v>46944.28</v>
      </c>
      <c r="AG10" s="39">
        <f t="shared" si="3"/>
        <v>81963.69</v>
      </c>
      <c r="AH10" s="39">
        <f t="shared" si="3"/>
        <v>76627.83</v>
      </c>
      <c r="AI10" s="39">
        <f t="shared" si="3"/>
        <v>52194.149999999994</v>
      </c>
      <c r="AJ10" s="39">
        <f t="shared" si="3"/>
        <v>49404.639999999999</v>
      </c>
      <c r="AK10" s="39">
        <f t="shared" si="3"/>
        <v>98466.52</v>
      </c>
      <c r="AL10" s="39">
        <f t="shared" si="3"/>
        <v>146100.57</v>
      </c>
      <c r="AM10" s="39">
        <f t="shared" si="4"/>
        <v>88472.060000000012</v>
      </c>
      <c r="AN10" s="39">
        <f t="shared" si="4"/>
        <v>104717.03</v>
      </c>
      <c r="AO10" s="39">
        <f t="shared" si="4"/>
        <v>63389.33</v>
      </c>
      <c r="AP10" s="39">
        <f t="shared" si="4"/>
        <v>45673.51</v>
      </c>
      <c r="AQ10" s="39">
        <f t="shared" si="4"/>
        <v>92815.3</v>
      </c>
      <c r="AR10" s="39">
        <f t="shared" si="4"/>
        <v>34105.56</v>
      </c>
      <c r="AS10" s="39">
        <f t="shared" si="4"/>
        <v>75893.02</v>
      </c>
      <c r="AT10" s="39">
        <f t="shared" si="4"/>
        <v>29070.76</v>
      </c>
      <c r="AU10" s="39">
        <f t="shared" si="4"/>
        <v>34590.78</v>
      </c>
      <c r="AV10" s="39">
        <f t="shared" si="4"/>
        <v>57555.72</v>
      </c>
      <c r="AW10" s="39">
        <f t="shared" si="5"/>
        <v>108409.59</v>
      </c>
      <c r="AX10" s="39">
        <f t="shared" si="5"/>
        <v>87991.220000000016</v>
      </c>
      <c r="AY10" s="39">
        <f t="shared" si="5"/>
        <v>50462.58</v>
      </c>
      <c r="AZ10" s="39">
        <f t="shared" si="5"/>
        <v>16909.739999999998</v>
      </c>
      <c r="BA10" s="39">
        <f t="shared" si="5"/>
        <v>121716.57999999999</v>
      </c>
      <c r="BB10" s="39">
        <f t="shared" si="5"/>
        <v>26249.420000000002</v>
      </c>
      <c r="BC10" s="39">
        <f t="shared" si="5"/>
        <v>133645.79999999999</v>
      </c>
      <c r="BD10" s="39">
        <f t="shared" si="5"/>
        <v>44209.14</v>
      </c>
      <c r="BE10" s="39">
        <f t="shared" si="5"/>
        <v>18360.240000000002</v>
      </c>
      <c r="BF10" s="39">
        <f t="shared" si="5"/>
        <v>26448.21</v>
      </c>
      <c r="BH10" s="32" t="str">
        <f>Products!A10</f>
        <v>PROD-009</v>
      </c>
      <c r="BI10" s="32" t="str">
        <f>Products!B10</f>
        <v>Mechanical Keyboard</v>
      </c>
      <c r="BJ10" s="43">
        <f t="shared" si="6"/>
        <v>64207.380000000005</v>
      </c>
      <c r="BK10" s="32" t="e">
        <f t="shared" ca="1" si="7"/>
        <v>#NAME?</v>
      </c>
      <c r="BL10">
        <v>0</v>
      </c>
      <c r="BM10">
        <v>0</v>
      </c>
      <c r="BN10">
        <v>1.8518518518518517E-2</v>
      </c>
      <c r="BO10">
        <v>0</v>
      </c>
      <c r="BP10">
        <v>0</v>
      </c>
    </row>
    <row r="11" spans="1:68" x14ac:dyDescent="0.35">
      <c r="A11" s="26" t="str">
        <f>Orders!A11</f>
        <v>ORD-00010</v>
      </c>
      <c r="B11" s="33">
        <f>Orders!B11</f>
        <v>45396</v>
      </c>
      <c r="C11" t="str">
        <f>Orders!C11</f>
        <v>CUST-0147</v>
      </c>
      <c r="D11" t="str">
        <f>Orders!D11</f>
        <v>PROD-030</v>
      </c>
      <c r="E11" t="str">
        <f>Orders!E11</f>
        <v>R028</v>
      </c>
      <c r="F11">
        <f>Orders!F11</f>
        <v>3</v>
      </c>
      <c r="G11" s="35">
        <f>Orders!G11</f>
        <v>970</v>
      </c>
      <c r="H11" s="37">
        <f>Orders!H11</f>
        <v>1.2</v>
      </c>
      <c r="I11" s="39">
        <f>Orders!I11</f>
        <v>2875.08</v>
      </c>
      <c r="J11" t="str">
        <f>Orders!J11</f>
        <v>Completed</v>
      </c>
      <c r="K11" t="str">
        <f>Orders!K11</f>
        <v>Pune</v>
      </c>
      <c r="L11" t="str">
        <f>IFERROR(VLOOKUP(D11,Products!$A$2:$F$61,3,FALSE),"")</f>
        <v>Grocery</v>
      </c>
      <c r="M11">
        <f>IFERROR(VLOOKUP(D11,Products!$A$2:$F$61,4,FALSE),"")</f>
        <v>434</v>
      </c>
      <c r="N11" t="str">
        <f>IFERROR(VLOOKUP(E11,Sales_Reps!$A$2:$E$31,3,FALSE),"")</f>
        <v>West</v>
      </c>
      <c r="O11" t="str">
        <f>IFERROR(VLOOKUP(C11,Customers!$A$2:$F$301,5,FALSE),"")</f>
        <v>Retail</v>
      </c>
      <c r="P11">
        <f>IFERROR(VLOOKUP(C11,Customers!$A$2:$F$301,3,FALSE),"")</f>
        <v>56</v>
      </c>
      <c r="Q11" s="41">
        <f t="shared" si="0"/>
        <v>0.5525773195876289</v>
      </c>
      <c r="R11" t="str">
        <f>IFERROR(VLOOKUP(C11,Customers!$A$2:$F$301,1,FALSE),"")</f>
        <v>CUST-0147</v>
      </c>
      <c r="S11" s="27" t="b">
        <f>IFERROR(VLOOKUP(D11,Products!$A$2:$F$61,6,FALSE),"")</f>
        <v>1</v>
      </c>
      <c r="T11" s="32" t="s">
        <v>2873</v>
      </c>
      <c r="U11" s="32">
        <v>15</v>
      </c>
      <c r="V11" s="32" t="s">
        <v>2987</v>
      </c>
      <c r="W11" s="32" t="str">
        <f>Sales_Reps!A11</f>
        <v>R010</v>
      </c>
      <c r="X11" s="32" t="str">
        <f>Sales_Reps!B11</f>
        <v>Divya Rao</v>
      </c>
      <c r="Y11" s="43">
        <f t="shared" si="1"/>
        <v>880345.20000000007</v>
      </c>
      <c r="Z11" s="32" t="e">
        <f t="shared" ca="1" si="2"/>
        <v>#NAME?</v>
      </c>
      <c r="AB11" s="44">
        <f>DATE(2024,10,1)</f>
        <v>45566</v>
      </c>
      <c r="AC11" s="39">
        <f t="shared" si="3"/>
        <v>37753.900000000009</v>
      </c>
      <c r="AD11" s="39">
        <f t="shared" si="3"/>
        <v>35751.81</v>
      </c>
      <c r="AE11" s="39">
        <f t="shared" si="3"/>
        <v>29309.979999999996</v>
      </c>
      <c r="AF11" s="39">
        <f t="shared" si="3"/>
        <v>43456.180000000008</v>
      </c>
      <c r="AG11" s="39">
        <f t="shared" si="3"/>
        <v>99252.76999999999</v>
      </c>
      <c r="AH11" s="39">
        <f t="shared" si="3"/>
        <v>52942.27</v>
      </c>
      <c r="AI11" s="39">
        <f t="shared" si="3"/>
        <v>57313.75</v>
      </c>
      <c r="AJ11" s="39">
        <f t="shared" si="3"/>
        <v>26620.46</v>
      </c>
      <c r="AK11" s="39">
        <f t="shared" si="3"/>
        <v>107648.92</v>
      </c>
      <c r="AL11" s="39">
        <f t="shared" si="3"/>
        <v>64630.99</v>
      </c>
      <c r="AM11" s="39">
        <f t="shared" si="4"/>
        <v>55503.48</v>
      </c>
      <c r="AN11" s="39">
        <f t="shared" si="4"/>
        <v>89150.849999999991</v>
      </c>
      <c r="AO11" s="39">
        <f t="shared" si="4"/>
        <v>46714.579999999994</v>
      </c>
      <c r="AP11" s="39">
        <f t="shared" si="4"/>
        <v>80097.179999999993</v>
      </c>
      <c r="AQ11" s="39">
        <f t="shared" si="4"/>
        <v>119179.18</v>
      </c>
      <c r="AR11" s="39">
        <f t="shared" si="4"/>
        <v>55604.090000000004</v>
      </c>
      <c r="AS11" s="39">
        <f t="shared" si="4"/>
        <v>75670.28</v>
      </c>
      <c r="AT11" s="39">
        <f t="shared" si="4"/>
        <v>109087.31</v>
      </c>
      <c r="AU11" s="39">
        <f t="shared" si="4"/>
        <v>152548.56</v>
      </c>
      <c r="AV11" s="39">
        <f t="shared" si="4"/>
        <v>23378.260000000002</v>
      </c>
      <c r="AW11" s="39">
        <f t="shared" si="5"/>
        <v>42203.749999999993</v>
      </c>
      <c r="AX11" s="39">
        <f t="shared" si="5"/>
        <v>73388.56</v>
      </c>
      <c r="AY11" s="39">
        <f t="shared" si="5"/>
        <v>13975.5</v>
      </c>
      <c r="AZ11" s="39">
        <f t="shared" si="5"/>
        <v>82877.570000000007</v>
      </c>
      <c r="BA11" s="39">
        <f t="shared" si="5"/>
        <v>8289.0300000000007</v>
      </c>
      <c r="BB11" s="39">
        <f t="shared" si="5"/>
        <v>79217.400000000009</v>
      </c>
      <c r="BC11" s="39">
        <f t="shared" si="5"/>
        <v>110709.74999999999</v>
      </c>
      <c r="BD11" s="39">
        <f t="shared" si="5"/>
        <v>137494.43</v>
      </c>
      <c r="BE11" s="39">
        <f t="shared" si="5"/>
        <v>27441.88</v>
      </c>
      <c r="BF11" s="39">
        <f t="shared" si="5"/>
        <v>40669.760000000002</v>
      </c>
      <c r="BH11" s="32" t="str">
        <f>Products!A11</f>
        <v>PROD-010</v>
      </c>
      <c r="BI11" s="32" t="str">
        <f>Products!B11</f>
        <v>Tablet Stand</v>
      </c>
      <c r="BJ11" s="43">
        <f t="shared" si="6"/>
        <v>67393.919999999998</v>
      </c>
      <c r="BK11" s="32" t="e">
        <f t="shared" ca="1" si="7"/>
        <v>#NAME?</v>
      </c>
      <c r="BL11">
        <v>0</v>
      </c>
      <c r="BM11">
        <v>0</v>
      </c>
      <c r="BN11">
        <v>1.8518518518518517E-2</v>
      </c>
      <c r="BO11">
        <v>0</v>
      </c>
      <c r="BP11">
        <v>0</v>
      </c>
    </row>
    <row r="12" spans="1:68" x14ac:dyDescent="0.35">
      <c r="A12" s="26" t="str">
        <f>Orders!A12</f>
        <v>ORD-00011</v>
      </c>
      <c r="B12" s="33">
        <f>Orders!B12</f>
        <v>45560</v>
      </c>
      <c r="C12" t="str">
        <f>Orders!C12</f>
        <v>CUST-0204</v>
      </c>
      <c r="D12" t="str">
        <f>Orders!D12</f>
        <v>PROD-024</v>
      </c>
      <c r="E12" t="str">
        <f>Orders!E12</f>
        <v>R010</v>
      </c>
      <c r="F12">
        <f>Orders!F12</f>
        <v>7</v>
      </c>
      <c r="G12" s="35">
        <f>Orders!G12</f>
        <v>2270</v>
      </c>
      <c r="H12" s="37">
        <f>Orders!H12</f>
        <v>7.1</v>
      </c>
      <c r="I12" s="39">
        <f>Orders!I12</f>
        <v>14761.81</v>
      </c>
      <c r="J12" t="str">
        <f>Orders!J12</f>
        <v>Pending</v>
      </c>
      <c r="K12" t="str">
        <f>Orders!K12</f>
        <v>Hyderabad</v>
      </c>
      <c r="L12" t="str">
        <f>IFERROR(VLOOKUP(D12,Products!$A$2:$F$61,3,FALSE),"")</f>
        <v>Grocery</v>
      </c>
      <c r="M12">
        <f>IFERROR(VLOOKUP(D12,Products!$A$2:$F$61,4,FALSE),"")</f>
        <v>1203</v>
      </c>
      <c r="N12" t="str">
        <f>IFERROR(VLOOKUP(E12,Sales_Reps!$A$2:$E$31,3,FALSE),"")</f>
        <v>South</v>
      </c>
      <c r="O12" t="str">
        <f>IFERROR(VLOOKUP(C12,Customers!$A$2:$F$301,5,FALSE),"")</f>
        <v>Retail</v>
      </c>
      <c r="P12">
        <f>IFERROR(VLOOKUP(C12,Customers!$A$2:$F$301,3,FALSE),"")</f>
        <v>60</v>
      </c>
      <c r="Q12" s="41">
        <f t="shared" si="0"/>
        <v>0.47004405286343615</v>
      </c>
      <c r="R12" t="str">
        <f>IFERROR(VLOOKUP(C12,Customers!$A$2:$F$301,1,FALSE),"")</f>
        <v>CUST-0204</v>
      </c>
      <c r="S12" s="27" t="b">
        <f>IFERROR(VLOOKUP(D12,Products!$A$2:$F$61,6,FALSE),"")</f>
        <v>1</v>
      </c>
      <c r="T12" s="32" t="s">
        <v>2876</v>
      </c>
      <c r="U12" s="32">
        <v>6</v>
      </c>
      <c r="V12" s="32" t="s">
        <v>2988</v>
      </c>
      <c r="W12" s="32" t="str">
        <f>Sales_Reps!A12</f>
        <v>R011</v>
      </c>
      <c r="X12" s="32" t="str">
        <f>Sales_Reps!B12</f>
        <v>Anil Verma</v>
      </c>
      <c r="Y12" s="43">
        <f t="shared" si="1"/>
        <v>735207.75999999989</v>
      </c>
      <c r="Z12" s="32" t="e">
        <f t="shared" ca="1" si="2"/>
        <v>#NAME?</v>
      </c>
      <c r="AB12" s="44">
        <f>DATE(2024,11,1)</f>
        <v>45597</v>
      </c>
      <c r="AC12" s="39">
        <f t="shared" si="3"/>
        <v>72215.41</v>
      </c>
      <c r="AD12" s="39">
        <f t="shared" si="3"/>
        <v>158277.82</v>
      </c>
      <c r="AE12" s="39">
        <f t="shared" si="3"/>
        <v>106760.75</v>
      </c>
      <c r="AF12" s="39">
        <f t="shared" si="3"/>
        <v>38491.18</v>
      </c>
      <c r="AG12" s="39">
        <f t="shared" si="3"/>
        <v>55570.99</v>
      </c>
      <c r="AH12" s="39">
        <f t="shared" si="3"/>
        <v>81500.239999999991</v>
      </c>
      <c r="AI12" s="39">
        <f t="shared" si="3"/>
        <v>130208.90000000001</v>
      </c>
      <c r="AJ12" s="39">
        <f t="shared" si="3"/>
        <v>64537.259999999995</v>
      </c>
      <c r="AK12" s="39">
        <f t="shared" si="3"/>
        <v>30954.959999999999</v>
      </c>
      <c r="AL12" s="39">
        <f t="shared" si="3"/>
        <v>119201.56999999999</v>
      </c>
      <c r="AM12" s="39">
        <f t="shared" si="4"/>
        <v>64240.800000000003</v>
      </c>
      <c r="AN12" s="39">
        <f t="shared" si="4"/>
        <v>69152.06</v>
      </c>
      <c r="AO12" s="39">
        <f t="shared" si="4"/>
        <v>108112.06999999999</v>
      </c>
      <c r="AP12" s="39">
        <f t="shared" si="4"/>
        <v>50971.92</v>
      </c>
      <c r="AQ12" s="39">
        <f t="shared" si="4"/>
        <v>97394.65</v>
      </c>
      <c r="AR12" s="39">
        <f t="shared" si="4"/>
        <v>26689.96</v>
      </c>
      <c r="AS12" s="39">
        <f t="shared" si="4"/>
        <v>23417.13</v>
      </c>
      <c r="AT12" s="39">
        <f t="shared" si="4"/>
        <v>84868.64</v>
      </c>
      <c r="AU12" s="39">
        <f t="shared" si="4"/>
        <v>96634.5</v>
      </c>
      <c r="AV12" s="39">
        <f t="shared" si="4"/>
        <v>68985.010000000009</v>
      </c>
      <c r="AW12" s="39">
        <f t="shared" si="5"/>
        <v>53126.100000000006</v>
      </c>
      <c r="AX12" s="39">
        <f t="shared" si="5"/>
        <v>76504.66</v>
      </c>
      <c r="AY12" s="39">
        <f t="shared" si="5"/>
        <v>59984.34</v>
      </c>
      <c r="AZ12" s="39">
        <f t="shared" si="5"/>
        <v>68084.649999999994</v>
      </c>
      <c r="BA12" s="39">
        <f t="shared" si="5"/>
        <v>103237.54000000001</v>
      </c>
      <c r="BB12" s="39">
        <f t="shared" si="5"/>
        <v>28769.67</v>
      </c>
      <c r="BC12" s="39">
        <f t="shared" si="5"/>
        <v>110369.59</v>
      </c>
      <c r="BD12" s="39">
        <f t="shared" si="5"/>
        <v>64459.770000000004</v>
      </c>
      <c r="BE12" s="39">
        <f t="shared" si="5"/>
        <v>65290.45</v>
      </c>
      <c r="BF12" s="39">
        <f t="shared" si="5"/>
        <v>119624.48999999999</v>
      </c>
      <c r="BH12" s="32" t="str">
        <f>Products!A12</f>
        <v>PROD-011</v>
      </c>
      <c r="BI12" s="32" t="str">
        <f>Products!B12</f>
        <v>Cotton T-Shirt</v>
      </c>
      <c r="BJ12" s="43">
        <f t="shared" si="6"/>
        <v>145224.29999999999</v>
      </c>
      <c r="BK12" s="32" t="e">
        <f t="shared" ca="1" si="7"/>
        <v>#NAME?</v>
      </c>
      <c r="BL12">
        <v>0</v>
      </c>
      <c r="BM12">
        <v>0</v>
      </c>
      <c r="BN12">
        <v>1.8867924528301886E-2</v>
      </c>
      <c r="BO12">
        <v>0</v>
      </c>
      <c r="BP12">
        <v>0</v>
      </c>
    </row>
    <row r="13" spans="1:68" x14ac:dyDescent="0.35">
      <c r="A13" s="26" t="str">
        <f>Orders!A13</f>
        <v>ORD-00012</v>
      </c>
      <c r="B13" s="33">
        <f>Orders!B13</f>
        <v>45332</v>
      </c>
      <c r="C13" t="str">
        <f>Orders!C13</f>
        <v>CUST-0147</v>
      </c>
      <c r="D13" t="str">
        <f>Orders!D13</f>
        <v>PROD-010</v>
      </c>
      <c r="E13" t="str">
        <f>Orders!E13</f>
        <v>R024</v>
      </c>
      <c r="F13">
        <f>Orders!F13</f>
        <v>9</v>
      </c>
      <c r="G13" s="35">
        <f>Orders!G13</f>
        <v>2640</v>
      </c>
      <c r="H13" s="37">
        <f>Orders!H13</f>
        <v>21.7</v>
      </c>
      <c r="I13" s="39">
        <f>Orders!I13</f>
        <v>18604.080000000002</v>
      </c>
      <c r="J13" t="str">
        <f>Orders!J13</f>
        <v>Completed</v>
      </c>
      <c r="K13" t="str">
        <f>Orders!K13</f>
        <v>Pune</v>
      </c>
      <c r="L13" t="str">
        <f>IFERROR(VLOOKUP(D13,Products!$A$2:$F$61,3,FALSE),"")</f>
        <v>Electronics</v>
      </c>
      <c r="M13">
        <f>IFERROR(VLOOKUP(D13,Products!$A$2:$F$61,4,FALSE),"")</f>
        <v>1149</v>
      </c>
      <c r="N13" t="str">
        <f>IFERROR(VLOOKUP(E13,Sales_Reps!$A$2:$E$31,3,FALSE),"")</f>
        <v>West</v>
      </c>
      <c r="O13" t="str">
        <f>IFERROR(VLOOKUP(C13,Customers!$A$2:$F$301,5,FALSE),"")</f>
        <v>Retail</v>
      </c>
      <c r="P13">
        <f>IFERROR(VLOOKUP(C13,Customers!$A$2:$F$301,3,FALSE),"")</f>
        <v>56</v>
      </c>
      <c r="Q13" s="41">
        <f t="shared" si="0"/>
        <v>0.56477272727272732</v>
      </c>
      <c r="R13" t="str">
        <f>IFERROR(VLOOKUP(C13,Customers!$A$2:$F$301,1,FALSE),"")</f>
        <v>CUST-0147</v>
      </c>
      <c r="S13" s="27" t="b">
        <f>IFERROR(VLOOKUP(D13,Products!$A$2:$F$61,6,FALSE),"")</f>
        <v>1</v>
      </c>
      <c r="T13" s="32" t="s">
        <v>2879</v>
      </c>
      <c r="U13" s="32">
        <v>30</v>
      </c>
      <c r="V13" s="32" t="s">
        <v>2989</v>
      </c>
      <c r="W13" s="32" t="str">
        <f>Sales_Reps!A13</f>
        <v>R012</v>
      </c>
      <c r="X13" s="32" t="str">
        <f>Sales_Reps!B13</f>
        <v>Pooja Nair</v>
      </c>
      <c r="Y13" s="43">
        <f t="shared" si="1"/>
        <v>901394.32000000007</v>
      </c>
      <c r="Z13" s="32" t="e">
        <f t="shared" ca="1" si="2"/>
        <v>#NAME?</v>
      </c>
      <c r="AB13" s="44">
        <f>DATE(2024,12,1)</f>
        <v>45627</v>
      </c>
      <c r="AC13" s="39">
        <f t="shared" si="3"/>
        <v>79450.51999999999</v>
      </c>
      <c r="AD13" s="39">
        <f t="shared" si="3"/>
        <v>47673.25</v>
      </c>
      <c r="AE13" s="39">
        <f t="shared" si="3"/>
        <v>12325.539999999999</v>
      </c>
      <c r="AF13" s="39">
        <f t="shared" si="3"/>
        <v>59066.319999999992</v>
      </c>
      <c r="AG13" s="39">
        <f t="shared" si="3"/>
        <v>68580.799999999988</v>
      </c>
      <c r="AH13" s="39">
        <f t="shared" si="3"/>
        <v>121741.5</v>
      </c>
      <c r="AI13" s="39">
        <f t="shared" si="3"/>
        <v>57922.929999999993</v>
      </c>
      <c r="AJ13" s="39">
        <f t="shared" si="3"/>
        <v>172732.12000000002</v>
      </c>
      <c r="AK13" s="39">
        <f t="shared" si="3"/>
        <v>46691.02</v>
      </c>
      <c r="AL13" s="39">
        <f t="shared" si="3"/>
        <v>70844.790000000008</v>
      </c>
      <c r="AM13" s="39">
        <f t="shared" si="4"/>
        <v>0</v>
      </c>
      <c r="AN13" s="39">
        <f t="shared" si="4"/>
        <v>125492.57</v>
      </c>
      <c r="AO13" s="39">
        <f t="shared" si="4"/>
        <v>63120.660000000011</v>
      </c>
      <c r="AP13" s="39">
        <f t="shared" si="4"/>
        <v>105996.29000000001</v>
      </c>
      <c r="AQ13" s="39">
        <f t="shared" si="4"/>
        <v>73235.58</v>
      </c>
      <c r="AR13" s="39">
        <f t="shared" si="4"/>
        <v>2821.88</v>
      </c>
      <c r="AS13" s="39">
        <f t="shared" si="4"/>
        <v>71637.3</v>
      </c>
      <c r="AT13" s="39">
        <f t="shared" si="4"/>
        <v>45259.32</v>
      </c>
      <c r="AU13" s="39">
        <f t="shared" si="4"/>
        <v>118258.66</v>
      </c>
      <c r="AV13" s="39">
        <f t="shared" si="4"/>
        <v>24872.76</v>
      </c>
      <c r="AW13" s="39">
        <f t="shared" si="5"/>
        <v>40227.240000000005</v>
      </c>
      <c r="AX13" s="39">
        <f t="shared" si="5"/>
        <v>119758.46</v>
      </c>
      <c r="AY13" s="39">
        <f t="shared" si="5"/>
        <v>102626.04</v>
      </c>
      <c r="AZ13" s="39">
        <f t="shared" si="5"/>
        <v>104737.79</v>
      </c>
      <c r="BA13" s="39">
        <f t="shared" si="5"/>
        <v>59696.52</v>
      </c>
      <c r="BB13" s="39">
        <f t="shared" si="5"/>
        <v>60332.900000000009</v>
      </c>
      <c r="BC13" s="39">
        <f t="shared" si="5"/>
        <v>104514.17000000001</v>
      </c>
      <c r="BD13" s="39">
        <f t="shared" si="5"/>
        <v>51024.5</v>
      </c>
      <c r="BE13" s="39">
        <f t="shared" si="5"/>
        <v>125575.3</v>
      </c>
      <c r="BF13" s="39">
        <f t="shared" si="5"/>
        <v>47706.74</v>
      </c>
      <c r="BH13" s="32" t="str">
        <f>Products!A13</f>
        <v>PROD-012</v>
      </c>
      <c r="BI13" s="32" t="str">
        <f>Products!B13</f>
        <v>Denim Jeans</v>
      </c>
      <c r="BJ13" s="43">
        <f t="shared" si="6"/>
        <v>121770.59999999999</v>
      </c>
      <c r="BK13" s="32" t="e">
        <f t="shared" ca="1" si="7"/>
        <v>#NAME?</v>
      </c>
      <c r="BL13">
        <v>0</v>
      </c>
      <c r="BM13">
        <v>0</v>
      </c>
      <c r="BN13">
        <v>1.8867924528301886E-2</v>
      </c>
      <c r="BO13">
        <v>0</v>
      </c>
      <c r="BP13">
        <v>0</v>
      </c>
    </row>
    <row r="14" spans="1:68" x14ac:dyDescent="0.35">
      <c r="A14" s="26" t="str">
        <f>Orders!A14</f>
        <v>ORD-00013</v>
      </c>
      <c r="B14" s="33">
        <f>Orders!B14</f>
        <v>45507</v>
      </c>
      <c r="C14" t="str">
        <f>Orders!C14</f>
        <v>CUST-0280</v>
      </c>
      <c r="D14" t="str">
        <f>Orders!D14</f>
        <v>PROD-002</v>
      </c>
      <c r="E14" t="str">
        <f>Orders!E14</f>
        <v>R004</v>
      </c>
      <c r="F14">
        <f>Orders!F14</f>
        <v>3</v>
      </c>
      <c r="G14" s="35">
        <f>Orders!G14</f>
        <v>2600</v>
      </c>
      <c r="H14" s="37">
        <f>Orders!H14</f>
        <v>4.3</v>
      </c>
      <c r="I14" s="39">
        <f>Orders!I14</f>
        <v>7464.6</v>
      </c>
      <c r="J14" t="str">
        <f>Orders!J14</f>
        <v>Cancelled</v>
      </c>
      <c r="K14" t="str">
        <f>Orders!K14</f>
        <v>Delhi</v>
      </c>
      <c r="L14" t="str">
        <f>IFERROR(VLOOKUP(D14,Products!$A$2:$F$61,3,FALSE),"")</f>
        <v>Electronics</v>
      </c>
      <c r="M14">
        <f>IFERROR(VLOOKUP(D14,Products!$A$2:$F$61,4,FALSE),"")</f>
        <v>1052</v>
      </c>
      <c r="N14" t="str">
        <f>IFERROR(VLOOKUP(E14,Sales_Reps!$A$2:$E$31,3,FALSE),"")</f>
        <v>North</v>
      </c>
      <c r="O14" t="str">
        <f>IFERROR(VLOOKUP(C14,Customers!$A$2:$F$301,5,FALSE),"")</f>
        <v>SMB</v>
      </c>
      <c r="P14">
        <f>IFERROR(VLOOKUP(C14,Customers!$A$2:$F$301,3,FALSE),"")</f>
        <v>27</v>
      </c>
      <c r="Q14" s="41">
        <f t="shared" si="0"/>
        <v>0.5953846153846154</v>
      </c>
      <c r="R14" t="str">
        <f>IFERROR(VLOOKUP(C14,Customers!$A$2:$F$301,1,FALSE),"")</f>
        <v>CUST-0280</v>
      </c>
      <c r="S14" s="27" t="b">
        <f>IFERROR(VLOOKUP(D14,Products!$A$2:$F$61,6,FALSE),"")</f>
        <v>1</v>
      </c>
      <c r="T14" s="32" t="s">
        <v>2882</v>
      </c>
      <c r="U14" s="32">
        <v>174</v>
      </c>
      <c r="V14" s="32" t="s">
        <v>2990</v>
      </c>
      <c r="W14" s="32" t="str">
        <f>Sales_Reps!A14</f>
        <v>R013</v>
      </c>
      <c r="X14" s="32" t="str">
        <f>Sales_Reps!B14</f>
        <v>Sanjay Kapoor</v>
      </c>
      <c r="Y14" s="43">
        <f t="shared" si="1"/>
        <v>811524.37999999989</v>
      </c>
      <c r="Z14" s="32" t="e">
        <f t="shared" ca="1" si="2"/>
        <v>#NAME?</v>
      </c>
      <c r="BH14" s="32" t="str">
        <f>Products!A14</f>
        <v>PROD-013</v>
      </c>
      <c r="BI14" s="32" t="str">
        <f>Products!B14</f>
        <v>Formal Shirt</v>
      </c>
      <c r="BJ14" s="43">
        <f t="shared" si="6"/>
        <v>85543.640000000014</v>
      </c>
      <c r="BK14" s="32" t="e">
        <f t="shared" ca="1" si="7"/>
        <v>#NAME?</v>
      </c>
      <c r="BL14">
        <v>0</v>
      </c>
      <c r="BM14">
        <v>0</v>
      </c>
      <c r="BN14">
        <v>2.3809523809523808E-2</v>
      </c>
      <c r="BO14">
        <v>0</v>
      </c>
      <c r="BP14">
        <v>0</v>
      </c>
    </row>
    <row r="15" spans="1:68" x14ac:dyDescent="0.35">
      <c r="A15" s="26" t="str">
        <f>Orders!A15</f>
        <v>ORD-00014</v>
      </c>
      <c r="B15" s="33">
        <f>Orders!B15</f>
        <v>45466</v>
      </c>
      <c r="C15" t="str">
        <f>Orders!C15</f>
        <v>CUST-0008</v>
      </c>
      <c r="D15" t="str">
        <f>Orders!D15</f>
        <v>PROD-036</v>
      </c>
      <c r="E15" t="str">
        <f>Orders!E15</f>
        <v>R025</v>
      </c>
      <c r="F15">
        <f>Orders!F15</f>
        <v>3</v>
      </c>
      <c r="G15" s="35">
        <f>Orders!G15</f>
        <v>3250</v>
      </c>
      <c r="H15" s="37">
        <f>Orders!H15</f>
        <v>14.1</v>
      </c>
      <c r="I15" s="39">
        <f>Orders!I15</f>
        <v>8375.25</v>
      </c>
      <c r="J15" t="str">
        <f>Orders!J15</f>
        <v>Refunded</v>
      </c>
      <c r="K15" t="str">
        <f>Orders!K15</f>
        <v>Pune</v>
      </c>
      <c r="L15" t="str">
        <f>IFERROR(VLOOKUP(D15,Products!$A$2:$F$61,3,FALSE),"")</f>
        <v>Home</v>
      </c>
      <c r="M15">
        <f>IFERROR(VLOOKUP(D15,Products!$A$2:$F$61,4,FALSE),"")</f>
        <v>1556</v>
      </c>
      <c r="N15" t="str">
        <f>IFERROR(VLOOKUP(E15,Sales_Reps!$A$2:$E$31,3,FALSE),"")</f>
        <v>West</v>
      </c>
      <c r="O15" t="str">
        <f>IFERROR(VLOOKUP(C15,Customers!$A$2:$F$301,5,FALSE),"")</f>
        <v>SMB</v>
      </c>
      <c r="P15">
        <f>IFERROR(VLOOKUP(C15,Customers!$A$2:$F$301,3,FALSE),"")</f>
        <v>39</v>
      </c>
      <c r="Q15" s="41">
        <f t="shared" si="0"/>
        <v>0.52123076923076928</v>
      </c>
      <c r="R15" t="str">
        <f>IFERROR(VLOOKUP(C15,Customers!$A$2:$F$301,1,FALSE),"")</f>
        <v>CUST-0008</v>
      </c>
      <c r="S15" s="27" t="b">
        <f>IFERROR(VLOOKUP(D15,Products!$A$2:$F$61,6,FALSE),"")</f>
        <v>1</v>
      </c>
      <c r="T15" s="32" t="s">
        <v>2885</v>
      </c>
      <c r="U15" s="32">
        <f>COUNTIFS($J$2:$J$2001,"Cancelled",$H$2:$H$2001,"&gt;20")</f>
        <v>58</v>
      </c>
      <c r="V15" s="32" t="s">
        <v>2991</v>
      </c>
      <c r="W15" s="32" t="str">
        <f>Sales_Reps!A15</f>
        <v>R014</v>
      </c>
      <c r="X15" s="32" t="str">
        <f>Sales_Reps!B15</f>
        <v>Ritu Menon</v>
      </c>
      <c r="Y15" s="43">
        <f t="shared" si="1"/>
        <v>995713.54000000015</v>
      </c>
      <c r="Z15" s="32" t="e">
        <f t="shared" ca="1" si="2"/>
        <v>#NAME?</v>
      </c>
      <c r="BH15" s="32" t="str">
        <f>Products!A15</f>
        <v>PROD-014</v>
      </c>
      <c r="BI15" s="32" t="str">
        <f>Products!B15</f>
        <v>Winter Jacket</v>
      </c>
      <c r="BJ15" s="43">
        <f t="shared" si="6"/>
        <v>95390.62</v>
      </c>
      <c r="BK15" s="32" t="e">
        <f t="shared" ca="1" si="7"/>
        <v>#NAME?</v>
      </c>
      <c r="BL15">
        <v>0</v>
      </c>
      <c r="BM15">
        <v>0</v>
      </c>
      <c r="BN15">
        <v>2.1276595744680851E-2</v>
      </c>
      <c r="BO15">
        <v>0</v>
      </c>
      <c r="BP15">
        <v>0</v>
      </c>
    </row>
    <row r="16" spans="1:68" x14ac:dyDescent="0.35">
      <c r="A16" s="26" t="str">
        <f>Orders!A16</f>
        <v>ORD-00015</v>
      </c>
      <c r="B16" s="33">
        <f>Orders!B16</f>
        <v>45365</v>
      </c>
      <c r="C16" t="str">
        <f>Orders!C16</f>
        <v>CUST-0052</v>
      </c>
      <c r="D16" t="str">
        <f>Orders!D16</f>
        <v>PROD-060</v>
      </c>
      <c r="E16" t="str">
        <f>Orders!E16</f>
        <v>R003</v>
      </c>
      <c r="F16">
        <f>Orders!F16</f>
        <v>1</v>
      </c>
      <c r="G16" s="35">
        <f>Orders!G16</f>
        <v>190</v>
      </c>
      <c r="H16" s="37">
        <f>Orders!H16</f>
        <v>20.7</v>
      </c>
      <c r="I16" s="39">
        <f>Orders!I16</f>
        <v>150.66999999999999</v>
      </c>
      <c r="J16" t="str">
        <f>Orders!J16</f>
        <v>Completed</v>
      </c>
      <c r="K16" t="str">
        <f>Orders!K16</f>
        <v>Pune</v>
      </c>
      <c r="L16" t="str">
        <f>IFERROR(VLOOKUP(D16,Products!$A$2:$F$61,3,FALSE),"")</f>
        <v>Sports</v>
      </c>
      <c r="M16">
        <f>IFERROR(VLOOKUP(D16,Products!$A$2:$F$61,4,FALSE),"")</f>
        <v>147</v>
      </c>
      <c r="N16" t="str">
        <f>IFERROR(VLOOKUP(E16,Sales_Reps!$A$2:$E$31,3,FALSE),"")</f>
        <v>North</v>
      </c>
      <c r="O16" t="str">
        <f>IFERROR(VLOOKUP(C16,Customers!$A$2:$F$301,5,FALSE),"")</f>
        <v>Retail</v>
      </c>
      <c r="P16">
        <f>IFERROR(VLOOKUP(C16,Customers!$A$2:$F$301,3,FALSE),"")</f>
        <v>38</v>
      </c>
      <c r="Q16" s="41">
        <f t="shared" si="0"/>
        <v>0.22631578947368422</v>
      </c>
      <c r="R16" t="str">
        <f>IFERROR(VLOOKUP(C16,Customers!$A$2:$F$301,1,FALSE),"")</f>
        <v>CUST-0052</v>
      </c>
      <c r="S16" s="27" t="b">
        <f>IFERROR(VLOOKUP(D16,Products!$A$2:$F$61,6,FALSE),"")</f>
        <v>1</v>
      </c>
      <c r="T16" s="32" t="s">
        <v>2890</v>
      </c>
      <c r="U16" s="46">
        <f>SUMIFS($I$2:$I$2001,$B$2:$B$2001,"&gt;="&amp;DATE(2024,7,1),$B$2:$B$2001,"&lt;="&amp;DATE(2024,9,30),$K$2:$K$2001,"Mumbai")</f>
        <v>1217239.0099999998</v>
      </c>
      <c r="V16" s="32" t="s">
        <v>2992</v>
      </c>
      <c r="W16" s="32" t="str">
        <f>Sales_Reps!A16</f>
        <v>R015</v>
      </c>
      <c r="X16" s="32" t="str">
        <f>Sales_Reps!B16</f>
        <v>Deepak Shah</v>
      </c>
      <c r="Y16" s="43">
        <f t="shared" si="1"/>
        <v>1091740.1799999997</v>
      </c>
      <c r="Z16" s="32" t="e">
        <f t="shared" ca="1" si="2"/>
        <v>#NAME?</v>
      </c>
      <c r="BH16" s="32" t="str">
        <f>Products!A16</f>
        <v>PROD-015</v>
      </c>
      <c r="BI16" s="32" t="str">
        <f>Products!B16</f>
        <v>Sports Shoes</v>
      </c>
      <c r="BJ16" s="43">
        <f t="shared" si="6"/>
        <v>108190.72</v>
      </c>
      <c r="BK16" s="32" t="e">
        <f t="shared" ca="1" si="7"/>
        <v>#NAME?</v>
      </c>
      <c r="BL16">
        <v>0</v>
      </c>
      <c r="BM16">
        <v>0</v>
      </c>
      <c r="BN16">
        <v>1.8867924528301886E-2</v>
      </c>
      <c r="BO16">
        <v>0</v>
      </c>
      <c r="BP16">
        <v>0</v>
      </c>
    </row>
    <row r="17" spans="1:68" x14ac:dyDescent="0.35">
      <c r="A17" s="26" t="str">
        <f>Orders!A17</f>
        <v>ORD-00016</v>
      </c>
      <c r="B17" s="33">
        <f>Orders!B17</f>
        <v>45546</v>
      </c>
      <c r="C17" t="str">
        <f>Orders!C17</f>
        <v>CUST-0184</v>
      </c>
      <c r="D17" t="str">
        <f>Orders!D17</f>
        <v>PROD-058</v>
      </c>
      <c r="E17" t="str">
        <f>Orders!E17</f>
        <v>R014</v>
      </c>
      <c r="F17">
        <f>Orders!F17</f>
        <v>7</v>
      </c>
      <c r="G17" s="35">
        <f>Orders!G17</f>
        <v>2400</v>
      </c>
      <c r="H17" s="37">
        <f>Orders!H17</f>
        <v>10.199999999999999</v>
      </c>
      <c r="I17" s="39">
        <f>Orders!I17</f>
        <v>15086.4</v>
      </c>
      <c r="J17" t="str">
        <f>Orders!J17</f>
        <v>Pending</v>
      </c>
      <c r="K17" t="str">
        <f>Orders!K17</f>
        <v>Pune</v>
      </c>
      <c r="L17" t="str">
        <f>IFERROR(VLOOKUP(D17,Products!$A$2:$F$61,3,FALSE),"")</f>
        <v>Sports</v>
      </c>
      <c r="M17">
        <f>IFERROR(VLOOKUP(D17,Products!$A$2:$F$61,4,FALSE),"")</f>
        <v>974</v>
      </c>
      <c r="N17" t="str">
        <f>IFERROR(VLOOKUP(E17,Sales_Reps!$A$2:$E$31,3,FALSE),"")</f>
        <v>South</v>
      </c>
      <c r="O17" t="str">
        <f>IFERROR(VLOOKUP(C17,Customers!$A$2:$F$301,5,FALSE),"")</f>
        <v>Retail</v>
      </c>
      <c r="P17">
        <f>IFERROR(VLOOKUP(C17,Customers!$A$2:$F$301,3,FALSE),"")</f>
        <v>63</v>
      </c>
      <c r="Q17" s="41">
        <f t="shared" si="0"/>
        <v>0.59416666666666662</v>
      </c>
      <c r="R17" t="str">
        <f>IFERROR(VLOOKUP(C17,Customers!$A$2:$F$301,1,FALSE),"")</f>
        <v>CUST-0184</v>
      </c>
      <c r="S17" s="27" t="b">
        <f>IFERROR(VLOOKUP(D17,Products!$A$2:$F$61,6,FALSE),"")</f>
        <v>1</v>
      </c>
      <c r="T17" s="32" t="s">
        <v>2894</v>
      </c>
      <c r="U17" s="32">
        <f>COUNTIFS($H$2:$H$2001,"&gt;15",$J$2:$J$2001,"Completed")</f>
        <v>723</v>
      </c>
      <c r="V17" s="32" t="s">
        <v>2991</v>
      </c>
      <c r="W17" s="32" t="str">
        <f>Sales_Reps!A17</f>
        <v>R016</v>
      </c>
      <c r="X17" s="32" t="str">
        <f>Sales_Reps!B17</f>
        <v>Anjali Chopra</v>
      </c>
      <c r="Y17" s="43">
        <f t="shared" si="1"/>
        <v>814563.7100000002</v>
      </c>
      <c r="Z17" s="32" t="e">
        <f t="shared" ca="1" si="2"/>
        <v>#NAME?</v>
      </c>
      <c r="BH17" s="32" t="str">
        <f>Products!A17</f>
        <v>PROD-016</v>
      </c>
      <c r="BI17" s="32" t="str">
        <f>Products!B17</f>
        <v>Casual Sneakers</v>
      </c>
      <c r="BJ17" s="43">
        <f t="shared" si="6"/>
        <v>12964.820000000002</v>
      </c>
      <c r="BK17" s="32" t="e">
        <f t="shared" ca="1" si="7"/>
        <v>#NAME?</v>
      </c>
      <c r="BL17">
        <v>0</v>
      </c>
      <c r="BM17">
        <v>0</v>
      </c>
      <c r="BN17">
        <v>2.3809523809523808E-2</v>
      </c>
      <c r="BO17">
        <v>0</v>
      </c>
      <c r="BP17">
        <v>0</v>
      </c>
    </row>
    <row r="18" spans="1:68" x14ac:dyDescent="0.35">
      <c r="A18" s="26" t="str">
        <f>Orders!A18</f>
        <v>ORD-00017</v>
      </c>
      <c r="B18" s="33">
        <f>Orders!B18</f>
        <v>45512</v>
      </c>
      <c r="C18" t="str">
        <f>Orders!C18</f>
        <v>CUST-0056</v>
      </c>
      <c r="D18" t="str">
        <f>Orders!D18</f>
        <v>PROD-028</v>
      </c>
      <c r="E18" t="str">
        <f>Orders!E18</f>
        <v>R023</v>
      </c>
      <c r="F18">
        <f>Orders!F18</f>
        <v>4</v>
      </c>
      <c r="G18" s="35">
        <f>Orders!G18</f>
        <v>3660</v>
      </c>
      <c r="H18" s="37">
        <f>Orders!H18</f>
        <v>2.6</v>
      </c>
      <c r="I18" s="39">
        <f>Orders!I18</f>
        <v>14259.36</v>
      </c>
      <c r="J18" t="str">
        <f>Orders!J18</f>
        <v>Completed</v>
      </c>
      <c r="K18" t="str">
        <f>Orders!K18</f>
        <v>Bengaluru</v>
      </c>
      <c r="L18" t="str">
        <f>IFERROR(VLOOKUP(D18,Products!$A$2:$F$61,3,FALSE),"")</f>
        <v>Grocery</v>
      </c>
      <c r="M18">
        <f>IFERROR(VLOOKUP(D18,Products!$A$2:$F$61,4,FALSE),"")</f>
        <v>2214</v>
      </c>
      <c r="N18" t="str">
        <f>IFERROR(VLOOKUP(E18,Sales_Reps!$A$2:$E$31,3,FALSE),"")</f>
        <v>East</v>
      </c>
      <c r="O18" t="str">
        <f>IFERROR(VLOOKUP(C18,Customers!$A$2:$F$301,5,FALSE),"")</f>
        <v>SMB</v>
      </c>
      <c r="P18">
        <f>IFERROR(VLOOKUP(C18,Customers!$A$2:$F$301,3,FALSE),"")</f>
        <v>46</v>
      </c>
      <c r="Q18" s="41">
        <f t="shared" si="0"/>
        <v>0.39508196721311473</v>
      </c>
      <c r="R18" t="str">
        <f>IFERROR(VLOOKUP(C18,Customers!$A$2:$F$301,1,FALSE),"")</f>
        <v>CUST-0056</v>
      </c>
      <c r="S18" s="27" t="b">
        <f>IFERROR(VLOOKUP(D18,Products!$A$2:$F$61,6,FALSE),"")</f>
        <v>0</v>
      </c>
      <c r="T18" s="32" t="s">
        <v>2897</v>
      </c>
      <c r="U18" s="46">
        <f>AVERAGEIFS($I$2:$I$2001,$L$2:$L$2001,"Electronics",$O$2:$O$2001,"Corporate")</f>
        <v>13981.401558441557</v>
      </c>
      <c r="V18" s="32" t="s">
        <v>2993</v>
      </c>
      <c r="W18" s="32" t="str">
        <f>Sales_Reps!A18</f>
        <v>R017</v>
      </c>
      <c r="X18" s="32" t="str">
        <f>Sales_Reps!B18</f>
        <v>Naveen Singh</v>
      </c>
      <c r="Y18" s="43">
        <f t="shared" si="1"/>
        <v>780384.40999999992</v>
      </c>
      <c r="Z18" s="32" t="e">
        <f t="shared" ca="1" si="2"/>
        <v>#NAME?</v>
      </c>
      <c r="BH18" s="32" t="str">
        <f>Products!A18</f>
        <v>PROD-017</v>
      </c>
      <c r="BI18" s="32" t="str">
        <f>Products!B18</f>
        <v>Silk Saree</v>
      </c>
      <c r="BJ18" s="43">
        <f t="shared" si="6"/>
        <v>84699.95</v>
      </c>
      <c r="BK18" s="32" t="e">
        <f t="shared" ca="1" si="7"/>
        <v>#NAME?</v>
      </c>
      <c r="BL18">
        <v>0</v>
      </c>
      <c r="BM18">
        <v>0</v>
      </c>
      <c r="BN18">
        <v>2.3809523809523808E-2</v>
      </c>
      <c r="BO18">
        <v>0</v>
      </c>
      <c r="BP18">
        <v>1</v>
      </c>
    </row>
    <row r="19" spans="1:68" x14ac:dyDescent="0.35">
      <c r="A19" s="26" t="str">
        <f>Orders!A19</f>
        <v>ORD-00018</v>
      </c>
      <c r="B19" s="33">
        <f>Orders!B19</f>
        <v>45654</v>
      </c>
      <c r="C19" t="str">
        <f>Orders!C19</f>
        <v>CUST-0273</v>
      </c>
      <c r="D19" t="str">
        <f>Orders!D19</f>
        <v>PROD-047</v>
      </c>
      <c r="E19" t="str">
        <f>Orders!E19</f>
        <v>R021</v>
      </c>
      <c r="F19">
        <f>Orders!F19</f>
        <v>8</v>
      </c>
      <c r="G19" s="35">
        <f>Orders!G19</f>
        <v>3450</v>
      </c>
      <c r="H19" s="37">
        <f>Orders!H19</f>
        <v>18.5</v>
      </c>
      <c r="I19" s="39">
        <f>Orders!I19</f>
        <v>22494</v>
      </c>
      <c r="J19" t="str">
        <f>Orders!J19</f>
        <v>Completed</v>
      </c>
      <c r="K19" t="str">
        <f>Orders!K19</f>
        <v>Hyderabad</v>
      </c>
      <c r="L19" t="str">
        <f>IFERROR(VLOOKUP(D19,Products!$A$2:$F$61,3,FALSE),"")</f>
        <v>Beauty</v>
      </c>
      <c r="M19">
        <f>IFERROR(VLOOKUP(D19,Products!$A$2:$F$61,4,FALSE),"")</f>
        <v>2420</v>
      </c>
      <c r="N19" t="str">
        <f>IFERROR(VLOOKUP(E19,Sales_Reps!$A$2:$E$31,3,FALSE),"")</f>
        <v>East</v>
      </c>
      <c r="O19" t="str">
        <f>IFERROR(VLOOKUP(C19,Customers!$A$2:$F$301,5,FALSE),"")</f>
        <v>Corporate</v>
      </c>
      <c r="P19">
        <f>IFERROR(VLOOKUP(C19,Customers!$A$2:$F$301,3,FALSE),"")</f>
        <v>32</v>
      </c>
      <c r="Q19" s="41">
        <f t="shared" si="0"/>
        <v>0.29855072463768118</v>
      </c>
      <c r="R19" t="str">
        <f>IFERROR(VLOOKUP(C19,Customers!$A$2:$F$301,1,FALSE),"")</f>
        <v>CUST-0273</v>
      </c>
      <c r="S19" s="27" t="b">
        <f>IFERROR(VLOOKUP(D19,Products!$A$2:$F$61,6,FALSE),"")</f>
        <v>1</v>
      </c>
      <c r="T19" s="32" t="s">
        <v>2900</v>
      </c>
      <c r="U19" s="32">
        <f>SUM(LARGE($Y$2:$Y$31,1),LARGE($Y$2:$Y$31,2),LARGE($Y$2:$Y$31,3))</f>
        <v>3342678.55</v>
      </c>
      <c r="V19" s="32" t="s">
        <v>2994</v>
      </c>
      <c r="W19" s="32" t="str">
        <f>Sales_Reps!A19</f>
        <v>R018</v>
      </c>
      <c r="X19" s="32" t="str">
        <f>Sales_Reps!B19</f>
        <v>Shalini Patel</v>
      </c>
      <c r="Y19" s="43">
        <f t="shared" si="1"/>
        <v>1112289.6400000001</v>
      </c>
      <c r="Z19" s="32" t="e">
        <f t="shared" ca="1" si="2"/>
        <v>#NAME?</v>
      </c>
      <c r="BH19" s="32" t="str">
        <f>Products!A19</f>
        <v>PROD-018</v>
      </c>
      <c r="BI19" s="32" t="str">
        <f>Products!B19</f>
        <v>Kurta Set</v>
      </c>
      <c r="BJ19" s="43">
        <f t="shared" si="6"/>
        <v>100288.76000000001</v>
      </c>
      <c r="BK19" s="32" t="e">
        <f t="shared" ca="1" si="7"/>
        <v>#NAME?</v>
      </c>
      <c r="BL19">
        <v>0</v>
      </c>
      <c r="BM19">
        <v>0</v>
      </c>
      <c r="BN19">
        <v>1.8867924528301886E-2</v>
      </c>
      <c r="BO19">
        <v>0</v>
      </c>
      <c r="BP19">
        <v>0</v>
      </c>
    </row>
    <row r="20" spans="1:68" x14ac:dyDescent="0.35">
      <c r="A20" s="26" t="str">
        <f>Orders!A20</f>
        <v>ORD-00019</v>
      </c>
      <c r="B20" s="33">
        <f>Orders!B20</f>
        <v>45626</v>
      </c>
      <c r="C20" t="str">
        <f>Orders!C20</f>
        <v>CUST-0182</v>
      </c>
      <c r="D20" t="str">
        <f>Orders!D20</f>
        <v>PROD-051</v>
      </c>
      <c r="E20" t="str">
        <f>Orders!E20</f>
        <v>R023</v>
      </c>
      <c r="F20">
        <f>Orders!F20</f>
        <v>5</v>
      </c>
      <c r="G20" s="35">
        <f>Orders!G20</f>
        <v>3450</v>
      </c>
      <c r="H20" s="37">
        <f>Orders!H20</f>
        <v>7.3</v>
      </c>
      <c r="I20" s="39">
        <f>Orders!I20</f>
        <v>15990.75</v>
      </c>
      <c r="J20" t="str">
        <f>Orders!J20</f>
        <v>Completed</v>
      </c>
      <c r="K20" t="str">
        <f>Orders!K20</f>
        <v>Mumbai</v>
      </c>
      <c r="L20" t="str">
        <f>IFERROR(VLOOKUP(D20,Products!$A$2:$F$61,3,FALSE),"")</f>
        <v>Sports</v>
      </c>
      <c r="M20">
        <f>IFERROR(VLOOKUP(D20,Products!$A$2:$F$61,4,FALSE),"")</f>
        <v>2467</v>
      </c>
      <c r="N20" t="str">
        <f>IFERROR(VLOOKUP(E20,Sales_Reps!$A$2:$E$31,3,FALSE),"")</f>
        <v>East</v>
      </c>
      <c r="O20" t="str">
        <f>IFERROR(VLOOKUP(C20,Customers!$A$2:$F$301,5,FALSE),"")</f>
        <v>Retail</v>
      </c>
      <c r="P20">
        <f>IFERROR(VLOOKUP(C20,Customers!$A$2:$F$301,3,FALSE),"")</f>
        <v>54</v>
      </c>
      <c r="Q20" s="41">
        <f t="shared" si="0"/>
        <v>0.28492753623188405</v>
      </c>
      <c r="R20" t="str">
        <f>IFERROR(VLOOKUP(C20,Customers!$A$2:$F$301,1,FALSE),"")</f>
        <v>CUST-0182</v>
      </c>
      <c r="S20" s="27" t="b">
        <f>IFERROR(VLOOKUP(D20,Products!$A$2:$F$61,6,FALSE),"")</f>
        <v>1</v>
      </c>
      <c r="T20" s="32" t="s">
        <v>2903</v>
      </c>
      <c r="U20" s="46" t="str">
        <f>IF(SUMIFS($I$2:$I$2001,$E$2:$E$2001,"R015",$B$2:$B$2001,"&gt;="&amp;DATE(2024,11,1),$B$2:$B$2001,"&lt;="&amp;DATE(2024,11,30))/INDEX(Targets!$A$2:$M$31,MATCH("R015",Targets!$A$2:$A$31,0),MATCH("Nov-24",Targets!$A$1:$M$1,0))&lt;0.8,"Below",IF(SUMIFS($I$2:$I$2001,$E$2:$E$2001,"R015",$B$2:$B$2001,"&gt;="&amp;DATE(2024,11,1),$B$2:$B$2001,"&lt;="&amp;DATE(2024,11,30))/INDEX(Targets!$A$2:$M$31,MATCH("R015",Targets!$A$2:$A$31,0),MATCH("Nov-24",Targets!$A$1:$M$1,0))&lt;=1.2,"On Track","Exceeds"))</f>
        <v>Below</v>
      </c>
      <c r="V20" s="32" t="s">
        <v>2995</v>
      </c>
      <c r="W20" s="32" t="str">
        <f>Sales_Reps!A20</f>
        <v>R019</v>
      </c>
      <c r="X20" s="32" t="str">
        <f>Sales_Reps!B20</f>
        <v>Prakash Shah</v>
      </c>
      <c r="Y20" s="43">
        <f t="shared" si="1"/>
        <v>971183.52000000014</v>
      </c>
      <c r="Z20" s="32" t="e">
        <f t="shared" ca="1" si="2"/>
        <v>#NAME?</v>
      </c>
      <c r="BH20" s="32" t="str">
        <f>Products!A20</f>
        <v>PROD-019</v>
      </c>
      <c r="BI20" s="32" t="str">
        <f>Products!B20</f>
        <v>Track Pants</v>
      </c>
      <c r="BJ20" s="43">
        <f t="shared" si="6"/>
        <v>104993.28</v>
      </c>
      <c r="BK20" s="32" t="e">
        <f t="shared" ca="1" si="7"/>
        <v>#NAME?</v>
      </c>
      <c r="BL20">
        <v>0</v>
      </c>
      <c r="BM20">
        <v>0</v>
      </c>
      <c r="BN20">
        <v>1.8867924528301886E-2</v>
      </c>
      <c r="BO20">
        <v>0</v>
      </c>
      <c r="BP20">
        <v>0</v>
      </c>
    </row>
    <row r="21" spans="1:68" x14ac:dyDescent="0.35">
      <c r="A21" s="26" t="str">
        <f>Orders!A21</f>
        <v>ORD-00020</v>
      </c>
      <c r="B21" s="33">
        <f>Orders!B21</f>
        <v>45394</v>
      </c>
      <c r="C21" t="str">
        <f>Orders!C21</f>
        <v>CUST-0265</v>
      </c>
      <c r="D21" t="str">
        <f>Orders!D21</f>
        <v>PROD-040</v>
      </c>
      <c r="E21" t="str">
        <f>Orders!E21</f>
        <v>R023</v>
      </c>
      <c r="F21">
        <f>Orders!F21</f>
        <v>8</v>
      </c>
      <c r="G21" s="35">
        <f>Orders!G21</f>
        <v>1080</v>
      </c>
      <c r="H21" s="37">
        <f>Orders!H21</f>
        <v>2.2000000000000002</v>
      </c>
      <c r="I21" s="39">
        <f>Orders!I21</f>
        <v>8449.92</v>
      </c>
      <c r="J21" t="str">
        <f>Orders!J21</f>
        <v>Completed</v>
      </c>
      <c r="K21" t="str">
        <f>Orders!K21</f>
        <v>Chennai</v>
      </c>
      <c r="L21" t="str">
        <f>IFERROR(VLOOKUP(D21,Products!$A$2:$F$61,3,FALSE),"")</f>
        <v>Home</v>
      </c>
      <c r="M21">
        <f>IFERROR(VLOOKUP(D21,Products!$A$2:$F$61,4,FALSE),"")</f>
        <v>519</v>
      </c>
      <c r="N21" t="str">
        <f>IFERROR(VLOOKUP(E21,Sales_Reps!$A$2:$E$31,3,FALSE),"")</f>
        <v>East</v>
      </c>
      <c r="O21" t="str">
        <f>IFERROR(VLOOKUP(C21,Customers!$A$2:$F$301,5,FALSE),"")</f>
        <v>Retail</v>
      </c>
      <c r="P21">
        <f>IFERROR(VLOOKUP(C21,Customers!$A$2:$F$301,3,FALSE),"")</f>
        <v>49</v>
      </c>
      <c r="Q21" s="41">
        <f t="shared" si="0"/>
        <v>0.51944444444444449</v>
      </c>
      <c r="R21" t="str">
        <f>IFERROR(VLOOKUP(C21,Customers!$A$2:$F$301,1,FALSE),"")</f>
        <v>CUST-0265</v>
      </c>
      <c r="S21" s="27" t="b">
        <f>IFERROR(VLOOKUP(D21,Products!$A$2:$F$61,6,FALSE),"")</f>
        <v>1</v>
      </c>
      <c r="T21" s="32" t="s">
        <v>2906</v>
      </c>
      <c r="U21" s="32">
        <f>SUMIFS($I$2:$I$2001,$O$2:$O$2001,"Corporate",$P$2:$P$2001,"&gt;=30",$P$2:$P$2001,"&lt;=40")</f>
        <v>982568.40000000014</v>
      </c>
      <c r="V21" s="32" t="s">
        <v>2996</v>
      </c>
      <c r="W21" s="32" t="str">
        <f>Sales_Reps!A21</f>
        <v>R020</v>
      </c>
      <c r="X21" s="32" t="str">
        <f>Sales_Reps!B21</f>
        <v>Meera Iyer</v>
      </c>
      <c r="Y21" s="43">
        <f t="shared" si="1"/>
        <v>906107.71000000008</v>
      </c>
      <c r="Z21" s="32" t="e">
        <f t="shared" ca="1" si="2"/>
        <v>#NAME?</v>
      </c>
      <c r="BH21" s="32" t="str">
        <f>Products!A21</f>
        <v>PROD-020</v>
      </c>
      <c r="BI21" s="32" t="str">
        <f>Products!B21</f>
        <v>Woolen Sweater</v>
      </c>
      <c r="BJ21" s="43">
        <f t="shared" si="6"/>
        <v>9173.34</v>
      </c>
      <c r="BK21" s="32" t="e">
        <f t="shared" ca="1" si="7"/>
        <v>#NAME?</v>
      </c>
      <c r="BL21">
        <v>0</v>
      </c>
      <c r="BM21">
        <v>0</v>
      </c>
      <c r="BN21">
        <v>1.9607843137254902E-2</v>
      </c>
      <c r="BO21">
        <v>0</v>
      </c>
      <c r="BP21">
        <v>0</v>
      </c>
    </row>
    <row r="22" spans="1:68" x14ac:dyDescent="0.35">
      <c r="A22" s="26" t="str">
        <f>Orders!A22</f>
        <v>ORD-00021</v>
      </c>
      <c r="B22" s="33">
        <f>Orders!B22</f>
        <v>45470</v>
      </c>
      <c r="C22" t="str">
        <f>Orders!C22</f>
        <v>CUST-0159</v>
      </c>
      <c r="D22" t="str">
        <f>Orders!D22</f>
        <v>PROD-019</v>
      </c>
      <c r="E22" t="str">
        <f>Orders!E22</f>
        <v>R006</v>
      </c>
      <c r="F22">
        <f>Orders!F22</f>
        <v>7</v>
      </c>
      <c r="G22" s="35">
        <f>Orders!G22</f>
        <v>2480</v>
      </c>
      <c r="H22" s="37">
        <f>Orders!H22</f>
        <v>28.7</v>
      </c>
      <c r="I22" s="39">
        <f>Orders!I22</f>
        <v>12377.68</v>
      </c>
      <c r="J22" t="str">
        <f>Orders!J22</f>
        <v>Completed</v>
      </c>
      <c r="K22" t="str">
        <f>Orders!K22</f>
        <v>Hyderabad</v>
      </c>
      <c r="L22" t="str">
        <f>IFERROR(VLOOKUP(D22,Products!$A$2:$F$61,3,FALSE),"")</f>
        <v>Apparel</v>
      </c>
      <c r="M22">
        <f>IFERROR(VLOOKUP(D22,Products!$A$2:$F$61,4,FALSE),"")</f>
        <v>1173</v>
      </c>
      <c r="N22" t="str">
        <f>IFERROR(VLOOKUP(E22,Sales_Reps!$A$2:$E$31,3,FALSE),"")</f>
        <v>North</v>
      </c>
      <c r="O22" t="str">
        <f>IFERROR(VLOOKUP(C22,Customers!$A$2:$F$301,5,FALSE),"")</f>
        <v>Retail</v>
      </c>
      <c r="P22">
        <f>IFERROR(VLOOKUP(C22,Customers!$A$2:$F$301,3,FALSE),"")</f>
        <v>32</v>
      </c>
      <c r="Q22" s="41">
        <f t="shared" si="0"/>
        <v>0.52701612903225803</v>
      </c>
      <c r="R22" t="str">
        <f>IFERROR(VLOOKUP(C22,Customers!$A$2:$F$301,1,FALSE),"")</f>
        <v>CUST-0159</v>
      </c>
      <c r="S22" s="27" t="b">
        <f>IFERROR(VLOOKUP(D22,Products!$A$2:$F$61,6,FALSE),"")</f>
        <v>1</v>
      </c>
      <c r="T22" s="32" t="s">
        <v>2911</v>
      </c>
      <c r="U22" s="46">
        <f>SUMIFS($I$2:$I$2001,$N$2:$N$2001,"South",$L$2:$L$2001,"Electronics")</f>
        <v>1314107.3899999999</v>
      </c>
      <c r="V22" s="32" t="s">
        <v>2997</v>
      </c>
      <c r="W22" s="32" t="str">
        <f>Sales_Reps!A22</f>
        <v>R021</v>
      </c>
      <c r="X22" s="32" t="str">
        <f>Sales_Reps!B22</f>
        <v>Gaurav Desai</v>
      </c>
      <c r="Y22" s="43">
        <f t="shared" si="1"/>
        <v>761507.17000000027</v>
      </c>
      <c r="Z22" s="32" t="e">
        <f t="shared" ca="1" si="2"/>
        <v>#NAME?</v>
      </c>
      <c r="BH22" s="32" t="str">
        <f>Products!A22</f>
        <v>PROD-021</v>
      </c>
      <c r="BI22" s="32" t="str">
        <f>Products!B22</f>
        <v>Basmati Rice 5kg</v>
      </c>
      <c r="BJ22" s="43">
        <f t="shared" si="6"/>
        <v>90555.6</v>
      </c>
      <c r="BK22" s="32" t="e">
        <f t="shared" ca="1" si="7"/>
        <v>#NAME?</v>
      </c>
      <c r="BL22">
        <v>0</v>
      </c>
      <c r="BM22">
        <v>0</v>
      </c>
      <c r="BN22">
        <v>1.8867924528301886E-2</v>
      </c>
      <c r="BO22">
        <v>0</v>
      </c>
      <c r="BP22">
        <v>0</v>
      </c>
    </row>
    <row r="23" spans="1:68" x14ac:dyDescent="0.35">
      <c r="A23" s="26" t="str">
        <f>Orders!A23</f>
        <v>ORD-00022</v>
      </c>
      <c r="B23" s="33">
        <f>Orders!B23</f>
        <v>45354</v>
      </c>
      <c r="C23" t="str">
        <f>Orders!C23</f>
        <v>CUST-0259</v>
      </c>
      <c r="D23" t="str">
        <f>Orders!D23</f>
        <v>PROD-036</v>
      </c>
      <c r="E23" t="str">
        <f>Orders!E23</f>
        <v>R030</v>
      </c>
      <c r="F23">
        <f>Orders!F23</f>
        <v>4</v>
      </c>
      <c r="G23" s="35">
        <f>Orders!G23</f>
        <v>3250</v>
      </c>
      <c r="H23" s="37">
        <f>Orders!H23</f>
        <v>24.6</v>
      </c>
      <c r="I23" s="39">
        <f>Orders!I23</f>
        <v>9802</v>
      </c>
      <c r="J23" t="str">
        <f>Orders!J23</f>
        <v>Completed</v>
      </c>
      <c r="K23" t="str">
        <f>Orders!K23</f>
        <v>Mumbai</v>
      </c>
      <c r="L23" t="str">
        <f>IFERROR(VLOOKUP(D23,Products!$A$2:$F$61,3,FALSE),"")</f>
        <v>Home</v>
      </c>
      <c r="M23">
        <f>IFERROR(VLOOKUP(D23,Products!$A$2:$F$61,4,FALSE),"")</f>
        <v>1556</v>
      </c>
      <c r="N23" t="str">
        <f>IFERROR(VLOOKUP(E23,Sales_Reps!$A$2:$E$31,3,FALSE),"")</f>
        <v>West</v>
      </c>
      <c r="O23" t="str">
        <f>IFERROR(VLOOKUP(C23,Customers!$A$2:$F$301,5,FALSE),"")</f>
        <v>Retail</v>
      </c>
      <c r="P23">
        <f>IFERROR(VLOOKUP(C23,Customers!$A$2:$F$301,3,FALSE),"")</f>
        <v>34</v>
      </c>
      <c r="Q23" s="41">
        <f t="shared" si="0"/>
        <v>0.52123076923076928</v>
      </c>
      <c r="R23" t="str">
        <f>IFERROR(VLOOKUP(C23,Customers!$A$2:$F$301,1,FALSE),"")</f>
        <v>CUST-0259</v>
      </c>
      <c r="S23" s="27" t="b">
        <f>IFERROR(VLOOKUP(D23,Products!$A$2:$F$61,6,FALSE),"")</f>
        <v>1</v>
      </c>
      <c r="T23" s="32" t="s">
        <v>2914</v>
      </c>
      <c r="U23" s="46">
        <f>MAX($AC$2:$BF$13)</f>
        <v>216421.52000000002</v>
      </c>
      <c r="V23" s="32" t="s">
        <v>2998</v>
      </c>
      <c r="W23" s="32" t="str">
        <f>Sales_Reps!A23</f>
        <v>R022</v>
      </c>
      <c r="X23" s="32" t="str">
        <f>Sales_Reps!B23</f>
        <v>Nisha Menon</v>
      </c>
      <c r="Y23" s="43">
        <f t="shared" si="1"/>
        <v>1069570.5400000003</v>
      </c>
      <c r="Z23" s="32" t="e">
        <f t="shared" ca="1" si="2"/>
        <v>#NAME?</v>
      </c>
      <c r="BH23" s="32" t="str">
        <f>Products!A23</f>
        <v>PROD-022</v>
      </c>
      <c r="BI23" s="32" t="str">
        <f>Products!B23</f>
        <v>Wheat Flour 10kg</v>
      </c>
      <c r="BJ23" s="43">
        <f t="shared" si="6"/>
        <v>66299.89</v>
      </c>
      <c r="BK23" s="32" t="e">
        <f t="shared" ca="1" si="7"/>
        <v>#NAME?</v>
      </c>
      <c r="BL23">
        <v>0</v>
      </c>
      <c r="BM23">
        <v>0</v>
      </c>
      <c r="BN23">
        <v>2.1276595744680851E-2</v>
      </c>
      <c r="BO23">
        <v>0</v>
      </c>
      <c r="BP23">
        <v>0</v>
      </c>
    </row>
    <row r="24" spans="1:68" x14ac:dyDescent="0.35">
      <c r="A24" s="26" t="str">
        <f>Orders!A24</f>
        <v>ORD-00023</v>
      </c>
      <c r="B24" s="33">
        <f>Orders!B24</f>
        <v>45530</v>
      </c>
      <c r="C24" t="str">
        <f>Orders!C24</f>
        <v>CUST-0107</v>
      </c>
      <c r="D24" t="str">
        <f>Orders!D24</f>
        <v>PROD-015</v>
      </c>
      <c r="E24" t="str">
        <f>Orders!E24</f>
        <v>R030</v>
      </c>
      <c r="F24">
        <f>Orders!F24</f>
        <v>9</v>
      </c>
      <c r="G24" s="35">
        <f>Orders!G24</f>
        <v>2720</v>
      </c>
      <c r="H24" s="37">
        <f>Orders!H24</f>
        <v>26.2</v>
      </c>
      <c r="I24" s="39">
        <f>Orders!I24</f>
        <v>18066.240000000002</v>
      </c>
      <c r="J24" t="str">
        <f>Orders!J24</f>
        <v>Completed</v>
      </c>
      <c r="K24" t="str">
        <f>Orders!K24</f>
        <v>Pune</v>
      </c>
      <c r="L24" t="str">
        <f>IFERROR(VLOOKUP(D24,Products!$A$2:$F$61,3,FALSE),"")</f>
        <v>Apparel</v>
      </c>
      <c r="M24">
        <f>IFERROR(VLOOKUP(D24,Products!$A$2:$F$61,4,FALSE),"")</f>
        <v>1962</v>
      </c>
      <c r="N24" t="str">
        <f>IFERROR(VLOOKUP(E24,Sales_Reps!$A$2:$E$31,3,FALSE),"")</f>
        <v>West</v>
      </c>
      <c r="O24" t="str">
        <f>IFERROR(VLOOKUP(C24,Customers!$A$2:$F$301,5,FALSE),"")</f>
        <v>Retail</v>
      </c>
      <c r="P24">
        <f>IFERROR(VLOOKUP(C24,Customers!$A$2:$F$301,3,FALSE),"")</f>
        <v>50</v>
      </c>
      <c r="Q24" s="41">
        <f t="shared" si="0"/>
        <v>0.2786764705882353</v>
      </c>
      <c r="R24" t="str">
        <f>IFERROR(VLOOKUP(C24,Customers!$A$2:$F$301,1,FALSE),"")</f>
        <v>CUST-0107</v>
      </c>
      <c r="S24" s="27" t="b">
        <f>IFERROR(VLOOKUP(D24,Products!$A$2:$F$61,6,FALSE),"")</f>
        <v>1</v>
      </c>
      <c r="T24" s="32" t="s">
        <v>2917</v>
      </c>
      <c r="U24" s="47">
        <f>SUMIFS($I$2:$I$2001,$N$2:$N$2001,"North",$L$2:$L$2001,"Apparel")/SUMIF($N$2:$N$2001,"North",$I$2:$I$2001)</f>
        <v>0.14023150471988341</v>
      </c>
      <c r="V24" s="32" t="s">
        <v>2999</v>
      </c>
      <c r="W24" s="32" t="str">
        <f>Sales_Reps!A24</f>
        <v>R023</v>
      </c>
      <c r="X24" s="32" t="str">
        <f>Sales_Reps!B24</f>
        <v>Vinod Kumar</v>
      </c>
      <c r="Y24" s="43">
        <f t="shared" si="1"/>
        <v>983787.4800000001</v>
      </c>
      <c r="Z24" s="32" t="e">
        <f t="shared" ca="1" si="2"/>
        <v>#NAME?</v>
      </c>
      <c r="BH24" s="32" t="str">
        <f>Products!A24</f>
        <v>PROD-023</v>
      </c>
      <c r="BI24" s="32" t="str">
        <f>Products!B24</f>
        <v>Cooking Oil 5L</v>
      </c>
      <c r="BJ24" s="43">
        <f t="shared" si="6"/>
        <v>84480.48000000001</v>
      </c>
      <c r="BK24" s="32" t="e">
        <f t="shared" ca="1" si="7"/>
        <v>#NAME?</v>
      </c>
      <c r="BL24">
        <v>0</v>
      </c>
      <c r="BM24">
        <v>0</v>
      </c>
      <c r="BN24">
        <v>1.8867924528301886E-2</v>
      </c>
      <c r="BO24">
        <v>0</v>
      </c>
      <c r="BP24">
        <v>0</v>
      </c>
    </row>
    <row r="25" spans="1:68" x14ac:dyDescent="0.35">
      <c r="A25" s="26" t="str">
        <f>Orders!A25</f>
        <v>ORD-00024</v>
      </c>
      <c r="B25" s="33">
        <f>Orders!B25</f>
        <v>45472</v>
      </c>
      <c r="C25" t="str">
        <f>Orders!C25</f>
        <v>CUST-0101</v>
      </c>
      <c r="D25" t="str">
        <f>Orders!D25</f>
        <v>PROD-044</v>
      </c>
      <c r="E25" t="str">
        <f>Orders!E25</f>
        <v>R003</v>
      </c>
      <c r="F25">
        <f>Orders!F25</f>
        <v>2</v>
      </c>
      <c r="G25" s="35">
        <f>Orders!G25</f>
        <v>1650</v>
      </c>
      <c r="H25" s="37">
        <f>Orders!H25</f>
        <v>9.4</v>
      </c>
      <c r="I25" s="39">
        <f>Orders!I25</f>
        <v>2989.8</v>
      </c>
      <c r="J25" t="str">
        <f>Orders!J25</f>
        <v>Completed</v>
      </c>
      <c r="K25" t="str">
        <f>Orders!K25</f>
        <v>Hyderabad</v>
      </c>
      <c r="L25" t="str">
        <f>IFERROR(VLOOKUP(D25,Products!$A$2:$F$61,3,FALSE),"")</f>
        <v>Beauty</v>
      </c>
      <c r="M25">
        <f>IFERROR(VLOOKUP(D25,Products!$A$2:$F$61,4,FALSE),"")</f>
        <v>1222</v>
      </c>
      <c r="N25" t="str">
        <f>IFERROR(VLOOKUP(E25,Sales_Reps!$A$2:$E$31,3,FALSE),"")</f>
        <v>North</v>
      </c>
      <c r="O25" t="str">
        <f>IFERROR(VLOOKUP(C25,Customers!$A$2:$F$301,5,FALSE),"")</f>
        <v>SMB</v>
      </c>
      <c r="P25">
        <f>IFERROR(VLOOKUP(C25,Customers!$A$2:$F$301,3,FALSE),"")</f>
        <v>40</v>
      </c>
      <c r="Q25" s="41">
        <f t="shared" si="0"/>
        <v>0.2593939393939394</v>
      </c>
      <c r="R25" t="str">
        <f>IFERROR(VLOOKUP(C25,Customers!$A$2:$F$301,1,FALSE),"")</f>
        <v>CUST-0101</v>
      </c>
      <c r="S25" s="27" t="b">
        <f>IFERROR(VLOOKUP(D25,Products!$A$2:$F$61,6,FALSE),"")</f>
        <v>1</v>
      </c>
      <c r="T25" s="32" t="s">
        <v>2921</v>
      </c>
      <c r="U25" s="46">
        <f>SUMIFS($I$2:$I$2001,$B$2:$B$2001,"&gt;="&amp;DATE(2024,10,1),$B$2:$B$2001,"&lt;="&amp;DATE(2024,12,31))</f>
        <v>6459442.9800000004</v>
      </c>
      <c r="V25" s="32" t="s">
        <v>3000</v>
      </c>
      <c r="W25" s="32" t="str">
        <f>Sales_Reps!A25</f>
        <v>R024</v>
      </c>
      <c r="X25" s="32" t="str">
        <f>Sales_Reps!B25</f>
        <v>Rekha Chopra</v>
      </c>
      <c r="Y25" s="43">
        <f t="shared" si="1"/>
        <v>819558.58</v>
      </c>
      <c r="Z25" s="32" t="e">
        <f t="shared" ca="1" si="2"/>
        <v>#NAME?</v>
      </c>
      <c r="BH25" s="32" t="str">
        <f>Products!A25</f>
        <v>PROD-024</v>
      </c>
      <c r="BI25" s="32" t="str">
        <f>Products!B25</f>
        <v>Turmeric Powder 500g</v>
      </c>
      <c r="BJ25" s="43">
        <f t="shared" si="6"/>
        <v>77055.150000000009</v>
      </c>
      <c r="BK25" s="32" t="e">
        <f t="shared" ca="1" si="7"/>
        <v>#NAME?</v>
      </c>
      <c r="BL25">
        <v>0</v>
      </c>
      <c r="BM25">
        <v>0</v>
      </c>
      <c r="BN25">
        <v>1.8867924528301886E-2</v>
      </c>
      <c r="BO25">
        <v>0</v>
      </c>
      <c r="BP25">
        <v>0</v>
      </c>
    </row>
    <row r="26" spans="1:68" x14ac:dyDescent="0.35">
      <c r="A26" s="26" t="str">
        <f>Orders!A26</f>
        <v>ORD-00025</v>
      </c>
      <c r="B26" s="33">
        <f>Orders!B26</f>
        <v>45394</v>
      </c>
      <c r="C26" t="str">
        <f>Orders!C26</f>
        <v>CUST-0142</v>
      </c>
      <c r="D26" t="str">
        <f>Orders!D26</f>
        <v>PROD-043</v>
      </c>
      <c r="E26" t="str">
        <f>Orders!E26</f>
        <v>R023</v>
      </c>
      <c r="F26">
        <f>Orders!F26</f>
        <v>6</v>
      </c>
      <c r="G26" s="35">
        <f>Orders!G26</f>
        <v>3350</v>
      </c>
      <c r="H26" s="37">
        <f>Orders!H26</f>
        <v>6.1</v>
      </c>
      <c r="I26" s="39">
        <f>Orders!I26</f>
        <v>18873.900000000001</v>
      </c>
      <c r="J26" t="str">
        <f>Orders!J26</f>
        <v>Pending</v>
      </c>
      <c r="K26" t="str">
        <f>Orders!K26</f>
        <v>Chennai</v>
      </c>
      <c r="L26" t="str">
        <f>IFERROR(VLOOKUP(D26,Products!$A$2:$F$61,3,FALSE),"")</f>
        <v>Beauty</v>
      </c>
      <c r="M26">
        <f>IFERROR(VLOOKUP(D26,Products!$A$2:$F$61,4,FALSE),"")</f>
        <v>1728</v>
      </c>
      <c r="N26" t="str">
        <f>IFERROR(VLOOKUP(E26,Sales_Reps!$A$2:$E$31,3,FALSE),"")</f>
        <v>East</v>
      </c>
      <c r="O26" t="str">
        <f>IFERROR(VLOOKUP(C26,Customers!$A$2:$F$301,5,FALSE),"")</f>
        <v>Corporate</v>
      </c>
      <c r="P26">
        <f>IFERROR(VLOOKUP(C26,Customers!$A$2:$F$301,3,FALSE),"")</f>
        <v>55</v>
      </c>
      <c r="Q26" s="41">
        <f t="shared" si="0"/>
        <v>0.48417910447761192</v>
      </c>
      <c r="R26" t="str">
        <f>IFERROR(VLOOKUP(C26,Customers!$A$2:$F$301,1,FALSE),"")</f>
        <v>CUST-0142</v>
      </c>
      <c r="S26" s="27" t="b">
        <f>IFERROR(VLOOKUP(D26,Products!$A$2:$F$61,6,FALSE),"")</f>
        <v>1</v>
      </c>
      <c r="T26" s="32" t="s">
        <v>2924</v>
      </c>
      <c r="U26" s="47">
        <f>AVERAGEIF($K$2:$K$2001,"Delhi",$Q$2:$Q$2001)</f>
        <v>0.4488087270396342</v>
      </c>
      <c r="V26" s="32" t="s">
        <v>3001</v>
      </c>
      <c r="W26" s="32" t="str">
        <f>Sales_Reps!A26</f>
        <v>R025</v>
      </c>
      <c r="X26" s="32" t="str">
        <f>Sales_Reps!B26</f>
        <v>Ashok Reddy</v>
      </c>
      <c r="Y26" s="43">
        <f t="shared" si="1"/>
        <v>901298.89</v>
      </c>
      <c r="Z26" s="32" t="e">
        <f t="shared" ca="1" si="2"/>
        <v>#NAME?</v>
      </c>
      <c r="BH26" s="32" t="str">
        <f>Products!A26</f>
        <v>PROD-025</v>
      </c>
      <c r="BI26" s="32" t="str">
        <f>Products!B26</f>
        <v>Chili Powder 500g</v>
      </c>
      <c r="BJ26" s="43">
        <f t="shared" si="6"/>
        <v>190994.58000000002</v>
      </c>
      <c r="BK26" s="32" t="e">
        <f t="shared" ca="1" si="7"/>
        <v>#NAME?</v>
      </c>
      <c r="BL26">
        <v>0</v>
      </c>
      <c r="BM26">
        <v>0</v>
      </c>
      <c r="BN26">
        <v>2.1276595744680851E-2</v>
      </c>
      <c r="BO26">
        <v>0</v>
      </c>
      <c r="BP26">
        <v>0</v>
      </c>
    </row>
    <row r="27" spans="1:68" x14ac:dyDescent="0.35">
      <c r="A27" s="26" t="str">
        <f>Orders!A27</f>
        <v>ORD-00026</v>
      </c>
      <c r="B27" s="33">
        <f>Orders!B27</f>
        <v>45570</v>
      </c>
      <c r="C27" t="str">
        <f>Orders!C27</f>
        <v>CUST-0250</v>
      </c>
      <c r="D27" t="str">
        <f>Orders!D27</f>
        <v>PROD-054</v>
      </c>
      <c r="E27" t="str">
        <f>Orders!E27</f>
        <v>R019</v>
      </c>
      <c r="F27">
        <f>Orders!F27</f>
        <v>2</v>
      </c>
      <c r="G27" s="35">
        <f>Orders!G27</f>
        <v>1010</v>
      </c>
      <c r="H27" s="37">
        <f>Orders!H27</f>
        <v>16.5</v>
      </c>
      <c r="I27" s="39">
        <f>Orders!I27</f>
        <v>1686.7</v>
      </c>
      <c r="J27" t="str">
        <f>Orders!J27</f>
        <v>Cancelled</v>
      </c>
      <c r="K27" t="str">
        <f>Orders!K27</f>
        <v>Delhi</v>
      </c>
      <c r="L27" t="str">
        <f>IFERROR(VLOOKUP(D27,Products!$A$2:$F$61,3,FALSE),"")</f>
        <v>Sports</v>
      </c>
      <c r="M27">
        <f>IFERROR(VLOOKUP(D27,Products!$A$2:$F$61,4,FALSE),"")</f>
        <v>516</v>
      </c>
      <c r="N27" t="str">
        <f>IFERROR(VLOOKUP(E27,Sales_Reps!$A$2:$E$31,3,FALSE),"")</f>
        <v>East</v>
      </c>
      <c r="O27" t="str">
        <f>IFERROR(VLOOKUP(C27,Customers!$A$2:$F$301,5,FALSE),"")</f>
        <v>Retail</v>
      </c>
      <c r="P27">
        <f>IFERROR(VLOOKUP(C27,Customers!$A$2:$F$301,3,FALSE),"")</f>
        <v>31</v>
      </c>
      <c r="Q27" s="41">
        <f t="shared" si="0"/>
        <v>0.4891089108910891</v>
      </c>
      <c r="R27" t="str">
        <f>IFERROR(VLOOKUP(C27,Customers!$A$2:$F$301,1,FALSE),"")</f>
        <v>CUST-0250</v>
      </c>
      <c r="S27" s="27" t="b">
        <f>IFERROR(VLOOKUP(D27,Products!$A$2:$F$61,6,FALSE),"")</f>
        <v>1</v>
      </c>
      <c r="T27" s="32" t="s">
        <v>2929</v>
      </c>
      <c r="U27" s="32" t="e">
        <f ca="1">INDEX($X$2:$X$31,MATCH(7,$Z$2:$Z$31,0))</f>
        <v>#N/A</v>
      </c>
      <c r="V27" s="32" t="s">
        <v>3002</v>
      </c>
      <c r="W27" s="32" t="str">
        <f>Sales_Reps!A27</f>
        <v>R026</v>
      </c>
      <c r="X27" s="32" t="str">
        <f>Sales_Reps!B27</f>
        <v>Sonia Malhotra</v>
      </c>
      <c r="Y27" s="43">
        <f t="shared" si="1"/>
        <v>576305.08000000019</v>
      </c>
      <c r="Z27" s="32" t="e">
        <f t="shared" ca="1" si="2"/>
        <v>#NAME?</v>
      </c>
      <c r="BH27" s="32" t="str">
        <f>Products!A27</f>
        <v>PROD-026</v>
      </c>
      <c r="BI27" s="32" t="str">
        <f>Products!B27</f>
        <v>Sugar 5kg</v>
      </c>
      <c r="BJ27" s="43">
        <f t="shared" si="6"/>
        <v>179739.34</v>
      </c>
      <c r="BK27" s="32" t="e">
        <f t="shared" ca="1" si="7"/>
        <v>#NAME?</v>
      </c>
      <c r="BL27">
        <v>0</v>
      </c>
      <c r="BM27">
        <v>0</v>
      </c>
      <c r="BN27">
        <v>1.8867924528301886E-2</v>
      </c>
      <c r="BO27">
        <v>0</v>
      </c>
      <c r="BP27">
        <v>0</v>
      </c>
    </row>
    <row r="28" spans="1:68" x14ac:dyDescent="0.35">
      <c r="A28" s="26" t="str">
        <f>Orders!A28</f>
        <v>ORD-00027</v>
      </c>
      <c r="B28" s="33">
        <f>Orders!B28</f>
        <v>45401</v>
      </c>
      <c r="C28" t="str">
        <f>Orders!C28</f>
        <v>CUST-0098</v>
      </c>
      <c r="D28" t="str">
        <f>Orders!D28</f>
        <v>PROD-046</v>
      </c>
      <c r="E28" t="str">
        <f>Orders!E28</f>
        <v>R006</v>
      </c>
      <c r="F28">
        <f>Orders!F28</f>
        <v>5</v>
      </c>
      <c r="G28" s="35">
        <f>Orders!G28</f>
        <v>4880</v>
      </c>
      <c r="H28" s="37">
        <f>Orders!H28</f>
        <v>23.6</v>
      </c>
      <c r="I28" s="39">
        <f>Orders!I28</f>
        <v>18641.599999999999</v>
      </c>
      <c r="J28" t="str">
        <f>Orders!J28</f>
        <v>Completed</v>
      </c>
      <c r="K28" t="str">
        <f>Orders!K28</f>
        <v>Delhi</v>
      </c>
      <c r="L28" t="str">
        <f>IFERROR(VLOOKUP(D28,Products!$A$2:$F$61,3,FALSE),"")</f>
        <v>Beauty</v>
      </c>
      <c r="M28">
        <f>IFERROR(VLOOKUP(D28,Products!$A$2:$F$61,4,FALSE),"")</f>
        <v>2768</v>
      </c>
      <c r="N28" t="str">
        <f>IFERROR(VLOOKUP(E28,Sales_Reps!$A$2:$E$31,3,FALSE),"")</f>
        <v>North</v>
      </c>
      <c r="O28" t="str">
        <f>IFERROR(VLOOKUP(C28,Customers!$A$2:$F$301,5,FALSE),"")</f>
        <v>Retail</v>
      </c>
      <c r="P28">
        <f>IFERROR(VLOOKUP(C28,Customers!$A$2:$F$301,3,FALSE),"")</f>
        <v>52</v>
      </c>
      <c r="Q28" s="41">
        <f t="shared" si="0"/>
        <v>0.43278688524590164</v>
      </c>
      <c r="R28" t="str">
        <f>IFERROR(VLOOKUP(C28,Customers!$A$2:$F$301,1,FALSE),"")</f>
        <v>CUST-0098</v>
      </c>
      <c r="S28" s="27" t="b">
        <f>IFERROR(VLOOKUP(D28,Products!$A$2:$F$61,6,FALSE),"")</f>
        <v>1</v>
      </c>
      <c r="T28" s="32" t="s">
        <v>2932</v>
      </c>
      <c r="U28" s="46">
        <f>SUMIFS($I$2:$I$2001,$B$2:$B$2001,"&lt;="&amp;DATE(2024,8,31))</f>
        <v>18050689.600000005</v>
      </c>
      <c r="V28" s="32" t="s">
        <v>3003</v>
      </c>
      <c r="W28" s="32" t="str">
        <f>Sales_Reps!A28</f>
        <v>R027</v>
      </c>
      <c r="X28" s="32" t="str">
        <f>Sales_Reps!B28</f>
        <v>Ramesh Bhatt</v>
      </c>
      <c r="Y28" s="43">
        <f t="shared" si="1"/>
        <v>917092.61999999965</v>
      </c>
      <c r="Z28" s="32" t="e">
        <f t="shared" ca="1" si="2"/>
        <v>#NAME?</v>
      </c>
      <c r="BH28" s="32" t="str">
        <f>Products!A28</f>
        <v>PROD-027</v>
      </c>
      <c r="BI28" s="32" t="str">
        <f>Products!B28</f>
        <v>Tea Leaves 1kg</v>
      </c>
      <c r="BJ28" s="43">
        <f t="shared" si="6"/>
        <v>39599.279999999999</v>
      </c>
      <c r="BK28" s="32" t="e">
        <f t="shared" ca="1" si="7"/>
        <v>#NAME?</v>
      </c>
      <c r="BL28">
        <v>0</v>
      </c>
      <c r="BM28">
        <v>1</v>
      </c>
      <c r="BN28">
        <v>1.9607843137254902E-2</v>
      </c>
      <c r="BO28">
        <v>0</v>
      </c>
      <c r="BP28">
        <v>0</v>
      </c>
    </row>
    <row r="29" spans="1:68" x14ac:dyDescent="0.35">
      <c r="A29" s="26" t="str">
        <f>Orders!A29</f>
        <v>ORD-00028</v>
      </c>
      <c r="B29" s="33">
        <f>Orders!B29</f>
        <v>45517</v>
      </c>
      <c r="C29" t="str">
        <f>Orders!C29</f>
        <v>CUST-0143</v>
      </c>
      <c r="D29" t="str">
        <f>Orders!D29</f>
        <v>PROD-003</v>
      </c>
      <c r="E29" t="str">
        <f>Orders!E29</f>
        <v>R015</v>
      </c>
      <c r="F29">
        <f>Orders!F29</f>
        <v>7</v>
      </c>
      <c r="G29" s="35">
        <f>Orders!G29</f>
        <v>3570</v>
      </c>
      <c r="H29" s="37">
        <f>Orders!H29</f>
        <v>5.8</v>
      </c>
      <c r="I29" s="39">
        <f>Orders!I29</f>
        <v>23540.58</v>
      </c>
      <c r="J29" t="str">
        <f>Orders!J29</f>
        <v>Cancelled</v>
      </c>
      <c r="K29" t="str">
        <f>Orders!K29</f>
        <v>Chennai</v>
      </c>
      <c r="L29" t="str">
        <f>IFERROR(VLOOKUP(D29,Products!$A$2:$F$61,3,FALSE),"")</f>
        <v>Electronics</v>
      </c>
      <c r="M29">
        <f>IFERROR(VLOOKUP(D29,Products!$A$2:$F$61,4,FALSE),"")</f>
        <v>1665</v>
      </c>
      <c r="N29" t="str">
        <f>IFERROR(VLOOKUP(E29,Sales_Reps!$A$2:$E$31,3,FALSE),"")</f>
        <v>South</v>
      </c>
      <c r="O29" t="str">
        <f>IFERROR(VLOOKUP(C29,Customers!$A$2:$F$301,5,FALSE),"")</f>
        <v>SMB</v>
      </c>
      <c r="P29">
        <f>IFERROR(VLOOKUP(C29,Customers!$A$2:$F$301,3,FALSE),"")</f>
        <v>52</v>
      </c>
      <c r="Q29" s="41">
        <f t="shared" si="0"/>
        <v>0.53361344537815125</v>
      </c>
      <c r="R29" t="str">
        <f>IFERROR(VLOOKUP(C29,Customers!$A$2:$F$301,1,FALSE),"")</f>
        <v>CUST-0143</v>
      </c>
      <c r="S29" s="27" t="b">
        <f>IFERROR(VLOOKUP(D29,Products!$A$2:$F$61,6,FALSE),"")</f>
        <v>1</v>
      </c>
      <c r="T29" s="32" t="s">
        <v>2935</v>
      </c>
      <c r="U29" s="32" t="e">
        <f ca="1">INDEX($BI$2:$BI$61,MATCH(2,$BK$2:$BK$61,0))</f>
        <v>#N/A</v>
      </c>
      <c r="V29" s="32" t="s">
        <v>3004</v>
      </c>
      <c r="W29" s="32" t="str">
        <f>Sales_Reps!A29</f>
        <v>R028</v>
      </c>
      <c r="X29" s="32" t="str">
        <f>Sales_Reps!B29</f>
        <v>Preeti Shah</v>
      </c>
      <c r="Y29" s="43">
        <f t="shared" si="1"/>
        <v>880468.05</v>
      </c>
      <c r="Z29" s="32" t="e">
        <f t="shared" ca="1" si="2"/>
        <v>#NAME?</v>
      </c>
      <c r="BH29" s="32" t="str">
        <f>Products!A29</f>
        <v>PROD-028</v>
      </c>
      <c r="BI29" s="32" t="str">
        <f>Products!B29</f>
        <v>Coffee Beans 500g</v>
      </c>
      <c r="BJ29" s="43">
        <f t="shared" si="6"/>
        <v>112574.28</v>
      </c>
      <c r="BK29" s="32" t="e">
        <f t="shared" ca="1" si="7"/>
        <v>#NAME?</v>
      </c>
      <c r="BL29">
        <v>0</v>
      </c>
      <c r="BM29">
        <v>0</v>
      </c>
      <c r="BN29">
        <v>2.1276595744680851E-2</v>
      </c>
      <c r="BO29">
        <v>0</v>
      </c>
      <c r="BP29">
        <v>0</v>
      </c>
    </row>
    <row r="30" spans="1:68" x14ac:dyDescent="0.35">
      <c r="A30" s="26" t="str">
        <f>Orders!A30</f>
        <v>ORD-00029</v>
      </c>
      <c r="B30" s="33">
        <f>Orders!B30</f>
        <v>45363</v>
      </c>
      <c r="C30" t="str">
        <f>Orders!C30</f>
        <v>CUST-0086</v>
      </c>
      <c r="D30" t="str">
        <f>Orders!D30</f>
        <v>PROD-048</v>
      </c>
      <c r="E30" t="str">
        <f>Orders!E30</f>
        <v>R020</v>
      </c>
      <c r="F30">
        <f>Orders!F30</f>
        <v>9</v>
      </c>
      <c r="G30" s="35">
        <f>Orders!G30</f>
        <v>5100</v>
      </c>
      <c r="H30" s="37">
        <f>Orders!H30</f>
        <v>16.7</v>
      </c>
      <c r="I30" s="39">
        <f>Orders!I30</f>
        <v>38234.699999999997</v>
      </c>
      <c r="J30" t="str">
        <f>Orders!J30</f>
        <v>Completed</v>
      </c>
      <c r="K30" t="str">
        <f>Orders!K30</f>
        <v>Hyderabad</v>
      </c>
      <c r="L30" t="str">
        <f>IFERROR(VLOOKUP(D30,Products!$A$2:$F$61,3,FALSE),"")</f>
        <v>Beauty</v>
      </c>
      <c r="M30">
        <f>IFERROR(VLOOKUP(D30,Products!$A$2:$F$61,4,FALSE),"")</f>
        <v>2237</v>
      </c>
      <c r="N30" t="str">
        <f>IFERROR(VLOOKUP(E30,Sales_Reps!$A$2:$E$31,3,FALSE),"")</f>
        <v>East</v>
      </c>
      <c r="O30" t="str">
        <f>IFERROR(VLOOKUP(C30,Customers!$A$2:$F$301,5,FALSE),"")</f>
        <v>Corporate</v>
      </c>
      <c r="P30">
        <f>IFERROR(VLOOKUP(C30,Customers!$A$2:$F$301,3,FALSE),"")</f>
        <v>56</v>
      </c>
      <c r="Q30" s="41">
        <f t="shared" si="0"/>
        <v>0.56137254901960787</v>
      </c>
      <c r="R30" t="str">
        <f>IFERROR(VLOOKUP(C30,Customers!$A$2:$F$301,1,FALSE),"")</f>
        <v>CUST-0086</v>
      </c>
      <c r="S30" s="27" t="b">
        <f>IFERROR(VLOOKUP(D30,Products!$A$2:$F$61,6,FALSE),"")</f>
        <v>1</v>
      </c>
      <c r="T30" s="32" t="s">
        <v>2938</v>
      </c>
      <c r="U30" s="32" t="e">
        <f ca="1">_xludf.TEXTJOIN(" | ",TRUE,INDEX($X$2:$X$31,MATCH(1,$Z$2:$Z$31,0)),INDEX($X$2:$X$31,MATCH(2,$Z$2:$Z$31,0)),INDEX($X$2:$X$31,MATCH(3,$Z$2:$Z$31,0)),INDEX($X$2:$X$31,MATCH(4,$Z$2:$Z$31,0)),INDEX($X$2:$X$31,MATCH(5,$Z$2:$Z$31,0)))</f>
        <v>#NAME?</v>
      </c>
      <c r="V30" s="32" t="s">
        <v>3005</v>
      </c>
      <c r="W30" s="32" t="str">
        <f>Sales_Reps!A30</f>
        <v>R029</v>
      </c>
      <c r="X30" s="32" t="str">
        <f>Sales_Reps!B30</f>
        <v>Arun Iyer</v>
      </c>
      <c r="Y30" s="43">
        <f t="shared" si="1"/>
        <v>1016696.8000000002</v>
      </c>
      <c r="Z30" s="32" t="e">
        <f t="shared" ca="1" si="2"/>
        <v>#NAME?</v>
      </c>
      <c r="BH30" s="32" t="str">
        <f>Products!A30</f>
        <v>PROD-029</v>
      </c>
      <c r="BI30" s="32" t="str">
        <f>Products!B30</f>
        <v>Ghee 1L</v>
      </c>
      <c r="BJ30" s="43">
        <f t="shared" si="6"/>
        <v>118562.08</v>
      </c>
      <c r="BK30" s="32" t="e">
        <f t="shared" ca="1" si="7"/>
        <v>#NAME?</v>
      </c>
      <c r="BL30">
        <v>0</v>
      </c>
      <c r="BM30">
        <v>0</v>
      </c>
      <c r="BN30">
        <v>1.8867924528301886E-2</v>
      </c>
      <c r="BO30">
        <v>0</v>
      </c>
      <c r="BP30">
        <v>0</v>
      </c>
    </row>
    <row r="31" spans="1:68" x14ac:dyDescent="0.35">
      <c r="A31" s="26" t="str">
        <f>Orders!A31</f>
        <v>ORD-00030</v>
      </c>
      <c r="B31" s="33">
        <f>Orders!B31</f>
        <v>45367</v>
      </c>
      <c r="C31" t="str">
        <f>Orders!C31</f>
        <v>CUST-0006</v>
      </c>
      <c r="D31" t="str">
        <f>Orders!D31</f>
        <v>PROD-055</v>
      </c>
      <c r="E31" t="str">
        <f>Orders!E31</f>
        <v>R005</v>
      </c>
      <c r="F31">
        <f>Orders!F31</f>
        <v>3</v>
      </c>
      <c r="G31" s="35">
        <f>Orders!G31</f>
        <v>2860</v>
      </c>
      <c r="H31" s="37">
        <f>Orders!H31</f>
        <v>25.8</v>
      </c>
      <c r="I31" s="39">
        <f>Orders!I31</f>
        <v>6366.36</v>
      </c>
      <c r="J31" t="str">
        <f>Orders!J31</f>
        <v>Completed</v>
      </c>
      <c r="K31" t="str">
        <f>Orders!K31</f>
        <v>Pune</v>
      </c>
      <c r="L31" t="str">
        <f>IFERROR(VLOOKUP(D31,Products!$A$2:$F$61,3,FALSE),"")</f>
        <v>Sports</v>
      </c>
      <c r="M31">
        <f>IFERROR(VLOOKUP(D31,Products!$A$2:$F$61,4,FALSE),"")</f>
        <v>2028</v>
      </c>
      <c r="N31" t="str">
        <f>IFERROR(VLOOKUP(E31,Sales_Reps!$A$2:$E$31,3,FALSE),"")</f>
        <v>North</v>
      </c>
      <c r="O31" t="str">
        <f>IFERROR(VLOOKUP(C31,Customers!$A$2:$F$301,5,FALSE),"")</f>
        <v>SMB</v>
      </c>
      <c r="P31">
        <f>IFERROR(VLOOKUP(C31,Customers!$A$2:$F$301,3,FALSE),"")</f>
        <v>44</v>
      </c>
      <c r="Q31" s="41">
        <f t="shared" si="0"/>
        <v>0.29090909090909089</v>
      </c>
      <c r="R31" t="str">
        <f>IFERROR(VLOOKUP(C31,Customers!$A$2:$F$301,1,FALSE),"")</f>
        <v>CUST-0006</v>
      </c>
      <c r="S31" s="27" t="b">
        <f>IFERROR(VLOOKUP(D31,Products!$A$2:$F$61,6,FALSE),"")</f>
        <v>1</v>
      </c>
      <c r="T31" s="32" t="s">
        <v>2941</v>
      </c>
      <c r="U31" s="46" t="e">
        <f ca="1">_xludf.MAXIFS($I$2:$I$2001,$K$2:$K$2001,"Bengaluru",$L$2:$L$2001,"Grocery")</f>
        <v>#NAME?</v>
      </c>
      <c r="V31" s="32" t="s">
        <v>3006</v>
      </c>
      <c r="W31" s="32" t="str">
        <f>Sales_Reps!A31</f>
        <v>R030</v>
      </c>
      <c r="X31" s="32" t="str">
        <f>Sales_Reps!B31</f>
        <v>Kiran Bhatt</v>
      </c>
      <c r="Y31" s="43">
        <f t="shared" si="1"/>
        <v>747624.36999999988</v>
      </c>
      <c r="Z31" s="32" t="e">
        <f t="shared" ca="1" si="2"/>
        <v>#NAME?</v>
      </c>
      <c r="BH31" s="32" t="str">
        <f>Products!A31</f>
        <v>PROD-030</v>
      </c>
      <c r="BI31" s="32" t="str">
        <f>Products!B31</f>
        <v>Salt 1kg</v>
      </c>
      <c r="BJ31" s="43">
        <f t="shared" si="6"/>
        <v>37405.14</v>
      </c>
      <c r="BK31" s="32" t="e">
        <f t="shared" ca="1" si="7"/>
        <v>#NAME?</v>
      </c>
      <c r="BL31">
        <v>0</v>
      </c>
      <c r="BM31">
        <v>0</v>
      </c>
      <c r="BN31">
        <v>2.1276595744680851E-2</v>
      </c>
      <c r="BO31">
        <v>0</v>
      </c>
      <c r="BP31">
        <v>0</v>
      </c>
    </row>
    <row r="32" spans="1:68" x14ac:dyDescent="0.35">
      <c r="A32" s="26" t="str">
        <f>Orders!A32</f>
        <v>ORD-00031</v>
      </c>
      <c r="B32" s="33">
        <f>Orders!B32</f>
        <v>45569</v>
      </c>
      <c r="C32" t="str">
        <f>Orders!C32</f>
        <v>CUST-0241</v>
      </c>
      <c r="D32" t="str">
        <f>Orders!D32</f>
        <v>PROD-030</v>
      </c>
      <c r="E32" t="str">
        <f>Orders!E32</f>
        <v>R006</v>
      </c>
      <c r="F32">
        <f>Orders!F32</f>
        <v>7</v>
      </c>
      <c r="G32" s="35">
        <f>Orders!G32</f>
        <v>970</v>
      </c>
      <c r="H32" s="37">
        <f>Orders!H32</f>
        <v>29.8</v>
      </c>
      <c r="I32" s="39">
        <f>Orders!I32</f>
        <v>4766.58</v>
      </c>
      <c r="J32" t="str">
        <f>Orders!J32</f>
        <v>Completed</v>
      </c>
      <c r="K32" t="str">
        <f>Orders!K32</f>
        <v>Pune</v>
      </c>
      <c r="L32" t="str">
        <f>IFERROR(VLOOKUP(D32,Products!$A$2:$F$61,3,FALSE),"")</f>
        <v>Grocery</v>
      </c>
      <c r="M32">
        <f>IFERROR(VLOOKUP(D32,Products!$A$2:$F$61,4,FALSE),"")</f>
        <v>434</v>
      </c>
      <c r="N32" t="str">
        <f>IFERROR(VLOOKUP(E32,Sales_Reps!$A$2:$E$31,3,FALSE),"")</f>
        <v>North</v>
      </c>
      <c r="O32" t="str">
        <f>IFERROR(VLOOKUP(C32,Customers!$A$2:$F$301,5,FALSE),"")</f>
        <v>Corporate</v>
      </c>
      <c r="P32">
        <f>IFERROR(VLOOKUP(C32,Customers!$A$2:$F$301,3,FALSE),"")</f>
        <v>47</v>
      </c>
      <c r="Q32" s="41">
        <f t="shared" si="0"/>
        <v>0.5525773195876289</v>
      </c>
      <c r="R32" t="str">
        <f>IFERROR(VLOOKUP(C32,Customers!$A$2:$F$301,1,FALSE),"")</f>
        <v>CUST-0241</v>
      </c>
      <c r="S32" s="27" t="b">
        <f>IFERROR(VLOOKUP(D32,Products!$A$2:$F$61,6,FALSE),"")</f>
        <v>1</v>
      </c>
      <c r="BH32" s="32" t="str">
        <f>Products!A32</f>
        <v>PROD-031</v>
      </c>
      <c r="BI32" s="32" t="str">
        <f>Products!B32</f>
        <v>Bed Sheet Set</v>
      </c>
      <c r="BJ32" s="43">
        <f t="shared" si="6"/>
        <v>102321.36</v>
      </c>
      <c r="BK32" s="32" t="e">
        <f t="shared" ca="1" si="7"/>
        <v>#NAME?</v>
      </c>
      <c r="BL32">
        <v>0</v>
      </c>
      <c r="BM32">
        <v>0</v>
      </c>
      <c r="BN32">
        <v>1.9607843137254902E-2</v>
      </c>
      <c r="BO32">
        <v>0</v>
      </c>
      <c r="BP32">
        <v>0</v>
      </c>
    </row>
    <row r="33" spans="1:68" x14ac:dyDescent="0.35">
      <c r="A33" s="26" t="str">
        <f>Orders!A33</f>
        <v>ORD-00032</v>
      </c>
      <c r="B33" s="33">
        <f>Orders!B33</f>
        <v>45641</v>
      </c>
      <c r="C33" t="str">
        <f>Orders!C33</f>
        <v>CUST-0035</v>
      </c>
      <c r="D33" t="str">
        <f>Orders!D33</f>
        <v>PROD-021</v>
      </c>
      <c r="E33" t="str">
        <f>Orders!E33</f>
        <v>R026</v>
      </c>
      <c r="F33">
        <f>Orders!F33</f>
        <v>4</v>
      </c>
      <c r="G33" s="35">
        <f>Orders!G33</f>
        <v>2760</v>
      </c>
      <c r="H33" s="37">
        <f>Orders!H33</f>
        <v>5.9</v>
      </c>
      <c r="I33" s="39">
        <f>Orders!I33</f>
        <v>10388.64</v>
      </c>
      <c r="J33" t="str">
        <f>Orders!J33</f>
        <v>Completed</v>
      </c>
      <c r="K33" t="str">
        <f>Orders!K33</f>
        <v>Hyderabad</v>
      </c>
      <c r="L33" t="str">
        <f>IFERROR(VLOOKUP(D33,Products!$A$2:$F$61,3,FALSE),"")</f>
        <v>Grocery</v>
      </c>
      <c r="M33">
        <f>IFERROR(VLOOKUP(D33,Products!$A$2:$F$61,4,FALSE),"")</f>
        <v>1435</v>
      </c>
      <c r="N33" t="str">
        <f>IFERROR(VLOOKUP(E33,Sales_Reps!$A$2:$E$31,3,FALSE),"")</f>
        <v>West</v>
      </c>
      <c r="O33" t="str">
        <f>IFERROR(VLOOKUP(C33,Customers!$A$2:$F$301,5,FALSE),"")</f>
        <v>Retail</v>
      </c>
      <c r="P33">
        <f>IFERROR(VLOOKUP(C33,Customers!$A$2:$F$301,3,FALSE),"")</f>
        <v>53</v>
      </c>
      <c r="Q33" s="41">
        <f t="shared" si="0"/>
        <v>0.48007246376811596</v>
      </c>
      <c r="R33" t="str">
        <f>IFERROR(VLOOKUP(C33,Customers!$A$2:$F$301,1,FALSE),"")</f>
        <v>CUST-0035</v>
      </c>
      <c r="S33" s="27" t="b">
        <f>IFERROR(VLOOKUP(D33,Products!$A$2:$F$61,6,FALSE),"")</f>
        <v>1</v>
      </c>
      <c r="BH33" s="32" t="str">
        <f>Products!A33</f>
        <v>PROD-032</v>
      </c>
      <c r="BI33" s="32" t="str">
        <f>Products!B33</f>
        <v>Pillow Cover Pair</v>
      </c>
      <c r="BJ33" s="43">
        <f t="shared" si="6"/>
        <v>20402.170000000002</v>
      </c>
      <c r="BK33" s="32" t="e">
        <f t="shared" ca="1" si="7"/>
        <v>#NAME?</v>
      </c>
      <c r="BL33">
        <v>0</v>
      </c>
      <c r="BM33">
        <v>0</v>
      </c>
      <c r="BN33">
        <v>1.9607843137254902E-2</v>
      </c>
      <c r="BO33">
        <v>0</v>
      </c>
      <c r="BP33">
        <v>0</v>
      </c>
    </row>
    <row r="34" spans="1:68" x14ac:dyDescent="0.35">
      <c r="A34" s="26" t="str">
        <f>Orders!A34</f>
        <v>ORD-00033</v>
      </c>
      <c r="B34" s="33">
        <f>Orders!B34</f>
        <v>45343</v>
      </c>
      <c r="C34" t="str">
        <f>Orders!C34</f>
        <v>CUST-0273</v>
      </c>
      <c r="D34" t="str">
        <f>Orders!D34</f>
        <v>PROD-037</v>
      </c>
      <c r="E34" t="str">
        <f>Orders!E34</f>
        <v>R009</v>
      </c>
      <c r="F34">
        <f>Orders!F34</f>
        <v>10</v>
      </c>
      <c r="G34" s="35">
        <f>Orders!G34</f>
        <v>660</v>
      </c>
      <c r="H34" s="37">
        <f>Orders!H34</f>
        <v>18.3</v>
      </c>
      <c r="I34" s="39">
        <f>Orders!I34</f>
        <v>5392.2</v>
      </c>
      <c r="J34" t="str">
        <f>Orders!J34</f>
        <v>Pending</v>
      </c>
      <c r="K34" t="str">
        <f>Orders!K34</f>
        <v>Hyderabad</v>
      </c>
      <c r="L34" t="str">
        <f>IFERROR(VLOOKUP(D34,Products!$A$2:$F$61,3,FALSE),"")</f>
        <v>Home</v>
      </c>
      <c r="M34">
        <f>IFERROR(VLOOKUP(D34,Products!$A$2:$F$61,4,FALSE),"")</f>
        <v>329</v>
      </c>
      <c r="N34" t="str">
        <f>IFERROR(VLOOKUP(E34,Sales_Reps!$A$2:$E$31,3,FALSE),"")</f>
        <v>South</v>
      </c>
      <c r="O34" t="str">
        <f>IFERROR(VLOOKUP(C34,Customers!$A$2:$F$301,5,FALSE),"")</f>
        <v>Corporate</v>
      </c>
      <c r="P34">
        <f>IFERROR(VLOOKUP(C34,Customers!$A$2:$F$301,3,FALSE),"")</f>
        <v>32</v>
      </c>
      <c r="Q34" s="41">
        <f t="shared" si="0"/>
        <v>0.50151515151515147</v>
      </c>
      <c r="R34" t="str">
        <f>IFERROR(VLOOKUP(C34,Customers!$A$2:$F$301,1,FALSE),"")</f>
        <v>CUST-0273</v>
      </c>
      <c r="S34" s="27" t="b">
        <f>IFERROR(VLOOKUP(D34,Products!$A$2:$F$61,6,FALSE),"")</f>
        <v>1</v>
      </c>
      <c r="BH34" s="32" t="str">
        <f>Products!A34</f>
        <v>PROD-033</v>
      </c>
      <c r="BI34" s="32" t="str">
        <f>Products!B34</f>
        <v>Curtain Set</v>
      </c>
      <c r="BJ34" s="43">
        <f t="shared" ref="BJ34:BJ61" si="8">SUMIFS($I$2:$I$2001,$N$2:$N$2001,"West",$D$2:$D$2001,BH34)</f>
        <v>137585.28</v>
      </c>
      <c r="BK34" s="32" t="e">
        <f t="shared" ref="BK34:BK65" ca="1" si="9">_xludf.RANK.EQ(BJ34,$BJ$2:$BJ$61,0)</f>
        <v>#NAME?</v>
      </c>
      <c r="BL34">
        <v>0</v>
      </c>
      <c r="BM34">
        <v>0</v>
      </c>
      <c r="BN34">
        <v>2.3809523809523808E-2</v>
      </c>
      <c r="BO34">
        <v>0</v>
      </c>
      <c r="BP34">
        <v>0</v>
      </c>
    </row>
    <row r="35" spans="1:68" x14ac:dyDescent="0.35">
      <c r="A35" s="26" t="str">
        <f>Orders!A35</f>
        <v>ORD-00034</v>
      </c>
      <c r="B35" s="33">
        <f>Orders!B35</f>
        <v>45576</v>
      </c>
      <c r="C35" t="str">
        <f>Orders!C35</f>
        <v>CUST-0064</v>
      </c>
      <c r="D35" t="str">
        <f>Orders!D35</f>
        <v>PROD-036</v>
      </c>
      <c r="E35" t="str">
        <f>Orders!E35</f>
        <v>R019</v>
      </c>
      <c r="F35">
        <f>Orders!F35</f>
        <v>1</v>
      </c>
      <c r="G35" s="35">
        <f>Orders!G35</f>
        <v>3250</v>
      </c>
      <c r="H35" s="37">
        <f>Orders!H35</f>
        <v>10.7</v>
      </c>
      <c r="I35" s="39">
        <f>Orders!I35</f>
        <v>2902.25</v>
      </c>
      <c r="J35" t="str">
        <f>Orders!J35</f>
        <v>Completed</v>
      </c>
      <c r="K35" t="str">
        <f>Orders!K35</f>
        <v>Hyderabad</v>
      </c>
      <c r="L35" t="str">
        <f>IFERROR(VLOOKUP(D35,Products!$A$2:$F$61,3,FALSE),"")</f>
        <v>Home</v>
      </c>
      <c r="M35">
        <f>IFERROR(VLOOKUP(D35,Products!$A$2:$F$61,4,FALSE),"")</f>
        <v>1556</v>
      </c>
      <c r="N35" t="str">
        <f>IFERROR(VLOOKUP(E35,Sales_Reps!$A$2:$E$31,3,FALSE),"")</f>
        <v>East</v>
      </c>
      <c r="O35" t="str">
        <f>IFERROR(VLOOKUP(C35,Customers!$A$2:$F$301,5,FALSE),"")</f>
        <v>SMB</v>
      </c>
      <c r="P35">
        <f>IFERROR(VLOOKUP(C35,Customers!$A$2:$F$301,3,FALSE),"")</f>
        <v>40</v>
      </c>
      <c r="Q35" s="41">
        <f t="shared" si="0"/>
        <v>0.52123076923076928</v>
      </c>
      <c r="R35" t="str">
        <f>IFERROR(VLOOKUP(C35,Customers!$A$2:$F$301,1,FALSE),"")</f>
        <v>CUST-0064</v>
      </c>
      <c r="S35" s="27" t="b">
        <f>IFERROR(VLOOKUP(D35,Products!$A$2:$F$61,6,FALSE),"")</f>
        <v>1</v>
      </c>
      <c r="BH35" s="32" t="str">
        <f>Products!A35</f>
        <v>PROD-034</v>
      </c>
      <c r="BI35" s="32" t="str">
        <f>Products!B35</f>
        <v>Kitchen Towel Set</v>
      </c>
      <c r="BJ35" s="43">
        <f t="shared" si="8"/>
        <v>221112.07999999996</v>
      </c>
      <c r="BK35" s="32" t="e">
        <f t="shared" ca="1" si="9"/>
        <v>#NAME?</v>
      </c>
      <c r="BL35">
        <v>0</v>
      </c>
      <c r="BM35">
        <v>0</v>
      </c>
      <c r="BN35">
        <v>2.3809523809523808E-2</v>
      </c>
      <c r="BO35">
        <v>0</v>
      </c>
      <c r="BP35">
        <v>0</v>
      </c>
    </row>
    <row r="36" spans="1:68" x14ac:dyDescent="0.35">
      <c r="A36" s="26" t="str">
        <f>Orders!A36</f>
        <v>ORD-00035</v>
      </c>
      <c r="B36" s="33">
        <f>Orders!B36</f>
        <v>45462</v>
      </c>
      <c r="C36" t="str">
        <f>Orders!C36</f>
        <v>CUST-0118</v>
      </c>
      <c r="D36" t="str">
        <f>Orders!D36</f>
        <v>PROD-048</v>
      </c>
      <c r="E36" t="str">
        <f>Orders!E36</f>
        <v>R019</v>
      </c>
      <c r="F36">
        <f>Orders!F36</f>
        <v>8</v>
      </c>
      <c r="G36" s="35">
        <f>Orders!G36</f>
        <v>5100</v>
      </c>
      <c r="H36" s="37">
        <f>Orders!H36</f>
        <v>26.4</v>
      </c>
      <c r="I36" s="39">
        <f>Orders!I36</f>
        <v>30028.799999999999</v>
      </c>
      <c r="J36" t="str">
        <f>Orders!J36</f>
        <v>Cancelled</v>
      </c>
      <c r="K36" t="str">
        <f>Orders!K36</f>
        <v>Hyderabad</v>
      </c>
      <c r="L36" t="str">
        <f>IFERROR(VLOOKUP(D36,Products!$A$2:$F$61,3,FALSE),"")</f>
        <v>Beauty</v>
      </c>
      <c r="M36">
        <f>IFERROR(VLOOKUP(D36,Products!$A$2:$F$61,4,FALSE),"")</f>
        <v>2237</v>
      </c>
      <c r="N36" t="str">
        <f>IFERROR(VLOOKUP(E36,Sales_Reps!$A$2:$E$31,3,FALSE),"")</f>
        <v>East</v>
      </c>
      <c r="O36" t="str">
        <f>IFERROR(VLOOKUP(C36,Customers!$A$2:$F$301,5,FALSE),"")</f>
        <v>Retail</v>
      </c>
      <c r="P36">
        <f>IFERROR(VLOOKUP(C36,Customers!$A$2:$F$301,3,FALSE),"")</f>
        <v>26</v>
      </c>
      <c r="Q36" s="41">
        <f t="shared" si="0"/>
        <v>0.56137254901960787</v>
      </c>
      <c r="R36" t="str">
        <f>IFERROR(VLOOKUP(C36,Customers!$A$2:$F$301,1,FALSE),"")</f>
        <v>CUST-0118</v>
      </c>
      <c r="S36" s="27" t="b">
        <f>IFERROR(VLOOKUP(D36,Products!$A$2:$F$61,6,FALSE),"")</f>
        <v>1</v>
      </c>
      <c r="BH36" s="32" t="str">
        <f>Products!A36</f>
        <v>PROD-035</v>
      </c>
      <c r="BI36" s="32" t="str">
        <f>Products!B36</f>
        <v>Doormat</v>
      </c>
      <c r="BJ36" s="43">
        <f t="shared" si="8"/>
        <v>26929.54</v>
      </c>
      <c r="BK36" s="32" t="e">
        <f t="shared" ca="1" si="9"/>
        <v>#NAME?</v>
      </c>
      <c r="BL36">
        <v>0</v>
      </c>
      <c r="BM36">
        <v>0</v>
      </c>
      <c r="BN36">
        <v>1.9607843137254902E-2</v>
      </c>
      <c r="BO36">
        <v>0</v>
      </c>
      <c r="BP36">
        <v>0</v>
      </c>
    </row>
    <row r="37" spans="1:68" x14ac:dyDescent="0.35">
      <c r="A37" s="26" t="str">
        <f>Orders!A37</f>
        <v>ORD-00036</v>
      </c>
      <c r="B37" s="33">
        <f>Orders!B37</f>
        <v>45442</v>
      </c>
      <c r="C37" t="str">
        <f>Orders!C37</f>
        <v>CUST-0013</v>
      </c>
      <c r="D37" t="str">
        <f>Orders!D37</f>
        <v>PROD-040</v>
      </c>
      <c r="E37" t="str">
        <f>Orders!E37</f>
        <v>R021</v>
      </c>
      <c r="F37">
        <f>Orders!F37</f>
        <v>1</v>
      </c>
      <c r="G37" s="35">
        <f>Orders!G37</f>
        <v>1080</v>
      </c>
      <c r="H37" s="37">
        <f>Orders!H37</f>
        <v>5.0999999999999996</v>
      </c>
      <c r="I37" s="39">
        <f>Orders!I37</f>
        <v>1024.92</v>
      </c>
      <c r="J37" t="str">
        <f>Orders!J37</f>
        <v>Completed</v>
      </c>
      <c r="K37" t="str">
        <f>Orders!K37</f>
        <v>Delhi</v>
      </c>
      <c r="L37" t="str">
        <f>IFERROR(VLOOKUP(D37,Products!$A$2:$F$61,3,FALSE),"")</f>
        <v>Home</v>
      </c>
      <c r="M37">
        <f>IFERROR(VLOOKUP(D37,Products!$A$2:$F$61,4,FALSE),"")</f>
        <v>519</v>
      </c>
      <c r="N37" t="str">
        <f>IFERROR(VLOOKUP(E37,Sales_Reps!$A$2:$E$31,3,FALSE),"")</f>
        <v>East</v>
      </c>
      <c r="O37" t="str">
        <f>IFERROR(VLOOKUP(C37,Customers!$A$2:$F$301,5,FALSE),"")</f>
        <v>Retail</v>
      </c>
      <c r="P37">
        <f>IFERROR(VLOOKUP(C37,Customers!$A$2:$F$301,3,FALSE),"")</f>
        <v>41</v>
      </c>
      <c r="Q37" s="41">
        <f t="shared" si="0"/>
        <v>0.51944444444444449</v>
      </c>
      <c r="R37" t="str">
        <f>IFERROR(VLOOKUP(C37,Customers!$A$2:$F$301,1,FALSE),"")</f>
        <v>CUST-0013</v>
      </c>
      <c r="S37" s="27" t="b">
        <f>IFERROR(VLOOKUP(D37,Products!$A$2:$F$61,6,FALSE),"")</f>
        <v>1</v>
      </c>
      <c r="BH37" s="32" t="str">
        <f>Products!A37</f>
        <v>PROD-036</v>
      </c>
      <c r="BI37" s="32" t="str">
        <f>Products!B37</f>
        <v>Wall Clock</v>
      </c>
      <c r="BJ37" s="43">
        <f t="shared" si="8"/>
        <v>88426</v>
      </c>
      <c r="BK37" s="32" t="e">
        <f t="shared" ca="1" si="9"/>
        <v>#NAME?</v>
      </c>
      <c r="BL37">
        <v>0</v>
      </c>
      <c r="BM37">
        <v>0</v>
      </c>
      <c r="BN37">
        <v>1.8518518518518517E-2</v>
      </c>
      <c r="BO37">
        <v>0</v>
      </c>
      <c r="BP37">
        <v>0</v>
      </c>
    </row>
    <row r="38" spans="1:68" x14ac:dyDescent="0.35">
      <c r="A38" s="26" t="str">
        <f>Orders!A38</f>
        <v>ORD-00037</v>
      </c>
      <c r="B38" s="33">
        <f>Orders!B38</f>
        <v>45646</v>
      </c>
      <c r="C38" t="str">
        <f>Orders!C38</f>
        <v>CUST-0177</v>
      </c>
      <c r="D38" t="str">
        <f>Orders!D38</f>
        <v>PROD-038</v>
      </c>
      <c r="E38" t="str">
        <f>Orders!E38</f>
        <v>R009</v>
      </c>
      <c r="F38">
        <f>Orders!F38</f>
        <v>2</v>
      </c>
      <c r="G38" s="35">
        <f>Orders!G38</f>
        <v>5490</v>
      </c>
      <c r="H38" s="37">
        <f>Orders!H38</f>
        <v>21.1</v>
      </c>
      <c r="I38" s="39">
        <f>Orders!I38</f>
        <v>8663.2199999999993</v>
      </c>
      <c r="J38" t="str">
        <f>Orders!J38</f>
        <v>Cancelled</v>
      </c>
      <c r="K38" t="str">
        <f>Orders!K38</f>
        <v>Mumbai</v>
      </c>
      <c r="L38" t="str">
        <f>IFERROR(VLOOKUP(D38,Products!$A$2:$F$61,3,FALSE),"")</f>
        <v>Home</v>
      </c>
      <c r="M38">
        <f>IFERROR(VLOOKUP(D38,Products!$A$2:$F$61,4,FALSE),"")</f>
        <v>2549</v>
      </c>
      <c r="N38" t="str">
        <f>IFERROR(VLOOKUP(E38,Sales_Reps!$A$2:$E$31,3,FALSE),"")</f>
        <v>South</v>
      </c>
      <c r="O38" t="str">
        <f>IFERROR(VLOOKUP(C38,Customers!$A$2:$F$301,5,FALSE),"")</f>
        <v>SMB</v>
      </c>
      <c r="P38">
        <f>IFERROR(VLOOKUP(C38,Customers!$A$2:$F$301,3,FALSE),"")</f>
        <v>36</v>
      </c>
      <c r="Q38" s="41">
        <f t="shared" si="0"/>
        <v>0.53570127504553733</v>
      </c>
      <c r="R38" t="str">
        <f>IFERROR(VLOOKUP(C38,Customers!$A$2:$F$301,1,FALSE),"")</f>
        <v>CUST-0177</v>
      </c>
      <c r="S38" s="27" t="b">
        <f>IFERROR(VLOOKUP(D38,Products!$A$2:$F$61,6,FALSE),"")</f>
        <v>1</v>
      </c>
      <c r="BH38" s="32" t="str">
        <f>Products!A38</f>
        <v>PROD-037</v>
      </c>
      <c r="BI38" s="32" t="str">
        <f>Products!B38</f>
        <v>Table Lamp</v>
      </c>
      <c r="BJ38" s="43">
        <f t="shared" si="8"/>
        <v>13841.52</v>
      </c>
      <c r="BK38" s="32" t="e">
        <f t="shared" ca="1" si="9"/>
        <v>#NAME?</v>
      </c>
      <c r="BL38">
        <v>0</v>
      </c>
      <c r="BM38">
        <v>0</v>
      </c>
      <c r="BN38">
        <v>2.1276595744680851E-2</v>
      </c>
      <c r="BO38">
        <v>0</v>
      </c>
      <c r="BP38">
        <v>0</v>
      </c>
    </row>
    <row r="39" spans="1:68" x14ac:dyDescent="0.35">
      <c r="A39" s="26" t="str">
        <f>Orders!A39</f>
        <v>ORD-00038</v>
      </c>
      <c r="B39" s="33">
        <f>Orders!B39</f>
        <v>45478</v>
      </c>
      <c r="C39" t="str">
        <f>Orders!C39</f>
        <v>CUST-0186</v>
      </c>
      <c r="D39" t="str">
        <f>Orders!D39</f>
        <v>PROD-060</v>
      </c>
      <c r="E39" t="str">
        <f>Orders!E39</f>
        <v>R001</v>
      </c>
      <c r="F39">
        <f>Orders!F39</f>
        <v>7</v>
      </c>
      <c r="G39" s="35">
        <f>Orders!G39</f>
        <v>190</v>
      </c>
      <c r="H39" s="37">
        <f>Orders!H39</f>
        <v>28.7</v>
      </c>
      <c r="I39" s="39">
        <f>Orders!I39</f>
        <v>948.29</v>
      </c>
      <c r="J39" t="str">
        <f>Orders!J39</f>
        <v>Completed</v>
      </c>
      <c r="K39" t="str">
        <f>Orders!K39</f>
        <v>Bengaluru</v>
      </c>
      <c r="L39" t="str">
        <f>IFERROR(VLOOKUP(D39,Products!$A$2:$F$61,3,FALSE),"")</f>
        <v>Sports</v>
      </c>
      <c r="M39">
        <f>IFERROR(VLOOKUP(D39,Products!$A$2:$F$61,4,FALSE),"")</f>
        <v>147</v>
      </c>
      <c r="N39" t="str">
        <f>IFERROR(VLOOKUP(E39,Sales_Reps!$A$2:$E$31,3,FALSE),"")</f>
        <v>North</v>
      </c>
      <c r="O39" t="str">
        <f>IFERROR(VLOOKUP(C39,Customers!$A$2:$F$301,5,FALSE),"")</f>
        <v>Retail</v>
      </c>
      <c r="P39">
        <f>IFERROR(VLOOKUP(C39,Customers!$A$2:$F$301,3,FALSE),"")</f>
        <v>42</v>
      </c>
      <c r="Q39" s="41">
        <f t="shared" si="0"/>
        <v>0.22631578947368422</v>
      </c>
      <c r="R39" t="str">
        <f>IFERROR(VLOOKUP(C39,Customers!$A$2:$F$301,1,FALSE),"")</f>
        <v>CUST-0186</v>
      </c>
      <c r="S39" s="27" t="b">
        <f>IFERROR(VLOOKUP(D39,Products!$A$2:$F$61,6,FALSE),"")</f>
        <v>1</v>
      </c>
      <c r="BH39" s="32" t="str">
        <f>Products!A39</f>
        <v>PROD-038</v>
      </c>
      <c r="BI39" s="32" t="str">
        <f>Products!B39</f>
        <v>Storage Box</v>
      </c>
      <c r="BJ39" s="43">
        <f t="shared" si="8"/>
        <v>119445.93</v>
      </c>
      <c r="BK39" s="32" t="e">
        <f t="shared" ca="1" si="9"/>
        <v>#NAME?</v>
      </c>
      <c r="BL39">
        <v>0</v>
      </c>
      <c r="BM39">
        <v>0</v>
      </c>
      <c r="BN39">
        <v>1.8518518518518517E-2</v>
      </c>
      <c r="BO39">
        <v>0</v>
      </c>
      <c r="BP39">
        <v>0</v>
      </c>
    </row>
    <row r="40" spans="1:68" x14ac:dyDescent="0.35">
      <c r="A40" s="26" t="str">
        <f>Orders!A40</f>
        <v>ORD-00039</v>
      </c>
      <c r="B40" s="33">
        <f>Orders!B40</f>
        <v>45355</v>
      </c>
      <c r="C40" t="str">
        <f>Orders!C40</f>
        <v>CUST-0069</v>
      </c>
      <c r="D40" t="str">
        <f>Orders!D40</f>
        <v>PROD-058</v>
      </c>
      <c r="E40" t="str">
        <f>Orders!E40</f>
        <v>R015</v>
      </c>
      <c r="F40">
        <f>Orders!F40</f>
        <v>6</v>
      </c>
      <c r="G40" s="35">
        <f>Orders!G40</f>
        <v>2400</v>
      </c>
      <c r="H40" s="37">
        <f>Orders!H40</f>
        <v>2.7</v>
      </c>
      <c r="I40" s="39">
        <f>Orders!I40</f>
        <v>14011.2</v>
      </c>
      <c r="J40" t="str">
        <f>Orders!J40</f>
        <v>Completed</v>
      </c>
      <c r="K40" t="str">
        <f>Orders!K40</f>
        <v>Chennai</v>
      </c>
      <c r="L40" t="str">
        <f>IFERROR(VLOOKUP(D40,Products!$A$2:$F$61,3,FALSE),"")</f>
        <v>Sports</v>
      </c>
      <c r="M40">
        <f>IFERROR(VLOOKUP(D40,Products!$A$2:$F$61,4,FALSE),"")</f>
        <v>974</v>
      </c>
      <c r="N40" t="str">
        <f>IFERROR(VLOOKUP(E40,Sales_Reps!$A$2:$E$31,3,FALSE),"")</f>
        <v>South</v>
      </c>
      <c r="O40" t="str">
        <f>IFERROR(VLOOKUP(C40,Customers!$A$2:$F$301,5,FALSE),"")</f>
        <v>Retail</v>
      </c>
      <c r="P40">
        <f>IFERROR(VLOOKUP(C40,Customers!$A$2:$F$301,3,FALSE),"")</f>
        <v>51</v>
      </c>
      <c r="Q40" s="41">
        <f t="shared" si="0"/>
        <v>0.59416666666666662</v>
      </c>
      <c r="R40" t="str">
        <f>IFERROR(VLOOKUP(C40,Customers!$A$2:$F$301,1,FALSE),"")</f>
        <v>CUST-0069</v>
      </c>
      <c r="S40" s="27" t="b">
        <f>IFERROR(VLOOKUP(D40,Products!$A$2:$F$61,6,FALSE),"")</f>
        <v>1</v>
      </c>
      <c r="BH40" s="32" t="str">
        <f>Products!A40</f>
        <v>PROD-039</v>
      </c>
      <c r="BI40" s="32" t="str">
        <f>Products!B40</f>
        <v>Photo Frame</v>
      </c>
      <c r="BJ40" s="43">
        <f t="shared" si="8"/>
        <v>177512.66</v>
      </c>
      <c r="BK40" s="32" t="e">
        <f t="shared" ca="1" si="9"/>
        <v>#NAME?</v>
      </c>
      <c r="BL40">
        <v>0</v>
      </c>
      <c r="BM40">
        <v>0</v>
      </c>
      <c r="BN40">
        <v>2.1276595744680851E-2</v>
      </c>
      <c r="BO40">
        <v>0</v>
      </c>
      <c r="BP40">
        <v>0</v>
      </c>
    </row>
    <row r="41" spans="1:68" x14ac:dyDescent="0.35">
      <c r="A41" s="26" t="str">
        <f>Orders!A41</f>
        <v>ORD-00040</v>
      </c>
      <c r="B41" s="33">
        <f>Orders!B41</f>
        <v>45599</v>
      </c>
      <c r="C41" t="str">
        <f>Orders!C41</f>
        <v>CUST-0283</v>
      </c>
      <c r="D41" t="str">
        <f>Orders!D41</f>
        <v>PROD-044</v>
      </c>
      <c r="E41" t="str">
        <f>Orders!E41</f>
        <v>R023</v>
      </c>
      <c r="F41">
        <f>Orders!F41</f>
        <v>9</v>
      </c>
      <c r="G41" s="35">
        <f>Orders!G41</f>
        <v>1650</v>
      </c>
      <c r="H41" s="37">
        <f>Orders!H41</f>
        <v>11.6</v>
      </c>
      <c r="I41" s="39">
        <f>Orders!I41</f>
        <v>13127.4</v>
      </c>
      <c r="J41" t="str">
        <f>Orders!J41</f>
        <v>Completed</v>
      </c>
      <c r="K41" t="str">
        <f>Orders!K41</f>
        <v>Delhi</v>
      </c>
      <c r="L41" t="str">
        <f>IFERROR(VLOOKUP(D41,Products!$A$2:$F$61,3,FALSE),"")</f>
        <v>Beauty</v>
      </c>
      <c r="M41">
        <f>IFERROR(VLOOKUP(D41,Products!$A$2:$F$61,4,FALSE),"")</f>
        <v>1222</v>
      </c>
      <c r="N41" t="str">
        <f>IFERROR(VLOOKUP(E41,Sales_Reps!$A$2:$E$31,3,FALSE),"")</f>
        <v>East</v>
      </c>
      <c r="O41" t="str">
        <f>IFERROR(VLOOKUP(C41,Customers!$A$2:$F$301,5,FALSE),"")</f>
        <v>SMB</v>
      </c>
      <c r="P41">
        <f>IFERROR(VLOOKUP(C41,Customers!$A$2:$F$301,3,FALSE),"")</f>
        <v>50</v>
      </c>
      <c r="Q41" s="41">
        <f t="shared" si="0"/>
        <v>0.2593939393939394</v>
      </c>
      <c r="R41" t="str">
        <f>IFERROR(VLOOKUP(C41,Customers!$A$2:$F$301,1,FALSE),"")</f>
        <v>CUST-0283</v>
      </c>
      <c r="S41" s="27" t="b">
        <f>IFERROR(VLOOKUP(D41,Products!$A$2:$F$61,6,FALSE),"")</f>
        <v>1</v>
      </c>
      <c r="BH41" s="32" t="str">
        <f>Products!A41</f>
        <v>PROD-040</v>
      </c>
      <c r="BI41" s="32" t="str">
        <f>Products!B41</f>
        <v>Cushion Cover</v>
      </c>
      <c r="BJ41" s="43">
        <f t="shared" si="8"/>
        <v>47831.039999999994</v>
      </c>
      <c r="BK41" s="32" t="e">
        <f t="shared" ca="1" si="9"/>
        <v>#NAME?</v>
      </c>
      <c r="BL41">
        <v>0</v>
      </c>
      <c r="BM41">
        <v>0</v>
      </c>
      <c r="BN41">
        <v>1.8867924528301886E-2</v>
      </c>
      <c r="BO41">
        <v>0</v>
      </c>
      <c r="BP41">
        <v>0</v>
      </c>
    </row>
    <row r="42" spans="1:68" x14ac:dyDescent="0.35">
      <c r="A42" s="26" t="str">
        <f>Orders!A42</f>
        <v>ORD-00041</v>
      </c>
      <c r="B42" s="33">
        <f>Orders!B42</f>
        <v>45606</v>
      </c>
      <c r="C42" t="str">
        <f>Orders!C42</f>
        <v>CUST-9507</v>
      </c>
      <c r="D42" t="str">
        <f>Orders!D42</f>
        <v>PROD-038</v>
      </c>
      <c r="E42" t="str">
        <f>Orders!E42</f>
        <v>R006</v>
      </c>
      <c r="F42">
        <f>Orders!F42</f>
        <v>4</v>
      </c>
      <c r="G42" s="35">
        <f>Orders!G42</f>
        <v>5490</v>
      </c>
      <c r="H42" s="37">
        <f>Orders!H42</f>
        <v>12.8</v>
      </c>
      <c r="I42" s="39">
        <f>Orders!I42</f>
        <v>19149.12</v>
      </c>
      <c r="J42" t="str">
        <f>Orders!J42</f>
        <v>Cancelled</v>
      </c>
      <c r="K42" t="str">
        <f>Orders!K42</f>
        <v>Chennai</v>
      </c>
      <c r="L42" t="str">
        <f>IFERROR(VLOOKUP(D42,Products!$A$2:$F$61,3,FALSE),"")</f>
        <v>Home</v>
      </c>
      <c r="M42">
        <f>IFERROR(VLOOKUP(D42,Products!$A$2:$F$61,4,FALSE),"")</f>
        <v>2549</v>
      </c>
      <c r="N42" t="str">
        <f>IFERROR(VLOOKUP(E42,Sales_Reps!$A$2:$E$31,3,FALSE),"")</f>
        <v>North</v>
      </c>
      <c r="O42" t="str">
        <f>IFERROR(VLOOKUP(C42,Customers!$A$2:$F$301,5,FALSE),"")</f>
        <v/>
      </c>
      <c r="P42" t="str">
        <f>IFERROR(VLOOKUP(C42,Customers!$A$2:$F$301,3,FALSE),"")</f>
        <v/>
      </c>
      <c r="Q42" s="41">
        <f t="shared" si="0"/>
        <v>0.53570127504553733</v>
      </c>
      <c r="R42" t="str">
        <f>IFERROR(VLOOKUP(C42,Customers!$A$2:$F$301,1,FALSE),"")</f>
        <v/>
      </c>
      <c r="S42" s="27" t="b">
        <f>IFERROR(VLOOKUP(D42,Products!$A$2:$F$61,6,FALSE),"")</f>
        <v>1</v>
      </c>
      <c r="BH42" s="32" t="str">
        <f>Products!A42</f>
        <v>PROD-041</v>
      </c>
      <c r="BI42" s="32" t="str">
        <f>Products!B42</f>
        <v>Face Wash 100ml</v>
      </c>
      <c r="BJ42" s="43">
        <f t="shared" si="8"/>
        <v>80488.099999999991</v>
      </c>
      <c r="BK42" s="32" t="e">
        <f t="shared" ca="1" si="9"/>
        <v>#NAME?</v>
      </c>
      <c r="BL42">
        <v>0</v>
      </c>
      <c r="BM42">
        <v>0</v>
      </c>
      <c r="BN42">
        <v>2.1276595744680851E-2</v>
      </c>
      <c r="BO42">
        <v>1</v>
      </c>
      <c r="BP42">
        <v>0</v>
      </c>
    </row>
    <row r="43" spans="1:68" x14ac:dyDescent="0.35">
      <c r="A43" s="26" t="str">
        <f>Orders!A43</f>
        <v>ORD-00042</v>
      </c>
      <c r="B43" s="33">
        <f>Orders!B43</f>
        <v>45432</v>
      </c>
      <c r="C43" t="str">
        <f>Orders!C43</f>
        <v>CUST-0053</v>
      </c>
      <c r="D43" t="str">
        <f>Orders!D43</f>
        <v>PROD-046</v>
      </c>
      <c r="E43" t="str">
        <f>Orders!E43</f>
        <v>R014</v>
      </c>
      <c r="F43">
        <f>Orders!F43</f>
        <v>10</v>
      </c>
      <c r="G43" s="35">
        <f>Orders!G43</f>
        <v>4880</v>
      </c>
      <c r="H43" s="37">
        <f>Orders!H43</f>
        <v>12.7</v>
      </c>
      <c r="I43" s="39">
        <f>Orders!I43</f>
        <v>42602.400000000001</v>
      </c>
      <c r="J43" t="str">
        <f>Orders!J43</f>
        <v>Completed</v>
      </c>
      <c r="K43" t="str">
        <f>Orders!K43</f>
        <v>Delhi</v>
      </c>
      <c r="L43" t="str">
        <f>IFERROR(VLOOKUP(D43,Products!$A$2:$F$61,3,FALSE),"")</f>
        <v>Beauty</v>
      </c>
      <c r="M43">
        <f>IFERROR(VLOOKUP(D43,Products!$A$2:$F$61,4,FALSE),"")</f>
        <v>2768</v>
      </c>
      <c r="N43" t="str">
        <f>IFERROR(VLOOKUP(E43,Sales_Reps!$A$2:$E$31,3,FALSE),"")</f>
        <v>South</v>
      </c>
      <c r="O43" t="str">
        <f>IFERROR(VLOOKUP(C43,Customers!$A$2:$F$301,5,FALSE),"")</f>
        <v>Retail</v>
      </c>
      <c r="P43">
        <f>IFERROR(VLOOKUP(C43,Customers!$A$2:$F$301,3,FALSE),"")</f>
        <v>53</v>
      </c>
      <c r="Q43" s="41">
        <f t="shared" si="0"/>
        <v>0.43278688524590164</v>
      </c>
      <c r="R43" t="str">
        <f>IFERROR(VLOOKUP(C43,Customers!$A$2:$F$301,1,FALSE),"")</f>
        <v>CUST-0053</v>
      </c>
      <c r="S43" s="27" t="b">
        <f>IFERROR(VLOOKUP(D43,Products!$A$2:$F$61,6,FALSE),"")</f>
        <v>1</v>
      </c>
      <c r="BH43" s="32" t="str">
        <f>Products!A43</f>
        <v>PROD-042</v>
      </c>
      <c r="BI43" s="32" t="str">
        <f>Products!B43</f>
        <v>Moisturizer 200ml</v>
      </c>
      <c r="BJ43" s="43">
        <f t="shared" si="8"/>
        <v>138799.19000000003</v>
      </c>
      <c r="BK43" s="32" t="e">
        <f t="shared" ca="1" si="9"/>
        <v>#NAME?</v>
      </c>
      <c r="BL43">
        <v>0</v>
      </c>
      <c r="BM43">
        <v>0</v>
      </c>
      <c r="BN43">
        <v>1.8867924528301886E-2</v>
      </c>
      <c r="BO43">
        <v>0</v>
      </c>
      <c r="BP43">
        <v>0</v>
      </c>
    </row>
    <row r="44" spans="1:68" x14ac:dyDescent="0.35">
      <c r="A44" s="26" t="str">
        <f>Orders!A44</f>
        <v>ORD-00043</v>
      </c>
      <c r="B44" s="33">
        <f>Orders!B44</f>
        <v>45392</v>
      </c>
      <c r="C44" t="str">
        <f>Orders!C44</f>
        <v>CUST-0222</v>
      </c>
      <c r="D44" t="str">
        <f>Orders!D44</f>
        <v>PROD-031</v>
      </c>
      <c r="E44" t="str">
        <f>Orders!E44</f>
        <v>R019</v>
      </c>
      <c r="F44">
        <f>Orders!F44</f>
        <v>2</v>
      </c>
      <c r="G44" s="35">
        <f>Orders!G44</f>
        <v>3730</v>
      </c>
      <c r="H44" s="37">
        <f>Orders!H44</f>
        <v>25.8</v>
      </c>
      <c r="I44" s="39">
        <f>Orders!I44</f>
        <v>5535.32</v>
      </c>
      <c r="J44" t="str">
        <f>Orders!J44</f>
        <v>Completed</v>
      </c>
      <c r="K44" t="str">
        <f>Orders!K44</f>
        <v>Chennai</v>
      </c>
      <c r="L44" t="str">
        <f>IFERROR(VLOOKUP(D44,Products!$A$2:$F$61,3,FALSE),"")</f>
        <v>Home</v>
      </c>
      <c r="M44">
        <f>IFERROR(VLOOKUP(D44,Products!$A$2:$F$61,4,FALSE),"")</f>
        <v>2135</v>
      </c>
      <c r="N44" t="str">
        <f>IFERROR(VLOOKUP(E44,Sales_Reps!$A$2:$E$31,3,FALSE),"")</f>
        <v>East</v>
      </c>
      <c r="O44" t="str">
        <f>IFERROR(VLOOKUP(C44,Customers!$A$2:$F$301,5,FALSE),"")</f>
        <v>Retail</v>
      </c>
      <c r="P44">
        <f>IFERROR(VLOOKUP(C44,Customers!$A$2:$F$301,3,FALSE),"")</f>
        <v>37</v>
      </c>
      <c r="Q44" s="41">
        <f t="shared" si="0"/>
        <v>0.42761394101876676</v>
      </c>
      <c r="R44" t="str">
        <f>IFERROR(VLOOKUP(C44,Customers!$A$2:$F$301,1,FALSE),"")</f>
        <v>CUST-0222</v>
      </c>
      <c r="S44" s="27" t="b">
        <f>IFERROR(VLOOKUP(D44,Products!$A$2:$F$61,6,FALSE),"")</f>
        <v>1</v>
      </c>
      <c r="BH44" s="32" t="str">
        <f>Products!A44</f>
        <v>PROD-043</v>
      </c>
      <c r="BI44" s="32" t="str">
        <f>Products!B44</f>
        <v>Shampoo 500ml</v>
      </c>
      <c r="BJ44" s="43">
        <f t="shared" si="8"/>
        <v>104386</v>
      </c>
      <c r="BK44" s="32" t="e">
        <f t="shared" ca="1" si="9"/>
        <v>#NAME?</v>
      </c>
      <c r="BL44">
        <v>0</v>
      </c>
      <c r="BM44">
        <v>1</v>
      </c>
      <c r="BN44">
        <v>1.9607843137254902E-2</v>
      </c>
      <c r="BO44">
        <v>0</v>
      </c>
      <c r="BP44">
        <v>0</v>
      </c>
    </row>
    <row r="45" spans="1:68" x14ac:dyDescent="0.35">
      <c r="A45" s="26" t="str">
        <f>Orders!A45</f>
        <v>ORD-00044</v>
      </c>
      <c r="B45" s="33">
        <f>Orders!B45</f>
        <v>45396</v>
      </c>
      <c r="C45" t="str">
        <f>Orders!C45</f>
        <v>CUST-0095</v>
      </c>
      <c r="D45" t="str">
        <f>Orders!D45</f>
        <v>PROD-047</v>
      </c>
      <c r="E45" t="str">
        <f>Orders!E45</f>
        <v>R029</v>
      </c>
      <c r="F45">
        <f>Orders!F45</f>
        <v>4</v>
      </c>
      <c r="G45" s="35">
        <f>Orders!G45</f>
        <v>3450</v>
      </c>
      <c r="H45" s="37">
        <f>Orders!H45</f>
        <v>20.7</v>
      </c>
      <c r="I45" s="39">
        <f>Orders!I45</f>
        <v>10943.4</v>
      </c>
      <c r="J45" t="str">
        <f>Orders!J45</f>
        <v>Completed</v>
      </c>
      <c r="K45" t="str">
        <f>Orders!K45</f>
        <v>Mumbai</v>
      </c>
      <c r="L45" t="str">
        <f>IFERROR(VLOOKUP(D45,Products!$A$2:$F$61,3,FALSE),"")</f>
        <v>Beauty</v>
      </c>
      <c r="M45">
        <f>IFERROR(VLOOKUP(D45,Products!$A$2:$F$61,4,FALSE),"")</f>
        <v>2420</v>
      </c>
      <c r="N45" t="str">
        <f>IFERROR(VLOOKUP(E45,Sales_Reps!$A$2:$E$31,3,FALSE),"")</f>
        <v>West</v>
      </c>
      <c r="O45" t="str">
        <f>IFERROR(VLOOKUP(C45,Customers!$A$2:$F$301,5,FALSE),"")</f>
        <v>SMB</v>
      </c>
      <c r="P45">
        <f>IFERROR(VLOOKUP(C45,Customers!$A$2:$F$301,3,FALSE),"")</f>
        <v>54</v>
      </c>
      <c r="Q45" s="41">
        <f t="shared" si="0"/>
        <v>0.29855072463768118</v>
      </c>
      <c r="R45" t="str">
        <f>IFERROR(VLOOKUP(C45,Customers!$A$2:$F$301,1,FALSE),"")</f>
        <v>CUST-0095</v>
      </c>
      <c r="S45" s="27" t="b">
        <f>IFERROR(VLOOKUP(D45,Products!$A$2:$F$61,6,FALSE),"")</f>
        <v>1</v>
      </c>
      <c r="BH45" s="32" t="str">
        <f>Products!A45</f>
        <v>PROD-044</v>
      </c>
      <c r="BI45" s="32" t="str">
        <f>Products!B45</f>
        <v>Conditioner 500ml</v>
      </c>
      <c r="BJ45" s="43">
        <f t="shared" si="8"/>
        <v>68328.149999999994</v>
      </c>
      <c r="BK45" s="32" t="e">
        <f t="shared" ca="1" si="9"/>
        <v>#NAME?</v>
      </c>
      <c r="BL45">
        <v>0</v>
      </c>
      <c r="BM45">
        <v>0</v>
      </c>
      <c r="BN45">
        <v>1.9607843137254902E-2</v>
      </c>
      <c r="BO45">
        <v>0</v>
      </c>
      <c r="BP45">
        <v>0</v>
      </c>
    </row>
    <row r="46" spans="1:68" x14ac:dyDescent="0.35">
      <c r="A46" s="26" t="str">
        <f>Orders!A46</f>
        <v>ORD-00045</v>
      </c>
      <c r="B46" s="33">
        <f>Orders!B46</f>
        <v>45373</v>
      </c>
      <c r="C46" t="str">
        <f>Orders!C46</f>
        <v>CUST-0152</v>
      </c>
      <c r="D46" t="str">
        <f>Orders!D46</f>
        <v>PROD-019</v>
      </c>
      <c r="E46" t="str">
        <f>Orders!E46</f>
        <v>R019</v>
      </c>
      <c r="F46">
        <f>Orders!F46</f>
        <v>2</v>
      </c>
      <c r="G46" s="35">
        <f>Orders!G46</f>
        <v>2480</v>
      </c>
      <c r="H46" s="37">
        <f>Orders!H46</f>
        <v>17.3</v>
      </c>
      <c r="I46" s="39">
        <f>Orders!I46</f>
        <v>4101.92</v>
      </c>
      <c r="J46" t="str">
        <f>Orders!J46</f>
        <v>Completed</v>
      </c>
      <c r="K46" t="str">
        <f>Orders!K46</f>
        <v>Bengaluru</v>
      </c>
      <c r="L46" t="str">
        <f>IFERROR(VLOOKUP(D46,Products!$A$2:$F$61,3,FALSE),"")</f>
        <v>Apparel</v>
      </c>
      <c r="M46">
        <f>IFERROR(VLOOKUP(D46,Products!$A$2:$F$61,4,FALSE),"")</f>
        <v>1173</v>
      </c>
      <c r="N46" t="str">
        <f>IFERROR(VLOOKUP(E46,Sales_Reps!$A$2:$E$31,3,FALSE),"")</f>
        <v>East</v>
      </c>
      <c r="O46" t="str">
        <f>IFERROR(VLOOKUP(C46,Customers!$A$2:$F$301,5,FALSE),"")</f>
        <v>SMB</v>
      </c>
      <c r="P46">
        <f>IFERROR(VLOOKUP(C46,Customers!$A$2:$F$301,3,FALSE),"")</f>
        <v>64</v>
      </c>
      <c r="Q46" s="41">
        <f t="shared" si="0"/>
        <v>0.52701612903225803</v>
      </c>
      <c r="R46" t="str">
        <f>IFERROR(VLOOKUP(C46,Customers!$A$2:$F$301,1,FALSE),"")</f>
        <v>CUST-0152</v>
      </c>
      <c r="S46" s="27" t="b">
        <f>IFERROR(VLOOKUP(D46,Products!$A$2:$F$61,6,FALSE),"")</f>
        <v>1</v>
      </c>
      <c r="BH46" s="32" t="str">
        <f>Products!A46</f>
        <v>PROD-045</v>
      </c>
      <c r="BI46" s="32" t="str">
        <f>Products!B46</f>
        <v>Body Lotion 400ml</v>
      </c>
      <c r="BJ46" s="43">
        <f t="shared" si="8"/>
        <v>102894.42000000001</v>
      </c>
      <c r="BK46" s="32" t="e">
        <f t="shared" ca="1" si="9"/>
        <v>#NAME?</v>
      </c>
      <c r="BL46">
        <v>0</v>
      </c>
      <c r="BM46">
        <v>0</v>
      </c>
      <c r="BN46">
        <v>1.8867924528301886E-2</v>
      </c>
      <c r="BO46">
        <v>0</v>
      </c>
      <c r="BP46">
        <v>0</v>
      </c>
    </row>
    <row r="47" spans="1:68" x14ac:dyDescent="0.35">
      <c r="A47" s="26" t="str">
        <f>Orders!A47</f>
        <v>ORD-00046</v>
      </c>
      <c r="B47" s="33">
        <f>Orders!B47</f>
        <v>45312</v>
      </c>
      <c r="C47" t="str">
        <f>Orders!C47</f>
        <v>CUST-0291</v>
      </c>
      <c r="D47" t="str">
        <f>Orders!D47</f>
        <v>PROD-027</v>
      </c>
      <c r="E47" t="str">
        <f>Orders!E47</f>
        <v>R015</v>
      </c>
      <c r="F47">
        <f>Orders!F47</f>
        <v>9</v>
      </c>
      <c r="G47" s="35">
        <f>Orders!G47</f>
        <v>3780</v>
      </c>
      <c r="H47" s="37">
        <f>Orders!H47</f>
        <v>8.6999999999999993</v>
      </c>
      <c r="I47" s="39">
        <f>Orders!I47</f>
        <v>31060.26</v>
      </c>
      <c r="J47" t="str">
        <f>Orders!J47</f>
        <v>Pending</v>
      </c>
      <c r="K47" t="str">
        <f>Orders!K47</f>
        <v>Pune</v>
      </c>
      <c r="L47" t="str">
        <f>IFERROR(VLOOKUP(D47,Products!$A$2:$F$61,3,FALSE),"")</f>
        <v>Grocery</v>
      </c>
      <c r="M47">
        <f>IFERROR(VLOOKUP(D47,Products!$A$2:$F$61,4,FALSE),"")</f>
        <v>2436</v>
      </c>
      <c r="N47" t="str">
        <f>IFERROR(VLOOKUP(E47,Sales_Reps!$A$2:$E$31,3,FALSE),"")</f>
        <v>South</v>
      </c>
      <c r="O47" t="str">
        <f>IFERROR(VLOOKUP(C47,Customers!$A$2:$F$301,5,FALSE),"")</f>
        <v>SMB</v>
      </c>
      <c r="P47">
        <f>IFERROR(VLOOKUP(C47,Customers!$A$2:$F$301,3,FALSE),"")</f>
        <v>29</v>
      </c>
      <c r="Q47" s="41">
        <f t="shared" si="0"/>
        <v>0.35555555555555557</v>
      </c>
      <c r="R47" t="str">
        <f>IFERROR(VLOOKUP(C47,Customers!$A$2:$F$301,1,FALSE),"")</f>
        <v>CUST-0291</v>
      </c>
      <c r="S47" s="27" t="b">
        <f>IFERROR(VLOOKUP(D47,Products!$A$2:$F$61,6,FALSE),"")</f>
        <v>1</v>
      </c>
      <c r="BH47" s="32" t="str">
        <f>Products!A47</f>
        <v>PROD-046</v>
      </c>
      <c r="BI47" s="32" t="str">
        <f>Products!B47</f>
        <v>Sunscreen SPF50</v>
      </c>
      <c r="BJ47" s="43">
        <f t="shared" si="8"/>
        <v>100035.12</v>
      </c>
      <c r="BK47" s="32" t="e">
        <f t="shared" ca="1" si="9"/>
        <v>#NAME?</v>
      </c>
      <c r="BL47">
        <v>0</v>
      </c>
      <c r="BM47">
        <v>0</v>
      </c>
      <c r="BN47">
        <v>2.3809523809523808E-2</v>
      </c>
      <c r="BO47">
        <v>0</v>
      </c>
      <c r="BP47">
        <v>0</v>
      </c>
    </row>
    <row r="48" spans="1:68" x14ac:dyDescent="0.35">
      <c r="A48" s="26" t="str">
        <f>Orders!A48</f>
        <v>ORD-00047</v>
      </c>
      <c r="B48" s="33">
        <f>Orders!B48</f>
        <v>45340</v>
      </c>
      <c r="C48" t="str">
        <f>Orders!C48</f>
        <v>CUST-0112</v>
      </c>
      <c r="D48" t="str">
        <f>Orders!D48</f>
        <v>PROD-013</v>
      </c>
      <c r="E48" t="str">
        <f>Orders!E48</f>
        <v>R017</v>
      </c>
      <c r="F48">
        <f>Orders!F48</f>
        <v>4</v>
      </c>
      <c r="G48" s="35">
        <f>Orders!G48</f>
        <v>3640</v>
      </c>
      <c r="H48" s="37">
        <f>Orders!H48</f>
        <v>20.7</v>
      </c>
      <c r="I48" s="39">
        <f>Orders!I48</f>
        <v>11546.08</v>
      </c>
      <c r="J48" t="str">
        <f>Orders!J48</f>
        <v>Completed</v>
      </c>
      <c r="K48" t="str">
        <f>Orders!K48</f>
        <v>Hyderabad</v>
      </c>
      <c r="L48" t="str">
        <f>IFERROR(VLOOKUP(D48,Products!$A$2:$F$61,3,FALSE),"")</f>
        <v>Apparel</v>
      </c>
      <c r="M48">
        <f>IFERROR(VLOOKUP(D48,Products!$A$2:$F$61,4,FALSE),"")</f>
        <v>2611</v>
      </c>
      <c r="N48" t="str">
        <f>IFERROR(VLOOKUP(E48,Sales_Reps!$A$2:$E$31,3,FALSE),"")</f>
        <v>East</v>
      </c>
      <c r="O48" t="str">
        <f>IFERROR(VLOOKUP(C48,Customers!$A$2:$F$301,5,FALSE),"")</f>
        <v>Retail</v>
      </c>
      <c r="P48">
        <f>IFERROR(VLOOKUP(C48,Customers!$A$2:$F$301,3,FALSE),"")</f>
        <v>64</v>
      </c>
      <c r="Q48" s="41">
        <f t="shared" si="0"/>
        <v>0.28269230769230769</v>
      </c>
      <c r="R48" t="str">
        <f>IFERROR(VLOOKUP(C48,Customers!$A$2:$F$301,1,FALSE),"")</f>
        <v>CUST-0112</v>
      </c>
      <c r="S48" s="27" t="b">
        <f>IFERROR(VLOOKUP(D48,Products!$A$2:$F$61,6,FALSE),"")</f>
        <v>1</v>
      </c>
      <c r="BH48" s="32" t="str">
        <f>Products!A48</f>
        <v>PROD-047</v>
      </c>
      <c r="BI48" s="32" t="str">
        <f>Products!B48</f>
        <v>Lipstick</v>
      </c>
      <c r="BJ48" s="43">
        <f t="shared" si="8"/>
        <v>167780.4</v>
      </c>
      <c r="BK48" s="32" t="e">
        <f t="shared" ca="1" si="9"/>
        <v>#NAME?</v>
      </c>
      <c r="BL48">
        <v>0</v>
      </c>
      <c r="BM48">
        <v>0</v>
      </c>
      <c r="BN48">
        <v>1.8867924528301886E-2</v>
      </c>
      <c r="BO48">
        <v>0</v>
      </c>
      <c r="BP48">
        <v>0</v>
      </c>
    </row>
    <row r="49" spans="1:68" x14ac:dyDescent="0.35">
      <c r="A49" s="26" t="str">
        <f>Orders!A49</f>
        <v>ORD-00048</v>
      </c>
      <c r="B49" s="33">
        <f>Orders!B49</f>
        <v>45370</v>
      </c>
      <c r="C49" t="str">
        <f>Orders!C49</f>
        <v>CUST-9800</v>
      </c>
      <c r="D49" t="str">
        <f>Orders!D49</f>
        <v>PROD-050</v>
      </c>
      <c r="E49" t="str">
        <f>Orders!E49</f>
        <v>R003</v>
      </c>
      <c r="F49">
        <f>Orders!F49</f>
        <v>8</v>
      </c>
      <c r="G49" s="35">
        <f>Orders!G49</f>
        <v>6080</v>
      </c>
      <c r="H49" s="37">
        <f>Orders!H49</f>
        <v>24.4</v>
      </c>
      <c r="I49" s="39">
        <f>Orders!I49</f>
        <v>36771.839999999997</v>
      </c>
      <c r="J49" t="str">
        <f>Orders!J49</f>
        <v>Completed</v>
      </c>
      <c r="K49" t="str">
        <f>Orders!K49</f>
        <v>Pune</v>
      </c>
      <c r="L49" t="str">
        <f>IFERROR(VLOOKUP(D49,Products!$A$2:$F$61,3,FALSE),"")</f>
        <v>Beauty</v>
      </c>
      <c r="M49">
        <f>IFERROR(VLOOKUP(D49,Products!$A$2:$F$61,4,FALSE),"")</f>
        <v>2617</v>
      </c>
      <c r="N49" t="str">
        <f>IFERROR(VLOOKUP(E49,Sales_Reps!$A$2:$E$31,3,FALSE),"")</f>
        <v>North</v>
      </c>
      <c r="O49" t="str">
        <f>IFERROR(VLOOKUP(C49,Customers!$A$2:$F$301,5,FALSE),"")</f>
        <v/>
      </c>
      <c r="P49" t="str">
        <f>IFERROR(VLOOKUP(C49,Customers!$A$2:$F$301,3,FALSE),"")</f>
        <v/>
      </c>
      <c r="Q49" s="41">
        <f t="shared" si="0"/>
        <v>0.56957236842105263</v>
      </c>
      <c r="R49" t="str">
        <f>IFERROR(VLOOKUP(C49,Customers!$A$2:$F$301,1,FALSE),"")</f>
        <v/>
      </c>
      <c r="S49" s="27" t="b">
        <f>IFERROR(VLOOKUP(D49,Products!$A$2:$F$61,6,FALSE),"")</f>
        <v>1</v>
      </c>
      <c r="BH49" s="32" t="str">
        <f>Products!A49</f>
        <v>PROD-048</v>
      </c>
      <c r="BI49" s="32" t="str">
        <f>Products!B49</f>
        <v>Kajal</v>
      </c>
      <c r="BJ49" s="43">
        <f t="shared" si="8"/>
        <v>244351.19999999998</v>
      </c>
      <c r="BK49" s="32" t="e">
        <f t="shared" ca="1" si="9"/>
        <v>#NAME?</v>
      </c>
      <c r="BL49">
        <v>0</v>
      </c>
      <c r="BM49">
        <v>0</v>
      </c>
      <c r="BN49">
        <v>2.3809523809523808E-2</v>
      </c>
      <c r="BO49">
        <v>1</v>
      </c>
      <c r="BP49">
        <v>0</v>
      </c>
    </row>
    <row r="50" spans="1:68" x14ac:dyDescent="0.35">
      <c r="A50" s="26" t="str">
        <f>Orders!A50</f>
        <v>ORD-00049</v>
      </c>
      <c r="B50" s="33">
        <f>Orders!B50</f>
        <v>45389</v>
      </c>
      <c r="C50" t="str">
        <f>Orders!C50</f>
        <v>CUST-0143</v>
      </c>
      <c r="D50" t="str">
        <f>Orders!D50</f>
        <v>PROD-030</v>
      </c>
      <c r="E50" t="str">
        <f>Orders!E50</f>
        <v>R007</v>
      </c>
      <c r="F50">
        <f>Orders!F50</f>
        <v>10</v>
      </c>
      <c r="G50" s="35">
        <f>Orders!G50</f>
        <v>970</v>
      </c>
      <c r="H50" s="37">
        <f>Orders!H50</f>
        <v>0.6</v>
      </c>
      <c r="I50" s="39">
        <f>Orders!I50</f>
        <v>9641.7999999999993</v>
      </c>
      <c r="J50" t="str">
        <f>Orders!J50</f>
        <v>Cancelled</v>
      </c>
      <c r="K50" t="str">
        <f>Orders!K50</f>
        <v>Chennai</v>
      </c>
      <c r="L50" t="str">
        <f>IFERROR(VLOOKUP(D50,Products!$A$2:$F$61,3,FALSE),"")</f>
        <v>Grocery</v>
      </c>
      <c r="M50">
        <f>IFERROR(VLOOKUP(D50,Products!$A$2:$F$61,4,FALSE),"")</f>
        <v>434</v>
      </c>
      <c r="N50" t="str">
        <f>IFERROR(VLOOKUP(E50,Sales_Reps!$A$2:$E$31,3,FALSE),"")</f>
        <v>North</v>
      </c>
      <c r="O50" t="str">
        <f>IFERROR(VLOOKUP(C50,Customers!$A$2:$F$301,5,FALSE),"")</f>
        <v>SMB</v>
      </c>
      <c r="P50">
        <f>IFERROR(VLOOKUP(C50,Customers!$A$2:$F$301,3,FALSE),"")</f>
        <v>52</v>
      </c>
      <c r="Q50" s="41">
        <f t="shared" si="0"/>
        <v>0.5525773195876289</v>
      </c>
      <c r="R50" t="str">
        <f>IFERROR(VLOOKUP(C50,Customers!$A$2:$F$301,1,FALSE),"")</f>
        <v>CUST-0143</v>
      </c>
      <c r="S50" s="27" t="b">
        <f>IFERROR(VLOOKUP(D50,Products!$A$2:$F$61,6,FALSE),"")</f>
        <v>1</v>
      </c>
      <c r="BH50" s="32" t="str">
        <f>Products!A50</f>
        <v>PROD-049</v>
      </c>
      <c r="BI50" s="32" t="str">
        <f>Products!B50</f>
        <v>Hair Oil 200ml</v>
      </c>
      <c r="BJ50" s="43">
        <f t="shared" si="8"/>
        <v>56751.360000000008</v>
      </c>
      <c r="BK50" s="32" t="e">
        <f t="shared" ca="1" si="9"/>
        <v>#NAME?</v>
      </c>
      <c r="BL50">
        <v>0</v>
      </c>
      <c r="BM50">
        <v>0</v>
      </c>
      <c r="BN50">
        <v>1.8518518518518517E-2</v>
      </c>
      <c r="BO50">
        <v>0</v>
      </c>
      <c r="BP50">
        <v>0</v>
      </c>
    </row>
    <row r="51" spans="1:68" x14ac:dyDescent="0.35">
      <c r="A51" s="26" t="str">
        <f>Orders!A51</f>
        <v>ORD-00050</v>
      </c>
      <c r="B51" s="33">
        <f>Orders!B51</f>
        <v>45565</v>
      </c>
      <c r="C51" t="str">
        <f>Orders!C51</f>
        <v>CUST-0226</v>
      </c>
      <c r="D51" t="str">
        <f>Orders!D51</f>
        <v>PROD-022</v>
      </c>
      <c r="E51" t="str">
        <f>Orders!E51</f>
        <v>R028</v>
      </c>
      <c r="F51">
        <f>Orders!F51</f>
        <v>1</v>
      </c>
      <c r="G51" s="35">
        <f>Orders!G51</f>
        <v>2270</v>
      </c>
      <c r="H51" s="37">
        <f>Orders!H51</f>
        <v>11.5</v>
      </c>
      <c r="I51" s="39">
        <f>Orders!I51</f>
        <v>2008.95</v>
      </c>
      <c r="J51" t="str">
        <f>Orders!J51</f>
        <v>Pending</v>
      </c>
      <c r="K51" t="str">
        <f>Orders!K51</f>
        <v>Chennai</v>
      </c>
      <c r="L51" t="str">
        <f>IFERROR(VLOOKUP(D51,Products!$A$2:$F$61,3,FALSE),"")</f>
        <v>Grocery</v>
      </c>
      <c r="M51">
        <f>IFERROR(VLOOKUP(D51,Products!$A$2:$F$61,4,FALSE),"")</f>
        <v>1412</v>
      </c>
      <c r="N51" t="str">
        <f>IFERROR(VLOOKUP(E51,Sales_Reps!$A$2:$E$31,3,FALSE),"")</f>
        <v>West</v>
      </c>
      <c r="O51" t="str">
        <f>IFERROR(VLOOKUP(C51,Customers!$A$2:$F$301,5,FALSE),"")</f>
        <v>Corporate</v>
      </c>
      <c r="P51">
        <f>IFERROR(VLOOKUP(C51,Customers!$A$2:$F$301,3,FALSE),"")</f>
        <v>52</v>
      </c>
      <c r="Q51" s="41">
        <f t="shared" si="0"/>
        <v>0.37797356828193834</v>
      </c>
      <c r="R51" t="str">
        <f>IFERROR(VLOOKUP(C51,Customers!$A$2:$F$301,1,FALSE),"")</f>
        <v>CUST-0226</v>
      </c>
      <c r="S51" s="27" t="b">
        <f>IFERROR(VLOOKUP(D51,Products!$A$2:$F$61,6,FALSE),"")</f>
        <v>1</v>
      </c>
      <c r="BH51" s="32" t="str">
        <f>Products!A51</f>
        <v>PROD-050</v>
      </c>
      <c r="BI51" s="32" t="str">
        <f>Products!B51</f>
        <v>Perfume 100ml</v>
      </c>
      <c r="BJ51" s="43">
        <f t="shared" si="8"/>
        <v>124646.07999999999</v>
      </c>
      <c r="BK51" s="32" t="e">
        <f t="shared" ca="1" si="9"/>
        <v>#NAME?</v>
      </c>
      <c r="BL51">
        <v>0</v>
      </c>
      <c r="BM51">
        <v>0</v>
      </c>
      <c r="BN51">
        <v>1.8518518518518517E-2</v>
      </c>
      <c r="BO51">
        <v>0</v>
      </c>
      <c r="BP51">
        <v>0</v>
      </c>
    </row>
    <row r="52" spans="1:68" x14ac:dyDescent="0.35">
      <c r="A52" s="26" t="str">
        <f>Orders!A52</f>
        <v>ORD-00051</v>
      </c>
      <c r="B52" s="33">
        <f>Orders!B52</f>
        <v>45323</v>
      </c>
      <c r="C52" t="str">
        <f>Orders!C52</f>
        <v>CUST-0234</v>
      </c>
      <c r="D52" t="str">
        <f>Orders!D52</f>
        <v>PROD-004</v>
      </c>
      <c r="E52" t="str">
        <f>Orders!E52</f>
        <v>R023</v>
      </c>
      <c r="F52">
        <f>Orders!F52</f>
        <v>7</v>
      </c>
      <c r="G52" s="35">
        <f>Orders!G52</f>
        <v>3870</v>
      </c>
      <c r="H52" s="37">
        <f>Orders!H52</f>
        <v>0.3</v>
      </c>
      <c r="I52" s="39">
        <f>Orders!I52</f>
        <v>27008.73</v>
      </c>
      <c r="J52" t="str">
        <f>Orders!J52</f>
        <v>Cancelled</v>
      </c>
      <c r="K52" t="str">
        <f>Orders!K52</f>
        <v>Bengaluru</v>
      </c>
      <c r="L52" t="str">
        <f>IFERROR(VLOOKUP(D52,Products!$A$2:$F$61,3,FALSE),"")</f>
        <v>Electronics</v>
      </c>
      <c r="M52">
        <f>IFERROR(VLOOKUP(D52,Products!$A$2:$F$61,4,FALSE),"")</f>
        <v>1559</v>
      </c>
      <c r="N52" t="str">
        <f>IFERROR(VLOOKUP(E52,Sales_Reps!$A$2:$E$31,3,FALSE),"")</f>
        <v>East</v>
      </c>
      <c r="O52" t="str">
        <f>IFERROR(VLOOKUP(C52,Customers!$A$2:$F$301,5,FALSE),"")</f>
        <v>Retail</v>
      </c>
      <c r="P52">
        <f>IFERROR(VLOOKUP(C52,Customers!$A$2:$F$301,3,FALSE),"")</f>
        <v>34</v>
      </c>
      <c r="Q52" s="41">
        <f t="shared" si="0"/>
        <v>0.59715762273901807</v>
      </c>
      <c r="R52" t="str">
        <f>IFERROR(VLOOKUP(C52,Customers!$A$2:$F$301,1,FALSE),"")</f>
        <v>CUST-0234</v>
      </c>
      <c r="S52" s="27" t="b">
        <f>IFERROR(VLOOKUP(D52,Products!$A$2:$F$61,6,FALSE),"")</f>
        <v>1</v>
      </c>
      <c r="BH52" s="32" t="str">
        <f>Products!A52</f>
        <v>PROD-051</v>
      </c>
      <c r="BI52" s="32" t="str">
        <f>Products!B52</f>
        <v>Yoga Mat</v>
      </c>
      <c r="BJ52" s="43">
        <f t="shared" si="8"/>
        <v>109233.90000000001</v>
      </c>
      <c r="BK52" s="32" t="e">
        <f t="shared" ca="1" si="9"/>
        <v>#NAME?</v>
      </c>
      <c r="BL52">
        <v>0</v>
      </c>
      <c r="BM52">
        <v>0</v>
      </c>
      <c r="BN52">
        <v>1.8867924528301886E-2</v>
      </c>
      <c r="BO52">
        <v>0</v>
      </c>
      <c r="BP52">
        <v>0</v>
      </c>
    </row>
    <row r="53" spans="1:68" x14ac:dyDescent="0.35">
      <c r="A53" s="26" t="str">
        <f>Orders!A53</f>
        <v>ORD-00052</v>
      </c>
      <c r="B53" s="33">
        <f>Orders!B53</f>
        <v>45506</v>
      </c>
      <c r="C53" t="str">
        <f>Orders!C53</f>
        <v>CUST-0176</v>
      </c>
      <c r="D53" t="str">
        <f>Orders!D53</f>
        <v>PROD-046</v>
      </c>
      <c r="E53" t="str">
        <f>Orders!E53</f>
        <v>R009</v>
      </c>
      <c r="F53">
        <f>Orders!F53</f>
        <v>1</v>
      </c>
      <c r="G53" s="35">
        <f>Orders!G53</f>
        <v>4880</v>
      </c>
      <c r="H53" s="37">
        <f>Orders!H53</f>
        <v>23.9</v>
      </c>
      <c r="I53" s="39">
        <f>Orders!I53</f>
        <v>3713.68</v>
      </c>
      <c r="J53" t="str">
        <f>Orders!J53</f>
        <v>Pending</v>
      </c>
      <c r="K53" t="str">
        <f>Orders!K53</f>
        <v>Bengaluru</v>
      </c>
      <c r="L53" t="str">
        <f>IFERROR(VLOOKUP(D53,Products!$A$2:$F$61,3,FALSE),"")</f>
        <v>Beauty</v>
      </c>
      <c r="M53">
        <f>IFERROR(VLOOKUP(D53,Products!$A$2:$F$61,4,FALSE),"")</f>
        <v>2768</v>
      </c>
      <c r="N53" t="str">
        <f>IFERROR(VLOOKUP(E53,Sales_Reps!$A$2:$E$31,3,FALSE),"")</f>
        <v>South</v>
      </c>
      <c r="O53" t="str">
        <f>IFERROR(VLOOKUP(C53,Customers!$A$2:$F$301,5,FALSE),"")</f>
        <v>SMB</v>
      </c>
      <c r="P53">
        <f>IFERROR(VLOOKUP(C53,Customers!$A$2:$F$301,3,FALSE),"")</f>
        <v>34</v>
      </c>
      <c r="Q53" s="41">
        <f t="shared" si="0"/>
        <v>0.43278688524590164</v>
      </c>
      <c r="R53" t="str">
        <f>IFERROR(VLOOKUP(C53,Customers!$A$2:$F$301,1,FALSE),"")</f>
        <v>CUST-0176</v>
      </c>
      <c r="S53" s="27" t="b">
        <f>IFERROR(VLOOKUP(D53,Products!$A$2:$F$61,6,FALSE),"")</f>
        <v>1</v>
      </c>
      <c r="BH53" s="32" t="str">
        <f>Products!A53</f>
        <v>PROD-052</v>
      </c>
      <c r="BI53" s="32" t="str">
        <f>Products!B53</f>
        <v>Dumbbells 5kg</v>
      </c>
      <c r="BJ53" s="43">
        <f t="shared" si="8"/>
        <v>74614.720000000001</v>
      </c>
      <c r="BK53" s="32" t="e">
        <f t="shared" ca="1" si="9"/>
        <v>#NAME?</v>
      </c>
      <c r="BL53">
        <v>0</v>
      </c>
      <c r="BM53">
        <v>0</v>
      </c>
      <c r="BN53">
        <v>1.8867924528301886E-2</v>
      </c>
      <c r="BO53">
        <v>0</v>
      </c>
      <c r="BP53">
        <v>0</v>
      </c>
    </row>
    <row r="54" spans="1:68" x14ac:dyDescent="0.35">
      <c r="A54" s="26" t="str">
        <f>Orders!A54</f>
        <v>ORD-00053</v>
      </c>
      <c r="B54" s="33">
        <f>Orders!B54</f>
        <v>45616</v>
      </c>
      <c r="C54" t="str">
        <f>Orders!C54</f>
        <v>CUST-0180</v>
      </c>
      <c r="D54" t="str">
        <f>Orders!D54</f>
        <v>PROD-027</v>
      </c>
      <c r="E54" t="str">
        <f>Orders!E54</f>
        <v>R013</v>
      </c>
      <c r="F54">
        <f>Orders!F54</f>
        <v>5</v>
      </c>
      <c r="G54" s="35">
        <f>Orders!G54</f>
        <v>3780</v>
      </c>
      <c r="H54" s="37">
        <f>Orders!H54</f>
        <v>18.5</v>
      </c>
      <c r="I54" s="39">
        <f>Orders!I54</f>
        <v>15403.5</v>
      </c>
      <c r="J54" t="str">
        <f>Orders!J54</f>
        <v>Completed</v>
      </c>
      <c r="K54" t="str">
        <f>Orders!K54</f>
        <v>Chennai</v>
      </c>
      <c r="L54" t="str">
        <f>IFERROR(VLOOKUP(D54,Products!$A$2:$F$61,3,FALSE),"")</f>
        <v>Grocery</v>
      </c>
      <c r="M54">
        <f>IFERROR(VLOOKUP(D54,Products!$A$2:$F$61,4,FALSE),"")</f>
        <v>2436</v>
      </c>
      <c r="N54" t="str">
        <f>IFERROR(VLOOKUP(E54,Sales_Reps!$A$2:$E$31,3,FALSE),"")</f>
        <v>South</v>
      </c>
      <c r="O54" t="str">
        <f>IFERROR(VLOOKUP(C54,Customers!$A$2:$F$301,5,FALSE),"")</f>
        <v>Retail</v>
      </c>
      <c r="P54">
        <f>IFERROR(VLOOKUP(C54,Customers!$A$2:$F$301,3,FALSE),"")</f>
        <v>36</v>
      </c>
      <c r="Q54" s="41">
        <f t="shared" si="0"/>
        <v>0.35555555555555557</v>
      </c>
      <c r="R54" t="str">
        <f>IFERROR(VLOOKUP(C54,Customers!$A$2:$F$301,1,FALSE),"")</f>
        <v>CUST-0180</v>
      </c>
      <c r="S54" s="27" t="b">
        <f>IFERROR(VLOOKUP(D54,Products!$A$2:$F$61,6,FALSE),"")</f>
        <v>1</v>
      </c>
      <c r="BH54" s="32" t="str">
        <f>Products!A54</f>
        <v>PROD-053</v>
      </c>
      <c r="BI54" s="32" t="str">
        <f>Products!B54</f>
        <v>Skipping Rope</v>
      </c>
      <c r="BJ54" s="43">
        <f t="shared" si="8"/>
        <v>21160.81</v>
      </c>
      <c r="BK54" s="32" t="e">
        <f t="shared" ca="1" si="9"/>
        <v>#NAME?</v>
      </c>
      <c r="BL54">
        <v>0</v>
      </c>
      <c r="BM54">
        <v>0</v>
      </c>
      <c r="BN54">
        <v>2.3809523809523808E-2</v>
      </c>
      <c r="BO54">
        <v>0</v>
      </c>
      <c r="BP54">
        <v>0</v>
      </c>
    </row>
    <row r="55" spans="1:68" x14ac:dyDescent="0.35">
      <c r="A55" s="26" t="str">
        <f>Orders!A55</f>
        <v>ORD-00054</v>
      </c>
      <c r="B55" s="33">
        <f>Orders!B55</f>
        <v>45428</v>
      </c>
      <c r="C55" t="str">
        <f>Orders!C55</f>
        <v>CUST-0088</v>
      </c>
      <c r="D55" t="str">
        <f>Orders!D55</f>
        <v>PROD-036</v>
      </c>
      <c r="E55" t="str">
        <f>Orders!E55</f>
        <v>R020</v>
      </c>
      <c r="F55">
        <f>Orders!F55</f>
        <v>10</v>
      </c>
      <c r="G55" s="35">
        <f>Orders!G55</f>
        <v>3250</v>
      </c>
      <c r="H55" s="37">
        <f>Orders!H55</f>
        <v>25.5</v>
      </c>
      <c r="I55" s="39">
        <f>Orders!I55</f>
        <v>24212.5</v>
      </c>
      <c r="J55" t="str">
        <f>Orders!J55</f>
        <v>Completed</v>
      </c>
      <c r="K55" t="str">
        <f>Orders!K55</f>
        <v>Chennai</v>
      </c>
      <c r="L55" t="str">
        <f>IFERROR(VLOOKUP(D55,Products!$A$2:$F$61,3,FALSE),"")</f>
        <v>Home</v>
      </c>
      <c r="M55">
        <f>IFERROR(VLOOKUP(D55,Products!$A$2:$F$61,4,FALSE),"")</f>
        <v>1556</v>
      </c>
      <c r="N55" t="str">
        <f>IFERROR(VLOOKUP(E55,Sales_Reps!$A$2:$E$31,3,FALSE),"")</f>
        <v>East</v>
      </c>
      <c r="O55" t="str">
        <f>IFERROR(VLOOKUP(C55,Customers!$A$2:$F$301,5,FALSE),"")</f>
        <v>Retail</v>
      </c>
      <c r="P55">
        <f>IFERROR(VLOOKUP(C55,Customers!$A$2:$F$301,3,FALSE),"")</f>
        <v>24</v>
      </c>
      <c r="Q55" s="41">
        <f t="shared" si="0"/>
        <v>0.52123076923076928</v>
      </c>
      <c r="R55" t="str">
        <f>IFERROR(VLOOKUP(C55,Customers!$A$2:$F$301,1,FALSE),"")</f>
        <v>CUST-0088</v>
      </c>
      <c r="S55" s="27" t="b">
        <f>IFERROR(VLOOKUP(D55,Products!$A$2:$F$61,6,FALSE),"")</f>
        <v>1</v>
      </c>
      <c r="BH55" s="32" t="str">
        <f>Products!A55</f>
        <v>PROD-054</v>
      </c>
      <c r="BI55" s="32" t="str">
        <f>Products!B55</f>
        <v>Cricket Bat</v>
      </c>
      <c r="BJ55" s="43">
        <f t="shared" si="8"/>
        <v>19529.36</v>
      </c>
      <c r="BK55" s="32" t="e">
        <f t="shared" ca="1" si="9"/>
        <v>#NAME?</v>
      </c>
      <c r="BL55">
        <v>0</v>
      </c>
      <c r="BM55">
        <v>0</v>
      </c>
      <c r="BN55">
        <v>1.8518518518518517E-2</v>
      </c>
      <c r="BO55">
        <v>0</v>
      </c>
      <c r="BP55">
        <v>0</v>
      </c>
    </row>
    <row r="56" spans="1:68" x14ac:dyDescent="0.35">
      <c r="A56" s="26" t="str">
        <f>Orders!A56</f>
        <v>ORD-00055</v>
      </c>
      <c r="B56" s="33">
        <f>Orders!B56</f>
        <v>45515</v>
      </c>
      <c r="C56" t="str">
        <f>Orders!C56</f>
        <v>CUST-0267</v>
      </c>
      <c r="D56" t="str">
        <f>Orders!D56</f>
        <v>PROD-013</v>
      </c>
      <c r="E56" t="str">
        <f>Orders!E56</f>
        <v>R007</v>
      </c>
      <c r="F56">
        <f>Orders!F56</f>
        <v>4</v>
      </c>
      <c r="G56" s="35">
        <f>Orders!G56</f>
        <v>3640</v>
      </c>
      <c r="H56" s="37">
        <f>Orders!H56</f>
        <v>9.9</v>
      </c>
      <c r="I56" s="39">
        <f>Orders!I56</f>
        <v>13118.56</v>
      </c>
      <c r="J56" t="str">
        <f>Orders!J56</f>
        <v>Refunded</v>
      </c>
      <c r="K56" t="str">
        <f>Orders!K56</f>
        <v>Hyderabad</v>
      </c>
      <c r="L56" t="str">
        <f>IFERROR(VLOOKUP(D56,Products!$A$2:$F$61,3,FALSE),"")</f>
        <v>Apparel</v>
      </c>
      <c r="M56">
        <f>IFERROR(VLOOKUP(D56,Products!$A$2:$F$61,4,FALSE),"")</f>
        <v>2611</v>
      </c>
      <c r="N56" t="str">
        <f>IFERROR(VLOOKUP(E56,Sales_Reps!$A$2:$E$31,3,FALSE),"")</f>
        <v>North</v>
      </c>
      <c r="O56" t="str">
        <f>IFERROR(VLOOKUP(C56,Customers!$A$2:$F$301,5,FALSE),"")</f>
        <v>Retail</v>
      </c>
      <c r="P56">
        <f>IFERROR(VLOOKUP(C56,Customers!$A$2:$F$301,3,FALSE),"")</f>
        <v>27</v>
      </c>
      <c r="Q56" s="41">
        <f t="shared" si="0"/>
        <v>0.28269230769230769</v>
      </c>
      <c r="R56" t="str">
        <f>IFERROR(VLOOKUP(C56,Customers!$A$2:$F$301,1,FALSE),"")</f>
        <v>CUST-0267</v>
      </c>
      <c r="S56" s="27" t="b">
        <f>IFERROR(VLOOKUP(D56,Products!$A$2:$F$61,6,FALSE),"")</f>
        <v>1</v>
      </c>
      <c r="BH56" s="32" t="str">
        <f>Products!A56</f>
        <v>PROD-055</v>
      </c>
      <c r="BI56" s="32" t="str">
        <f>Products!B56</f>
        <v>Football Size 5</v>
      </c>
      <c r="BJ56" s="43">
        <f t="shared" si="8"/>
        <v>109566.6</v>
      </c>
      <c r="BK56" s="32" t="e">
        <f t="shared" ca="1" si="9"/>
        <v>#NAME?</v>
      </c>
      <c r="BL56">
        <v>0</v>
      </c>
      <c r="BM56">
        <v>0</v>
      </c>
      <c r="BN56">
        <v>2.1276595744680851E-2</v>
      </c>
      <c r="BO56">
        <v>0</v>
      </c>
      <c r="BP56">
        <v>0</v>
      </c>
    </row>
    <row r="57" spans="1:68" x14ac:dyDescent="0.35">
      <c r="A57" s="26" t="str">
        <f>Orders!A57</f>
        <v>ORD-00056</v>
      </c>
      <c r="B57" s="33">
        <f>Orders!B57</f>
        <v>45649</v>
      </c>
      <c r="C57" t="str">
        <f>Orders!C57</f>
        <v>CUST-0194</v>
      </c>
      <c r="D57" t="str">
        <f>Orders!D57</f>
        <v>PROD-041</v>
      </c>
      <c r="E57" t="str">
        <f>Orders!E57</f>
        <v>R023</v>
      </c>
      <c r="F57">
        <f>Orders!F57</f>
        <v>4</v>
      </c>
      <c r="G57" s="35">
        <f>Orders!G57</f>
        <v>1540</v>
      </c>
      <c r="H57" s="37">
        <f>Orders!H57</f>
        <v>28.8</v>
      </c>
      <c r="I57" s="39">
        <f>Orders!I57</f>
        <v>4385.92</v>
      </c>
      <c r="J57" t="str">
        <f>Orders!J57</f>
        <v>Completed</v>
      </c>
      <c r="K57" t="str">
        <f>Orders!K57</f>
        <v>Delhi</v>
      </c>
      <c r="L57" t="str">
        <f>IFERROR(VLOOKUP(D57,Products!$A$2:$F$61,3,FALSE),"")</f>
        <v>Beauty</v>
      </c>
      <c r="M57">
        <f>IFERROR(VLOOKUP(D57,Products!$A$2:$F$61,4,FALSE),"")</f>
        <v>647</v>
      </c>
      <c r="N57" t="str">
        <f>IFERROR(VLOOKUP(E57,Sales_Reps!$A$2:$E$31,3,FALSE),"")</f>
        <v>East</v>
      </c>
      <c r="O57" t="str">
        <f>IFERROR(VLOOKUP(C57,Customers!$A$2:$F$301,5,FALSE),"")</f>
        <v>SMB</v>
      </c>
      <c r="P57">
        <f>IFERROR(VLOOKUP(C57,Customers!$A$2:$F$301,3,FALSE),"")</f>
        <v>55</v>
      </c>
      <c r="Q57" s="41">
        <f t="shared" si="0"/>
        <v>0.57987012987012987</v>
      </c>
      <c r="R57" t="str">
        <f>IFERROR(VLOOKUP(C57,Customers!$A$2:$F$301,1,FALSE),"")</f>
        <v>CUST-0194</v>
      </c>
      <c r="S57" s="27" t="b">
        <f>IFERROR(VLOOKUP(D57,Products!$A$2:$F$61,6,FALSE),"")</f>
        <v>0</v>
      </c>
      <c r="BH57" s="32" t="str">
        <f>Products!A57</f>
        <v>PROD-056</v>
      </c>
      <c r="BI57" s="32" t="str">
        <f>Products!B57</f>
        <v>Badminton Racket</v>
      </c>
      <c r="BJ57" s="43">
        <f t="shared" si="8"/>
        <v>260395.73999999996</v>
      </c>
      <c r="BK57" s="32" t="e">
        <f t="shared" ca="1" si="9"/>
        <v>#NAME?</v>
      </c>
      <c r="BL57">
        <v>0</v>
      </c>
      <c r="BM57">
        <v>0</v>
      </c>
      <c r="BN57">
        <v>2.1276595744680851E-2</v>
      </c>
      <c r="BO57">
        <v>0</v>
      </c>
      <c r="BP57">
        <v>1</v>
      </c>
    </row>
    <row r="58" spans="1:68" x14ac:dyDescent="0.35">
      <c r="A58" s="26" t="str">
        <f>Orders!A58</f>
        <v>ORD-00057</v>
      </c>
      <c r="B58" s="33">
        <f>Orders!B58</f>
        <v>45616</v>
      </c>
      <c r="C58" t="str">
        <f>Orders!C58</f>
        <v>CUST-0261</v>
      </c>
      <c r="D58" t="str">
        <f>Orders!D58</f>
        <v>PROD-040</v>
      </c>
      <c r="E58" t="str">
        <f>Orders!E58</f>
        <v>R017</v>
      </c>
      <c r="F58">
        <f>Orders!F58</f>
        <v>1</v>
      </c>
      <c r="G58" s="35">
        <f>Orders!G58</f>
        <v>1080</v>
      </c>
      <c r="H58" s="37">
        <f>Orders!H58</f>
        <v>23</v>
      </c>
      <c r="I58" s="39">
        <f>Orders!I58</f>
        <v>831.6</v>
      </c>
      <c r="J58" t="str">
        <f>Orders!J58</f>
        <v>Cancelled</v>
      </c>
      <c r="K58" t="str">
        <f>Orders!K58</f>
        <v>Delhi</v>
      </c>
      <c r="L58" t="str">
        <f>IFERROR(VLOOKUP(D58,Products!$A$2:$F$61,3,FALSE),"")</f>
        <v>Home</v>
      </c>
      <c r="M58">
        <f>IFERROR(VLOOKUP(D58,Products!$A$2:$F$61,4,FALSE),"")</f>
        <v>519</v>
      </c>
      <c r="N58" t="str">
        <f>IFERROR(VLOOKUP(E58,Sales_Reps!$A$2:$E$31,3,FALSE),"")</f>
        <v>East</v>
      </c>
      <c r="O58" t="str">
        <f>IFERROR(VLOOKUP(C58,Customers!$A$2:$F$301,5,FALSE),"")</f>
        <v>Retail</v>
      </c>
      <c r="P58">
        <f>IFERROR(VLOOKUP(C58,Customers!$A$2:$F$301,3,FALSE),"")</f>
        <v>54</v>
      </c>
      <c r="Q58" s="41">
        <f t="shared" si="0"/>
        <v>0.51944444444444449</v>
      </c>
      <c r="R58" t="str">
        <f>IFERROR(VLOOKUP(C58,Customers!$A$2:$F$301,1,FALSE),"")</f>
        <v>CUST-0261</v>
      </c>
      <c r="S58" s="27" t="b">
        <f>IFERROR(VLOOKUP(D58,Products!$A$2:$F$61,6,FALSE),"")</f>
        <v>1</v>
      </c>
      <c r="BH58" s="32" t="str">
        <f>Products!A58</f>
        <v>PROD-057</v>
      </c>
      <c r="BI58" s="32" t="str">
        <f>Products!B58</f>
        <v>Tennis Ball Pack</v>
      </c>
      <c r="BJ58" s="43">
        <f t="shared" si="8"/>
        <v>32451.840000000004</v>
      </c>
      <c r="BK58" s="32" t="e">
        <f t="shared" ca="1" si="9"/>
        <v>#NAME?</v>
      </c>
      <c r="BL58">
        <v>0</v>
      </c>
      <c r="BM58">
        <v>0</v>
      </c>
      <c r="BN58">
        <v>1.8867924528301886E-2</v>
      </c>
      <c r="BO58">
        <v>0</v>
      </c>
      <c r="BP58">
        <v>0</v>
      </c>
    </row>
    <row r="59" spans="1:68" x14ac:dyDescent="0.35">
      <c r="A59" s="26" t="str">
        <f>Orders!A59</f>
        <v>ORD-00058</v>
      </c>
      <c r="B59" s="33">
        <f>Orders!B59</f>
        <v>45573</v>
      </c>
      <c r="C59" t="str">
        <f>Orders!C59</f>
        <v>CUST-0031</v>
      </c>
      <c r="D59" t="str">
        <f>Orders!D59</f>
        <v>PROD-026</v>
      </c>
      <c r="E59" t="str">
        <f>Orders!E59</f>
        <v>R007</v>
      </c>
      <c r="F59">
        <f>Orders!F59</f>
        <v>1</v>
      </c>
      <c r="G59" s="35">
        <f>Orders!G59</f>
        <v>4070</v>
      </c>
      <c r="H59" s="37">
        <f>Orders!H59</f>
        <v>6.7</v>
      </c>
      <c r="I59" s="39">
        <f>Orders!I59</f>
        <v>3797.31</v>
      </c>
      <c r="J59" t="str">
        <f>Orders!J59</f>
        <v>Completed</v>
      </c>
      <c r="K59" t="str">
        <f>Orders!K59</f>
        <v>Hyderabad</v>
      </c>
      <c r="L59" t="str">
        <f>IFERROR(VLOOKUP(D59,Products!$A$2:$F$61,3,FALSE),"")</f>
        <v>Grocery</v>
      </c>
      <c r="M59">
        <f>IFERROR(VLOOKUP(D59,Products!$A$2:$F$61,4,FALSE),"")</f>
        <v>2027</v>
      </c>
      <c r="N59" t="str">
        <f>IFERROR(VLOOKUP(E59,Sales_Reps!$A$2:$E$31,3,FALSE),"")</f>
        <v>North</v>
      </c>
      <c r="O59" t="str">
        <f>IFERROR(VLOOKUP(C59,Customers!$A$2:$F$301,5,FALSE),"")</f>
        <v>Retail</v>
      </c>
      <c r="P59">
        <f>IFERROR(VLOOKUP(C59,Customers!$A$2:$F$301,3,FALSE),"")</f>
        <v>53</v>
      </c>
      <c r="Q59" s="41">
        <f t="shared" si="0"/>
        <v>0.50196560196560192</v>
      </c>
      <c r="R59" t="str">
        <f>IFERROR(VLOOKUP(C59,Customers!$A$2:$F$301,1,FALSE),"")</f>
        <v>CUST-0031</v>
      </c>
      <c r="S59" s="27" t="b">
        <f>IFERROR(VLOOKUP(D59,Products!$A$2:$F$61,6,FALSE),"")</f>
        <v>1</v>
      </c>
      <c r="BH59" s="32" t="str">
        <f>Products!A59</f>
        <v>PROD-058</v>
      </c>
      <c r="BI59" s="32" t="str">
        <f>Products!B59</f>
        <v>Cycling Helmet</v>
      </c>
      <c r="BJ59" s="43">
        <f t="shared" si="8"/>
        <v>71772</v>
      </c>
      <c r="BK59" s="32" t="e">
        <f t="shared" ca="1" si="9"/>
        <v>#NAME?</v>
      </c>
      <c r="BL59">
        <v>0</v>
      </c>
      <c r="BM59">
        <v>0</v>
      </c>
      <c r="BN59">
        <v>2.1276595744680851E-2</v>
      </c>
      <c r="BO59">
        <v>0</v>
      </c>
      <c r="BP59">
        <v>0</v>
      </c>
    </row>
    <row r="60" spans="1:68" x14ac:dyDescent="0.35">
      <c r="A60" s="26" t="str">
        <f>Orders!A60</f>
        <v>ORD-00059</v>
      </c>
      <c r="B60" s="33">
        <f>Orders!B60</f>
        <v>45417</v>
      </c>
      <c r="C60" t="str">
        <f>Orders!C60</f>
        <v>CUST-0175</v>
      </c>
      <c r="D60" t="str">
        <f>Orders!D60</f>
        <v>PROD-009</v>
      </c>
      <c r="E60" t="str">
        <f>Orders!E60</f>
        <v>R030</v>
      </c>
      <c r="F60">
        <f>Orders!F60</f>
        <v>2</v>
      </c>
      <c r="G60" s="35">
        <f>Orders!G60</f>
        <v>1220</v>
      </c>
      <c r="H60" s="37">
        <f>Orders!H60</f>
        <v>11.7</v>
      </c>
      <c r="I60" s="39">
        <f>Orders!I60</f>
        <v>2154.52</v>
      </c>
      <c r="J60" t="str">
        <f>Orders!J60</f>
        <v>Cancelled</v>
      </c>
      <c r="K60" t="str">
        <f>Orders!K60</f>
        <v>Delhi</v>
      </c>
      <c r="L60" t="str">
        <f>IFERROR(VLOOKUP(D60,Products!$A$2:$F$61,3,FALSE),"")</f>
        <v>Electronics</v>
      </c>
      <c r="M60">
        <f>IFERROR(VLOOKUP(D60,Products!$A$2:$F$61,4,FALSE),"")</f>
        <v>517</v>
      </c>
      <c r="N60" t="str">
        <f>IFERROR(VLOOKUP(E60,Sales_Reps!$A$2:$E$31,3,FALSE),"")</f>
        <v>West</v>
      </c>
      <c r="O60" t="str">
        <f>IFERROR(VLOOKUP(C60,Customers!$A$2:$F$301,5,FALSE),"")</f>
        <v>Corporate</v>
      </c>
      <c r="P60">
        <f>IFERROR(VLOOKUP(C60,Customers!$A$2:$F$301,3,FALSE),"")</f>
        <v>55</v>
      </c>
      <c r="Q60" s="41">
        <f t="shared" si="0"/>
        <v>0.57622950819672136</v>
      </c>
      <c r="R60" t="str">
        <f>IFERROR(VLOOKUP(C60,Customers!$A$2:$F$301,1,FALSE),"")</f>
        <v>CUST-0175</v>
      </c>
      <c r="S60" s="27" t="b">
        <f>IFERROR(VLOOKUP(D60,Products!$A$2:$F$61,6,FALSE),"")</f>
        <v>1</v>
      </c>
      <c r="BH60" s="32" t="str">
        <f>Products!A60</f>
        <v>PROD-059</v>
      </c>
      <c r="BI60" s="32" t="str">
        <f>Products!B60</f>
        <v>Water Bottle 1L</v>
      </c>
      <c r="BJ60" s="43">
        <f t="shared" si="8"/>
        <v>150054.66</v>
      </c>
      <c r="BK60" s="32" t="e">
        <f t="shared" ca="1" si="9"/>
        <v>#NAME?</v>
      </c>
      <c r="BL60">
        <v>0</v>
      </c>
      <c r="BM60">
        <v>0</v>
      </c>
      <c r="BN60">
        <v>1.8867924528301886E-2</v>
      </c>
      <c r="BO60">
        <v>0</v>
      </c>
      <c r="BP60">
        <v>0</v>
      </c>
    </row>
    <row r="61" spans="1:68" x14ac:dyDescent="0.35">
      <c r="A61" s="26" t="str">
        <f>Orders!A61</f>
        <v>ORD-00060</v>
      </c>
      <c r="B61" s="33">
        <f>Orders!B61</f>
        <v>45425</v>
      </c>
      <c r="C61" t="str">
        <f>Orders!C61</f>
        <v>CUST-0263</v>
      </c>
      <c r="D61" t="str">
        <f>Orders!D61</f>
        <v>PROD-039</v>
      </c>
      <c r="E61" t="str">
        <f>Orders!E61</f>
        <v>R029</v>
      </c>
      <c r="F61">
        <f>Orders!F61</f>
        <v>4</v>
      </c>
      <c r="G61" s="35">
        <f>Orders!G61</f>
        <v>4610</v>
      </c>
      <c r="H61" s="37">
        <f>Orders!H61</f>
        <v>26.9</v>
      </c>
      <c r="I61" s="39">
        <f>Orders!I61</f>
        <v>13479.64</v>
      </c>
      <c r="J61" t="str">
        <f>Orders!J61</f>
        <v>Pending</v>
      </c>
      <c r="K61" t="str">
        <f>Orders!K61</f>
        <v>Mumbai</v>
      </c>
      <c r="L61" t="str">
        <f>IFERROR(VLOOKUP(D61,Products!$A$2:$F$61,3,FALSE),"")</f>
        <v>Home</v>
      </c>
      <c r="M61">
        <f>IFERROR(VLOOKUP(D61,Products!$A$2:$F$61,4,FALSE),"")</f>
        <v>1850</v>
      </c>
      <c r="N61" t="str">
        <f>IFERROR(VLOOKUP(E61,Sales_Reps!$A$2:$E$31,3,FALSE),"")</f>
        <v>West</v>
      </c>
      <c r="O61" t="str">
        <f>IFERROR(VLOOKUP(C61,Customers!$A$2:$F$301,5,FALSE),"")</f>
        <v>Retail</v>
      </c>
      <c r="P61">
        <f>IFERROR(VLOOKUP(C61,Customers!$A$2:$F$301,3,FALSE),"")</f>
        <v>40</v>
      </c>
      <c r="Q61" s="41">
        <f t="shared" si="0"/>
        <v>0.59869848156182215</v>
      </c>
      <c r="R61" t="str">
        <f>IFERROR(VLOOKUP(C61,Customers!$A$2:$F$301,1,FALSE),"")</f>
        <v>CUST-0263</v>
      </c>
      <c r="S61" s="27" t="b">
        <f>IFERROR(VLOOKUP(D61,Products!$A$2:$F$61,6,FALSE),"")</f>
        <v>1</v>
      </c>
      <c r="BH61" s="32" t="str">
        <f>Products!A61</f>
        <v>PROD-060</v>
      </c>
      <c r="BI61" s="32" t="str">
        <f>Products!B61</f>
        <v>Gym Gloves</v>
      </c>
      <c r="BJ61" s="43">
        <f t="shared" si="8"/>
        <v>7838.26</v>
      </c>
      <c r="BK61" s="32" t="e">
        <f t="shared" ca="1" si="9"/>
        <v>#NAME?</v>
      </c>
      <c r="BL61">
        <v>0</v>
      </c>
      <c r="BM61">
        <v>0</v>
      </c>
      <c r="BN61">
        <v>1.8867924528301886E-2</v>
      </c>
      <c r="BO61">
        <v>0</v>
      </c>
      <c r="BP61">
        <v>0</v>
      </c>
    </row>
    <row r="62" spans="1:68" x14ac:dyDescent="0.35">
      <c r="A62" s="26" t="str">
        <f>Orders!A62</f>
        <v>ORD-00061</v>
      </c>
      <c r="B62" s="33">
        <f>Orders!B62</f>
        <v>45589</v>
      </c>
      <c r="C62" t="str">
        <f>Orders!C62</f>
        <v>CUST-0203</v>
      </c>
      <c r="D62" t="str">
        <f>Orders!D62</f>
        <v>PROD-040</v>
      </c>
      <c r="E62" t="str">
        <f>Orders!E62</f>
        <v>R011</v>
      </c>
      <c r="F62">
        <f>Orders!F62</f>
        <v>8</v>
      </c>
      <c r="G62" s="35">
        <f>Orders!G62</f>
        <v>1080</v>
      </c>
      <c r="H62" s="37">
        <f>Orders!H62</f>
        <v>28.4</v>
      </c>
      <c r="I62" s="39">
        <f>Orders!I62</f>
        <v>6186.24</v>
      </c>
      <c r="J62" t="str">
        <f>Orders!J62</f>
        <v>Completed</v>
      </c>
      <c r="K62" t="str">
        <f>Orders!K62</f>
        <v>Chennai</v>
      </c>
      <c r="L62" t="str">
        <f>IFERROR(VLOOKUP(D62,Products!$A$2:$F$61,3,FALSE),"")</f>
        <v>Home</v>
      </c>
      <c r="M62">
        <f>IFERROR(VLOOKUP(D62,Products!$A$2:$F$61,4,FALSE),"")</f>
        <v>519</v>
      </c>
      <c r="N62" t="str">
        <f>IFERROR(VLOOKUP(E62,Sales_Reps!$A$2:$E$31,3,FALSE),"")</f>
        <v>South</v>
      </c>
      <c r="O62" t="str">
        <f>IFERROR(VLOOKUP(C62,Customers!$A$2:$F$301,5,FALSE),"")</f>
        <v>SMB</v>
      </c>
      <c r="P62">
        <f>IFERROR(VLOOKUP(C62,Customers!$A$2:$F$301,3,FALSE),"")</f>
        <v>55</v>
      </c>
      <c r="Q62" s="41">
        <f t="shared" si="0"/>
        <v>0.51944444444444449</v>
      </c>
      <c r="R62" t="str">
        <f>IFERROR(VLOOKUP(C62,Customers!$A$2:$F$301,1,FALSE),"")</f>
        <v>CUST-0203</v>
      </c>
      <c r="S62" s="27" t="b">
        <f>IFERROR(VLOOKUP(D62,Products!$A$2:$F$61,6,FALSE),"")</f>
        <v>1</v>
      </c>
      <c r="BL62">
        <v>0</v>
      </c>
      <c r="BM62">
        <v>0</v>
      </c>
      <c r="BN62">
        <v>1.9607843137254902E-2</v>
      </c>
      <c r="BO62">
        <v>0</v>
      </c>
      <c r="BP62">
        <v>0</v>
      </c>
    </row>
    <row r="63" spans="1:68" x14ac:dyDescent="0.35">
      <c r="A63" s="26" t="str">
        <f>Orders!A63</f>
        <v>ORD-00062</v>
      </c>
      <c r="B63" s="33">
        <f>Orders!B63</f>
        <v>45488</v>
      </c>
      <c r="C63" t="str">
        <f>Orders!C63</f>
        <v>CUST-0258</v>
      </c>
      <c r="D63" t="str">
        <f>Orders!D63</f>
        <v>PROD-045</v>
      </c>
      <c r="E63" t="str">
        <f>Orders!E63</f>
        <v>R006</v>
      </c>
      <c r="F63">
        <f>Orders!F63</f>
        <v>10</v>
      </c>
      <c r="G63" s="35">
        <f>Orders!G63</f>
        <v>3020</v>
      </c>
      <c r="H63" s="37">
        <f>Orders!H63</f>
        <v>25.4</v>
      </c>
      <c r="I63" s="39">
        <f>Orders!I63</f>
        <v>22529.200000000001</v>
      </c>
      <c r="J63" t="str">
        <f>Orders!J63</f>
        <v>Completed</v>
      </c>
      <c r="K63" t="str">
        <f>Orders!K63</f>
        <v>Pune</v>
      </c>
      <c r="L63" t="str">
        <f>IFERROR(VLOOKUP(D63,Products!$A$2:$F$61,3,FALSE),"")</f>
        <v>Beauty</v>
      </c>
      <c r="M63">
        <f>IFERROR(VLOOKUP(D63,Products!$A$2:$F$61,4,FALSE),"")</f>
        <v>1626</v>
      </c>
      <c r="N63" t="str">
        <f>IFERROR(VLOOKUP(E63,Sales_Reps!$A$2:$E$31,3,FALSE),"")</f>
        <v>North</v>
      </c>
      <c r="O63" t="str">
        <f>IFERROR(VLOOKUP(C63,Customers!$A$2:$F$301,5,FALSE),"")</f>
        <v>Retail</v>
      </c>
      <c r="P63">
        <f>IFERROR(VLOOKUP(C63,Customers!$A$2:$F$301,3,FALSE),"")</f>
        <v>44</v>
      </c>
      <c r="Q63" s="41">
        <f t="shared" si="0"/>
        <v>0.46158940397350995</v>
      </c>
      <c r="R63" t="str">
        <f>IFERROR(VLOOKUP(C63,Customers!$A$2:$F$301,1,FALSE),"")</f>
        <v>CUST-0258</v>
      </c>
      <c r="S63" s="27" t="b">
        <f>IFERROR(VLOOKUP(D63,Products!$A$2:$F$61,6,FALSE),"")</f>
        <v>1</v>
      </c>
      <c r="BL63">
        <v>0</v>
      </c>
      <c r="BM63">
        <v>0</v>
      </c>
      <c r="BN63">
        <v>1.8867924528301886E-2</v>
      </c>
      <c r="BO63">
        <v>0</v>
      </c>
      <c r="BP63">
        <v>0</v>
      </c>
    </row>
    <row r="64" spans="1:68" x14ac:dyDescent="0.35">
      <c r="A64" s="26" t="str">
        <f>Orders!A64</f>
        <v>ORD-00063</v>
      </c>
      <c r="B64" s="33">
        <f>Orders!B64</f>
        <v>45465</v>
      </c>
      <c r="C64" t="str">
        <f>Orders!C64</f>
        <v>CUST-0282</v>
      </c>
      <c r="D64" t="str">
        <f>Orders!D64</f>
        <v>PROD-008</v>
      </c>
      <c r="E64" t="str">
        <f>Orders!E64</f>
        <v>R017</v>
      </c>
      <c r="F64">
        <f>Orders!F64</f>
        <v>7</v>
      </c>
      <c r="G64" s="35">
        <f>Orders!G64</f>
        <v>2660</v>
      </c>
      <c r="H64" s="37">
        <f>Orders!H64</f>
        <v>5.3</v>
      </c>
      <c r="I64" s="39">
        <f>Orders!I64</f>
        <v>17633.14</v>
      </c>
      <c r="J64" t="str">
        <f>Orders!J64</f>
        <v>Completed</v>
      </c>
      <c r="K64" t="str">
        <f>Orders!K64</f>
        <v>Hyderabad</v>
      </c>
      <c r="L64" t="str">
        <f>IFERROR(VLOOKUP(D64,Products!$A$2:$F$61,3,FALSE),"")</f>
        <v>Electronics</v>
      </c>
      <c r="M64">
        <f>IFERROR(VLOOKUP(D64,Products!$A$2:$F$61,4,FALSE),"")</f>
        <v>1259</v>
      </c>
      <c r="N64" t="str">
        <f>IFERROR(VLOOKUP(E64,Sales_Reps!$A$2:$E$31,3,FALSE),"")</f>
        <v>East</v>
      </c>
      <c r="O64" t="str">
        <f>IFERROR(VLOOKUP(C64,Customers!$A$2:$F$301,5,FALSE),"")</f>
        <v>Corporate</v>
      </c>
      <c r="P64">
        <f>IFERROR(VLOOKUP(C64,Customers!$A$2:$F$301,3,FALSE),"")</f>
        <v>29</v>
      </c>
      <c r="Q64" s="41">
        <f t="shared" si="0"/>
        <v>0.52669172932330832</v>
      </c>
      <c r="R64" t="str">
        <f>IFERROR(VLOOKUP(C64,Customers!$A$2:$F$301,1,FALSE),"")</f>
        <v>CUST-0282</v>
      </c>
      <c r="S64" s="27" t="b">
        <f>IFERROR(VLOOKUP(D64,Products!$A$2:$F$61,6,FALSE),"")</f>
        <v>0</v>
      </c>
      <c r="BL64">
        <v>0</v>
      </c>
      <c r="BM64">
        <v>0</v>
      </c>
      <c r="BN64">
        <v>1.8518518518518517E-2</v>
      </c>
      <c r="BO64">
        <v>0</v>
      </c>
      <c r="BP64">
        <v>1</v>
      </c>
    </row>
    <row r="65" spans="1:68" x14ac:dyDescent="0.35">
      <c r="A65" s="26" t="str">
        <f>Orders!A65</f>
        <v>ORD-00064</v>
      </c>
      <c r="B65" s="33">
        <f>Orders!B65</f>
        <v>45599</v>
      </c>
      <c r="C65" t="str">
        <f>Orders!C65</f>
        <v>CUST-0168</v>
      </c>
      <c r="D65" t="str">
        <f>Orders!D65</f>
        <v>PROD-005</v>
      </c>
      <c r="E65" t="str">
        <f>Orders!E65</f>
        <v>R003</v>
      </c>
      <c r="F65">
        <f>Orders!F65</f>
        <v>9</v>
      </c>
      <c r="G65" s="35">
        <f>Orders!G65</f>
        <v>300</v>
      </c>
      <c r="H65" s="37">
        <f>Orders!H65</f>
        <v>25.3</v>
      </c>
      <c r="I65" s="39">
        <f>Orders!I65</f>
        <v>2016.9</v>
      </c>
      <c r="J65" t="str">
        <f>Orders!J65</f>
        <v>Completed</v>
      </c>
      <c r="K65" t="str">
        <f>Orders!K65</f>
        <v>Pune</v>
      </c>
      <c r="L65" t="str">
        <f>IFERROR(VLOOKUP(D65,Products!$A$2:$F$61,3,FALSE),"")</f>
        <v>Electronics</v>
      </c>
      <c r="M65">
        <f>IFERROR(VLOOKUP(D65,Products!$A$2:$F$61,4,FALSE),"")</f>
        <v>128</v>
      </c>
      <c r="N65" t="str">
        <f>IFERROR(VLOOKUP(E65,Sales_Reps!$A$2:$E$31,3,FALSE),"")</f>
        <v>North</v>
      </c>
      <c r="O65" t="str">
        <f>IFERROR(VLOOKUP(C65,Customers!$A$2:$F$301,5,FALSE),"")</f>
        <v>Retail</v>
      </c>
      <c r="P65">
        <f>IFERROR(VLOOKUP(C65,Customers!$A$2:$F$301,3,FALSE),"")</f>
        <v>25</v>
      </c>
      <c r="Q65" s="41">
        <f t="shared" si="0"/>
        <v>0.57333333333333336</v>
      </c>
      <c r="R65" t="str">
        <f>IFERROR(VLOOKUP(C65,Customers!$A$2:$F$301,1,FALSE),"")</f>
        <v>CUST-0168</v>
      </c>
      <c r="S65" s="27" t="b">
        <f>IFERROR(VLOOKUP(D65,Products!$A$2:$F$61,6,FALSE),"")</f>
        <v>1</v>
      </c>
      <c r="BL65">
        <v>0</v>
      </c>
      <c r="BM65">
        <v>0</v>
      </c>
      <c r="BN65">
        <v>1.9607843137254902E-2</v>
      </c>
      <c r="BO65">
        <v>0</v>
      </c>
      <c r="BP65">
        <v>0</v>
      </c>
    </row>
    <row r="66" spans="1:68" x14ac:dyDescent="0.35">
      <c r="A66" s="26" t="str">
        <f>Orders!A66</f>
        <v>ORD-00065</v>
      </c>
      <c r="B66" s="33">
        <f>Orders!B66</f>
        <v>45317</v>
      </c>
      <c r="C66" t="str">
        <f>Orders!C66</f>
        <v>CUST-0040</v>
      </c>
      <c r="D66" t="str">
        <f>Orders!D66</f>
        <v>PROD-010</v>
      </c>
      <c r="E66" t="str">
        <f>Orders!E66</f>
        <v>R022</v>
      </c>
      <c r="F66">
        <f>Orders!F66</f>
        <v>10</v>
      </c>
      <c r="G66" s="35">
        <f>Orders!G66</f>
        <v>2640</v>
      </c>
      <c r="H66" s="37">
        <f>Orders!H66</f>
        <v>18.7</v>
      </c>
      <c r="I66" s="39">
        <f>Orders!I66</f>
        <v>21463.200000000001</v>
      </c>
      <c r="J66" t="str">
        <f>Orders!J66</f>
        <v>Cancelled</v>
      </c>
      <c r="K66" t="str">
        <f>Orders!K66</f>
        <v>Chennai</v>
      </c>
      <c r="L66" t="str">
        <f>IFERROR(VLOOKUP(D66,Products!$A$2:$F$61,3,FALSE),"")</f>
        <v>Electronics</v>
      </c>
      <c r="M66">
        <f>IFERROR(VLOOKUP(D66,Products!$A$2:$F$61,4,FALSE),"")</f>
        <v>1149</v>
      </c>
      <c r="N66" t="str">
        <f>IFERROR(VLOOKUP(E66,Sales_Reps!$A$2:$E$31,3,FALSE),"")</f>
        <v>East</v>
      </c>
      <c r="O66" t="str">
        <f>IFERROR(VLOOKUP(C66,Customers!$A$2:$F$301,5,FALSE),"")</f>
        <v>Retail</v>
      </c>
      <c r="P66">
        <f>IFERROR(VLOOKUP(C66,Customers!$A$2:$F$301,3,FALSE),"")</f>
        <v>28</v>
      </c>
      <c r="Q66" s="41">
        <f t="shared" ref="Q66:Q129" si="10">IFERROR((G66-M66)/G66,0)</f>
        <v>0.56477272727272732</v>
      </c>
      <c r="R66" t="str">
        <f>IFERROR(VLOOKUP(C66,Customers!$A$2:$F$301,1,FALSE),"")</f>
        <v>CUST-0040</v>
      </c>
      <c r="S66" s="27" t="b">
        <f>IFERROR(VLOOKUP(D66,Products!$A$2:$F$61,6,FALSE),"")</f>
        <v>1</v>
      </c>
      <c r="BL66">
        <v>0</v>
      </c>
      <c r="BM66">
        <v>0</v>
      </c>
      <c r="BN66">
        <v>1.8867924528301886E-2</v>
      </c>
      <c r="BO66">
        <v>0</v>
      </c>
      <c r="BP66">
        <v>0</v>
      </c>
    </row>
    <row r="67" spans="1:68" x14ac:dyDescent="0.35">
      <c r="A67" s="26" t="str">
        <f>Orders!A67</f>
        <v>ORD-00066</v>
      </c>
      <c r="B67" s="33">
        <f>Orders!B67</f>
        <v>45462</v>
      </c>
      <c r="C67" t="str">
        <f>Orders!C67</f>
        <v>CUST-0283</v>
      </c>
      <c r="D67" t="str">
        <f>Orders!D67</f>
        <v>PROD-020</v>
      </c>
      <c r="E67" t="str">
        <f>Orders!E67</f>
        <v>R020</v>
      </c>
      <c r="F67">
        <f>Orders!F67</f>
        <v>8</v>
      </c>
      <c r="G67" s="35">
        <f>Orders!G67</f>
        <v>820</v>
      </c>
      <c r="H67" s="37">
        <f>Orders!H67</f>
        <v>24</v>
      </c>
      <c r="I67" s="39">
        <f>Orders!I67</f>
        <v>4985.6000000000004</v>
      </c>
      <c r="J67" t="str">
        <f>Orders!J67</f>
        <v>Completed</v>
      </c>
      <c r="K67" t="str">
        <f>Orders!K67</f>
        <v>Delhi</v>
      </c>
      <c r="L67" t="str">
        <f>IFERROR(VLOOKUP(D67,Products!$A$2:$F$61,3,FALSE),"")</f>
        <v>Apparel</v>
      </c>
      <c r="M67">
        <f>IFERROR(VLOOKUP(D67,Products!$A$2:$F$61,4,FALSE),"")</f>
        <v>391</v>
      </c>
      <c r="N67" t="str">
        <f>IFERROR(VLOOKUP(E67,Sales_Reps!$A$2:$E$31,3,FALSE),"")</f>
        <v>East</v>
      </c>
      <c r="O67" t="str">
        <f>IFERROR(VLOOKUP(C67,Customers!$A$2:$F$301,5,FALSE),"")</f>
        <v>SMB</v>
      </c>
      <c r="P67">
        <f>IFERROR(VLOOKUP(C67,Customers!$A$2:$F$301,3,FALSE),"")</f>
        <v>50</v>
      </c>
      <c r="Q67" s="41">
        <f t="shared" si="10"/>
        <v>0.52317073170731709</v>
      </c>
      <c r="R67" t="str">
        <f>IFERROR(VLOOKUP(C67,Customers!$A$2:$F$301,1,FALSE),"")</f>
        <v>CUST-0283</v>
      </c>
      <c r="S67" s="27" t="b">
        <f>IFERROR(VLOOKUP(D67,Products!$A$2:$F$61,6,FALSE),"")</f>
        <v>1</v>
      </c>
      <c r="BL67">
        <v>0</v>
      </c>
      <c r="BM67">
        <v>0</v>
      </c>
      <c r="BN67">
        <v>2.3809523809523808E-2</v>
      </c>
      <c r="BO67">
        <v>0</v>
      </c>
      <c r="BP67">
        <v>0</v>
      </c>
    </row>
    <row r="68" spans="1:68" x14ac:dyDescent="0.35">
      <c r="A68" s="26" t="str">
        <f>Orders!A68</f>
        <v>ORD-00067</v>
      </c>
      <c r="B68" s="33">
        <f>Orders!B68</f>
        <v>45499</v>
      </c>
      <c r="C68" t="str">
        <f>Orders!C68</f>
        <v>CUST-0202</v>
      </c>
      <c r="D68" t="str">
        <f>Orders!D68</f>
        <v>PROD-021</v>
      </c>
      <c r="E68" t="str">
        <f>Orders!E68</f>
        <v>R028</v>
      </c>
      <c r="F68">
        <f>Orders!F68</f>
        <v>1</v>
      </c>
      <c r="G68" s="35">
        <f>Orders!G68</f>
        <v>2760</v>
      </c>
      <c r="H68" s="37">
        <f>Orders!H68</f>
        <v>4.8</v>
      </c>
      <c r="I68" s="39">
        <f>Orders!I68</f>
        <v>2627.52</v>
      </c>
      <c r="J68" t="str">
        <f>Orders!J68</f>
        <v>Completed</v>
      </c>
      <c r="K68" t="str">
        <f>Orders!K68</f>
        <v>Chennai</v>
      </c>
      <c r="L68" t="str">
        <f>IFERROR(VLOOKUP(D68,Products!$A$2:$F$61,3,FALSE),"")</f>
        <v>Grocery</v>
      </c>
      <c r="M68">
        <f>IFERROR(VLOOKUP(D68,Products!$A$2:$F$61,4,FALSE),"")</f>
        <v>1435</v>
      </c>
      <c r="N68" t="str">
        <f>IFERROR(VLOOKUP(E68,Sales_Reps!$A$2:$E$31,3,FALSE),"")</f>
        <v>West</v>
      </c>
      <c r="O68" t="str">
        <f>IFERROR(VLOOKUP(C68,Customers!$A$2:$F$301,5,FALSE),"")</f>
        <v>Retail</v>
      </c>
      <c r="P68">
        <f>IFERROR(VLOOKUP(C68,Customers!$A$2:$F$301,3,FALSE),"")</f>
        <v>39</v>
      </c>
      <c r="Q68" s="41">
        <f t="shared" si="10"/>
        <v>0.48007246376811596</v>
      </c>
      <c r="R68" t="str">
        <f>IFERROR(VLOOKUP(C68,Customers!$A$2:$F$301,1,FALSE),"")</f>
        <v>CUST-0202</v>
      </c>
      <c r="S68" s="27" t="b">
        <f>IFERROR(VLOOKUP(D68,Products!$A$2:$F$61,6,FALSE),"")</f>
        <v>1</v>
      </c>
      <c r="BL68">
        <v>0</v>
      </c>
      <c r="BM68">
        <v>0</v>
      </c>
      <c r="BN68">
        <v>2.3809523809523808E-2</v>
      </c>
      <c r="BO68">
        <v>0</v>
      </c>
      <c r="BP68">
        <v>0</v>
      </c>
    </row>
    <row r="69" spans="1:68" x14ac:dyDescent="0.35">
      <c r="A69" s="26" t="str">
        <f>Orders!A69</f>
        <v>ORD-00068</v>
      </c>
      <c r="B69" s="33">
        <f>Orders!B69</f>
        <v>45328</v>
      </c>
      <c r="C69" t="str">
        <f>Orders!C69</f>
        <v>CUST-0161</v>
      </c>
      <c r="D69" t="str">
        <f>Orders!D69</f>
        <v>PROD-014</v>
      </c>
      <c r="E69" t="str">
        <f>Orders!E69</f>
        <v>R017</v>
      </c>
      <c r="F69">
        <f>Orders!F69</f>
        <v>2</v>
      </c>
      <c r="G69" s="35">
        <f>Orders!G69</f>
        <v>3620</v>
      </c>
      <c r="H69" s="37">
        <f>Orders!H69</f>
        <v>19.100000000000001</v>
      </c>
      <c r="I69" s="39">
        <f>Orders!I69</f>
        <v>5857.16</v>
      </c>
      <c r="J69" t="str">
        <f>Orders!J69</f>
        <v>Completed</v>
      </c>
      <c r="K69" t="str">
        <f>Orders!K69</f>
        <v>Chennai</v>
      </c>
      <c r="L69" t="str">
        <f>IFERROR(VLOOKUP(D69,Products!$A$2:$F$61,3,FALSE),"")</f>
        <v>Apparel</v>
      </c>
      <c r="M69">
        <f>IFERROR(VLOOKUP(D69,Products!$A$2:$F$61,4,FALSE),"")</f>
        <v>2509</v>
      </c>
      <c r="N69" t="str">
        <f>IFERROR(VLOOKUP(E69,Sales_Reps!$A$2:$E$31,3,FALSE),"")</f>
        <v>East</v>
      </c>
      <c r="O69" t="str">
        <f>IFERROR(VLOOKUP(C69,Customers!$A$2:$F$301,5,FALSE),"")</f>
        <v>Retail</v>
      </c>
      <c r="P69">
        <f>IFERROR(VLOOKUP(C69,Customers!$A$2:$F$301,3,FALSE),"")</f>
        <v>38</v>
      </c>
      <c r="Q69" s="41">
        <f t="shared" si="10"/>
        <v>0.3069060773480663</v>
      </c>
      <c r="R69" t="str">
        <f>IFERROR(VLOOKUP(C69,Customers!$A$2:$F$301,1,FALSE),"")</f>
        <v>CUST-0161</v>
      </c>
      <c r="S69" s="27" t="b">
        <f>IFERROR(VLOOKUP(D69,Products!$A$2:$F$61,6,FALSE),"")</f>
        <v>1</v>
      </c>
      <c r="BL69">
        <v>0</v>
      </c>
      <c r="BM69">
        <v>0</v>
      </c>
      <c r="BN69">
        <v>2.3809523809523808E-2</v>
      </c>
      <c r="BO69">
        <v>0</v>
      </c>
      <c r="BP69">
        <v>0</v>
      </c>
    </row>
    <row r="70" spans="1:68" x14ac:dyDescent="0.35">
      <c r="A70" s="26" t="str">
        <f>Orders!A70</f>
        <v>ORD-00069</v>
      </c>
      <c r="B70" s="33">
        <f>Orders!B70</f>
        <v>45459</v>
      </c>
      <c r="C70" t="str">
        <f>Orders!C70</f>
        <v>CUST-0033</v>
      </c>
      <c r="D70" t="str">
        <f>Orders!D70</f>
        <v>PROD-016</v>
      </c>
      <c r="E70" t="str">
        <f>Orders!E70</f>
        <v>R025</v>
      </c>
      <c r="F70">
        <f>Orders!F70</f>
        <v>1</v>
      </c>
      <c r="G70" s="35">
        <f>Orders!G70</f>
        <v>620</v>
      </c>
      <c r="H70" s="37">
        <f>Orders!H70</f>
        <v>1</v>
      </c>
      <c r="I70" s="39">
        <f>Orders!I70</f>
        <v>613.79999999999995</v>
      </c>
      <c r="J70" t="str">
        <f>Orders!J70</f>
        <v>Completed</v>
      </c>
      <c r="K70" t="str">
        <f>Orders!K70</f>
        <v>Delhi</v>
      </c>
      <c r="L70" t="str">
        <f>IFERROR(VLOOKUP(D70,Products!$A$2:$F$61,3,FALSE),"")</f>
        <v>Apparel</v>
      </c>
      <c r="M70">
        <f>IFERROR(VLOOKUP(D70,Products!$A$2:$F$61,4,FALSE),"")</f>
        <v>396</v>
      </c>
      <c r="N70" t="str">
        <f>IFERROR(VLOOKUP(E70,Sales_Reps!$A$2:$E$31,3,FALSE),"")</f>
        <v>West</v>
      </c>
      <c r="O70" t="str">
        <f>IFERROR(VLOOKUP(C70,Customers!$A$2:$F$301,5,FALSE),"")</f>
        <v>Retail</v>
      </c>
      <c r="P70">
        <f>IFERROR(VLOOKUP(C70,Customers!$A$2:$F$301,3,FALSE),"")</f>
        <v>35</v>
      </c>
      <c r="Q70" s="41">
        <f t="shared" si="10"/>
        <v>0.36129032258064514</v>
      </c>
      <c r="R70" t="str">
        <f>IFERROR(VLOOKUP(C70,Customers!$A$2:$F$301,1,FALSE),"")</f>
        <v>CUST-0033</v>
      </c>
      <c r="S70" s="27" t="b">
        <f>IFERROR(VLOOKUP(D70,Products!$A$2:$F$61,6,FALSE),"")</f>
        <v>1</v>
      </c>
      <c r="BL70">
        <v>0</v>
      </c>
      <c r="BM70">
        <v>0</v>
      </c>
      <c r="BN70">
        <v>1.8867924528301886E-2</v>
      </c>
      <c r="BO70">
        <v>0</v>
      </c>
      <c r="BP70">
        <v>0</v>
      </c>
    </row>
    <row r="71" spans="1:68" x14ac:dyDescent="0.35">
      <c r="A71" s="26" t="str">
        <f>Orders!A71</f>
        <v>ORD-00070</v>
      </c>
      <c r="B71" s="33">
        <f>Orders!B71</f>
        <v>45398</v>
      </c>
      <c r="C71" t="str">
        <f>Orders!C71</f>
        <v>CUST-0191</v>
      </c>
      <c r="D71" t="str">
        <f>Orders!D71</f>
        <v>PROD-033</v>
      </c>
      <c r="E71" t="str">
        <f>Orders!E71</f>
        <v>R030</v>
      </c>
      <c r="F71">
        <f>Orders!F71</f>
        <v>1</v>
      </c>
      <c r="G71" s="35">
        <f>Orders!G71</f>
        <v>2030</v>
      </c>
      <c r="H71" s="37">
        <f>Orders!H71</f>
        <v>3.3</v>
      </c>
      <c r="I71" s="39">
        <f>Orders!I71</f>
        <v>1963.01</v>
      </c>
      <c r="J71" t="str">
        <f>Orders!J71</f>
        <v>Completed</v>
      </c>
      <c r="K71" t="str">
        <f>Orders!K71</f>
        <v>Hyderabad</v>
      </c>
      <c r="L71" t="str">
        <f>IFERROR(VLOOKUP(D71,Products!$A$2:$F$61,3,FALSE),"")</f>
        <v>Home</v>
      </c>
      <c r="M71">
        <f>IFERROR(VLOOKUP(D71,Products!$A$2:$F$61,4,FALSE),"")</f>
        <v>1143</v>
      </c>
      <c r="N71" t="str">
        <f>IFERROR(VLOOKUP(E71,Sales_Reps!$A$2:$E$31,3,FALSE),"")</f>
        <v>West</v>
      </c>
      <c r="O71" t="str">
        <f>IFERROR(VLOOKUP(C71,Customers!$A$2:$F$301,5,FALSE),"")</f>
        <v>SMB</v>
      </c>
      <c r="P71">
        <f>IFERROR(VLOOKUP(C71,Customers!$A$2:$F$301,3,FALSE),"")</f>
        <v>43</v>
      </c>
      <c r="Q71" s="41">
        <f t="shared" si="10"/>
        <v>0.43694581280788175</v>
      </c>
      <c r="R71" t="str">
        <f>IFERROR(VLOOKUP(C71,Customers!$A$2:$F$301,1,FALSE),"")</f>
        <v>CUST-0191</v>
      </c>
      <c r="S71" s="27" t="b">
        <f>IFERROR(VLOOKUP(D71,Products!$A$2:$F$61,6,FALSE),"")</f>
        <v>1</v>
      </c>
      <c r="BL71">
        <v>0</v>
      </c>
      <c r="BM71">
        <v>0</v>
      </c>
      <c r="BN71">
        <v>1.8518518518518517E-2</v>
      </c>
      <c r="BO71">
        <v>0</v>
      </c>
      <c r="BP71">
        <v>0</v>
      </c>
    </row>
    <row r="72" spans="1:68" x14ac:dyDescent="0.35">
      <c r="A72" s="26" t="str">
        <f>Orders!A72</f>
        <v>ORD-00071</v>
      </c>
      <c r="B72" s="33">
        <f>Orders!B72</f>
        <v>45470</v>
      </c>
      <c r="C72" t="str">
        <f>Orders!C72</f>
        <v>CUST-0180</v>
      </c>
      <c r="D72" t="str">
        <f>Orders!D72</f>
        <v>PROD-012</v>
      </c>
      <c r="E72" t="str">
        <f>Orders!E72</f>
        <v>R002</v>
      </c>
      <c r="F72">
        <f>Orders!F72</f>
        <v>10</v>
      </c>
      <c r="G72" s="35">
        <f>Orders!G72</f>
        <v>3160</v>
      </c>
      <c r="H72" s="37">
        <f>Orders!H72</f>
        <v>15.8</v>
      </c>
      <c r="I72" s="39">
        <f>Orders!I72</f>
        <v>26607.200000000001</v>
      </c>
      <c r="J72" t="str">
        <f>Orders!J72</f>
        <v>Completed</v>
      </c>
      <c r="K72" t="str">
        <f>Orders!K72</f>
        <v>Chennai</v>
      </c>
      <c r="L72" t="str">
        <f>IFERROR(VLOOKUP(D72,Products!$A$2:$F$61,3,FALSE),"")</f>
        <v>Apparel</v>
      </c>
      <c r="M72">
        <f>IFERROR(VLOOKUP(D72,Products!$A$2:$F$61,4,FALSE),"")</f>
        <v>1886</v>
      </c>
      <c r="N72" t="str">
        <f>IFERROR(VLOOKUP(E72,Sales_Reps!$A$2:$E$31,3,FALSE),"")</f>
        <v>North</v>
      </c>
      <c r="O72" t="str">
        <f>IFERROR(VLOOKUP(C72,Customers!$A$2:$F$301,5,FALSE),"")</f>
        <v>Retail</v>
      </c>
      <c r="P72">
        <f>IFERROR(VLOOKUP(C72,Customers!$A$2:$F$301,3,FALSE),"")</f>
        <v>36</v>
      </c>
      <c r="Q72" s="41">
        <f t="shared" si="10"/>
        <v>0.4031645569620253</v>
      </c>
      <c r="R72" t="str">
        <f>IFERROR(VLOOKUP(C72,Customers!$A$2:$F$301,1,FALSE),"")</f>
        <v>CUST-0180</v>
      </c>
      <c r="S72" s="27" t="b">
        <f>IFERROR(VLOOKUP(D72,Products!$A$2:$F$61,6,FALSE),"")</f>
        <v>1</v>
      </c>
      <c r="BL72">
        <v>0</v>
      </c>
      <c r="BM72">
        <v>0</v>
      </c>
      <c r="BN72">
        <v>2.3809523809523808E-2</v>
      </c>
      <c r="BO72">
        <v>0</v>
      </c>
      <c r="BP72">
        <v>0</v>
      </c>
    </row>
    <row r="73" spans="1:68" x14ac:dyDescent="0.35">
      <c r="A73" s="26" t="str">
        <f>Orders!A73</f>
        <v>ORD-00072</v>
      </c>
      <c r="B73" s="33">
        <f>Orders!B73</f>
        <v>45346</v>
      </c>
      <c r="C73" t="str">
        <f>Orders!C73</f>
        <v>CUST-0129</v>
      </c>
      <c r="D73" t="str">
        <f>Orders!D73</f>
        <v>PROD-030</v>
      </c>
      <c r="E73" t="str">
        <f>Orders!E73</f>
        <v>R001</v>
      </c>
      <c r="F73">
        <f>Orders!F73</f>
        <v>5</v>
      </c>
      <c r="G73" s="35">
        <f>Orders!G73</f>
        <v>970</v>
      </c>
      <c r="H73" s="37">
        <f>Orders!H73</f>
        <v>12.2</v>
      </c>
      <c r="I73" s="39">
        <f>Orders!I73</f>
        <v>4258.3</v>
      </c>
      <c r="J73" t="str">
        <f>Orders!J73</f>
        <v>Completed</v>
      </c>
      <c r="K73" t="str">
        <f>Orders!K73</f>
        <v>Hyderabad</v>
      </c>
      <c r="L73" t="str">
        <f>IFERROR(VLOOKUP(D73,Products!$A$2:$F$61,3,FALSE),"")</f>
        <v>Grocery</v>
      </c>
      <c r="M73">
        <f>IFERROR(VLOOKUP(D73,Products!$A$2:$F$61,4,FALSE),"")</f>
        <v>434</v>
      </c>
      <c r="N73" t="str">
        <f>IFERROR(VLOOKUP(E73,Sales_Reps!$A$2:$E$31,3,FALSE),"")</f>
        <v>North</v>
      </c>
      <c r="O73" t="str">
        <f>IFERROR(VLOOKUP(C73,Customers!$A$2:$F$301,5,FALSE),"")</f>
        <v>Retail</v>
      </c>
      <c r="P73">
        <f>IFERROR(VLOOKUP(C73,Customers!$A$2:$F$301,3,FALSE),"")</f>
        <v>29</v>
      </c>
      <c r="Q73" s="41">
        <f t="shared" si="10"/>
        <v>0.5525773195876289</v>
      </c>
      <c r="R73" t="str">
        <f>IFERROR(VLOOKUP(C73,Customers!$A$2:$F$301,1,FALSE),"")</f>
        <v>CUST-0129</v>
      </c>
      <c r="S73" s="27" t="b">
        <f>IFERROR(VLOOKUP(D73,Products!$A$2:$F$61,6,FALSE),"")</f>
        <v>1</v>
      </c>
      <c r="BL73">
        <v>0</v>
      </c>
      <c r="BM73">
        <v>1</v>
      </c>
      <c r="BN73">
        <v>1.8518518518518517E-2</v>
      </c>
      <c r="BO73">
        <v>0</v>
      </c>
      <c r="BP73">
        <v>0</v>
      </c>
    </row>
    <row r="74" spans="1:68" x14ac:dyDescent="0.35">
      <c r="A74" s="26" t="str">
        <f>Orders!A74</f>
        <v>ORD-00073</v>
      </c>
      <c r="B74" s="33">
        <f>Orders!B74</f>
        <v>45483</v>
      </c>
      <c r="C74" t="str">
        <f>Orders!C74</f>
        <v>CUST-0189</v>
      </c>
      <c r="D74" t="str">
        <f>Orders!D74</f>
        <v>PROD-043</v>
      </c>
      <c r="E74" t="str">
        <f>Orders!E74</f>
        <v>R003</v>
      </c>
      <c r="F74">
        <f>Orders!F74</f>
        <v>9</v>
      </c>
      <c r="G74" s="35">
        <f>Orders!G74</f>
        <v>3350</v>
      </c>
      <c r="H74" s="37">
        <f>Orders!H74</f>
        <v>25.8</v>
      </c>
      <c r="I74" s="39">
        <f>Orders!I74</f>
        <v>22371.3</v>
      </c>
      <c r="J74" t="str">
        <f>Orders!J74</f>
        <v>Pending</v>
      </c>
      <c r="K74" t="str">
        <f>Orders!K74</f>
        <v>Chennai</v>
      </c>
      <c r="L74" t="str">
        <f>IFERROR(VLOOKUP(D74,Products!$A$2:$F$61,3,FALSE),"")</f>
        <v>Beauty</v>
      </c>
      <c r="M74">
        <f>IFERROR(VLOOKUP(D74,Products!$A$2:$F$61,4,FALSE),"")</f>
        <v>1728</v>
      </c>
      <c r="N74" t="str">
        <f>IFERROR(VLOOKUP(E74,Sales_Reps!$A$2:$E$31,3,FALSE),"")</f>
        <v>North</v>
      </c>
      <c r="O74" t="str">
        <f>IFERROR(VLOOKUP(C74,Customers!$A$2:$F$301,5,FALSE),"")</f>
        <v>Retail</v>
      </c>
      <c r="P74">
        <f>IFERROR(VLOOKUP(C74,Customers!$A$2:$F$301,3,FALSE),"")</f>
        <v>41</v>
      </c>
      <c r="Q74" s="41">
        <f t="shared" si="10"/>
        <v>0.48417910447761192</v>
      </c>
      <c r="R74" t="str">
        <f>IFERROR(VLOOKUP(C74,Customers!$A$2:$F$301,1,FALSE),"")</f>
        <v>CUST-0189</v>
      </c>
      <c r="S74" s="27" t="b">
        <f>IFERROR(VLOOKUP(D74,Products!$A$2:$F$61,6,FALSE),"")</f>
        <v>1</v>
      </c>
      <c r="BL74">
        <v>0</v>
      </c>
      <c r="BM74">
        <v>0</v>
      </c>
      <c r="BN74">
        <v>1.8867924528301886E-2</v>
      </c>
      <c r="BO74">
        <v>0</v>
      </c>
      <c r="BP74">
        <v>0</v>
      </c>
    </row>
    <row r="75" spans="1:68" x14ac:dyDescent="0.35">
      <c r="A75" s="26" t="str">
        <f>Orders!A75</f>
        <v>ORD-00074</v>
      </c>
      <c r="B75" s="33">
        <f>Orders!B75</f>
        <v>45585</v>
      </c>
      <c r="C75" t="str">
        <f>Orders!C75</f>
        <v>CUST-0194</v>
      </c>
      <c r="D75" t="str">
        <f>Orders!D75</f>
        <v>PROD-032</v>
      </c>
      <c r="E75" t="str">
        <f>Orders!E75</f>
        <v>R018</v>
      </c>
      <c r="F75">
        <f>Orders!F75</f>
        <v>1</v>
      </c>
      <c r="G75" s="35">
        <f>Orders!G75</f>
        <v>370</v>
      </c>
      <c r="H75" s="37">
        <f>Orders!H75</f>
        <v>28.9</v>
      </c>
      <c r="I75" s="39">
        <f>Orders!I75</f>
        <v>263.07</v>
      </c>
      <c r="J75" t="str">
        <f>Orders!J75</f>
        <v>Completed</v>
      </c>
      <c r="K75" t="str">
        <f>Orders!K75</f>
        <v>Delhi</v>
      </c>
      <c r="L75" t="str">
        <f>IFERROR(VLOOKUP(D75,Products!$A$2:$F$61,3,FALSE),"")</f>
        <v>Home</v>
      </c>
      <c r="M75">
        <f>IFERROR(VLOOKUP(D75,Products!$A$2:$F$61,4,FALSE),"")</f>
        <v>288</v>
      </c>
      <c r="N75" t="str">
        <f>IFERROR(VLOOKUP(E75,Sales_Reps!$A$2:$E$31,3,FALSE),"")</f>
        <v>East</v>
      </c>
      <c r="O75" t="str">
        <f>IFERROR(VLOOKUP(C75,Customers!$A$2:$F$301,5,FALSE),"")</f>
        <v>SMB</v>
      </c>
      <c r="P75">
        <f>IFERROR(VLOOKUP(C75,Customers!$A$2:$F$301,3,FALSE),"")</f>
        <v>55</v>
      </c>
      <c r="Q75" s="41">
        <f t="shared" si="10"/>
        <v>0.22162162162162163</v>
      </c>
      <c r="R75" t="str">
        <f>IFERROR(VLOOKUP(C75,Customers!$A$2:$F$301,1,FALSE),"")</f>
        <v>CUST-0194</v>
      </c>
      <c r="S75" s="27" t="b">
        <f>IFERROR(VLOOKUP(D75,Products!$A$2:$F$61,6,FALSE),"")</f>
        <v>1</v>
      </c>
      <c r="BL75">
        <v>0</v>
      </c>
      <c r="BM75">
        <v>0</v>
      </c>
      <c r="BN75">
        <v>2.1276595744680851E-2</v>
      </c>
      <c r="BO75">
        <v>0</v>
      </c>
      <c r="BP75">
        <v>0</v>
      </c>
    </row>
    <row r="76" spans="1:68" x14ac:dyDescent="0.35">
      <c r="A76" s="26" t="str">
        <f>Orders!A76</f>
        <v>ORD-00075</v>
      </c>
      <c r="B76" s="33">
        <f>Orders!B76</f>
        <v>45500</v>
      </c>
      <c r="C76" t="str">
        <f>Orders!C76</f>
        <v>CUST-0200</v>
      </c>
      <c r="D76" t="str">
        <f>Orders!D76</f>
        <v>PROD-030</v>
      </c>
      <c r="E76" t="str">
        <f>Orders!E76</f>
        <v>R010</v>
      </c>
      <c r="F76">
        <f>Orders!F76</f>
        <v>3</v>
      </c>
      <c r="G76" s="35">
        <f>Orders!G76</f>
        <v>970</v>
      </c>
      <c r="H76" s="37">
        <f>Orders!H76</f>
        <v>4.3</v>
      </c>
      <c r="I76" s="39">
        <f>Orders!I76</f>
        <v>2784.87</v>
      </c>
      <c r="J76" t="str">
        <f>Orders!J76</f>
        <v>Cancelled</v>
      </c>
      <c r="K76" t="str">
        <f>Orders!K76</f>
        <v>Hyderabad</v>
      </c>
      <c r="L76" t="str">
        <f>IFERROR(VLOOKUP(D76,Products!$A$2:$F$61,3,FALSE),"")</f>
        <v>Grocery</v>
      </c>
      <c r="M76">
        <f>IFERROR(VLOOKUP(D76,Products!$A$2:$F$61,4,FALSE),"")</f>
        <v>434</v>
      </c>
      <c r="N76" t="str">
        <f>IFERROR(VLOOKUP(E76,Sales_Reps!$A$2:$E$31,3,FALSE),"")</f>
        <v>South</v>
      </c>
      <c r="O76" t="str">
        <f>IFERROR(VLOOKUP(C76,Customers!$A$2:$F$301,5,FALSE),"")</f>
        <v>Corporate</v>
      </c>
      <c r="P76">
        <f>IFERROR(VLOOKUP(C76,Customers!$A$2:$F$301,3,FALSE),"")</f>
        <v>46</v>
      </c>
      <c r="Q76" s="41">
        <f t="shared" si="10"/>
        <v>0.5525773195876289</v>
      </c>
      <c r="R76" t="str">
        <f>IFERROR(VLOOKUP(C76,Customers!$A$2:$F$301,1,FALSE),"")</f>
        <v>CUST-0200</v>
      </c>
      <c r="S76" s="27" t="b">
        <f>IFERROR(VLOOKUP(D76,Products!$A$2:$F$61,6,FALSE),"")</f>
        <v>1</v>
      </c>
      <c r="BL76">
        <v>0</v>
      </c>
      <c r="BM76">
        <v>0</v>
      </c>
      <c r="BN76">
        <v>1.8518518518518517E-2</v>
      </c>
      <c r="BO76">
        <v>0</v>
      </c>
      <c r="BP76">
        <v>0</v>
      </c>
    </row>
    <row r="77" spans="1:68" x14ac:dyDescent="0.35">
      <c r="A77" s="26" t="str">
        <f>Orders!A77</f>
        <v>ORD-00076</v>
      </c>
      <c r="B77" s="33">
        <f>Orders!B77</f>
        <v>45375</v>
      </c>
      <c r="C77" t="str">
        <f>Orders!C77</f>
        <v>CUST-0008</v>
      </c>
      <c r="D77" t="str">
        <f>Orders!D77</f>
        <v>PROD-021</v>
      </c>
      <c r="E77" t="str">
        <f>Orders!E77</f>
        <v>R022</v>
      </c>
      <c r="F77">
        <f>Orders!F77</f>
        <v>6</v>
      </c>
      <c r="G77" s="35">
        <f>Orders!G77</f>
        <v>2760</v>
      </c>
      <c r="H77" s="37">
        <f>Orders!H77</f>
        <v>19.899999999999999</v>
      </c>
      <c r="I77" s="39">
        <f>Orders!I77</f>
        <v>13264.56</v>
      </c>
      <c r="J77" t="str">
        <f>Orders!J77</f>
        <v>Pending</v>
      </c>
      <c r="K77" t="str">
        <f>Orders!K77</f>
        <v>Pune</v>
      </c>
      <c r="L77" t="str">
        <f>IFERROR(VLOOKUP(D77,Products!$A$2:$F$61,3,FALSE),"")</f>
        <v>Grocery</v>
      </c>
      <c r="M77">
        <f>IFERROR(VLOOKUP(D77,Products!$A$2:$F$61,4,FALSE),"")</f>
        <v>1435</v>
      </c>
      <c r="N77" t="str">
        <f>IFERROR(VLOOKUP(E77,Sales_Reps!$A$2:$E$31,3,FALSE),"")</f>
        <v>East</v>
      </c>
      <c r="O77" t="str">
        <f>IFERROR(VLOOKUP(C77,Customers!$A$2:$F$301,5,FALSE),"")</f>
        <v>SMB</v>
      </c>
      <c r="P77">
        <f>IFERROR(VLOOKUP(C77,Customers!$A$2:$F$301,3,FALSE),"")</f>
        <v>39</v>
      </c>
      <c r="Q77" s="41">
        <f t="shared" si="10"/>
        <v>0.48007246376811596</v>
      </c>
      <c r="R77" t="str">
        <f>IFERROR(VLOOKUP(C77,Customers!$A$2:$F$301,1,FALSE),"")</f>
        <v>CUST-0008</v>
      </c>
      <c r="S77" s="27" t="b">
        <f>IFERROR(VLOOKUP(D77,Products!$A$2:$F$61,6,FALSE),"")</f>
        <v>1</v>
      </c>
      <c r="BL77">
        <v>0</v>
      </c>
      <c r="BM77">
        <v>0</v>
      </c>
      <c r="BN77">
        <v>1.8518518518518517E-2</v>
      </c>
      <c r="BO77">
        <v>0</v>
      </c>
      <c r="BP77">
        <v>0</v>
      </c>
    </row>
    <row r="78" spans="1:68" x14ac:dyDescent="0.35">
      <c r="A78" s="26" t="str">
        <f>Orders!A78</f>
        <v>ORD-00077</v>
      </c>
      <c r="B78" s="33">
        <f>Orders!B78</f>
        <v>45443</v>
      </c>
      <c r="C78" t="str">
        <f>Orders!C78</f>
        <v>CUST-0051</v>
      </c>
      <c r="D78" t="str">
        <f>Orders!D78</f>
        <v>PROD-021</v>
      </c>
      <c r="E78" t="str">
        <f>Orders!E78</f>
        <v>R019</v>
      </c>
      <c r="F78">
        <f>Orders!F78</f>
        <v>7</v>
      </c>
      <c r="G78" s="35">
        <f>Orders!G78</f>
        <v>2760</v>
      </c>
      <c r="H78" s="37">
        <f>Orders!H78</f>
        <v>25.2</v>
      </c>
      <c r="I78" s="39">
        <f>Orders!I78</f>
        <v>14451.36</v>
      </c>
      <c r="J78" t="str">
        <f>Orders!J78</f>
        <v>Completed</v>
      </c>
      <c r="K78" t="str">
        <f>Orders!K78</f>
        <v>Pune</v>
      </c>
      <c r="L78" t="str">
        <f>IFERROR(VLOOKUP(D78,Products!$A$2:$F$61,3,FALSE),"")</f>
        <v>Grocery</v>
      </c>
      <c r="M78">
        <f>IFERROR(VLOOKUP(D78,Products!$A$2:$F$61,4,FALSE),"")</f>
        <v>1435</v>
      </c>
      <c r="N78" t="str">
        <f>IFERROR(VLOOKUP(E78,Sales_Reps!$A$2:$E$31,3,FALSE),"")</f>
        <v>East</v>
      </c>
      <c r="O78" t="str">
        <f>IFERROR(VLOOKUP(C78,Customers!$A$2:$F$301,5,FALSE),"")</f>
        <v>SMB</v>
      </c>
      <c r="P78">
        <f>IFERROR(VLOOKUP(C78,Customers!$A$2:$F$301,3,FALSE),"")</f>
        <v>54</v>
      </c>
      <c r="Q78" s="41">
        <f t="shared" si="10"/>
        <v>0.48007246376811596</v>
      </c>
      <c r="R78" t="str">
        <f>IFERROR(VLOOKUP(C78,Customers!$A$2:$F$301,1,FALSE),"")</f>
        <v>CUST-0051</v>
      </c>
      <c r="S78" s="27" t="b">
        <f>IFERROR(VLOOKUP(D78,Products!$A$2:$F$61,6,FALSE),"")</f>
        <v>1</v>
      </c>
      <c r="BL78">
        <v>0</v>
      </c>
      <c r="BM78">
        <v>0</v>
      </c>
      <c r="BN78">
        <v>1.9607843137254902E-2</v>
      </c>
      <c r="BO78">
        <v>0</v>
      </c>
      <c r="BP78">
        <v>0</v>
      </c>
    </row>
    <row r="79" spans="1:68" x14ac:dyDescent="0.35">
      <c r="A79" s="26" t="str">
        <f>Orders!A79</f>
        <v>ORD-00078</v>
      </c>
      <c r="B79" s="33">
        <f>Orders!B79</f>
        <v>45390</v>
      </c>
      <c r="C79" t="str">
        <f>Orders!C79</f>
        <v>CUST-0193</v>
      </c>
      <c r="D79" t="str">
        <f>Orders!D79</f>
        <v>PROD-009</v>
      </c>
      <c r="E79" t="str">
        <f>Orders!E79</f>
        <v>R022</v>
      </c>
      <c r="F79">
        <f>Orders!F79</f>
        <v>4</v>
      </c>
      <c r="G79" s="35">
        <f>Orders!G79</f>
        <v>1220</v>
      </c>
      <c r="H79" s="37">
        <f>Orders!H79</f>
        <v>8.4</v>
      </c>
      <c r="I79" s="39">
        <f>Orders!I79</f>
        <v>4470.08</v>
      </c>
      <c r="J79" t="str">
        <f>Orders!J79</f>
        <v>Completed</v>
      </c>
      <c r="K79" t="str">
        <f>Orders!K79</f>
        <v>Bengaluru</v>
      </c>
      <c r="L79" t="str">
        <f>IFERROR(VLOOKUP(D79,Products!$A$2:$F$61,3,FALSE),"")</f>
        <v>Electronics</v>
      </c>
      <c r="M79">
        <f>IFERROR(VLOOKUP(D79,Products!$A$2:$F$61,4,FALSE),"")</f>
        <v>517</v>
      </c>
      <c r="N79" t="str">
        <f>IFERROR(VLOOKUP(E79,Sales_Reps!$A$2:$E$31,3,FALSE),"")</f>
        <v>East</v>
      </c>
      <c r="O79" t="str">
        <f>IFERROR(VLOOKUP(C79,Customers!$A$2:$F$301,5,FALSE),"")</f>
        <v>Retail</v>
      </c>
      <c r="P79">
        <f>IFERROR(VLOOKUP(C79,Customers!$A$2:$F$301,3,FALSE),"")</f>
        <v>42</v>
      </c>
      <c r="Q79" s="41">
        <f t="shared" si="10"/>
        <v>0.57622950819672136</v>
      </c>
      <c r="R79" t="str">
        <f>IFERROR(VLOOKUP(C79,Customers!$A$2:$F$301,1,FALSE),"")</f>
        <v>CUST-0193</v>
      </c>
      <c r="S79" s="27" t="b">
        <f>IFERROR(VLOOKUP(D79,Products!$A$2:$F$61,6,FALSE),"")</f>
        <v>1</v>
      </c>
      <c r="BL79">
        <v>0</v>
      </c>
      <c r="BM79">
        <v>1</v>
      </c>
      <c r="BN79">
        <v>2.3809523809523808E-2</v>
      </c>
      <c r="BO79">
        <v>0</v>
      </c>
      <c r="BP79">
        <v>0</v>
      </c>
    </row>
    <row r="80" spans="1:68" x14ac:dyDescent="0.35">
      <c r="A80" s="26" t="str">
        <f>Orders!A80</f>
        <v>ORD-00079</v>
      </c>
      <c r="B80" s="33">
        <f>Orders!B80</f>
        <v>45615</v>
      </c>
      <c r="C80" t="str">
        <f>Orders!C80</f>
        <v>CUST-0020</v>
      </c>
      <c r="D80" t="str">
        <f>Orders!D80</f>
        <v>PROD-002</v>
      </c>
      <c r="E80" t="str">
        <f>Orders!E80</f>
        <v>R028</v>
      </c>
      <c r="F80">
        <f>Orders!F80</f>
        <v>2</v>
      </c>
      <c r="G80" s="35">
        <f>Orders!G80</f>
        <v>2600</v>
      </c>
      <c r="H80" s="37">
        <f>Orders!H80</f>
        <v>1.9</v>
      </c>
      <c r="I80" s="39">
        <f>Orders!I80</f>
        <v>5101.2</v>
      </c>
      <c r="J80" t="str">
        <f>Orders!J80</f>
        <v>Pending</v>
      </c>
      <c r="K80" t="str">
        <f>Orders!K80</f>
        <v>Hyderabad</v>
      </c>
      <c r="L80" t="str">
        <f>IFERROR(VLOOKUP(D80,Products!$A$2:$F$61,3,FALSE),"")</f>
        <v>Electronics</v>
      </c>
      <c r="M80">
        <f>IFERROR(VLOOKUP(D80,Products!$A$2:$F$61,4,FALSE),"")</f>
        <v>1052</v>
      </c>
      <c r="N80" t="str">
        <f>IFERROR(VLOOKUP(E80,Sales_Reps!$A$2:$E$31,3,FALSE),"")</f>
        <v>West</v>
      </c>
      <c r="O80" t="str">
        <f>IFERROR(VLOOKUP(C80,Customers!$A$2:$F$301,5,FALSE),"")</f>
        <v>Retail</v>
      </c>
      <c r="P80">
        <f>IFERROR(VLOOKUP(C80,Customers!$A$2:$F$301,3,FALSE),"")</f>
        <v>46</v>
      </c>
      <c r="Q80" s="41">
        <f t="shared" si="10"/>
        <v>0.5953846153846154</v>
      </c>
      <c r="R80" t="str">
        <f>IFERROR(VLOOKUP(C80,Customers!$A$2:$F$301,1,FALSE),"")</f>
        <v>CUST-0020</v>
      </c>
      <c r="S80" s="27" t="b">
        <f>IFERROR(VLOOKUP(D80,Products!$A$2:$F$61,6,FALSE),"")</f>
        <v>1</v>
      </c>
      <c r="BL80">
        <v>0</v>
      </c>
      <c r="BM80">
        <v>0</v>
      </c>
      <c r="BN80">
        <v>1.8518518518518517E-2</v>
      </c>
      <c r="BO80">
        <v>0</v>
      </c>
      <c r="BP80">
        <v>0</v>
      </c>
    </row>
    <row r="81" spans="1:68" x14ac:dyDescent="0.35">
      <c r="A81" s="26" t="str">
        <f>Orders!A81</f>
        <v>ORD-00080</v>
      </c>
      <c r="B81" s="33">
        <f>Orders!B81</f>
        <v>45498</v>
      </c>
      <c r="C81" t="str">
        <f>Orders!C81</f>
        <v>CUST-0230</v>
      </c>
      <c r="D81" t="str">
        <f>Orders!D81</f>
        <v>PROD-026</v>
      </c>
      <c r="E81" t="str">
        <f>Orders!E81</f>
        <v>R030</v>
      </c>
      <c r="F81">
        <f>Orders!F81</f>
        <v>9</v>
      </c>
      <c r="G81" s="35">
        <f>Orders!G81</f>
        <v>4070</v>
      </c>
      <c r="H81" s="37">
        <f>Orders!H81</f>
        <v>28.8</v>
      </c>
      <c r="I81" s="39">
        <f>Orders!I81</f>
        <v>26080.560000000001</v>
      </c>
      <c r="J81" t="str">
        <f>Orders!J81</f>
        <v>Completed</v>
      </c>
      <c r="K81" t="str">
        <f>Orders!K81</f>
        <v>Pune</v>
      </c>
      <c r="L81" t="str">
        <f>IFERROR(VLOOKUP(D81,Products!$A$2:$F$61,3,FALSE),"")</f>
        <v>Grocery</v>
      </c>
      <c r="M81">
        <f>IFERROR(VLOOKUP(D81,Products!$A$2:$F$61,4,FALSE),"")</f>
        <v>2027</v>
      </c>
      <c r="N81" t="str">
        <f>IFERROR(VLOOKUP(E81,Sales_Reps!$A$2:$E$31,3,FALSE),"")</f>
        <v>West</v>
      </c>
      <c r="O81" t="str">
        <f>IFERROR(VLOOKUP(C81,Customers!$A$2:$F$301,5,FALSE),"")</f>
        <v>Corporate</v>
      </c>
      <c r="P81">
        <f>IFERROR(VLOOKUP(C81,Customers!$A$2:$F$301,3,FALSE),"")</f>
        <v>33</v>
      </c>
      <c r="Q81" s="41">
        <f t="shared" si="10"/>
        <v>0.50196560196560192</v>
      </c>
      <c r="R81" t="str">
        <f>IFERROR(VLOOKUP(C81,Customers!$A$2:$F$301,1,FALSE),"")</f>
        <v>CUST-0230</v>
      </c>
      <c r="S81" s="27" t="b">
        <f>IFERROR(VLOOKUP(D81,Products!$A$2:$F$61,6,FALSE),"")</f>
        <v>1</v>
      </c>
      <c r="BL81">
        <v>0</v>
      </c>
      <c r="BM81">
        <v>0</v>
      </c>
      <c r="BN81">
        <v>1.8867924528301886E-2</v>
      </c>
      <c r="BO81">
        <v>0</v>
      </c>
      <c r="BP81">
        <v>0</v>
      </c>
    </row>
    <row r="82" spans="1:68" x14ac:dyDescent="0.35">
      <c r="A82" s="26" t="str">
        <f>Orders!A82</f>
        <v>ORD-00081</v>
      </c>
      <c r="B82" s="33">
        <f>Orders!B82</f>
        <v>45515</v>
      </c>
      <c r="C82" t="str">
        <f>Orders!C82</f>
        <v>CUST-0094</v>
      </c>
      <c r="D82" t="str">
        <f>Orders!D82</f>
        <v>PROD-024</v>
      </c>
      <c r="E82" t="str">
        <f>Orders!E82</f>
        <v>R005</v>
      </c>
      <c r="F82">
        <f>Orders!F82</f>
        <v>2</v>
      </c>
      <c r="G82" s="35">
        <f>Orders!G82</f>
        <v>2270</v>
      </c>
      <c r="H82" s="37">
        <f>Orders!H82</f>
        <v>18</v>
      </c>
      <c r="I82" s="39">
        <f>Orders!I82</f>
        <v>3722.8</v>
      </c>
      <c r="J82" t="str">
        <f>Orders!J82</f>
        <v>Refunded</v>
      </c>
      <c r="K82" t="str">
        <f>Orders!K82</f>
        <v>Pune</v>
      </c>
      <c r="L82" t="str">
        <f>IFERROR(VLOOKUP(D82,Products!$A$2:$F$61,3,FALSE),"")</f>
        <v>Grocery</v>
      </c>
      <c r="M82">
        <f>IFERROR(VLOOKUP(D82,Products!$A$2:$F$61,4,FALSE),"")</f>
        <v>1203</v>
      </c>
      <c r="N82" t="str">
        <f>IFERROR(VLOOKUP(E82,Sales_Reps!$A$2:$E$31,3,FALSE),"")</f>
        <v>North</v>
      </c>
      <c r="O82" t="str">
        <f>IFERROR(VLOOKUP(C82,Customers!$A$2:$F$301,5,FALSE),"")</f>
        <v>SMB</v>
      </c>
      <c r="P82">
        <f>IFERROR(VLOOKUP(C82,Customers!$A$2:$F$301,3,FALSE),"")</f>
        <v>60</v>
      </c>
      <c r="Q82" s="41">
        <f t="shared" si="10"/>
        <v>0.47004405286343615</v>
      </c>
      <c r="R82" t="str">
        <f>IFERROR(VLOOKUP(C82,Customers!$A$2:$F$301,1,FALSE),"")</f>
        <v>CUST-0094</v>
      </c>
      <c r="S82" s="27" t="b">
        <f>IFERROR(VLOOKUP(D82,Products!$A$2:$F$61,6,FALSE),"")</f>
        <v>1</v>
      </c>
      <c r="BL82">
        <v>0</v>
      </c>
      <c r="BM82">
        <v>0</v>
      </c>
      <c r="BN82">
        <v>1.8518518518518517E-2</v>
      </c>
      <c r="BO82">
        <v>0</v>
      </c>
      <c r="BP82">
        <v>0</v>
      </c>
    </row>
    <row r="83" spans="1:68" x14ac:dyDescent="0.35">
      <c r="A83" s="26" t="str">
        <f>Orders!A83</f>
        <v>ORD-00082</v>
      </c>
      <c r="B83" s="33">
        <f>Orders!B83</f>
        <v>45528</v>
      </c>
      <c r="C83" t="str">
        <f>Orders!C83</f>
        <v>CUST-0248</v>
      </c>
      <c r="D83" t="str">
        <f>Orders!D83</f>
        <v>PROD-012</v>
      </c>
      <c r="E83" t="str">
        <f>Orders!E83</f>
        <v>R017</v>
      </c>
      <c r="F83">
        <f>Orders!F83</f>
        <v>2</v>
      </c>
      <c r="G83" s="35">
        <f>Orders!G83</f>
        <v>3160</v>
      </c>
      <c r="H83" s="37">
        <f>Orders!H83</f>
        <v>18.3</v>
      </c>
      <c r="I83" s="39">
        <f>Orders!I83</f>
        <v>5163.4399999999996</v>
      </c>
      <c r="J83" t="str">
        <f>Orders!J83</f>
        <v>Completed</v>
      </c>
      <c r="K83" t="str">
        <f>Orders!K83</f>
        <v>Chennai</v>
      </c>
      <c r="L83" t="str">
        <f>IFERROR(VLOOKUP(D83,Products!$A$2:$F$61,3,FALSE),"")</f>
        <v>Apparel</v>
      </c>
      <c r="M83">
        <f>IFERROR(VLOOKUP(D83,Products!$A$2:$F$61,4,FALSE),"")</f>
        <v>1886</v>
      </c>
      <c r="N83" t="str">
        <f>IFERROR(VLOOKUP(E83,Sales_Reps!$A$2:$E$31,3,FALSE),"")</f>
        <v>East</v>
      </c>
      <c r="O83" t="str">
        <f>IFERROR(VLOOKUP(C83,Customers!$A$2:$F$301,5,FALSE),"")</f>
        <v>SMB</v>
      </c>
      <c r="P83">
        <f>IFERROR(VLOOKUP(C83,Customers!$A$2:$F$301,3,FALSE),"")</f>
        <v>57</v>
      </c>
      <c r="Q83" s="41">
        <f t="shared" si="10"/>
        <v>0.4031645569620253</v>
      </c>
      <c r="R83" t="str">
        <f>IFERROR(VLOOKUP(C83,Customers!$A$2:$F$301,1,FALSE),"")</f>
        <v>CUST-0248</v>
      </c>
      <c r="S83" s="27" t="b">
        <f>IFERROR(VLOOKUP(D83,Products!$A$2:$F$61,6,FALSE),"")</f>
        <v>1</v>
      </c>
      <c r="BL83">
        <v>0</v>
      </c>
      <c r="BM83">
        <v>0</v>
      </c>
      <c r="BN83">
        <v>1.9607843137254902E-2</v>
      </c>
      <c r="BO83">
        <v>0</v>
      </c>
      <c r="BP83">
        <v>0</v>
      </c>
    </row>
    <row r="84" spans="1:68" x14ac:dyDescent="0.35">
      <c r="A84" s="26" t="str">
        <f>Orders!A84</f>
        <v>ORD-00083</v>
      </c>
      <c r="B84" s="33">
        <f>Orders!B84</f>
        <v>45402</v>
      </c>
      <c r="C84" t="str">
        <f>Orders!C84</f>
        <v>CUST-0082</v>
      </c>
      <c r="D84" t="str">
        <f>Orders!D84</f>
        <v>PROD-019</v>
      </c>
      <c r="E84" t="str">
        <f>Orders!E84</f>
        <v>R007</v>
      </c>
      <c r="F84">
        <f>Orders!F84</f>
        <v>4</v>
      </c>
      <c r="G84" s="35">
        <f>Orders!G84</f>
        <v>2480</v>
      </c>
      <c r="H84" s="37">
        <f>Orders!H84</f>
        <v>1.1000000000000001</v>
      </c>
      <c r="I84" s="39">
        <f>Orders!I84</f>
        <v>9810.8799999999992</v>
      </c>
      <c r="J84" t="str">
        <f>Orders!J84</f>
        <v>Pending</v>
      </c>
      <c r="K84" t="str">
        <f>Orders!K84</f>
        <v>Hyderabad</v>
      </c>
      <c r="L84" t="str">
        <f>IFERROR(VLOOKUP(D84,Products!$A$2:$F$61,3,FALSE),"")</f>
        <v>Apparel</v>
      </c>
      <c r="M84">
        <f>IFERROR(VLOOKUP(D84,Products!$A$2:$F$61,4,FALSE),"")</f>
        <v>1173</v>
      </c>
      <c r="N84" t="str">
        <f>IFERROR(VLOOKUP(E84,Sales_Reps!$A$2:$E$31,3,FALSE),"")</f>
        <v>North</v>
      </c>
      <c r="O84" t="str">
        <f>IFERROR(VLOOKUP(C84,Customers!$A$2:$F$301,5,FALSE),"")</f>
        <v>SMB</v>
      </c>
      <c r="P84">
        <f>IFERROR(VLOOKUP(C84,Customers!$A$2:$F$301,3,FALSE),"")</f>
        <v>36</v>
      </c>
      <c r="Q84" s="41">
        <f t="shared" si="10"/>
        <v>0.52701612903225803</v>
      </c>
      <c r="R84" t="str">
        <f>IFERROR(VLOOKUP(C84,Customers!$A$2:$F$301,1,FALSE),"")</f>
        <v>CUST-0082</v>
      </c>
      <c r="S84" s="27" t="b">
        <f>IFERROR(VLOOKUP(D84,Products!$A$2:$F$61,6,FALSE),"")</f>
        <v>1</v>
      </c>
      <c r="BL84">
        <v>0</v>
      </c>
      <c r="BM84">
        <v>0</v>
      </c>
      <c r="BN84">
        <v>2.1276595744680851E-2</v>
      </c>
      <c r="BO84">
        <v>0</v>
      </c>
      <c r="BP84">
        <v>0</v>
      </c>
    </row>
    <row r="85" spans="1:68" x14ac:dyDescent="0.35">
      <c r="A85" s="26" t="str">
        <f>Orders!A85</f>
        <v>ORD-00084</v>
      </c>
      <c r="B85" s="33">
        <f>Orders!B85</f>
        <v>45547</v>
      </c>
      <c r="C85" t="str">
        <f>Orders!C85</f>
        <v>CUST-0078</v>
      </c>
      <c r="D85" t="str">
        <f>Orders!D85</f>
        <v>PROD-008</v>
      </c>
      <c r="E85" t="str">
        <f>Orders!E85</f>
        <v>R026</v>
      </c>
      <c r="F85">
        <f>Orders!F85</f>
        <v>1</v>
      </c>
      <c r="G85" s="35">
        <f>Orders!G85</f>
        <v>2660</v>
      </c>
      <c r="H85" s="37">
        <f>Orders!H85</f>
        <v>21</v>
      </c>
      <c r="I85" s="39">
        <f>Orders!I85</f>
        <v>2101.4</v>
      </c>
      <c r="J85" t="str">
        <f>Orders!J85</f>
        <v>Completed</v>
      </c>
      <c r="K85" t="str">
        <f>Orders!K85</f>
        <v>Delhi</v>
      </c>
      <c r="L85" t="str">
        <f>IFERROR(VLOOKUP(D85,Products!$A$2:$F$61,3,FALSE),"")</f>
        <v>Electronics</v>
      </c>
      <c r="M85">
        <f>IFERROR(VLOOKUP(D85,Products!$A$2:$F$61,4,FALSE),"")</f>
        <v>1259</v>
      </c>
      <c r="N85" t="str">
        <f>IFERROR(VLOOKUP(E85,Sales_Reps!$A$2:$E$31,3,FALSE),"")</f>
        <v>West</v>
      </c>
      <c r="O85" t="str">
        <f>IFERROR(VLOOKUP(C85,Customers!$A$2:$F$301,5,FALSE),"")</f>
        <v>Retail</v>
      </c>
      <c r="P85">
        <f>IFERROR(VLOOKUP(C85,Customers!$A$2:$F$301,3,FALSE),"")</f>
        <v>31</v>
      </c>
      <c r="Q85" s="41">
        <f t="shared" si="10"/>
        <v>0.52669172932330832</v>
      </c>
      <c r="R85" t="str">
        <f>IFERROR(VLOOKUP(C85,Customers!$A$2:$F$301,1,FALSE),"")</f>
        <v>CUST-0078</v>
      </c>
      <c r="S85" s="27" t="b">
        <f>IFERROR(VLOOKUP(D85,Products!$A$2:$F$61,6,FALSE),"")</f>
        <v>0</v>
      </c>
      <c r="BL85">
        <v>0</v>
      </c>
      <c r="BM85">
        <v>0</v>
      </c>
      <c r="BN85">
        <v>1.8867924528301886E-2</v>
      </c>
      <c r="BO85">
        <v>0</v>
      </c>
      <c r="BP85">
        <v>1</v>
      </c>
    </row>
    <row r="86" spans="1:68" x14ac:dyDescent="0.35">
      <c r="A86" s="26" t="str">
        <f>Orders!A86</f>
        <v>ORD-00085</v>
      </c>
      <c r="B86" s="33">
        <f>Orders!B86</f>
        <v>45424</v>
      </c>
      <c r="C86" t="str">
        <f>Orders!C86</f>
        <v>CUST-0032</v>
      </c>
      <c r="D86" t="str">
        <f>Orders!D86</f>
        <v>PROD-045</v>
      </c>
      <c r="E86" t="str">
        <f>Orders!E86</f>
        <v>R012</v>
      </c>
      <c r="F86">
        <f>Orders!F86</f>
        <v>5</v>
      </c>
      <c r="G86" s="35">
        <f>Orders!G86</f>
        <v>3020</v>
      </c>
      <c r="H86" s="37">
        <f>Orders!H86</f>
        <v>22.2</v>
      </c>
      <c r="I86" s="39">
        <f>Orders!I86</f>
        <v>11747.8</v>
      </c>
      <c r="J86" t="str">
        <f>Orders!J86</f>
        <v>Completed</v>
      </c>
      <c r="K86" t="str">
        <f>Orders!K86</f>
        <v>Hyderabad</v>
      </c>
      <c r="L86" t="str">
        <f>IFERROR(VLOOKUP(D86,Products!$A$2:$F$61,3,FALSE),"")</f>
        <v>Beauty</v>
      </c>
      <c r="M86">
        <f>IFERROR(VLOOKUP(D86,Products!$A$2:$F$61,4,FALSE),"")</f>
        <v>1626</v>
      </c>
      <c r="N86" t="str">
        <f>IFERROR(VLOOKUP(E86,Sales_Reps!$A$2:$E$31,3,FALSE),"")</f>
        <v>South</v>
      </c>
      <c r="O86" t="str">
        <f>IFERROR(VLOOKUP(C86,Customers!$A$2:$F$301,5,FALSE),"")</f>
        <v>Retail</v>
      </c>
      <c r="P86">
        <f>IFERROR(VLOOKUP(C86,Customers!$A$2:$F$301,3,FALSE),"")</f>
        <v>28</v>
      </c>
      <c r="Q86" s="41">
        <f t="shared" si="10"/>
        <v>0.46158940397350995</v>
      </c>
      <c r="R86" t="str">
        <f>IFERROR(VLOOKUP(C86,Customers!$A$2:$F$301,1,FALSE),"")</f>
        <v>CUST-0032</v>
      </c>
      <c r="S86" s="27" t="b">
        <f>IFERROR(VLOOKUP(D86,Products!$A$2:$F$61,6,FALSE),"")</f>
        <v>1</v>
      </c>
      <c r="BL86">
        <v>0</v>
      </c>
      <c r="BM86">
        <v>0</v>
      </c>
      <c r="BN86">
        <v>1.8867924528301886E-2</v>
      </c>
      <c r="BO86">
        <v>0</v>
      </c>
      <c r="BP86">
        <v>0</v>
      </c>
    </row>
    <row r="87" spans="1:68" x14ac:dyDescent="0.35">
      <c r="A87" s="26" t="str">
        <f>Orders!A87</f>
        <v>ORD-00086</v>
      </c>
      <c r="B87" s="33">
        <f>Orders!B87</f>
        <v>45461</v>
      </c>
      <c r="C87" t="str">
        <f>Orders!C87</f>
        <v>CUST-0006</v>
      </c>
      <c r="D87" t="str">
        <f>Orders!D87</f>
        <v>PROD-016</v>
      </c>
      <c r="E87" t="str">
        <f>Orders!E87</f>
        <v>R030</v>
      </c>
      <c r="F87">
        <f>Orders!F87</f>
        <v>9</v>
      </c>
      <c r="G87" s="35">
        <f>Orders!G87</f>
        <v>620</v>
      </c>
      <c r="H87" s="37">
        <f>Orders!H87</f>
        <v>23.3</v>
      </c>
      <c r="I87" s="39">
        <f>Orders!I87</f>
        <v>4279.8599999999997</v>
      </c>
      <c r="J87" t="str">
        <f>Orders!J87</f>
        <v>Completed</v>
      </c>
      <c r="K87" t="str">
        <f>Orders!K87</f>
        <v>Pune</v>
      </c>
      <c r="L87" t="str">
        <f>IFERROR(VLOOKUP(D87,Products!$A$2:$F$61,3,FALSE),"")</f>
        <v>Apparel</v>
      </c>
      <c r="M87">
        <f>IFERROR(VLOOKUP(D87,Products!$A$2:$F$61,4,FALSE),"")</f>
        <v>396</v>
      </c>
      <c r="N87" t="str">
        <f>IFERROR(VLOOKUP(E87,Sales_Reps!$A$2:$E$31,3,FALSE),"")</f>
        <v>West</v>
      </c>
      <c r="O87" t="str">
        <f>IFERROR(VLOOKUP(C87,Customers!$A$2:$F$301,5,FALSE),"")</f>
        <v>SMB</v>
      </c>
      <c r="P87">
        <f>IFERROR(VLOOKUP(C87,Customers!$A$2:$F$301,3,FALSE),"")</f>
        <v>44</v>
      </c>
      <c r="Q87" s="41">
        <f t="shared" si="10"/>
        <v>0.36129032258064514</v>
      </c>
      <c r="R87" t="str">
        <f>IFERROR(VLOOKUP(C87,Customers!$A$2:$F$301,1,FALSE),"")</f>
        <v>CUST-0006</v>
      </c>
      <c r="S87" s="27" t="b">
        <f>IFERROR(VLOOKUP(D87,Products!$A$2:$F$61,6,FALSE),"")</f>
        <v>1</v>
      </c>
      <c r="BL87">
        <v>0</v>
      </c>
      <c r="BM87">
        <v>0</v>
      </c>
      <c r="BN87">
        <v>1.9607843137254902E-2</v>
      </c>
      <c r="BO87">
        <v>0</v>
      </c>
      <c r="BP87">
        <v>0</v>
      </c>
    </row>
    <row r="88" spans="1:68" x14ac:dyDescent="0.35">
      <c r="A88" s="26" t="str">
        <f>Orders!A88</f>
        <v>ORD-00087</v>
      </c>
      <c r="B88" s="33">
        <f>Orders!B88</f>
        <v>45600</v>
      </c>
      <c r="C88" t="str">
        <f>Orders!C88</f>
        <v>CUST-0084</v>
      </c>
      <c r="D88" t="str">
        <f>Orders!D88</f>
        <v>PROD-053</v>
      </c>
      <c r="E88" t="str">
        <f>Orders!E88</f>
        <v>R026</v>
      </c>
      <c r="F88">
        <f>Orders!F88</f>
        <v>2</v>
      </c>
      <c r="G88" s="35">
        <f>Orders!G88</f>
        <v>470</v>
      </c>
      <c r="H88" s="37">
        <f>Orders!H88</f>
        <v>5.4</v>
      </c>
      <c r="I88" s="39">
        <f>Orders!I88</f>
        <v>889.24</v>
      </c>
      <c r="J88" t="str">
        <f>Orders!J88</f>
        <v>Completed</v>
      </c>
      <c r="K88" t="str">
        <f>Orders!K88</f>
        <v>Chennai</v>
      </c>
      <c r="L88" t="str">
        <f>IFERROR(VLOOKUP(D88,Products!$A$2:$F$61,3,FALSE),"")</f>
        <v>Sports</v>
      </c>
      <c r="M88">
        <f>IFERROR(VLOOKUP(D88,Products!$A$2:$F$61,4,FALSE),"")</f>
        <v>302</v>
      </c>
      <c r="N88" t="str">
        <f>IFERROR(VLOOKUP(E88,Sales_Reps!$A$2:$E$31,3,FALSE),"")</f>
        <v>West</v>
      </c>
      <c r="O88" t="str">
        <f>IFERROR(VLOOKUP(C88,Customers!$A$2:$F$301,5,FALSE),"")</f>
        <v>Retail</v>
      </c>
      <c r="P88">
        <f>IFERROR(VLOOKUP(C88,Customers!$A$2:$F$301,3,FALSE),"")</f>
        <v>28</v>
      </c>
      <c r="Q88" s="41">
        <f t="shared" si="10"/>
        <v>0.35744680851063831</v>
      </c>
      <c r="R88" t="str">
        <f>IFERROR(VLOOKUP(C88,Customers!$A$2:$F$301,1,FALSE),"")</f>
        <v>CUST-0084</v>
      </c>
      <c r="S88" s="27" t="b">
        <f>IFERROR(VLOOKUP(D88,Products!$A$2:$F$61,6,FALSE),"")</f>
        <v>0</v>
      </c>
      <c r="BL88">
        <v>0</v>
      </c>
      <c r="BM88">
        <v>0</v>
      </c>
      <c r="BN88">
        <v>1.8867924528301886E-2</v>
      </c>
      <c r="BO88">
        <v>0</v>
      </c>
      <c r="BP88">
        <v>1</v>
      </c>
    </row>
    <row r="89" spans="1:68" x14ac:dyDescent="0.35">
      <c r="A89" s="26" t="str">
        <f>Orders!A89</f>
        <v>ORD-00088</v>
      </c>
      <c r="B89" s="33">
        <f>Orders!B89</f>
        <v>45587</v>
      </c>
      <c r="C89" t="str">
        <f>Orders!C89</f>
        <v>CUST-0107</v>
      </c>
      <c r="D89" t="str">
        <f>Orders!D89</f>
        <v>PROD-007</v>
      </c>
      <c r="E89" t="str">
        <f>Orders!E89</f>
        <v>R010</v>
      </c>
      <c r="F89">
        <f>Orders!F89</f>
        <v>3</v>
      </c>
      <c r="G89" s="35">
        <f>Orders!G89</f>
        <v>1430</v>
      </c>
      <c r="H89" s="37">
        <f>Orders!H89</f>
        <v>6.5</v>
      </c>
      <c r="I89" s="39">
        <f>Orders!I89</f>
        <v>4011.15</v>
      </c>
      <c r="J89" t="str">
        <f>Orders!J89</f>
        <v>Completed</v>
      </c>
      <c r="K89" t="str">
        <f>Orders!K89</f>
        <v>Pune</v>
      </c>
      <c r="L89" t="str">
        <f>IFERROR(VLOOKUP(D89,Products!$A$2:$F$61,3,FALSE),"")</f>
        <v>Electronics</v>
      </c>
      <c r="M89">
        <f>IFERROR(VLOOKUP(D89,Products!$A$2:$F$61,4,FALSE),"")</f>
        <v>861</v>
      </c>
      <c r="N89" t="str">
        <f>IFERROR(VLOOKUP(E89,Sales_Reps!$A$2:$E$31,3,FALSE),"")</f>
        <v>South</v>
      </c>
      <c r="O89" t="str">
        <f>IFERROR(VLOOKUP(C89,Customers!$A$2:$F$301,5,FALSE),"")</f>
        <v>Retail</v>
      </c>
      <c r="P89">
        <f>IFERROR(VLOOKUP(C89,Customers!$A$2:$F$301,3,FALSE),"")</f>
        <v>50</v>
      </c>
      <c r="Q89" s="41">
        <f t="shared" si="10"/>
        <v>0.39790209790209791</v>
      </c>
      <c r="R89" t="str">
        <f>IFERROR(VLOOKUP(C89,Customers!$A$2:$F$301,1,FALSE),"")</f>
        <v>CUST-0107</v>
      </c>
      <c r="S89" s="27" t="b">
        <f>IFERROR(VLOOKUP(D89,Products!$A$2:$F$61,6,FALSE),"")</f>
        <v>1</v>
      </c>
      <c r="BL89">
        <v>0</v>
      </c>
      <c r="BM89">
        <v>0</v>
      </c>
      <c r="BN89">
        <v>1.8867924528301886E-2</v>
      </c>
      <c r="BO89">
        <v>0</v>
      </c>
      <c r="BP89">
        <v>0</v>
      </c>
    </row>
    <row r="90" spans="1:68" x14ac:dyDescent="0.35">
      <c r="A90" s="26" t="str">
        <f>Orders!A90</f>
        <v>ORD-00089</v>
      </c>
      <c r="B90" s="33">
        <f>Orders!B90</f>
        <v>45518</v>
      </c>
      <c r="C90" t="str">
        <f>Orders!C90</f>
        <v>CUST-0108</v>
      </c>
      <c r="D90" t="str">
        <f>Orders!D90</f>
        <v>PROD-016</v>
      </c>
      <c r="E90" t="str">
        <f>Orders!E90</f>
        <v>R004</v>
      </c>
      <c r="F90">
        <f>Orders!F90</f>
        <v>6</v>
      </c>
      <c r="G90" s="35">
        <f>Orders!G90</f>
        <v>620</v>
      </c>
      <c r="H90" s="37">
        <f>Orders!H90</f>
        <v>2.6</v>
      </c>
      <c r="I90" s="39">
        <f>Orders!I90</f>
        <v>3623.28</v>
      </c>
      <c r="J90" t="str">
        <f>Orders!J90</f>
        <v>Completed</v>
      </c>
      <c r="K90" t="str">
        <f>Orders!K90</f>
        <v>Bengaluru</v>
      </c>
      <c r="L90" t="str">
        <f>IFERROR(VLOOKUP(D90,Products!$A$2:$F$61,3,FALSE),"")</f>
        <v>Apparel</v>
      </c>
      <c r="M90">
        <f>IFERROR(VLOOKUP(D90,Products!$A$2:$F$61,4,FALSE),"")</f>
        <v>396</v>
      </c>
      <c r="N90" t="str">
        <f>IFERROR(VLOOKUP(E90,Sales_Reps!$A$2:$E$31,3,FALSE),"")</f>
        <v>North</v>
      </c>
      <c r="O90" t="str">
        <f>IFERROR(VLOOKUP(C90,Customers!$A$2:$F$301,5,FALSE),"")</f>
        <v>Corporate</v>
      </c>
      <c r="P90">
        <f>IFERROR(VLOOKUP(C90,Customers!$A$2:$F$301,3,FALSE),"")</f>
        <v>59</v>
      </c>
      <c r="Q90" s="41">
        <f t="shared" si="10"/>
        <v>0.36129032258064514</v>
      </c>
      <c r="R90" t="str">
        <f>IFERROR(VLOOKUP(C90,Customers!$A$2:$F$301,1,FALSE),"")</f>
        <v>CUST-0108</v>
      </c>
      <c r="S90" s="27" t="b">
        <f>IFERROR(VLOOKUP(D90,Products!$A$2:$F$61,6,FALSE),"")</f>
        <v>1</v>
      </c>
      <c r="BL90">
        <v>0</v>
      </c>
      <c r="BM90">
        <v>0</v>
      </c>
      <c r="BN90">
        <v>1.8518518518518517E-2</v>
      </c>
      <c r="BO90">
        <v>0</v>
      </c>
      <c r="BP90">
        <v>0</v>
      </c>
    </row>
    <row r="91" spans="1:68" x14ac:dyDescent="0.35">
      <c r="A91" s="26" t="str">
        <f>Orders!A91</f>
        <v>ORD-00090</v>
      </c>
      <c r="B91" s="33">
        <f>Orders!B91</f>
        <v>45533</v>
      </c>
      <c r="C91" t="str">
        <f>Orders!C91</f>
        <v>CUST-0139</v>
      </c>
      <c r="D91" t="str">
        <f>Orders!D91</f>
        <v>PROD-003</v>
      </c>
      <c r="E91" t="str">
        <f>Orders!E91</f>
        <v>R012</v>
      </c>
      <c r="F91">
        <f>Orders!F91</f>
        <v>4</v>
      </c>
      <c r="G91" s="35">
        <f>Orders!G91</f>
        <v>3570</v>
      </c>
      <c r="H91" s="37">
        <f>Orders!H91</f>
        <v>4.5</v>
      </c>
      <c r="I91" s="39">
        <f>Orders!I91</f>
        <v>13637.4</v>
      </c>
      <c r="J91" t="str">
        <f>Orders!J91</f>
        <v>Pending</v>
      </c>
      <c r="K91" t="str">
        <f>Orders!K91</f>
        <v>Hyderabad</v>
      </c>
      <c r="L91" t="str">
        <f>IFERROR(VLOOKUP(D91,Products!$A$2:$F$61,3,FALSE),"")</f>
        <v>Electronics</v>
      </c>
      <c r="M91">
        <f>IFERROR(VLOOKUP(D91,Products!$A$2:$F$61,4,FALSE),"")</f>
        <v>1665</v>
      </c>
      <c r="N91" t="str">
        <f>IFERROR(VLOOKUP(E91,Sales_Reps!$A$2:$E$31,3,FALSE),"")</f>
        <v>South</v>
      </c>
      <c r="O91" t="str">
        <f>IFERROR(VLOOKUP(C91,Customers!$A$2:$F$301,5,FALSE),"")</f>
        <v>SMB</v>
      </c>
      <c r="P91">
        <f>IFERROR(VLOOKUP(C91,Customers!$A$2:$F$301,3,FALSE),"")</f>
        <v>65</v>
      </c>
      <c r="Q91" s="41">
        <f t="shared" si="10"/>
        <v>0.53361344537815125</v>
      </c>
      <c r="R91" t="str">
        <f>IFERROR(VLOOKUP(C91,Customers!$A$2:$F$301,1,FALSE),"")</f>
        <v>CUST-0139</v>
      </c>
      <c r="S91" s="27" t="b">
        <f>IFERROR(VLOOKUP(D91,Products!$A$2:$F$61,6,FALSE),"")</f>
        <v>1</v>
      </c>
      <c r="BL91">
        <v>0</v>
      </c>
      <c r="BM91">
        <v>0</v>
      </c>
      <c r="BN91">
        <v>2.1276595744680851E-2</v>
      </c>
      <c r="BO91">
        <v>0</v>
      </c>
      <c r="BP91">
        <v>0</v>
      </c>
    </row>
    <row r="92" spans="1:68" x14ac:dyDescent="0.35">
      <c r="A92" s="26" t="str">
        <f>Orders!A92</f>
        <v>ORD-00091</v>
      </c>
      <c r="B92" s="33">
        <f>Orders!B92</f>
        <v>45622</v>
      </c>
      <c r="C92" t="str">
        <f>Orders!C92</f>
        <v>CUST-0200</v>
      </c>
      <c r="D92" t="str">
        <f>Orders!D92</f>
        <v>PROD-022</v>
      </c>
      <c r="E92" t="str">
        <f>Orders!E92</f>
        <v>R010</v>
      </c>
      <c r="F92">
        <f>Orders!F92</f>
        <v>6</v>
      </c>
      <c r="G92" s="35">
        <f>Orders!G92</f>
        <v>2270</v>
      </c>
      <c r="H92" s="37">
        <f>Orders!H92</f>
        <v>2</v>
      </c>
      <c r="I92" s="39">
        <f>Orders!I92</f>
        <v>13347.6</v>
      </c>
      <c r="J92" t="str">
        <f>Orders!J92</f>
        <v>Completed</v>
      </c>
      <c r="K92" t="str">
        <f>Orders!K92</f>
        <v>Hyderabad</v>
      </c>
      <c r="L92" t="str">
        <f>IFERROR(VLOOKUP(D92,Products!$A$2:$F$61,3,FALSE),"")</f>
        <v>Grocery</v>
      </c>
      <c r="M92">
        <f>IFERROR(VLOOKUP(D92,Products!$A$2:$F$61,4,FALSE),"")</f>
        <v>1412</v>
      </c>
      <c r="N92" t="str">
        <f>IFERROR(VLOOKUP(E92,Sales_Reps!$A$2:$E$31,3,FALSE),"")</f>
        <v>South</v>
      </c>
      <c r="O92" t="str">
        <f>IFERROR(VLOOKUP(C92,Customers!$A$2:$F$301,5,FALSE),"")</f>
        <v>Corporate</v>
      </c>
      <c r="P92">
        <f>IFERROR(VLOOKUP(C92,Customers!$A$2:$F$301,3,FALSE),"")</f>
        <v>46</v>
      </c>
      <c r="Q92" s="41">
        <f t="shared" si="10"/>
        <v>0.37797356828193834</v>
      </c>
      <c r="R92" t="str">
        <f>IFERROR(VLOOKUP(C92,Customers!$A$2:$F$301,1,FALSE),"")</f>
        <v>CUST-0200</v>
      </c>
      <c r="S92" s="27" t="b">
        <f>IFERROR(VLOOKUP(D92,Products!$A$2:$F$61,6,FALSE),"")</f>
        <v>1</v>
      </c>
      <c r="BL92">
        <v>0</v>
      </c>
      <c r="BM92">
        <v>0</v>
      </c>
      <c r="BN92">
        <v>2.3809523809523808E-2</v>
      </c>
      <c r="BO92">
        <v>0</v>
      </c>
      <c r="BP92">
        <v>0</v>
      </c>
    </row>
    <row r="93" spans="1:68" x14ac:dyDescent="0.35">
      <c r="A93" s="26" t="str">
        <f>Orders!A93</f>
        <v>ORD-00092</v>
      </c>
      <c r="B93" s="33">
        <f>Orders!B93</f>
        <v>45328</v>
      </c>
      <c r="C93" t="str">
        <f>Orders!C93</f>
        <v>CUST-0208</v>
      </c>
      <c r="D93" t="str">
        <f>Orders!D93</f>
        <v>PROD-015</v>
      </c>
      <c r="E93" t="str">
        <f>Orders!E93</f>
        <v>R014</v>
      </c>
      <c r="F93">
        <f>Orders!F93</f>
        <v>7</v>
      </c>
      <c r="G93" s="35">
        <f>Orders!G93</f>
        <v>2720</v>
      </c>
      <c r="H93" s="37">
        <f>Orders!H93</f>
        <v>15.4</v>
      </c>
      <c r="I93" s="39">
        <f>Orders!I93</f>
        <v>16107.84</v>
      </c>
      <c r="J93" t="str">
        <f>Orders!J93</f>
        <v>Completed</v>
      </c>
      <c r="K93" t="str">
        <f>Orders!K93</f>
        <v>Mumbai</v>
      </c>
      <c r="L93" t="str">
        <f>IFERROR(VLOOKUP(D93,Products!$A$2:$F$61,3,FALSE),"")</f>
        <v>Apparel</v>
      </c>
      <c r="M93">
        <f>IFERROR(VLOOKUP(D93,Products!$A$2:$F$61,4,FALSE),"")</f>
        <v>1962</v>
      </c>
      <c r="N93" t="str">
        <f>IFERROR(VLOOKUP(E93,Sales_Reps!$A$2:$E$31,3,FALSE),"")</f>
        <v>South</v>
      </c>
      <c r="O93" t="str">
        <f>IFERROR(VLOOKUP(C93,Customers!$A$2:$F$301,5,FALSE),"")</f>
        <v>Retail</v>
      </c>
      <c r="P93">
        <f>IFERROR(VLOOKUP(C93,Customers!$A$2:$F$301,3,FALSE),"")</f>
        <v>49</v>
      </c>
      <c r="Q93" s="41">
        <f t="shared" si="10"/>
        <v>0.2786764705882353</v>
      </c>
      <c r="R93" t="str">
        <f>IFERROR(VLOOKUP(C93,Customers!$A$2:$F$301,1,FALSE),"")</f>
        <v>CUST-0208</v>
      </c>
      <c r="S93" s="27" t="b">
        <f>IFERROR(VLOOKUP(D93,Products!$A$2:$F$61,6,FALSE),"")</f>
        <v>1</v>
      </c>
      <c r="BL93">
        <v>0</v>
      </c>
      <c r="BM93">
        <v>0</v>
      </c>
      <c r="BN93">
        <v>2.1276595744680851E-2</v>
      </c>
      <c r="BO93">
        <v>0</v>
      </c>
      <c r="BP93">
        <v>0</v>
      </c>
    </row>
    <row r="94" spans="1:68" x14ac:dyDescent="0.35">
      <c r="A94" s="26" t="str">
        <f>Orders!A94</f>
        <v>ORD-00093</v>
      </c>
      <c r="B94" s="33">
        <f>Orders!B94</f>
        <v>45380</v>
      </c>
      <c r="C94" t="str">
        <f>Orders!C94</f>
        <v>CUST-0161</v>
      </c>
      <c r="D94" t="str">
        <f>Orders!D94</f>
        <v>PROD-029</v>
      </c>
      <c r="E94" t="str">
        <f>Orders!E94</f>
        <v>R001</v>
      </c>
      <c r="F94">
        <f>Orders!F94</f>
        <v>9</v>
      </c>
      <c r="G94" s="35">
        <f>Orders!G94</f>
        <v>2210</v>
      </c>
      <c r="H94" s="37">
        <f>Orders!H94</f>
        <v>12.4</v>
      </c>
      <c r="I94" s="39">
        <f>Orders!I94</f>
        <v>17423.64</v>
      </c>
      <c r="J94" t="str">
        <f>Orders!J94</f>
        <v>Completed</v>
      </c>
      <c r="K94" t="str">
        <f>Orders!K94</f>
        <v>Chennai</v>
      </c>
      <c r="L94" t="str">
        <f>IFERROR(VLOOKUP(D94,Products!$A$2:$F$61,3,FALSE),"")</f>
        <v>Grocery</v>
      </c>
      <c r="M94">
        <f>IFERROR(VLOOKUP(D94,Products!$A$2:$F$61,4,FALSE),"")</f>
        <v>1010</v>
      </c>
      <c r="N94" t="str">
        <f>IFERROR(VLOOKUP(E94,Sales_Reps!$A$2:$E$31,3,FALSE),"")</f>
        <v>North</v>
      </c>
      <c r="O94" t="str">
        <f>IFERROR(VLOOKUP(C94,Customers!$A$2:$F$301,5,FALSE),"")</f>
        <v>Retail</v>
      </c>
      <c r="P94">
        <f>IFERROR(VLOOKUP(C94,Customers!$A$2:$F$301,3,FALSE),"")</f>
        <v>38</v>
      </c>
      <c r="Q94" s="41">
        <f t="shared" si="10"/>
        <v>0.54298642533936647</v>
      </c>
      <c r="R94" t="str">
        <f>IFERROR(VLOOKUP(C94,Customers!$A$2:$F$301,1,FALSE),"")</f>
        <v>CUST-0161</v>
      </c>
      <c r="S94" s="27" t="b">
        <f>IFERROR(VLOOKUP(D94,Products!$A$2:$F$61,6,FALSE),"")</f>
        <v>1</v>
      </c>
      <c r="BL94">
        <v>0</v>
      </c>
      <c r="BM94">
        <v>0</v>
      </c>
      <c r="BN94">
        <v>1.8867924528301886E-2</v>
      </c>
      <c r="BO94">
        <v>0</v>
      </c>
      <c r="BP94">
        <v>0</v>
      </c>
    </row>
    <row r="95" spans="1:68" x14ac:dyDescent="0.35">
      <c r="A95" s="26" t="str">
        <f>Orders!A95</f>
        <v>ORD-00094</v>
      </c>
      <c r="B95" s="33">
        <f>Orders!B95</f>
        <v>45648</v>
      </c>
      <c r="C95" t="str">
        <f>Orders!C95</f>
        <v>CUST-0042</v>
      </c>
      <c r="D95" t="str">
        <f>Orders!D95</f>
        <v>PROD-060</v>
      </c>
      <c r="E95" t="str">
        <f>Orders!E95</f>
        <v>R026</v>
      </c>
      <c r="F95">
        <f>Orders!F95</f>
        <v>6</v>
      </c>
      <c r="G95" s="35">
        <f>Orders!G95</f>
        <v>190</v>
      </c>
      <c r="H95" s="37">
        <f>Orders!H95</f>
        <v>19.2</v>
      </c>
      <c r="I95" s="39">
        <f>Orders!I95</f>
        <v>921.12</v>
      </c>
      <c r="J95" t="str">
        <f>Orders!J95</f>
        <v>Completed</v>
      </c>
      <c r="K95" t="str">
        <f>Orders!K95</f>
        <v>Pune</v>
      </c>
      <c r="L95" t="str">
        <f>IFERROR(VLOOKUP(D95,Products!$A$2:$F$61,3,FALSE),"")</f>
        <v>Sports</v>
      </c>
      <c r="M95">
        <f>IFERROR(VLOOKUP(D95,Products!$A$2:$F$61,4,FALSE),"")</f>
        <v>147</v>
      </c>
      <c r="N95" t="str">
        <f>IFERROR(VLOOKUP(E95,Sales_Reps!$A$2:$E$31,3,FALSE),"")</f>
        <v>West</v>
      </c>
      <c r="O95" t="str">
        <f>IFERROR(VLOOKUP(C95,Customers!$A$2:$F$301,5,FALSE),"")</f>
        <v>Retail</v>
      </c>
      <c r="P95">
        <f>IFERROR(VLOOKUP(C95,Customers!$A$2:$F$301,3,FALSE),"")</f>
        <v>25</v>
      </c>
      <c r="Q95" s="41">
        <f t="shared" si="10"/>
        <v>0.22631578947368422</v>
      </c>
      <c r="R95" t="str">
        <f>IFERROR(VLOOKUP(C95,Customers!$A$2:$F$301,1,FALSE),"")</f>
        <v>CUST-0042</v>
      </c>
      <c r="S95" s="27" t="b">
        <f>IFERROR(VLOOKUP(D95,Products!$A$2:$F$61,6,FALSE),"")</f>
        <v>1</v>
      </c>
      <c r="BL95">
        <v>0</v>
      </c>
      <c r="BM95">
        <v>0</v>
      </c>
      <c r="BN95">
        <v>1.8867924528301886E-2</v>
      </c>
      <c r="BO95">
        <v>0</v>
      </c>
      <c r="BP95">
        <v>0</v>
      </c>
    </row>
    <row r="96" spans="1:68" x14ac:dyDescent="0.35">
      <c r="A96" s="26" t="str">
        <f>Orders!A96</f>
        <v>ORD-00095</v>
      </c>
      <c r="B96" s="33">
        <f>Orders!B96</f>
        <v>45607</v>
      </c>
      <c r="C96" t="str">
        <f>Orders!C96</f>
        <v>CUST-0133</v>
      </c>
      <c r="D96" t="str">
        <f>Orders!D96</f>
        <v>PROD-048</v>
      </c>
      <c r="E96" t="str">
        <f>Orders!E96</f>
        <v>R027</v>
      </c>
      <c r="F96">
        <f>Orders!F96</f>
        <v>10</v>
      </c>
      <c r="G96" s="35">
        <f>Orders!G96</f>
        <v>5100</v>
      </c>
      <c r="H96" s="37">
        <f>Orders!H96</f>
        <v>25.4</v>
      </c>
      <c r="I96" s="39">
        <f>Orders!I96</f>
        <v>38046</v>
      </c>
      <c r="J96" t="str">
        <f>Orders!J96</f>
        <v>Refunded</v>
      </c>
      <c r="K96" t="str">
        <f>Orders!K96</f>
        <v>Chennai</v>
      </c>
      <c r="L96" t="str">
        <f>IFERROR(VLOOKUP(D96,Products!$A$2:$F$61,3,FALSE),"")</f>
        <v>Beauty</v>
      </c>
      <c r="M96">
        <f>IFERROR(VLOOKUP(D96,Products!$A$2:$F$61,4,FALSE),"")</f>
        <v>2237</v>
      </c>
      <c r="N96" t="str">
        <f>IFERROR(VLOOKUP(E96,Sales_Reps!$A$2:$E$31,3,FALSE),"")</f>
        <v>West</v>
      </c>
      <c r="O96" t="str">
        <f>IFERROR(VLOOKUP(C96,Customers!$A$2:$F$301,5,FALSE),"")</f>
        <v>Retail</v>
      </c>
      <c r="P96">
        <f>IFERROR(VLOOKUP(C96,Customers!$A$2:$F$301,3,FALSE),"")</f>
        <v>26</v>
      </c>
      <c r="Q96" s="41">
        <f t="shared" si="10"/>
        <v>0.56137254901960787</v>
      </c>
      <c r="R96" t="str">
        <f>IFERROR(VLOOKUP(C96,Customers!$A$2:$F$301,1,FALSE),"")</f>
        <v>CUST-0133</v>
      </c>
      <c r="S96" s="27" t="b">
        <f>IFERROR(VLOOKUP(D96,Products!$A$2:$F$61,6,FALSE),"")</f>
        <v>1</v>
      </c>
      <c r="BL96">
        <v>0</v>
      </c>
      <c r="BM96">
        <v>1</v>
      </c>
      <c r="BN96">
        <v>1.8518518518518517E-2</v>
      </c>
      <c r="BO96">
        <v>0</v>
      </c>
      <c r="BP96">
        <v>0</v>
      </c>
    </row>
    <row r="97" spans="1:68" x14ac:dyDescent="0.35">
      <c r="A97" s="26" t="str">
        <f>Orders!A97</f>
        <v>ORD-00096</v>
      </c>
      <c r="B97" s="33">
        <f>Orders!B97</f>
        <v>45414</v>
      </c>
      <c r="C97" t="str">
        <f>Orders!C97</f>
        <v>CUST-0219</v>
      </c>
      <c r="D97" t="str">
        <f>Orders!D97</f>
        <v>PROD-054</v>
      </c>
      <c r="E97" t="str">
        <f>Orders!E97</f>
        <v>R016</v>
      </c>
      <c r="F97">
        <f>Orders!F97</f>
        <v>5</v>
      </c>
      <c r="G97" s="35">
        <f>Orders!G97</f>
        <v>1010</v>
      </c>
      <c r="H97" s="37">
        <f>Orders!H97</f>
        <v>1.6</v>
      </c>
      <c r="I97" s="39">
        <f>Orders!I97</f>
        <v>4969.2</v>
      </c>
      <c r="J97" t="str">
        <f>Orders!J97</f>
        <v>Completed</v>
      </c>
      <c r="K97" t="str">
        <f>Orders!K97</f>
        <v>Chennai</v>
      </c>
      <c r="L97" t="str">
        <f>IFERROR(VLOOKUP(D97,Products!$A$2:$F$61,3,FALSE),"")</f>
        <v>Sports</v>
      </c>
      <c r="M97">
        <f>IFERROR(VLOOKUP(D97,Products!$A$2:$F$61,4,FALSE),"")</f>
        <v>516</v>
      </c>
      <c r="N97" t="str">
        <f>IFERROR(VLOOKUP(E97,Sales_Reps!$A$2:$E$31,3,FALSE),"")</f>
        <v>South</v>
      </c>
      <c r="O97" t="str">
        <f>IFERROR(VLOOKUP(C97,Customers!$A$2:$F$301,5,FALSE),"")</f>
        <v>Corporate</v>
      </c>
      <c r="P97">
        <f>IFERROR(VLOOKUP(C97,Customers!$A$2:$F$301,3,FALSE),"")</f>
        <v>38</v>
      </c>
      <c r="Q97" s="41">
        <f t="shared" si="10"/>
        <v>0.4891089108910891</v>
      </c>
      <c r="R97" t="str">
        <f>IFERROR(VLOOKUP(C97,Customers!$A$2:$F$301,1,FALSE),"")</f>
        <v>CUST-0219</v>
      </c>
      <c r="S97" s="27" t="b">
        <f>IFERROR(VLOOKUP(D97,Products!$A$2:$F$61,6,FALSE),"")</f>
        <v>1</v>
      </c>
      <c r="BL97">
        <v>0</v>
      </c>
      <c r="BM97">
        <v>0</v>
      </c>
      <c r="BN97">
        <v>2.3809523809523808E-2</v>
      </c>
      <c r="BO97">
        <v>0</v>
      </c>
      <c r="BP97">
        <v>0</v>
      </c>
    </row>
    <row r="98" spans="1:68" x14ac:dyDescent="0.35">
      <c r="A98" s="26" t="str">
        <f>Orders!A98</f>
        <v>ORD-00097</v>
      </c>
      <c r="B98" s="33">
        <f>Orders!B98</f>
        <v>45328</v>
      </c>
      <c r="C98" t="str">
        <f>Orders!C98</f>
        <v>CUST-0031</v>
      </c>
      <c r="D98" t="str">
        <f>Orders!D98</f>
        <v>PROD-031</v>
      </c>
      <c r="E98" t="str">
        <f>Orders!E98</f>
        <v>R025</v>
      </c>
      <c r="F98">
        <f>Orders!F98</f>
        <v>1</v>
      </c>
      <c r="G98" s="35">
        <f>Orders!G98</f>
        <v>3730</v>
      </c>
      <c r="H98" s="37">
        <f>Orders!H98</f>
        <v>22.7</v>
      </c>
      <c r="I98" s="39">
        <f>Orders!I98</f>
        <v>2883.29</v>
      </c>
      <c r="J98" t="str">
        <f>Orders!J98</f>
        <v>Completed</v>
      </c>
      <c r="K98" t="str">
        <f>Orders!K98</f>
        <v>Hyderabad</v>
      </c>
      <c r="L98" t="str">
        <f>IFERROR(VLOOKUP(D98,Products!$A$2:$F$61,3,FALSE),"")</f>
        <v>Home</v>
      </c>
      <c r="M98">
        <f>IFERROR(VLOOKUP(D98,Products!$A$2:$F$61,4,FALSE),"")</f>
        <v>2135</v>
      </c>
      <c r="N98" t="str">
        <f>IFERROR(VLOOKUP(E98,Sales_Reps!$A$2:$E$31,3,FALSE),"")</f>
        <v>West</v>
      </c>
      <c r="O98" t="str">
        <f>IFERROR(VLOOKUP(C98,Customers!$A$2:$F$301,5,FALSE),"")</f>
        <v>Retail</v>
      </c>
      <c r="P98">
        <f>IFERROR(VLOOKUP(C98,Customers!$A$2:$F$301,3,FALSE),"")</f>
        <v>53</v>
      </c>
      <c r="Q98" s="41">
        <f t="shared" si="10"/>
        <v>0.42761394101876676</v>
      </c>
      <c r="R98" t="str">
        <f>IFERROR(VLOOKUP(C98,Customers!$A$2:$F$301,1,FALSE),"")</f>
        <v>CUST-0031</v>
      </c>
      <c r="S98" s="27" t="b">
        <f>IFERROR(VLOOKUP(D98,Products!$A$2:$F$61,6,FALSE),"")</f>
        <v>1</v>
      </c>
      <c r="BL98">
        <v>0</v>
      </c>
      <c r="BM98">
        <v>0</v>
      </c>
      <c r="BN98">
        <v>1.8518518518518517E-2</v>
      </c>
      <c r="BO98">
        <v>0</v>
      </c>
      <c r="BP98">
        <v>0</v>
      </c>
    </row>
    <row r="99" spans="1:68" x14ac:dyDescent="0.35">
      <c r="A99" s="26" t="str">
        <f>Orders!A99</f>
        <v>ORD-00098</v>
      </c>
      <c r="B99" s="33">
        <f>Orders!B99</f>
        <v>45373</v>
      </c>
      <c r="C99" t="str">
        <f>Orders!C99</f>
        <v>CUST-0189</v>
      </c>
      <c r="D99" t="str">
        <f>Orders!D99</f>
        <v>PROD-002</v>
      </c>
      <c r="E99" t="str">
        <f>Orders!E99</f>
        <v>R028</v>
      </c>
      <c r="F99">
        <f>Orders!F99</f>
        <v>10</v>
      </c>
      <c r="G99" s="35">
        <f>Orders!G99</f>
        <v>2600</v>
      </c>
      <c r="H99" s="37">
        <f>Orders!H99</f>
        <v>20.7</v>
      </c>
      <c r="I99" s="39">
        <f>Orders!I99</f>
        <v>20618</v>
      </c>
      <c r="J99" t="str">
        <f>Orders!J99</f>
        <v>Completed</v>
      </c>
      <c r="K99" t="str">
        <f>Orders!K99</f>
        <v>Chennai</v>
      </c>
      <c r="L99" t="str">
        <f>IFERROR(VLOOKUP(D99,Products!$A$2:$F$61,3,FALSE),"")</f>
        <v>Electronics</v>
      </c>
      <c r="M99">
        <f>IFERROR(VLOOKUP(D99,Products!$A$2:$F$61,4,FALSE),"")</f>
        <v>1052</v>
      </c>
      <c r="N99" t="str">
        <f>IFERROR(VLOOKUP(E99,Sales_Reps!$A$2:$E$31,3,FALSE),"")</f>
        <v>West</v>
      </c>
      <c r="O99" t="str">
        <f>IFERROR(VLOOKUP(C99,Customers!$A$2:$F$301,5,FALSE),"")</f>
        <v>Retail</v>
      </c>
      <c r="P99">
        <f>IFERROR(VLOOKUP(C99,Customers!$A$2:$F$301,3,FALSE),"")</f>
        <v>41</v>
      </c>
      <c r="Q99" s="41">
        <f t="shared" si="10"/>
        <v>0.5953846153846154</v>
      </c>
      <c r="R99" t="str">
        <f>IFERROR(VLOOKUP(C99,Customers!$A$2:$F$301,1,FALSE),"")</f>
        <v>CUST-0189</v>
      </c>
      <c r="S99" s="27" t="b">
        <f>IFERROR(VLOOKUP(D99,Products!$A$2:$F$61,6,FALSE),"")</f>
        <v>1</v>
      </c>
      <c r="BL99">
        <v>0</v>
      </c>
      <c r="BM99">
        <v>0</v>
      </c>
      <c r="BN99">
        <v>2.3809523809523808E-2</v>
      </c>
      <c r="BO99">
        <v>0</v>
      </c>
      <c r="BP99">
        <v>0</v>
      </c>
    </row>
    <row r="100" spans="1:68" x14ac:dyDescent="0.35">
      <c r="A100" s="26" t="str">
        <f>Orders!A100</f>
        <v>ORD-00099</v>
      </c>
      <c r="B100" s="33">
        <f>Orders!B100</f>
        <v>45458</v>
      </c>
      <c r="C100" t="str">
        <f>Orders!C100</f>
        <v>CUST-0170</v>
      </c>
      <c r="D100" t="str">
        <f>Orders!D100</f>
        <v>PROD-025</v>
      </c>
      <c r="E100" t="str">
        <f>Orders!E100</f>
        <v>R006</v>
      </c>
      <c r="F100">
        <f>Orders!F100</f>
        <v>4</v>
      </c>
      <c r="G100" s="35">
        <f>Orders!G100</f>
        <v>4060</v>
      </c>
      <c r="H100" s="37">
        <f>Orders!H100</f>
        <v>13.9</v>
      </c>
      <c r="I100" s="39">
        <f>Orders!I100</f>
        <v>13982.64</v>
      </c>
      <c r="J100" t="str">
        <f>Orders!J100</f>
        <v>Completed</v>
      </c>
      <c r="K100" t="str">
        <f>Orders!K100</f>
        <v>Mumbai</v>
      </c>
      <c r="L100" t="str">
        <f>IFERROR(VLOOKUP(D100,Products!$A$2:$F$61,3,FALSE),"")</f>
        <v>Grocery</v>
      </c>
      <c r="M100">
        <f>IFERROR(VLOOKUP(D100,Products!$A$2:$F$61,4,FALSE),"")</f>
        <v>2911</v>
      </c>
      <c r="N100" t="str">
        <f>IFERROR(VLOOKUP(E100,Sales_Reps!$A$2:$E$31,3,FALSE),"")</f>
        <v>North</v>
      </c>
      <c r="O100" t="str">
        <f>IFERROR(VLOOKUP(C100,Customers!$A$2:$F$301,5,FALSE),"")</f>
        <v>SMB</v>
      </c>
      <c r="P100">
        <f>IFERROR(VLOOKUP(C100,Customers!$A$2:$F$301,3,FALSE),"")</f>
        <v>22</v>
      </c>
      <c r="Q100" s="41">
        <f t="shared" si="10"/>
        <v>0.28300492610837441</v>
      </c>
      <c r="R100" t="str">
        <f>IFERROR(VLOOKUP(C100,Customers!$A$2:$F$301,1,FALSE),"")</f>
        <v>CUST-0170</v>
      </c>
      <c r="S100" s="27" t="b">
        <f>IFERROR(VLOOKUP(D100,Products!$A$2:$F$61,6,FALSE),"")</f>
        <v>1</v>
      </c>
      <c r="BL100">
        <v>0</v>
      </c>
      <c r="BM100">
        <v>0</v>
      </c>
      <c r="BN100">
        <v>2.1276595744680851E-2</v>
      </c>
      <c r="BO100">
        <v>0</v>
      </c>
      <c r="BP100">
        <v>0</v>
      </c>
    </row>
    <row r="101" spans="1:68" x14ac:dyDescent="0.35">
      <c r="A101" s="26" t="str">
        <f>Orders!A101</f>
        <v>ORD-00100</v>
      </c>
      <c r="B101" s="33">
        <f>Orders!B101</f>
        <v>45426</v>
      </c>
      <c r="C101" t="str">
        <f>Orders!C101</f>
        <v>CUST-0164</v>
      </c>
      <c r="D101" t="str">
        <f>Orders!D101</f>
        <v>PROD-050</v>
      </c>
      <c r="E101" t="str">
        <f>Orders!E101</f>
        <v>R027</v>
      </c>
      <c r="F101">
        <f>Orders!F101</f>
        <v>6</v>
      </c>
      <c r="G101" s="35">
        <f>Orders!G101</f>
        <v>6080</v>
      </c>
      <c r="H101" s="37">
        <f>Orders!H101</f>
        <v>16.5</v>
      </c>
      <c r="I101" s="39">
        <f>Orders!I101</f>
        <v>30460.799999999999</v>
      </c>
      <c r="J101" t="str">
        <f>Orders!J101</f>
        <v>Completed</v>
      </c>
      <c r="K101" t="str">
        <f>Orders!K101</f>
        <v>Chennai</v>
      </c>
      <c r="L101" t="str">
        <f>IFERROR(VLOOKUP(D101,Products!$A$2:$F$61,3,FALSE),"")</f>
        <v>Beauty</v>
      </c>
      <c r="M101">
        <f>IFERROR(VLOOKUP(D101,Products!$A$2:$F$61,4,FALSE),"")</f>
        <v>2617</v>
      </c>
      <c r="N101" t="str">
        <f>IFERROR(VLOOKUP(E101,Sales_Reps!$A$2:$E$31,3,FALSE),"")</f>
        <v>West</v>
      </c>
      <c r="O101" t="str">
        <f>IFERROR(VLOOKUP(C101,Customers!$A$2:$F$301,5,FALSE),"")</f>
        <v>Retail</v>
      </c>
      <c r="P101">
        <f>IFERROR(VLOOKUP(C101,Customers!$A$2:$F$301,3,FALSE),"")</f>
        <v>60</v>
      </c>
      <c r="Q101" s="41">
        <f t="shared" si="10"/>
        <v>0.56957236842105263</v>
      </c>
      <c r="R101" t="str">
        <f>IFERROR(VLOOKUP(C101,Customers!$A$2:$F$301,1,FALSE),"")</f>
        <v>CUST-0164</v>
      </c>
      <c r="S101" s="27" t="b">
        <f>IFERROR(VLOOKUP(D101,Products!$A$2:$F$61,6,FALSE),"")</f>
        <v>1</v>
      </c>
      <c r="BL101">
        <v>0</v>
      </c>
      <c r="BM101">
        <v>0</v>
      </c>
      <c r="BN101">
        <v>1.9607843137254902E-2</v>
      </c>
      <c r="BO101">
        <v>0</v>
      </c>
      <c r="BP101">
        <v>0</v>
      </c>
    </row>
    <row r="102" spans="1:68" x14ac:dyDescent="0.35">
      <c r="A102" s="26" t="str">
        <f>Orders!A102</f>
        <v>ORD-00101</v>
      </c>
      <c r="B102" s="33">
        <f>Orders!B102</f>
        <v>45557</v>
      </c>
      <c r="C102" t="str">
        <f>Orders!C102</f>
        <v>CUST-0006</v>
      </c>
      <c r="D102" t="str">
        <f>Orders!D102</f>
        <v>PROD-017</v>
      </c>
      <c r="E102" t="str">
        <f>Orders!E102</f>
        <v>R028</v>
      </c>
      <c r="F102">
        <f>Orders!F102</f>
        <v>6</v>
      </c>
      <c r="G102" s="35">
        <f>Orders!G102</f>
        <v>2510</v>
      </c>
      <c r="H102" s="37">
        <f>Orders!H102</f>
        <v>11.7</v>
      </c>
      <c r="I102" s="39">
        <f>Orders!I102</f>
        <v>13297.98</v>
      </c>
      <c r="J102" t="str">
        <f>Orders!J102</f>
        <v>Completed</v>
      </c>
      <c r="K102" t="str">
        <f>Orders!K102</f>
        <v>Pune</v>
      </c>
      <c r="L102" t="str">
        <f>IFERROR(VLOOKUP(D102,Products!$A$2:$F$61,3,FALSE),"")</f>
        <v>Apparel</v>
      </c>
      <c r="M102">
        <f>IFERROR(VLOOKUP(D102,Products!$A$2:$F$61,4,FALSE),"")</f>
        <v>1075</v>
      </c>
      <c r="N102" t="str">
        <f>IFERROR(VLOOKUP(E102,Sales_Reps!$A$2:$E$31,3,FALSE),"")</f>
        <v>West</v>
      </c>
      <c r="O102" t="str">
        <f>IFERROR(VLOOKUP(C102,Customers!$A$2:$F$301,5,FALSE),"")</f>
        <v>SMB</v>
      </c>
      <c r="P102">
        <f>IFERROR(VLOOKUP(C102,Customers!$A$2:$F$301,3,FALSE),"")</f>
        <v>44</v>
      </c>
      <c r="Q102" s="41">
        <f t="shared" si="10"/>
        <v>0.57171314741035861</v>
      </c>
      <c r="R102" t="str">
        <f>IFERROR(VLOOKUP(C102,Customers!$A$2:$F$301,1,FALSE),"")</f>
        <v>CUST-0006</v>
      </c>
      <c r="S102" s="27" t="b">
        <f>IFERROR(VLOOKUP(D102,Products!$A$2:$F$61,6,FALSE),"")</f>
        <v>0</v>
      </c>
      <c r="BL102">
        <v>0</v>
      </c>
      <c r="BM102">
        <v>0</v>
      </c>
      <c r="BN102">
        <v>1.9607843137254902E-2</v>
      </c>
      <c r="BO102">
        <v>0</v>
      </c>
      <c r="BP102">
        <v>1</v>
      </c>
    </row>
    <row r="103" spans="1:68" x14ac:dyDescent="0.35">
      <c r="A103" s="26" t="str">
        <f>Orders!A103</f>
        <v>ORD-00102</v>
      </c>
      <c r="B103" s="33">
        <f>Orders!B103</f>
        <v>45509</v>
      </c>
      <c r="C103" t="str">
        <f>Orders!C103</f>
        <v>CUST-0181</v>
      </c>
      <c r="D103" t="str">
        <f>Orders!D103</f>
        <v>PROD-036</v>
      </c>
      <c r="E103" t="str">
        <f>Orders!E103</f>
        <v>R026</v>
      </c>
      <c r="F103">
        <f>Orders!F103</f>
        <v>5</v>
      </c>
      <c r="G103" s="35">
        <f>Orders!G103</f>
        <v>3250</v>
      </c>
      <c r="H103" s="37">
        <f>Orders!H103</f>
        <v>18.399999999999999</v>
      </c>
      <c r="I103" s="39">
        <f>Orders!I103</f>
        <v>13260</v>
      </c>
      <c r="J103" t="str">
        <f>Orders!J103</f>
        <v>Completed</v>
      </c>
      <c r="K103" t="str">
        <f>Orders!K103</f>
        <v>Delhi</v>
      </c>
      <c r="L103" t="str">
        <f>IFERROR(VLOOKUP(D103,Products!$A$2:$F$61,3,FALSE),"")</f>
        <v>Home</v>
      </c>
      <c r="M103">
        <f>IFERROR(VLOOKUP(D103,Products!$A$2:$F$61,4,FALSE),"")</f>
        <v>1556</v>
      </c>
      <c r="N103" t="str">
        <f>IFERROR(VLOOKUP(E103,Sales_Reps!$A$2:$E$31,3,FALSE),"")</f>
        <v>West</v>
      </c>
      <c r="O103" t="str">
        <f>IFERROR(VLOOKUP(C103,Customers!$A$2:$F$301,5,FALSE),"")</f>
        <v>SMB</v>
      </c>
      <c r="P103">
        <f>IFERROR(VLOOKUP(C103,Customers!$A$2:$F$301,3,FALSE),"")</f>
        <v>38</v>
      </c>
      <c r="Q103" s="41">
        <f t="shared" si="10"/>
        <v>0.52123076923076928</v>
      </c>
      <c r="R103" t="str">
        <f>IFERROR(VLOOKUP(C103,Customers!$A$2:$F$301,1,FALSE),"")</f>
        <v>CUST-0181</v>
      </c>
      <c r="S103" s="27" t="b">
        <f>IFERROR(VLOOKUP(D103,Products!$A$2:$F$61,6,FALSE),"")</f>
        <v>1</v>
      </c>
      <c r="BL103">
        <v>0</v>
      </c>
      <c r="BM103">
        <v>0</v>
      </c>
      <c r="BN103">
        <v>1.8867924528301886E-2</v>
      </c>
      <c r="BO103">
        <v>0</v>
      </c>
      <c r="BP103">
        <v>0</v>
      </c>
    </row>
    <row r="104" spans="1:68" x14ac:dyDescent="0.35">
      <c r="A104" s="26" t="str">
        <f>Orders!A104</f>
        <v>ORD-00103</v>
      </c>
      <c r="B104" s="33">
        <f>Orders!B104</f>
        <v>45329</v>
      </c>
      <c r="C104" t="str">
        <f>Orders!C104</f>
        <v>CUST-0131</v>
      </c>
      <c r="D104" t="str">
        <f>Orders!D104</f>
        <v>PROD-052</v>
      </c>
      <c r="E104" t="str">
        <f>Orders!E104</f>
        <v>R005</v>
      </c>
      <c r="F104">
        <f>Orders!F104</f>
        <v>4</v>
      </c>
      <c r="G104" s="35">
        <f>Orders!G104</f>
        <v>5410</v>
      </c>
      <c r="H104" s="37">
        <f>Orders!H104</f>
        <v>9.8000000000000007</v>
      </c>
      <c r="I104" s="39">
        <f>Orders!I104</f>
        <v>19519.28</v>
      </c>
      <c r="J104" t="str">
        <f>Orders!J104</f>
        <v>Cancelled</v>
      </c>
      <c r="K104" t="str">
        <f>Orders!K104</f>
        <v>Delhi</v>
      </c>
      <c r="L104" t="str">
        <f>IFERROR(VLOOKUP(D104,Products!$A$2:$F$61,3,FALSE),"")</f>
        <v>Sports</v>
      </c>
      <c r="M104">
        <f>IFERROR(VLOOKUP(D104,Products!$A$2:$F$61,4,FALSE),"")</f>
        <v>2265</v>
      </c>
      <c r="N104" t="str">
        <f>IFERROR(VLOOKUP(E104,Sales_Reps!$A$2:$E$31,3,FALSE),"")</f>
        <v>North</v>
      </c>
      <c r="O104" t="str">
        <f>IFERROR(VLOOKUP(C104,Customers!$A$2:$F$301,5,FALSE),"")</f>
        <v>SMB</v>
      </c>
      <c r="P104">
        <f>IFERROR(VLOOKUP(C104,Customers!$A$2:$F$301,3,FALSE),"")</f>
        <v>28</v>
      </c>
      <c r="Q104" s="41">
        <f t="shared" si="10"/>
        <v>0.58133086876155271</v>
      </c>
      <c r="R104" t="str">
        <f>IFERROR(VLOOKUP(C104,Customers!$A$2:$F$301,1,FALSE),"")</f>
        <v>CUST-0131</v>
      </c>
      <c r="S104" s="27" t="b">
        <f>IFERROR(VLOOKUP(D104,Products!$A$2:$F$61,6,FALSE),"")</f>
        <v>1</v>
      </c>
      <c r="BL104">
        <v>0</v>
      </c>
      <c r="BM104">
        <v>0</v>
      </c>
      <c r="BN104">
        <v>1.9607843137254902E-2</v>
      </c>
      <c r="BO104">
        <v>0</v>
      </c>
      <c r="BP104">
        <v>0</v>
      </c>
    </row>
    <row r="105" spans="1:68" x14ac:dyDescent="0.35">
      <c r="A105" s="26" t="str">
        <f>Orders!A105</f>
        <v>ORD-00104</v>
      </c>
      <c r="B105" s="33">
        <f>Orders!B105</f>
        <v>45411</v>
      </c>
      <c r="C105" t="str">
        <f>Orders!C105</f>
        <v>CUST-0255</v>
      </c>
      <c r="D105" t="str">
        <f>Orders!D105</f>
        <v>PROD-003</v>
      </c>
      <c r="E105" t="str">
        <f>Orders!E105</f>
        <v>R018</v>
      </c>
      <c r="F105">
        <f>Orders!F105</f>
        <v>8</v>
      </c>
      <c r="G105" s="35">
        <f>Orders!G105</f>
        <v>3570</v>
      </c>
      <c r="H105" s="37">
        <f>Orders!H105</f>
        <v>11.1</v>
      </c>
      <c r="I105" s="39">
        <f>Orders!I105</f>
        <v>25389.84</v>
      </c>
      <c r="J105" t="str">
        <f>Orders!J105</f>
        <v>Completed</v>
      </c>
      <c r="K105" t="str">
        <f>Orders!K105</f>
        <v>Chennai</v>
      </c>
      <c r="L105" t="str">
        <f>IFERROR(VLOOKUP(D105,Products!$A$2:$F$61,3,FALSE),"")</f>
        <v>Electronics</v>
      </c>
      <c r="M105">
        <f>IFERROR(VLOOKUP(D105,Products!$A$2:$F$61,4,FALSE),"")</f>
        <v>1665</v>
      </c>
      <c r="N105" t="str">
        <f>IFERROR(VLOOKUP(E105,Sales_Reps!$A$2:$E$31,3,FALSE),"")</f>
        <v>East</v>
      </c>
      <c r="O105" t="str">
        <f>IFERROR(VLOOKUP(C105,Customers!$A$2:$F$301,5,FALSE),"")</f>
        <v>Corporate</v>
      </c>
      <c r="P105">
        <f>IFERROR(VLOOKUP(C105,Customers!$A$2:$F$301,3,FALSE),"")</f>
        <v>51</v>
      </c>
      <c r="Q105" s="41">
        <f t="shared" si="10"/>
        <v>0.53361344537815125</v>
      </c>
      <c r="R105" t="str">
        <f>IFERROR(VLOOKUP(C105,Customers!$A$2:$F$301,1,FALSE),"")</f>
        <v>CUST-0255</v>
      </c>
      <c r="S105" s="27" t="b">
        <f>IFERROR(VLOOKUP(D105,Products!$A$2:$F$61,6,FALSE),"")</f>
        <v>1</v>
      </c>
      <c r="BL105">
        <v>0</v>
      </c>
      <c r="BM105">
        <v>0</v>
      </c>
      <c r="BN105">
        <v>1.9607843137254902E-2</v>
      </c>
      <c r="BO105">
        <v>0</v>
      </c>
      <c r="BP105">
        <v>0</v>
      </c>
    </row>
    <row r="106" spans="1:68" x14ac:dyDescent="0.35">
      <c r="A106" s="26" t="str">
        <f>Orders!A106</f>
        <v>ORD-00105</v>
      </c>
      <c r="B106" s="33">
        <f>Orders!B106</f>
        <v>45297</v>
      </c>
      <c r="C106" t="str">
        <f>Orders!C106</f>
        <v>CUST-0170</v>
      </c>
      <c r="D106" t="str">
        <f>Orders!D106</f>
        <v>PROD-001</v>
      </c>
      <c r="E106" t="str">
        <f>Orders!E106</f>
        <v>R003</v>
      </c>
      <c r="F106">
        <f>Orders!F106</f>
        <v>10</v>
      </c>
      <c r="G106" s="35">
        <f>Orders!G106</f>
        <v>5330</v>
      </c>
      <c r="H106" s="37">
        <f>Orders!H106</f>
        <v>21.2</v>
      </c>
      <c r="I106" s="39">
        <f>Orders!I106</f>
        <v>42000.4</v>
      </c>
      <c r="J106" t="str">
        <f>Orders!J106</f>
        <v>Completed</v>
      </c>
      <c r="K106" t="str">
        <f>Orders!K106</f>
        <v>Mumbai</v>
      </c>
      <c r="L106" t="str">
        <f>IFERROR(VLOOKUP(D106,Products!$A$2:$F$61,3,FALSE),"")</f>
        <v>Electronics</v>
      </c>
      <c r="M106">
        <f>IFERROR(VLOOKUP(D106,Products!$A$2:$F$61,4,FALSE),"")</f>
        <v>2405</v>
      </c>
      <c r="N106" t="str">
        <f>IFERROR(VLOOKUP(E106,Sales_Reps!$A$2:$E$31,3,FALSE),"")</f>
        <v>North</v>
      </c>
      <c r="O106" t="str">
        <f>IFERROR(VLOOKUP(C106,Customers!$A$2:$F$301,5,FALSE),"")</f>
        <v>SMB</v>
      </c>
      <c r="P106">
        <f>IFERROR(VLOOKUP(C106,Customers!$A$2:$F$301,3,FALSE),"")</f>
        <v>22</v>
      </c>
      <c r="Q106" s="41">
        <f t="shared" si="10"/>
        <v>0.54878048780487809</v>
      </c>
      <c r="R106" t="str">
        <f>IFERROR(VLOOKUP(C106,Customers!$A$2:$F$301,1,FALSE),"")</f>
        <v>CUST-0170</v>
      </c>
      <c r="S106" s="27" t="b">
        <f>IFERROR(VLOOKUP(D106,Products!$A$2:$F$61,6,FALSE),"")</f>
        <v>1</v>
      </c>
      <c r="BL106">
        <v>0</v>
      </c>
      <c r="BM106">
        <v>0</v>
      </c>
      <c r="BN106">
        <v>1.8867924528301886E-2</v>
      </c>
      <c r="BO106">
        <v>0</v>
      </c>
      <c r="BP106">
        <v>0</v>
      </c>
    </row>
    <row r="107" spans="1:68" x14ac:dyDescent="0.35">
      <c r="A107" s="26" t="str">
        <f>Orders!A107</f>
        <v>ORD-00106</v>
      </c>
      <c r="B107" s="33">
        <f>Orders!B107</f>
        <v>45640</v>
      </c>
      <c r="C107" t="str">
        <f>Orders!C107</f>
        <v>CUST-0081</v>
      </c>
      <c r="D107" t="str">
        <f>Orders!D107</f>
        <v>PROD-023</v>
      </c>
      <c r="E107" t="str">
        <f>Orders!E107</f>
        <v>R017</v>
      </c>
      <c r="F107">
        <f>Orders!F107</f>
        <v>4</v>
      </c>
      <c r="G107" s="35">
        <f>Orders!G107</f>
        <v>2380</v>
      </c>
      <c r="H107" s="37">
        <f>Orders!H107</f>
        <v>26.2</v>
      </c>
      <c r="I107" s="39">
        <f>Orders!I107</f>
        <v>7025.76</v>
      </c>
      <c r="J107" t="str">
        <f>Orders!J107</f>
        <v>Completed</v>
      </c>
      <c r="K107" t="str">
        <f>Orders!K107</f>
        <v>Mumbai</v>
      </c>
      <c r="L107" t="str">
        <f>IFERROR(VLOOKUP(D107,Products!$A$2:$F$61,3,FALSE),"")</f>
        <v>Grocery</v>
      </c>
      <c r="M107">
        <f>IFERROR(VLOOKUP(D107,Products!$A$2:$F$61,4,FALSE),"")</f>
        <v>1182</v>
      </c>
      <c r="N107" t="str">
        <f>IFERROR(VLOOKUP(E107,Sales_Reps!$A$2:$E$31,3,FALSE),"")</f>
        <v>East</v>
      </c>
      <c r="O107" t="str">
        <f>IFERROR(VLOOKUP(C107,Customers!$A$2:$F$301,5,FALSE),"")</f>
        <v>Retail</v>
      </c>
      <c r="P107">
        <f>IFERROR(VLOOKUP(C107,Customers!$A$2:$F$301,3,FALSE),"")</f>
        <v>25</v>
      </c>
      <c r="Q107" s="41">
        <f t="shared" si="10"/>
        <v>0.50336134453781511</v>
      </c>
      <c r="R107" t="str">
        <f>IFERROR(VLOOKUP(C107,Customers!$A$2:$F$301,1,FALSE),"")</f>
        <v>CUST-0081</v>
      </c>
      <c r="S107" s="27" t="b">
        <f>IFERROR(VLOOKUP(D107,Products!$A$2:$F$61,6,FALSE),"")</f>
        <v>1</v>
      </c>
      <c r="BL107">
        <v>0</v>
      </c>
      <c r="BM107">
        <v>0</v>
      </c>
      <c r="BN107">
        <v>1.8867924528301886E-2</v>
      </c>
      <c r="BO107">
        <v>0</v>
      </c>
      <c r="BP107">
        <v>0</v>
      </c>
    </row>
    <row r="108" spans="1:68" x14ac:dyDescent="0.35">
      <c r="A108" s="26" t="str">
        <f>Orders!A108</f>
        <v>ORD-00107</v>
      </c>
      <c r="B108" s="33">
        <f>Orders!B108</f>
        <v>45322</v>
      </c>
      <c r="C108" t="str">
        <f>Orders!C108</f>
        <v>CUST-0102</v>
      </c>
      <c r="D108" t="str">
        <f>Orders!D108</f>
        <v>PROD-054</v>
      </c>
      <c r="E108" t="str">
        <f>Orders!E108</f>
        <v>R027</v>
      </c>
      <c r="F108">
        <f>Orders!F108</f>
        <v>1</v>
      </c>
      <c r="G108" s="35">
        <f>Orders!G108</f>
        <v>1010</v>
      </c>
      <c r="H108" s="37">
        <f>Orders!H108</f>
        <v>19.5</v>
      </c>
      <c r="I108" s="39">
        <f>Orders!I108</f>
        <v>813.05</v>
      </c>
      <c r="J108" t="str">
        <f>Orders!J108</f>
        <v>Cancelled</v>
      </c>
      <c r="K108" t="str">
        <f>Orders!K108</f>
        <v>Chennai</v>
      </c>
      <c r="L108" t="str">
        <f>IFERROR(VLOOKUP(D108,Products!$A$2:$F$61,3,FALSE),"")</f>
        <v>Sports</v>
      </c>
      <c r="M108">
        <f>IFERROR(VLOOKUP(D108,Products!$A$2:$F$61,4,FALSE),"")</f>
        <v>516</v>
      </c>
      <c r="N108" t="str">
        <f>IFERROR(VLOOKUP(E108,Sales_Reps!$A$2:$E$31,3,FALSE),"")</f>
        <v>West</v>
      </c>
      <c r="O108" t="str">
        <f>IFERROR(VLOOKUP(C108,Customers!$A$2:$F$301,5,FALSE),"")</f>
        <v>SMB</v>
      </c>
      <c r="P108">
        <f>IFERROR(VLOOKUP(C108,Customers!$A$2:$F$301,3,FALSE),"")</f>
        <v>62</v>
      </c>
      <c r="Q108" s="41">
        <f t="shared" si="10"/>
        <v>0.4891089108910891</v>
      </c>
      <c r="R108" t="str">
        <f>IFERROR(VLOOKUP(C108,Customers!$A$2:$F$301,1,FALSE),"")</f>
        <v>CUST-0102</v>
      </c>
      <c r="S108" s="27" t="b">
        <f>IFERROR(VLOOKUP(D108,Products!$A$2:$F$61,6,FALSE),"")</f>
        <v>1</v>
      </c>
      <c r="BL108">
        <v>0</v>
      </c>
      <c r="BM108">
        <v>1</v>
      </c>
      <c r="BN108">
        <v>1.8867924528301886E-2</v>
      </c>
      <c r="BO108">
        <v>0</v>
      </c>
      <c r="BP108">
        <v>0</v>
      </c>
    </row>
    <row r="109" spans="1:68" x14ac:dyDescent="0.35">
      <c r="A109" s="26" t="str">
        <f>Orders!A109</f>
        <v>ORD-00108</v>
      </c>
      <c r="B109" s="33">
        <f>Orders!B109</f>
        <v>45414</v>
      </c>
      <c r="C109" t="str">
        <f>Orders!C109</f>
        <v>CUST-0070</v>
      </c>
      <c r="D109" t="str">
        <f>Orders!D109</f>
        <v>PROD-028</v>
      </c>
      <c r="E109" t="str">
        <f>Orders!E109</f>
        <v>R025</v>
      </c>
      <c r="F109">
        <f>Orders!F109</f>
        <v>1</v>
      </c>
      <c r="G109" s="35">
        <f>Orders!G109</f>
        <v>3660</v>
      </c>
      <c r="H109" s="37">
        <f>Orders!H109</f>
        <v>1.3</v>
      </c>
      <c r="I109" s="39">
        <f>Orders!I109</f>
        <v>3612.42</v>
      </c>
      <c r="J109" t="str">
        <f>Orders!J109</f>
        <v>Completed</v>
      </c>
      <c r="K109" t="str">
        <f>Orders!K109</f>
        <v>Mumbai</v>
      </c>
      <c r="L109" t="str">
        <f>IFERROR(VLOOKUP(D109,Products!$A$2:$F$61,3,FALSE),"")</f>
        <v>Grocery</v>
      </c>
      <c r="M109">
        <f>IFERROR(VLOOKUP(D109,Products!$A$2:$F$61,4,FALSE),"")</f>
        <v>2214</v>
      </c>
      <c r="N109" t="str">
        <f>IFERROR(VLOOKUP(E109,Sales_Reps!$A$2:$E$31,3,FALSE),"")</f>
        <v>West</v>
      </c>
      <c r="O109" t="str">
        <f>IFERROR(VLOOKUP(C109,Customers!$A$2:$F$301,5,FALSE),"")</f>
        <v>Retail</v>
      </c>
      <c r="P109">
        <f>IFERROR(VLOOKUP(C109,Customers!$A$2:$F$301,3,FALSE),"")</f>
        <v>42</v>
      </c>
      <c r="Q109" s="41">
        <f t="shared" si="10"/>
        <v>0.39508196721311473</v>
      </c>
      <c r="R109" t="str">
        <f>IFERROR(VLOOKUP(C109,Customers!$A$2:$F$301,1,FALSE),"")</f>
        <v>CUST-0070</v>
      </c>
      <c r="S109" s="27" t="b">
        <f>IFERROR(VLOOKUP(D109,Products!$A$2:$F$61,6,FALSE),"")</f>
        <v>0</v>
      </c>
      <c r="BL109">
        <v>0</v>
      </c>
      <c r="BM109">
        <v>0</v>
      </c>
      <c r="BN109">
        <v>2.1276595744680851E-2</v>
      </c>
      <c r="BO109">
        <v>0</v>
      </c>
      <c r="BP109">
        <v>1</v>
      </c>
    </row>
    <row r="110" spans="1:68" x14ac:dyDescent="0.35">
      <c r="A110" s="26" t="str">
        <f>Orders!A110</f>
        <v>ORD-00109</v>
      </c>
      <c r="B110" s="33">
        <f>Orders!B110</f>
        <v>45592</v>
      </c>
      <c r="C110" t="str">
        <f>Orders!C110</f>
        <v>CUST-0012</v>
      </c>
      <c r="D110" t="str">
        <f>Orders!D110</f>
        <v>PROD-026</v>
      </c>
      <c r="E110" t="str">
        <f>Orders!E110</f>
        <v>R013</v>
      </c>
      <c r="F110">
        <f>Orders!F110</f>
        <v>2</v>
      </c>
      <c r="G110" s="35">
        <f>Orders!G110</f>
        <v>4070</v>
      </c>
      <c r="H110" s="37">
        <f>Orders!H110</f>
        <v>29</v>
      </c>
      <c r="I110" s="39">
        <f>Orders!I110</f>
        <v>5779.4</v>
      </c>
      <c r="J110" t="str">
        <f>Orders!J110</f>
        <v>Cancelled</v>
      </c>
      <c r="K110" t="str">
        <f>Orders!K110</f>
        <v>Pune</v>
      </c>
      <c r="L110" t="str">
        <f>IFERROR(VLOOKUP(D110,Products!$A$2:$F$61,3,FALSE),"")</f>
        <v>Grocery</v>
      </c>
      <c r="M110">
        <f>IFERROR(VLOOKUP(D110,Products!$A$2:$F$61,4,FALSE),"")</f>
        <v>2027</v>
      </c>
      <c r="N110" t="str">
        <f>IFERROR(VLOOKUP(E110,Sales_Reps!$A$2:$E$31,3,FALSE),"")</f>
        <v>South</v>
      </c>
      <c r="O110" t="str">
        <f>IFERROR(VLOOKUP(C110,Customers!$A$2:$F$301,5,FALSE),"")</f>
        <v>Retail</v>
      </c>
      <c r="P110">
        <f>IFERROR(VLOOKUP(C110,Customers!$A$2:$F$301,3,FALSE),"")</f>
        <v>43</v>
      </c>
      <c r="Q110" s="41">
        <f t="shared" si="10"/>
        <v>0.50196560196560192</v>
      </c>
      <c r="R110" t="str">
        <f>IFERROR(VLOOKUP(C110,Customers!$A$2:$F$301,1,FALSE),"")</f>
        <v>CUST-0012</v>
      </c>
      <c r="S110" s="27" t="b">
        <f>IFERROR(VLOOKUP(D110,Products!$A$2:$F$61,6,FALSE),"")</f>
        <v>1</v>
      </c>
      <c r="BL110">
        <v>0</v>
      </c>
      <c r="BM110">
        <v>0</v>
      </c>
      <c r="BN110">
        <v>1.8867924528301886E-2</v>
      </c>
      <c r="BO110">
        <v>0</v>
      </c>
      <c r="BP110">
        <v>0</v>
      </c>
    </row>
    <row r="111" spans="1:68" x14ac:dyDescent="0.35">
      <c r="A111" s="26" t="str">
        <f>Orders!A111</f>
        <v>ORD-00110</v>
      </c>
      <c r="B111" s="33">
        <f>Orders!B111</f>
        <v>45439</v>
      </c>
      <c r="C111" t="str">
        <f>Orders!C111</f>
        <v>CUST-0086</v>
      </c>
      <c r="D111" t="str">
        <f>Orders!D111</f>
        <v>PROD-037</v>
      </c>
      <c r="E111" t="str">
        <f>Orders!E111</f>
        <v>R029</v>
      </c>
      <c r="F111">
        <f>Orders!F111</f>
        <v>6</v>
      </c>
      <c r="G111" s="35">
        <f>Orders!G111</f>
        <v>660</v>
      </c>
      <c r="H111" s="37">
        <f>Orders!H111</f>
        <v>20.2</v>
      </c>
      <c r="I111" s="39">
        <f>Orders!I111</f>
        <v>3160.08</v>
      </c>
      <c r="J111" t="str">
        <f>Orders!J111</f>
        <v>Pending</v>
      </c>
      <c r="K111" t="str">
        <f>Orders!K111</f>
        <v>Hyderabad</v>
      </c>
      <c r="L111" t="str">
        <f>IFERROR(VLOOKUP(D111,Products!$A$2:$F$61,3,FALSE),"")</f>
        <v>Home</v>
      </c>
      <c r="M111">
        <f>IFERROR(VLOOKUP(D111,Products!$A$2:$F$61,4,FALSE),"")</f>
        <v>329</v>
      </c>
      <c r="N111" t="str">
        <f>IFERROR(VLOOKUP(E111,Sales_Reps!$A$2:$E$31,3,FALSE),"")</f>
        <v>West</v>
      </c>
      <c r="O111" t="str">
        <f>IFERROR(VLOOKUP(C111,Customers!$A$2:$F$301,5,FALSE),"")</f>
        <v>Corporate</v>
      </c>
      <c r="P111">
        <f>IFERROR(VLOOKUP(C111,Customers!$A$2:$F$301,3,FALSE),"")</f>
        <v>56</v>
      </c>
      <c r="Q111" s="41">
        <f t="shared" si="10"/>
        <v>0.50151515151515147</v>
      </c>
      <c r="R111" t="str">
        <f>IFERROR(VLOOKUP(C111,Customers!$A$2:$F$301,1,FALSE),"")</f>
        <v>CUST-0086</v>
      </c>
      <c r="S111" s="27" t="b">
        <f>IFERROR(VLOOKUP(D111,Products!$A$2:$F$61,6,FALSE),"")</f>
        <v>1</v>
      </c>
      <c r="BL111">
        <v>0</v>
      </c>
      <c r="BM111">
        <v>0</v>
      </c>
      <c r="BN111">
        <v>1.8867924528301886E-2</v>
      </c>
      <c r="BO111">
        <v>0</v>
      </c>
      <c r="BP111">
        <v>0</v>
      </c>
    </row>
    <row r="112" spans="1:68" x14ac:dyDescent="0.35">
      <c r="A112" s="26" t="str">
        <f>Orders!A112</f>
        <v>ORD-00111</v>
      </c>
      <c r="B112" s="33">
        <f>Orders!B112</f>
        <v>45486</v>
      </c>
      <c r="C112" t="str">
        <f>Orders!C112</f>
        <v>CUST-0145</v>
      </c>
      <c r="D112" t="str">
        <f>Orders!D112</f>
        <v>PROD-040</v>
      </c>
      <c r="E112" t="str">
        <f>Orders!E112</f>
        <v>R024</v>
      </c>
      <c r="F112">
        <f>Orders!F112</f>
        <v>3</v>
      </c>
      <c r="G112" s="35">
        <f>Orders!G112</f>
        <v>1080</v>
      </c>
      <c r="H112" s="37">
        <f>Orders!H112</f>
        <v>29.7</v>
      </c>
      <c r="I112" s="39">
        <f>Orders!I112</f>
        <v>2277.7199999999998</v>
      </c>
      <c r="J112" t="str">
        <f>Orders!J112</f>
        <v>Completed</v>
      </c>
      <c r="K112" t="str">
        <f>Orders!K112</f>
        <v>Bengaluru</v>
      </c>
      <c r="L112" t="str">
        <f>IFERROR(VLOOKUP(D112,Products!$A$2:$F$61,3,FALSE),"")</f>
        <v>Home</v>
      </c>
      <c r="M112">
        <f>IFERROR(VLOOKUP(D112,Products!$A$2:$F$61,4,FALSE),"")</f>
        <v>519</v>
      </c>
      <c r="N112" t="str">
        <f>IFERROR(VLOOKUP(E112,Sales_Reps!$A$2:$E$31,3,FALSE),"")</f>
        <v>West</v>
      </c>
      <c r="O112" t="str">
        <f>IFERROR(VLOOKUP(C112,Customers!$A$2:$F$301,5,FALSE),"")</f>
        <v>SMB</v>
      </c>
      <c r="P112">
        <f>IFERROR(VLOOKUP(C112,Customers!$A$2:$F$301,3,FALSE),"")</f>
        <v>44</v>
      </c>
      <c r="Q112" s="41">
        <f t="shared" si="10"/>
        <v>0.51944444444444449</v>
      </c>
      <c r="R112" t="str">
        <f>IFERROR(VLOOKUP(C112,Customers!$A$2:$F$301,1,FALSE),"")</f>
        <v>CUST-0145</v>
      </c>
      <c r="S112" s="27" t="b">
        <f>IFERROR(VLOOKUP(D112,Products!$A$2:$F$61,6,FALSE),"")</f>
        <v>1</v>
      </c>
      <c r="BL112">
        <v>0</v>
      </c>
      <c r="BM112">
        <v>0</v>
      </c>
      <c r="BN112">
        <v>1.8867924528301886E-2</v>
      </c>
      <c r="BO112">
        <v>0</v>
      </c>
      <c r="BP112">
        <v>0</v>
      </c>
    </row>
    <row r="113" spans="1:68" x14ac:dyDescent="0.35">
      <c r="A113" s="26" t="str">
        <f>Orders!A113</f>
        <v>ORD-00112</v>
      </c>
      <c r="B113" s="33">
        <f>Orders!B113</f>
        <v>45629</v>
      </c>
      <c r="C113" t="str">
        <f>Orders!C113</f>
        <v>CUST-0287</v>
      </c>
      <c r="D113" t="str">
        <f>Orders!D113</f>
        <v>PROD-020</v>
      </c>
      <c r="E113" t="str">
        <f>Orders!E113</f>
        <v>R006</v>
      </c>
      <c r="F113">
        <f>Orders!F113</f>
        <v>7</v>
      </c>
      <c r="G113" s="35">
        <f>Orders!G113</f>
        <v>820</v>
      </c>
      <c r="H113" s="37">
        <f>Orders!H113</f>
        <v>13.5</v>
      </c>
      <c r="I113" s="39">
        <f>Orders!I113</f>
        <v>4965.1000000000004</v>
      </c>
      <c r="J113" t="str">
        <f>Orders!J113</f>
        <v>Cancelled</v>
      </c>
      <c r="K113" t="str">
        <f>Orders!K113</f>
        <v>Chennai</v>
      </c>
      <c r="L113" t="str">
        <f>IFERROR(VLOOKUP(D113,Products!$A$2:$F$61,3,FALSE),"")</f>
        <v>Apparel</v>
      </c>
      <c r="M113">
        <f>IFERROR(VLOOKUP(D113,Products!$A$2:$F$61,4,FALSE),"")</f>
        <v>391</v>
      </c>
      <c r="N113" t="str">
        <f>IFERROR(VLOOKUP(E113,Sales_Reps!$A$2:$E$31,3,FALSE),"")</f>
        <v>North</v>
      </c>
      <c r="O113" t="str">
        <f>IFERROR(VLOOKUP(C113,Customers!$A$2:$F$301,5,FALSE),"")</f>
        <v>SMB</v>
      </c>
      <c r="P113">
        <f>IFERROR(VLOOKUP(C113,Customers!$A$2:$F$301,3,FALSE),"")</f>
        <v>53</v>
      </c>
      <c r="Q113" s="41">
        <f t="shared" si="10"/>
        <v>0.52317073170731709</v>
      </c>
      <c r="R113" t="str">
        <f>IFERROR(VLOOKUP(C113,Customers!$A$2:$F$301,1,FALSE),"")</f>
        <v>CUST-0287</v>
      </c>
      <c r="S113" s="27" t="b">
        <f>IFERROR(VLOOKUP(D113,Products!$A$2:$F$61,6,FALSE),"")</f>
        <v>1</v>
      </c>
      <c r="BL113">
        <v>0</v>
      </c>
      <c r="BM113">
        <v>0</v>
      </c>
      <c r="BN113">
        <v>1.9607843137254902E-2</v>
      </c>
      <c r="BO113">
        <v>0</v>
      </c>
      <c r="BP113">
        <v>0</v>
      </c>
    </row>
    <row r="114" spans="1:68" x14ac:dyDescent="0.35">
      <c r="A114" s="26" t="str">
        <f>Orders!A114</f>
        <v>ORD-00113</v>
      </c>
      <c r="B114" s="33">
        <f>Orders!B114</f>
        <v>45394</v>
      </c>
      <c r="C114" t="str">
        <f>Orders!C114</f>
        <v>CUST-0280</v>
      </c>
      <c r="D114" t="str">
        <f>Orders!D114</f>
        <v>PROD-049</v>
      </c>
      <c r="E114" t="str">
        <f>Orders!E114</f>
        <v>R027</v>
      </c>
      <c r="F114">
        <f>Orders!F114</f>
        <v>4</v>
      </c>
      <c r="G114" s="35">
        <f>Orders!G114</f>
        <v>960</v>
      </c>
      <c r="H114" s="37">
        <f>Orders!H114</f>
        <v>26</v>
      </c>
      <c r="I114" s="39">
        <f>Orders!I114</f>
        <v>2841.6</v>
      </c>
      <c r="J114" t="str">
        <f>Orders!J114</f>
        <v>Completed</v>
      </c>
      <c r="K114" t="str">
        <f>Orders!K114</f>
        <v>Delhi</v>
      </c>
      <c r="L114" t="str">
        <f>IFERROR(VLOOKUP(D114,Products!$A$2:$F$61,3,FALSE),"")</f>
        <v>Beauty</v>
      </c>
      <c r="M114">
        <f>IFERROR(VLOOKUP(D114,Products!$A$2:$F$61,4,FALSE),"")</f>
        <v>675</v>
      </c>
      <c r="N114" t="str">
        <f>IFERROR(VLOOKUP(E114,Sales_Reps!$A$2:$E$31,3,FALSE),"")</f>
        <v>West</v>
      </c>
      <c r="O114" t="str">
        <f>IFERROR(VLOOKUP(C114,Customers!$A$2:$F$301,5,FALSE),"")</f>
        <v>SMB</v>
      </c>
      <c r="P114">
        <f>IFERROR(VLOOKUP(C114,Customers!$A$2:$F$301,3,FALSE),"")</f>
        <v>27</v>
      </c>
      <c r="Q114" s="41">
        <f t="shared" si="10"/>
        <v>0.296875</v>
      </c>
      <c r="R114" t="str">
        <f>IFERROR(VLOOKUP(C114,Customers!$A$2:$F$301,1,FALSE),"")</f>
        <v>CUST-0280</v>
      </c>
      <c r="S114" s="27" t="b">
        <f>IFERROR(VLOOKUP(D114,Products!$A$2:$F$61,6,FALSE),"")</f>
        <v>1</v>
      </c>
      <c r="BL114">
        <v>0</v>
      </c>
      <c r="BM114">
        <v>0</v>
      </c>
      <c r="BN114">
        <v>2.3809523809523808E-2</v>
      </c>
      <c r="BO114">
        <v>0</v>
      </c>
      <c r="BP114">
        <v>0</v>
      </c>
    </row>
    <row r="115" spans="1:68" x14ac:dyDescent="0.35">
      <c r="A115" s="26" t="str">
        <f>Orders!A115</f>
        <v>ORD-00114</v>
      </c>
      <c r="B115" s="33">
        <f>Orders!B115</f>
        <v>45453</v>
      </c>
      <c r="C115" t="str">
        <f>Orders!C115</f>
        <v>CUST-0096</v>
      </c>
      <c r="D115" t="str">
        <f>Orders!D115</f>
        <v>PROD-002</v>
      </c>
      <c r="E115" t="str">
        <f>Orders!E115</f>
        <v>R014</v>
      </c>
      <c r="F115">
        <f>Orders!F115</f>
        <v>3</v>
      </c>
      <c r="G115" s="35">
        <f>Orders!G115</f>
        <v>2600</v>
      </c>
      <c r="H115" s="37">
        <f>Orders!H115</f>
        <v>18.2</v>
      </c>
      <c r="I115" s="39">
        <f>Orders!I115</f>
        <v>6380.4</v>
      </c>
      <c r="J115" t="str">
        <f>Orders!J115</f>
        <v>Completed</v>
      </c>
      <c r="K115" t="str">
        <f>Orders!K115</f>
        <v>Delhi</v>
      </c>
      <c r="L115" t="str">
        <f>IFERROR(VLOOKUP(D115,Products!$A$2:$F$61,3,FALSE),"")</f>
        <v>Electronics</v>
      </c>
      <c r="M115">
        <f>IFERROR(VLOOKUP(D115,Products!$A$2:$F$61,4,FALSE),"")</f>
        <v>1052</v>
      </c>
      <c r="N115" t="str">
        <f>IFERROR(VLOOKUP(E115,Sales_Reps!$A$2:$E$31,3,FALSE),"")</f>
        <v>South</v>
      </c>
      <c r="O115" t="str">
        <f>IFERROR(VLOOKUP(C115,Customers!$A$2:$F$301,5,FALSE),"")</f>
        <v>Corporate</v>
      </c>
      <c r="P115">
        <f>IFERROR(VLOOKUP(C115,Customers!$A$2:$F$301,3,FALSE),"")</f>
        <v>27</v>
      </c>
      <c r="Q115" s="41">
        <f t="shared" si="10"/>
        <v>0.5953846153846154</v>
      </c>
      <c r="R115" t="str">
        <f>IFERROR(VLOOKUP(C115,Customers!$A$2:$F$301,1,FALSE),"")</f>
        <v>CUST-0096</v>
      </c>
      <c r="S115" s="27" t="b">
        <f>IFERROR(VLOOKUP(D115,Products!$A$2:$F$61,6,FALSE),"")</f>
        <v>1</v>
      </c>
      <c r="BL115">
        <v>0</v>
      </c>
      <c r="BM115">
        <v>0</v>
      </c>
      <c r="BN115">
        <v>2.1276595744680851E-2</v>
      </c>
      <c r="BO115">
        <v>0</v>
      </c>
      <c r="BP115">
        <v>0</v>
      </c>
    </row>
    <row r="116" spans="1:68" x14ac:dyDescent="0.35">
      <c r="A116" s="26" t="str">
        <f>Orders!A116</f>
        <v>ORD-00115</v>
      </c>
      <c r="B116" s="33">
        <f>Orders!B116</f>
        <v>45370</v>
      </c>
      <c r="C116" t="str">
        <f>Orders!C116</f>
        <v>CUST-0184</v>
      </c>
      <c r="D116" t="str">
        <f>Orders!D116</f>
        <v>PROD-033</v>
      </c>
      <c r="E116" t="str">
        <f>Orders!E116</f>
        <v>R029</v>
      </c>
      <c r="F116">
        <f>Orders!F116</f>
        <v>9</v>
      </c>
      <c r="G116" s="35">
        <f>Orders!G116</f>
        <v>2030</v>
      </c>
      <c r="H116" s="37">
        <f>Orders!H116</f>
        <v>26.1</v>
      </c>
      <c r="I116" s="39">
        <f>Orders!I116</f>
        <v>13501.53</v>
      </c>
      <c r="J116" t="str">
        <f>Orders!J116</f>
        <v>Completed</v>
      </c>
      <c r="K116" t="str">
        <f>Orders!K116</f>
        <v>Pune</v>
      </c>
      <c r="L116" t="str">
        <f>IFERROR(VLOOKUP(D116,Products!$A$2:$F$61,3,FALSE),"")</f>
        <v>Home</v>
      </c>
      <c r="M116">
        <f>IFERROR(VLOOKUP(D116,Products!$A$2:$F$61,4,FALSE),"")</f>
        <v>1143</v>
      </c>
      <c r="N116" t="str">
        <f>IFERROR(VLOOKUP(E116,Sales_Reps!$A$2:$E$31,3,FALSE),"")</f>
        <v>West</v>
      </c>
      <c r="O116" t="str">
        <f>IFERROR(VLOOKUP(C116,Customers!$A$2:$F$301,5,FALSE),"")</f>
        <v>Retail</v>
      </c>
      <c r="P116">
        <f>IFERROR(VLOOKUP(C116,Customers!$A$2:$F$301,3,FALSE),"")</f>
        <v>63</v>
      </c>
      <c r="Q116" s="41">
        <f t="shared" si="10"/>
        <v>0.43694581280788175</v>
      </c>
      <c r="R116" t="str">
        <f>IFERROR(VLOOKUP(C116,Customers!$A$2:$F$301,1,FALSE),"")</f>
        <v>CUST-0184</v>
      </c>
      <c r="S116" s="27" t="b">
        <f>IFERROR(VLOOKUP(D116,Products!$A$2:$F$61,6,FALSE),"")</f>
        <v>1</v>
      </c>
      <c r="BL116">
        <v>0</v>
      </c>
      <c r="BM116">
        <v>0</v>
      </c>
      <c r="BN116">
        <v>1.8518518518518517E-2</v>
      </c>
      <c r="BO116">
        <v>0</v>
      </c>
      <c r="BP116">
        <v>0</v>
      </c>
    </row>
    <row r="117" spans="1:68" x14ac:dyDescent="0.35">
      <c r="A117" s="26" t="str">
        <f>Orders!A117</f>
        <v>ORD-00116</v>
      </c>
      <c r="B117" s="33">
        <f>Orders!B117</f>
        <v>45597</v>
      </c>
      <c r="C117" t="str">
        <f>Orders!C117</f>
        <v>CUST-0025</v>
      </c>
      <c r="D117" t="str">
        <f>Orders!D117</f>
        <v>PROD-042</v>
      </c>
      <c r="E117" t="str">
        <f>Orders!E117</f>
        <v>R028</v>
      </c>
      <c r="F117">
        <f>Orders!F117</f>
        <v>8</v>
      </c>
      <c r="G117" s="35">
        <f>Orders!G117</f>
        <v>2290</v>
      </c>
      <c r="H117" s="37">
        <f>Orders!H117</f>
        <v>20.8</v>
      </c>
      <c r="I117" s="39">
        <f>Orders!I117</f>
        <v>14509.44</v>
      </c>
      <c r="J117" t="str">
        <f>Orders!J117</f>
        <v>Completed</v>
      </c>
      <c r="K117" t="str">
        <f>Orders!K117</f>
        <v>Bengaluru</v>
      </c>
      <c r="L117" t="str">
        <f>IFERROR(VLOOKUP(D117,Products!$A$2:$F$61,3,FALSE),"")</f>
        <v>Beauty</v>
      </c>
      <c r="M117">
        <f>IFERROR(VLOOKUP(D117,Products!$A$2:$F$61,4,FALSE),"")</f>
        <v>1219</v>
      </c>
      <c r="N117" t="str">
        <f>IFERROR(VLOOKUP(E117,Sales_Reps!$A$2:$E$31,3,FALSE),"")</f>
        <v>West</v>
      </c>
      <c r="O117" t="str">
        <f>IFERROR(VLOOKUP(C117,Customers!$A$2:$F$301,5,FALSE),"")</f>
        <v>Retail</v>
      </c>
      <c r="P117">
        <f>IFERROR(VLOOKUP(C117,Customers!$A$2:$F$301,3,FALSE),"")</f>
        <v>23</v>
      </c>
      <c r="Q117" s="41">
        <f t="shared" si="10"/>
        <v>0.46768558951965067</v>
      </c>
      <c r="R117" t="str">
        <f>IFERROR(VLOOKUP(C117,Customers!$A$2:$F$301,1,FALSE),"")</f>
        <v>CUST-0025</v>
      </c>
      <c r="S117" s="27" t="b">
        <f>IFERROR(VLOOKUP(D117,Products!$A$2:$F$61,6,FALSE),"")</f>
        <v>1</v>
      </c>
      <c r="BL117">
        <v>0</v>
      </c>
      <c r="BM117">
        <v>0</v>
      </c>
      <c r="BN117">
        <v>2.1276595744680851E-2</v>
      </c>
      <c r="BO117">
        <v>0</v>
      </c>
      <c r="BP117">
        <v>0</v>
      </c>
    </row>
    <row r="118" spans="1:68" x14ac:dyDescent="0.35">
      <c r="A118" s="26" t="str">
        <f>Orders!A118</f>
        <v>ORD-00117</v>
      </c>
      <c r="B118" s="33">
        <f>Orders!B118</f>
        <v>45531</v>
      </c>
      <c r="C118" t="str">
        <f>Orders!C118</f>
        <v>CUST-0149</v>
      </c>
      <c r="D118" t="str">
        <f>Orders!D118</f>
        <v>PROD-031</v>
      </c>
      <c r="E118" t="str">
        <f>Orders!E118</f>
        <v>R029</v>
      </c>
      <c r="F118">
        <f>Orders!F118</f>
        <v>3</v>
      </c>
      <c r="G118" s="35">
        <f>Orders!G118</f>
        <v>3730</v>
      </c>
      <c r="H118" s="37">
        <f>Orders!H118</f>
        <v>7.9</v>
      </c>
      <c r="I118" s="39">
        <f>Orders!I118</f>
        <v>10305.99</v>
      </c>
      <c r="J118" t="str">
        <f>Orders!J118</f>
        <v>Completed</v>
      </c>
      <c r="K118" t="str">
        <f>Orders!K118</f>
        <v>Hyderabad</v>
      </c>
      <c r="L118" t="str">
        <f>IFERROR(VLOOKUP(D118,Products!$A$2:$F$61,3,FALSE),"")</f>
        <v>Home</v>
      </c>
      <c r="M118">
        <f>IFERROR(VLOOKUP(D118,Products!$A$2:$F$61,4,FALSE),"")</f>
        <v>2135</v>
      </c>
      <c r="N118" t="str">
        <f>IFERROR(VLOOKUP(E118,Sales_Reps!$A$2:$E$31,3,FALSE),"")</f>
        <v>West</v>
      </c>
      <c r="O118" t="str">
        <f>IFERROR(VLOOKUP(C118,Customers!$A$2:$F$301,5,FALSE),"")</f>
        <v>Retail</v>
      </c>
      <c r="P118">
        <f>IFERROR(VLOOKUP(C118,Customers!$A$2:$F$301,3,FALSE),"")</f>
        <v>44</v>
      </c>
      <c r="Q118" s="41">
        <f t="shared" si="10"/>
        <v>0.42761394101876676</v>
      </c>
      <c r="R118" t="str">
        <f>IFERROR(VLOOKUP(C118,Customers!$A$2:$F$301,1,FALSE),"")</f>
        <v>CUST-0149</v>
      </c>
      <c r="S118" s="27" t="b">
        <f>IFERROR(VLOOKUP(D118,Products!$A$2:$F$61,6,FALSE),"")</f>
        <v>1</v>
      </c>
      <c r="BL118">
        <v>0</v>
      </c>
      <c r="BM118">
        <v>0</v>
      </c>
      <c r="BN118">
        <v>2.3809523809523808E-2</v>
      </c>
      <c r="BO118">
        <v>0</v>
      </c>
      <c r="BP118">
        <v>0</v>
      </c>
    </row>
    <row r="119" spans="1:68" x14ac:dyDescent="0.35">
      <c r="A119" s="26" t="str">
        <f>Orders!A119</f>
        <v>ORD-00118</v>
      </c>
      <c r="B119" s="33">
        <f>Orders!B119</f>
        <v>45596</v>
      </c>
      <c r="C119" t="str">
        <f>Orders!C119</f>
        <v>CUST-0018</v>
      </c>
      <c r="D119" t="str">
        <f>Orders!D119</f>
        <v>PROD-005</v>
      </c>
      <c r="E119" t="str">
        <f>Orders!E119</f>
        <v>R014</v>
      </c>
      <c r="F119">
        <f>Orders!F119</f>
        <v>1</v>
      </c>
      <c r="G119" s="35">
        <f>Orders!G119</f>
        <v>300</v>
      </c>
      <c r="H119" s="37">
        <f>Orders!H119</f>
        <v>16.899999999999999</v>
      </c>
      <c r="I119" s="39">
        <f>Orders!I119</f>
        <v>249.3</v>
      </c>
      <c r="J119" t="str">
        <f>Orders!J119</f>
        <v>Pending</v>
      </c>
      <c r="K119" t="str">
        <f>Orders!K119</f>
        <v>Pune</v>
      </c>
      <c r="L119" t="str">
        <f>IFERROR(VLOOKUP(D119,Products!$A$2:$F$61,3,FALSE),"")</f>
        <v>Electronics</v>
      </c>
      <c r="M119">
        <f>IFERROR(VLOOKUP(D119,Products!$A$2:$F$61,4,FALSE),"")</f>
        <v>128</v>
      </c>
      <c r="N119" t="str">
        <f>IFERROR(VLOOKUP(E119,Sales_Reps!$A$2:$E$31,3,FALSE),"")</f>
        <v>South</v>
      </c>
      <c r="O119" t="str">
        <f>IFERROR(VLOOKUP(C119,Customers!$A$2:$F$301,5,FALSE),"")</f>
        <v>SMB</v>
      </c>
      <c r="P119">
        <f>IFERROR(VLOOKUP(C119,Customers!$A$2:$F$301,3,FALSE),"")</f>
        <v>54</v>
      </c>
      <c r="Q119" s="41">
        <f t="shared" si="10"/>
        <v>0.57333333333333336</v>
      </c>
      <c r="R119" t="str">
        <f>IFERROR(VLOOKUP(C119,Customers!$A$2:$F$301,1,FALSE),"")</f>
        <v>CUST-0018</v>
      </c>
      <c r="S119" s="27" t="b">
        <f>IFERROR(VLOOKUP(D119,Products!$A$2:$F$61,6,FALSE),"")</f>
        <v>1</v>
      </c>
      <c r="BL119">
        <v>0</v>
      </c>
      <c r="BM119">
        <v>0</v>
      </c>
      <c r="BN119">
        <v>1.9607843137254902E-2</v>
      </c>
      <c r="BO119">
        <v>0</v>
      </c>
      <c r="BP119">
        <v>0</v>
      </c>
    </row>
    <row r="120" spans="1:68" x14ac:dyDescent="0.35">
      <c r="A120" s="26" t="str">
        <f>Orders!A120</f>
        <v>ORD-00119</v>
      </c>
      <c r="B120" s="33">
        <f>Orders!B120</f>
        <v>45420</v>
      </c>
      <c r="C120" t="str">
        <f>Orders!C120</f>
        <v>CUST-0216</v>
      </c>
      <c r="D120" t="str">
        <f>Orders!D120</f>
        <v>PROD-005</v>
      </c>
      <c r="E120" t="str">
        <f>Orders!E120</f>
        <v>R012</v>
      </c>
      <c r="F120">
        <f>Orders!F120</f>
        <v>3</v>
      </c>
      <c r="G120" s="35">
        <f>Orders!G120</f>
        <v>300</v>
      </c>
      <c r="H120" s="37">
        <f>Orders!H120</f>
        <v>0.6</v>
      </c>
      <c r="I120" s="39">
        <f>Orders!I120</f>
        <v>894.6</v>
      </c>
      <c r="J120" t="str">
        <f>Orders!J120</f>
        <v>Completed</v>
      </c>
      <c r="K120" t="str">
        <f>Orders!K120</f>
        <v>Mumbai</v>
      </c>
      <c r="L120" t="str">
        <f>IFERROR(VLOOKUP(D120,Products!$A$2:$F$61,3,FALSE),"")</f>
        <v>Electronics</v>
      </c>
      <c r="M120">
        <f>IFERROR(VLOOKUP(D120,Products!$A$2:$F$61,4,FALSE),"")</f>
        <v>128</v>
      </c>
      <c r="N120" t="str">
        <f>IFERROR(VLOOKUP(E120,Sales_Reps!$A$2:$E$31,3,FALSE),"")</f>
        <v>South</v>
      </c>
      <c r="O120" t="str">
        <f>IFERROR(VLOOKUP(C120,Customers!$A$2:$F$301,5,FALSE),"")</f>
        <v>Retail</v>
      </c>
      <c r="P120">
        <f>IFERROR(VLOOKUP(C120,Customers!$A$2:$F$301,3,FALSE),"")</f>
        <v>50</v>
      </c>
      <c r="Q120" s="41">
        <f t="shared" si="10"/>
        <v>0.57333333333333336</v>
      </c>
      <c r="R120" t="str">
        <f>IFERROR(VLOOKUP(C120,Customers!$A$2:$F$301,1,FALSE),"")</f>
        <v>CUST-0216</v>
      </c>
      <c r="S120" s="27" t="b">
        <f>IFERROR(VLOOKUP(D120,Products!$A$2:$F$61,6,FALSE),"")</f>
        <v>1</v>
      </c>
      <c r="BL120">
        <v>0</v>
      </c>
      <c r="BM120">
        <v>0</v>
      </c>
      <c r="BN120">
        <v>2.1276595744680851E-2</v>
      </c>
      <c r="BO120">
        <v>0</v>
      </c>
      <c r="BP120">
        <v>0</v>
      </c>
    </row>
    <row r="121" spans="1:68" x14ac:dyDescent="0.35">
      <c r="A121" s="26" t="str">
        <f>Orders!A121</f>
        <v>ORD-00120</v>
      </c>
      <c r="B121" s="33">
        <f>Orders!B121</f>
        <v>45329</v>
      </c>
      <c r="C121" t="str">
        <f>Orders!C121</f>
        <v>CUST-0092</v>
      </c>
      <c r="D121" t="str">
        <f>Orders!D121</f>
        <v>PROD-043</v>
      </c>
      <c r="E121" t="str">
        <f>Orders!E121</f>
        <v>R007</v>
      </c>
      <c r="F121">
        <f>Orders!F121</f>
        <v>6</v>
      </c>
      <c r="G121" s="35">
        <f>Orders!G121</f>
        <v>3350</v>
      </c>
      <c r="H121" s="37">
        <f>Orders!H121</f>
        <v>2.2999999999999998</v>
      </c>
      <c r="I121" s="39">
        <f>Orders!I121</f>
        <v>19637.7</v>
      </c>
      <c r="J121" t="str">
        <f>Orders!J121</f>
        <v>Cancelled</v>
      </c>
      <c r="K121" t="str">
        <f>Orders!K121</f>
        <v>Bengaluru</v>
      </c>
      <c r="L121" t="str">
        <f>IFERROR(VLOOKUP(D121,Products!$A$2:$F$61,3,FALSE),"")</f>
        <v>Beauty</v>
      </c>
      <c r="M121">
        <f>IFERROR(VLOOKUP(D121,Products!$A$2:$F$61,4,FALSE),"")</f>
        <v>1728</v>
      </c>
      <c r="N121" t="str">
        <f>IFERROR(VLOOKUP(E121,Sales_Reps!$A$2:$E$31,3,FALSE),"")</f>
        <v>North</v>
      </c>
      <c r="O121" t="str">
        <f>IFERROR(VLOOKUP(C121,Customers!$A$2:$F$301,5,FALSE),"")</f>
        <v>SMB</v>
      </c>
      <c r="P121">
        <f>IFERROR(VLOOKUP(C121,Customers!$A$2:$F$301,3,FALSE),"")</f>
        <v>28</v>
      </c>
      <c r="Q121" s="41">
        <f t="shared" si="10"/>
        <v>0.48417910447761192</v>
      </c>
      <c r="R121" t="str">
        <f>IFERROR(VLOOKUP(C121,Customers!$A$2:$F$301,1,FALSE),"")</f>
        <v>CUST-0092</v>
      </c>
      <c r="S121" s="27" t="b">
        <f>IFERROR(VLOOKUP(D121,Products!$A$2:$F$61,6,FALSE),"")</f>
        <v>1</v>
      </c>
      <c r="BL121">
        <v>0</v>
      </c>
      <c r="BM121">
        <v>0</v>
      </c>
      <c r="BN121">
        <v>1.8518518518518517E-2</v>
      </c>
      <c r="BO121">
        <v>0</v>
      </c>
      <c r="BP121">
        <v>0</v>
      </c>
    </row>
    <row r="122" spans="1:68" x14ac:dyDescent="0.35">
      <c r="A122" s="26" t="str">
        <f>Orders!A122</f>
        <v>ORD-00121</v>
      </c>
      <c r="B122" s="33">
        <f>Orders!B122</f>
        <v>45416</v>
      </c>
      <c r="C122" t="str">
        <f>Orders!C122</f>
        <v>CUST-0056</v>
      </c>
      <c r="D122" t="str">
        <f>Orders!D122</f>
        <v>PROD-001</v>
      </c>
      <c r="E122" t="str">
        <f>Orders!E122</f>
        <v>R003</v>
      </c>
      <c r="F122">
        <f>Orders!F122</f>
        <v>4</v>
      </c>
      <c r="G122" s="35">
        <f>Orders!G122</f>
        <v>5330</v>
      </c>
      <c r="H122" s="37">
        <f>Orders!H122</f>
        <v>29.3</v>
      </c>
      <c r="I122" s="39">
        <f>Orders!I122</f>
        <v>15073.24</v>
      </c>
      <c r="J122" t="str">
        <f>Orders!J122</f>
        <v>Completed</v>
      </c>
      <c r="K122" t="str">
        <f>Orders!K122</f>
        <v>Bengaluru</v>
      </c>
      <c r="L122" t="str">
        <f>IFERROR(VLOOKUP(D122,Products!$A$2:$F$61,3,FALSE),"")</f>
        <v>Electronics</v>
      </c>
      <c r="M122">
        <f>IFERROR(VLOOKUP(D122,Products!$A$2:$F$61,4,FALSE),"")</f>
        <v>2405</v>
      </c>
      <c r="N122" t="str">
        <f>IFERROR(VLOOKUP(E122,Sales_Reps!$A$2:$E$31,3,FALSE),"")</f>
        <v>North</v>
      </c>
      <c r="O122" t="str">
        <f>IFERROR(VLOOKUP(C122,Customers!$A$2:$F$301,5,FALSE),"")</f>
        <v>SMB</v>
      </c>
      <c r="P122">
        <f>IFERROR(VLOOKUP(C122,Customers!$A$2:$F$301,3,FALSE),"")</f>
        <v>46</v>
      </c>
      <c r="Q122" s="41">
        <f t="shared" si="10"/>
        <v>0.54878048780487809</v>
      </c>
      <c r="R122" t="str">
        <f>IFERROR(VLOOKUP(C122,Customers!$A$2:$F$301,1,FALSE),"")</f>
        <v>CUST-0056</v>
      </c>
      <c r="S122" s="27" t="b">
        <f>IFERROR(VLOOKUP(D122,Products!$A$2:$F$61,6,FALSE),"")</f>
        <v>1</v>
      </c>
      <c r="BL122">
        <v>0</v>
      </c>
      <c r="BM122">
        <v>0</v>
      </c>
      <c r="BN122">
        <v>2.3809523809523808E-2</v>
      </c>
      <c r="BO122">
        <v>0</v>
      </c>
      <c r="BP122">
        <v>0</v>
      </c>
    </row>
    <row r="123" spans="1:68" x14ac:dyDescent="0.35">
      <c r="A123" s="26" t="str">
        <f>Orders!A123</f>
        <v>ORD-00122</v>
      </c>
      <c r="B123" s="33">
        <f>Orders!B123</f>
        <v>45614</v>
      </c>
      <c r="C123" t="str">
        <f>Orders!C123</f>
        <v>CUST-0113</v>
      </c>
      <c r="D123" t="str">
        <f>Orders!D123</f>
        <v>PROD-014</v>
      </c>
      <c r="E123" t="str">
        <f>Orders!E123</f>
        <v>R002</v>
      </c>
      <c r="F123">
        <f>Orders!F123</f>
        <v>6</v>
      </c>
      <c r="G123" s="35">
        <f>Orders!G123</f>
        <v>3620</v>
      </c>
      <c r="H123" s="37">
        <f>Orders!H123</f>
        <v>10.8</v>
      </c>
      <c r="I123" s="39">
        <f>Orders!I123</f>
        <v>19374.240000000002</v>
      </c>
      <c r="J123" t="str">
        <f>Orders!J123</f>
        <v>Completed</v>
      </c>
      <c r="K123" t="str">
        <f>Orders!K123</f>
        <v>Delhi</v>
      </c>
      <c r="L123" t="str">
        <f>IFERROR(VLOOKUP(D123,Products!$A$2:$F$61,3,FALSE),"")</f>
        <v>Apparel</v>
      </c>
      <c r="M123">
        <f>IFERROR(VLOOKUP(D123,Products!$A$2:$F$61,4,FALSE),"")</f>
        <v>2509</v>
      </c>
      <c r="N123" t="str">
        <f>IFERROR(VLOOKUP(E123,Sales_Reps!$A$2:$E$31,3,FALSE),"")</f>
        <v>North</v>
      </c>
      <c r="O123" t="str">
        <f>IFERROR(VLOOKUP(C123,Customers!$A$2:$F$301,5,FALSE),"")</f>
        <v>Retail</v>
      </c>
      <c r="P123">
        <f>IFERROR(VLOOKUP(C123,Customers!$A$2:$F$301,3,FALSE),"")</f>
        <v>30</v>
      </c>
      <c r="Q123" s="41">
        <f t="shared" si="10"/>
        <v>0.3069060773480663</v>
      </c>
      <c r="R123" t="str">
        <f>IFERROR(VLOOKUP(C123,Customers!$A$2:$F$301,1,FALSE),"")</f>
        <v>CUST-0113</v>
      </c>
      <c r="S123" s="27" t="b">
        <f>IFERROR(VLOOKUP(D123,Products!$A$2:$F$61,6,FALSE),"")</f>
        <v>1</v>
      </c>
      <c r="BL123">
        <v>0</v>
      </c>
      <c r="BM123">
        <v>1</v>
      </c>
      <c r="BN123">
        <v>1.8518518518518517E-2</v>
      </c>
      <c r="BO123">
        <v>0</v>
      </c>
      <c r="BP123">
        <v>0</v>
      </c>
    </row>
    <row r="124" spans="1:68" x14ac:dyDescent="0.35">
      <c r="A124" s="26" t="str">
        <f>Orders!A124</f>
        <v>ORD-00123</v>
      </c>
      <c r="B124" s="33">
        <f>Orders!B124</f>
        <v>45593</v>
      </c>
      <c r="C124" t="str">
        <f>Orders!C124</f>
        <v>CUST-0253</v>
      </c>
      <c r="D124" t="str">
        <f>Orders!D124</f>
        <v>PROD-014</v>
      </c>
      <c r="E124" t="str">
        <f>Orders!E124</f>
        <v>R005</v>
      </c>
      <c r="F124">
        <f>Orders!F124</f>
        <v>6</v>
      </c>
      <c r="G124" s="35">
        <f>Orders!G124</f>
        <v>3620</v>
      </c>
      <c r="H124" s="37">
        <f>Orders!H124</f>
        <v>21.7</v>
      </c>
      <c r="I124" s="39">
        <f>Orders!I124</f>
        <v>17006.759999999998</v>
      </c>
      <c r="J124" t="str">
        <f>Orders!J124</f>
        <v>Completed</v>
      </c>
      <c r="K124" t="str">
        <f>Orders!K124</f>
        <v>Delhi</v>
      </c>
      <c r="L124" t="str">
        <f>IFERROR(VLOOKUP(D124,Products!$A$2:$F$61,3,FALSE),"")</f>
        <v>Apparel</v>
      </c>
      <c r="M124">
        <f>IFERROR(VLOOKUP(D124,Products!$A$2:$F$61,4,FALSE),"")</f>
        <v>2509</v>
      </c>
      <c r="N124" t="str">
        <f>IFERROR(VLOOKUP(E124,Sales_Reps!$A$2:$E$31,3,FALSE),"")</f>
        <v>North</v>
      </c>
      <c r="O124" t="str">
        <f>IFERROR(VLOOKUP(C124,Customers!$A$2:$F$301,5,FALSE),"")</f>
        <v>SMB</v>
      </c>
      <c r="P124">
        <f>IFERROR(VLOOKUP(C124,Customers!$A$2:$F$301,3,FALSE),"")</f>
        <v>53</v>
      </c>
      <c r="Q124" s="41">
        <f t="shared" si="10"/>
        <v>0.3069060773480663</v>
      </c>
      <c r="R124" t="str">
        <f>IFERROR(VLOOKUP(C124,Customers!$A$2:$F$301,1,FALSE),"")</f>
        <v>CUST-0253</v>
      </c>
      <c r="S124" s="27" t="b">
        <f>IFERROR(VLOOKUP(D124,Products!$A$2:$F$61,6,FALSE),"")</f>
        <v>1</v>
      </c>
      <c r="BL124">
        <v>0</v>
      </c>
      <c r="BM124">
        <v>0</v>
      </c>
      <c r="BN124">
        <v>1.8867924528301886E-2</v>
      </c>
      <c r="BO124">
        <v>0</v>
      </c>
      <c r="BP124">
        <v>0</v>
      </c>
    </row>
    <row r="125" spans="1:68" x14ac:dyDescent="0.35">
      <c r="A125" s="26" t="str">
        <f>Orders!A125</f>
        <v>ORD-00124</v>
      </c>
      <c r="B125" s="33">
        <f>Orders!B125</f>
        <v>45360</v>
      </c>
      <c r="C125" t="str">
        <f>Orders!C125</f>
        <v>CUST-0187</v>
      </c>
      <c r="D125" t="str">
        <f>Orders!D125</f>
        <v>PROD-057</v>
      </c>
      <c r="E125" t="str">
        <f>Orders!E125</f>
        <v>R008</v>
      </c>
      <c r="F125">
        <f>Orders!F125</f>
        <v>8</v>
      </c>
      <c r="G125" s="35">
        <f>Orders!G125</f>
        <v>960</v>
      </c>
      <c r="H125" s="37">
        <f>Orders!H125</f>
        <v>27.9</v>
      </c>
      <c r="I125" s="39">
        <f>Orders!I125</f>
        <v>5537.28</v>
      </c>
      <c r="J125" t="str">
        <f>Orders!J125</f>
        <v>Completed</v>
      </c>
      <c r="K125" t="str">
        <f>Orders!K125</f>
        <v>Chennai</v>
      </c>
      <c r="L125" t="str">
        <f>IFERROR(VLOOKUP(D125,Products!$A$2:$F$61,3,FALSE),"")</f>
        <v>Sports</v>
      </c>
      <c r="M125">
        <f>IFERROR(VLOOKUP(D125,Products!$A$2:$F$61,4,FALSE),"")</f>
        <v>705</v>
      </c>
      <c r="N125" t="str">
        <f>IFERROR(VLOOKUP(E125,Sales_Reps!$A$2:$E$31,3,FALSE),"")</f>
        <v>North</v>
      </c>
      <c r="O125" t="str">
        <f>IFERROR(VLOOKUP(C125,Customers!$A$2:$F$301,5,FALSE),"")</f>
        <v>SMB</v>
      </c>
      <c r="P125">
        <f>IFERROR(VLOOKUP(C125,Customers!$A$2:$F$301,3,FALSE),"")</f>
        <v>51</v>
      </c>
      <c r="Q125" s="41">
        <f t="shared" si="10"/>
        <v>0.265625</v>
      </c>
      <c r="R125" t="str">
        <f>IFERROR(VLOOKUP(C125,Customers!$A$2:$F$301,1,FALSE),"")</f>
        <v>CUST-0187</v>
      </c>
      <c r="S125" s="27" t="b">
        <f>IFERROR(VLOOKUP(D125,Products!$A$2:$F$61,6,FALSE),"")</f>
        <v>1</v>
      </c>
      <c r="BL125">
        <v>0</v>
      </c>
      <c r="BM125">
        <v>0</v>
      </c>
      <c r="BN125">
        <v>1.8867924528301886E-2</v>
      </c>
      <c r="BO125">
        <v>0</v>
      </c>
      <c r="BP125">
        <v>0</v>
      </c>
    </row>
    <row r="126" spans="1:68" x14ac:dyDescent="0.35">
      <c r="A126" s="26" t="str">
        <f>Orders!A126</f>
        <v>ORD-00125</v>
      </c>
      <c r="B126" s="33">
        <f>Orders!B126</f>
        <v>45628</v>
      </c>
      <c r="C126" t="str">
        <f>Orders!C126</f>
        <v>CUST-0028</v>
      </c>
      <c r="D126" t="str">
        <f>Orders!D126</f>
        <v>PROD-044</v>
      </c>
      <c r="E126" t="str">
        <f>Orders!E126</f>
        <v>R025</v>
      </c>
      <c r="F126">
        <f>Orders!F126</f>
        <v>5</v>
      </c>
      <c r="G126" s="35">
        <f>Orders!G126</f>
        <v>1650</v>
      </c>
      <c r="H126" s="37">
        <f>Orders!H126</f>
        <v>4.9000000000000004</v>
      </c>
      <c r="I126" s="39">
        <f>Orders!I126</f>
        <v>7845.75</v>
      </c>
      <c r="J126" t="str">
        <f>Orders!J126</f>
        <v>Completed</v>
      </c>
      <c r="K126" t="str">
        <f>Orders!K126</f>
        <v>Bengaluru</v>
      </c>
      <c r="L126" t="str">
        <f>IFERROR(VLOOKUP(D126,Products!$A$2:$F$61,3,FALSE),"")</f>
        <v>Beauty</v>
      </c>
      <c r="M126">
        <f>IFERROR(VLOOKUP(D126,Products!$A$2:$F$61,4,FALSE),"")</f>
        <v>1222</v>
      </c>
      <c r="N126" t="str">
        <f>IFERROR(VLOOKUP(E126,Sales_Reps!$A$2:$E$31,3,FALSE),"")</f>
        <v>West</v>
      </c>
      <c r="O126" t="str">
        <f>IFERROR(VLOOKUP(C126,Customers!$A$2:$F$301,5,FALSE),"")</f>
        <v>Retail</v>
      </c>
      <c r="P126">
        <f>IFERROR(VLOOKUP(C126,Customers!$A$2:$F$301,3,FALSE),"")</f>
        <v>59</v>
      </c>
      <c r="Q126" s="41">
        <f t="shared" si="10"/>
        <v>0.2593939393939394</v>
      </c>
      <c r="R126" t="str">
        <f>IFERROR(VLOOKUP(C126,Customers!$A$2:$F$301,1,FALSE),"")</f>
        <v>CUST-0028</v>
      </c>
      <c r="S126" s="27" t="b">
        <f>IFERROR(VLOOKUP(D126,Products!$A$2:$F$61,6,FALSE),"")</f>
        <v>1</v>
      </c>
      <c r="BL126">
        <v>0</v>
      </c>
      <c r="BM126">
        <v>0</v>
      </c>
      <c r="BN126">
        <v>2.3809523809523808E-2</v>
      </c>
      <c r="BO126">
        <v>0</v>
      </c>
      <c r="BP126">
        <v>0</v>
      </c>
    </row>
    <row r="127" spans="1:68" x14ac:dyDescent="0.35">
      <c r="A127" s="26" t="str">
        <f>Orders!A127</f>
        <v>ORD-00126</v>
      </c>
      <c r="B127" s="33">
        <f>Orders!B127</f>
        <v>45592</v>
      </c>
      <c r="C127" t="str">
        <f>Orders!C127</f>
        <v>CUST-0224</v>
      </c>
      <c r="D127" t="str">
        <f>Orders!D127</f>
        <v>PROD-049</v>
      </c>
      <c r="E127" t="str">
        <f>Orders!E127</f>
        <v>R010</v>
      </c>
      <c r="F127">
        <f>Orders!F127</f>
        <v>9</v>
      </c>
      <c r="G127" s="35">
        <f>Orders!G127</f>
        <v>960</v>
      </c>
      <c r="H127" s="37">
        <f>Orders!H127</f>
        <v>25.1</v>
      </c>
      <c r="I127" s="39">
        <f>Orders!I127</f>
        <v>6471.36</v>
      </c>
      <c r="J127" t="str">
        <f>Orders!J127</f>
        <v>Refunded</v>
      </c>
      <c r="K127" t="str">
        <f>Orders!K127</f>
        <v>Chennai</v>
      </c>
      <c r="L127" t="str">
        <f>IFERROR(VLOOKUP(D127,Products!$A$2:$F$61,3,FALSE),"")</f>
        <v>Beauty</v>
      </c>
      <c r="M127">
        <f>IFERROR(VLOOKUP(D127,Products!$A$2:$F$61,4,FALSE),"")</f>
        <v>675</v>
      </c>
      <c r="N127" t="str">
        <f>IFERROR(VLOOKUP(E127,Sales_Reps!$A$2:$E$31,3,FALSE),"")</f>
        <v>South</v>
      </c>
      <c r="O127" t="str">
        <f>IFERROR(VLOOKUP(C127,Customers!$A$2:$F$301,5,FALSE),"")</f>
        <v>Corporate</v>
      </c>
      <c r="P127">
        <f>IFERROR(VLOOKUP(C127,Customers!$A$2:$F$301,3,FALSE),"")</f>
        <v>24</v>
      </c>
      <c r="Q127" s="41">
        <f t="shared" si="10"/>
        <v>0.296875</v>
      </c>
      <c r="R127" t="str">
        <f>IFERROR(VLOOKUP(C127,Customers!$A$2:$F$301,1,FALSE),"")</f>
        <v>CUST-0224</v>
      </c>
      <c r="S127" s="27" t="b">
        <f>IFERROR(VLOOKUP(D127,Products!$A$2:$F$61,6,FALSE),"")</f>
        <v>1</v>
      </c>
      <c r="BL127">
        <v>0</v>
      </c>
      <c r="BM127">
        <v>0</v>
      </c>
      <c r="BN127">
        <v>1.8518518518518517E-2</v>
      </c>
      <c r="BO127">
        <v>0</v>
      </c>
      <c r="BP127">
        <v>0</v>
      </c>
    </row>
    <row r="128" spans="1:68" x14ac:dyDescent="0.35">
      <c r="A128" s="26" t="str">
        <f>Orders!A128</f>
        <v>ORD-00127</v>
      </c>
      <c r="B128" s="33">
        <f>Orders!B128</f>
        <v>45453</v>
      </c>
      <c r="C128" t="str">
        <f>Orders!C128</f>
        <v>CUST-0150</v>
      </c>
      <c r="D128" t="str">
        <f>Orders!D128</f>
        <v>PROD-006</v>
      </c>
      <c r="E128" t="str">
        <f>Orders!E128</f>
        <v>R003</v>
      </c>
      <c r="F128">
        <f>Orders!F128</f>
        <v>7</v>
      </c>
      <c r="G128" s="35">
        <f>Orders!G128</f>
        <v>3970</v>
      </c>
      <c r="H128" s="37">
        <f>Orders!H128</f>
        <v>13.8</v>
      </c>
      <c r="I128" s="39">
        <f>Orders!I128</f>
        <v>23954.98</v>
      </c>
      <c r="J128" t="str">
        <f>Orders!J128</f>
        <v>Pending</v>
      </c>
      <c r="K128" t="str">
        <f>Orders!K128</f>
        <v>Pune</v>
      </c>
      <c r="L128" t="str">
        <f>IFERROR(VLOOKUP(D128,Products!$A$2:$F$61,3,FALSE),"")</f>
        <v>Electronics</v>
      </c>
      <c r="M128">
        <f>IFERROR(VLOOKUP(D128,Products!$A$2:$F$61,4,FALSE),"")</f>
        <v>2865</v>
      </c>
      <c r="N128" t="str">
        <f>IFERROR(VLOOKUP(E128,Sales_Reps!$A$2:$E$31,3,FALSE),"")</f>
        <v>North</v>
      </c>
      <c r="O128" t="str">
        <f>IFERROR(VLOOKUP(C128,Customers!$A$2:$F$301,5,FALSE),"")</f>
        <v>SMB</v>
      </c>
      <c r="P128">
        <f>IFERROR(VLOOKUP(C128,Customers!$A$2:$F$301,3,FALSE),"")</f>
        <v>53</v>
      </c>
      <c r="Q128" s="41">
        <f t="shared" si="10"/>
        <v>0.27833753148614609</v>
      </c>
      <c r="R128" t="str">
        <f>IFERROR(VLOOKUP(C128,Customers!$A$2:$F$301,1,FALSE),"")</f>
        <v>CUST-0150</v>
      </c>
      <c r="S128" s="27" t="b">
        <f>IFERROR(VLOOKUP(D128,Products!$A$2:$F$61,6,FALSE),"")</f>
        <v>1</v>
      </c>
      <c r="BL128">
        <v>0</v>
      </c>
      <c r="BM128">
        <v>0</v>
      </c>
      <c r="BN128">
        <v>2.1276595744680851E-2</v>
      </c>
      <c r="BO128">
        <v>0</v>
      </c>
      <c r="BP128">
        <v>0</v>
      </c>
    </row>
    <row r="129" spans="1:68" x14ac:dyDescent="0.35">
      <c r="A129" s="26" t="str">
        <f>Orders!A129</f>
        <v>ORD-00128</v>
      </c>
      <c r="B129" s="33">
        <f>Orders!B129</f>
        <v>45612</v>
      </c>
      <c r="C129" t="str">
        <f>Orders!C129</f>
        <v>CUST-0129</v>
      </c>
      <c r="D129" t="str">
        <f>Orders!D129</f>
        <v>PROD-030</v>
      </c>
      <c r="E129" t="str">
        <f>Orders!E129</f>
        <v>R005</v>
      </c>
      <c r="F129">
        <f>Orders!F129</f>
        <v>7</v>
      </c>
      <c r="G129" s="35">
        <f>Orders!G129</f>
        <v>970</v>
      </c>
      <c r="H129" s="37">
        <f>Orders!H129</f>
        <v>21.6</v>
      </c>
      <c r="I129" s="39">
        <f>Orders!I129</f>
        <v>5323.36</v>
      </c>
      <c r="J129" t="str">
        <f>Orders!J129</f>
        <v>Pending</v>
      </c>
      <c r="K129" t="str">
        <f>Orders!K129</f>
        <v>Hyderabad</v>
      </c>
      <c r="L129" t="str">
        <f>IFERROR(VLOOKUP(D129,Products!$A$2:$F$61,3,FALSE),"")</f>
        <v>Grocery</v>
      </c>
      <c r="M129">
        <f>IFERROR(VLOOKUP(D129,Products!$A$2:$F$61,4,FALSE),"")</f>
        <v>434</v>
      </c>
      <c r="N129" t="str">
        <f>IFERROR(VLOOKUP(E129,Sales_Reps!$A$2:$E$31,3,FALSE),"")</f>
        <v>North</v>
      </c>
      <c r="O129" t="str">
        <f>IFERROR(VLOOKUP(C129,Customers!$A$2:$F$301,5,FALSE),"")</f>
        <v>Retail</v>
      </c>
      <c r="P129">
        <f>IFERROR(VLOOKUP(C129,Customers!$A$2:$F$301,3,FALSE),"")</f>
        <v>29</v>
      </c>
      <c r="Q129" s="41">
        <f t="shared" si="10"/>
        <v>0.5525773195876289</v>
      </c>
      <c r="R129" t="str">
        <f>IFERROR(VLOOKUP(C129,Customers!$A$2:$F$301,1,FALSE),"")</f>
        <v>CUST-0129</v>
      </c>
      <c r="S129" s="27" t="b">
        <f>IFERROR(VLOOKUP(D129,Products!$A$2:$F$61,6,FALSE),"")</f>
        <v>1</v>
      </c>
      <c r="BL129">
        <v>0</v>
      </c>
      <c r="BM129">
        <v>0</v>
      </c>
      <c r="BN129">
        <v>1.9607843137254902E-2</v>
      </c>
      <c r="BO129">
        <v>0</v>
      </c>
      <c r="BP129">
        <v>0</v>
      </c>
    </row>
    <row r="130" spans="1:68" x14ac:dyDescent="0.35">
      <c r="A130" s="26" t="str">
        <f>Orders!A130</f>
        <v>ORD-00129</v>
      </c>
      <c r="B130" s="33">
        <f>Orders!B130</f>
        <v>45541</v>
      </c>
      <c r="C130" t="str">
        <f>Orders!C130</f>
        <v>CUST-0239</v>
      </c>
      <c r="D130" t="str">
        <f>Orders!D130</f>
        <v>PROD-033</v>
      </c>
      <c r="E130" t="str">
        <f>Orders!E130</f>
        <v>R001</v>
      </c>
      <c r="F130">
        <f>Orders!F130</f>
        <v>10</v>
      </c>
      <c r="G130" s="35">
        <f>Orders!G130</f>
        <v>2030</v>
      </c>
      <c r="H130" s="37">
        <f>Orders!H130</f>
        <v>1.2</v>
      </c>
      <c r="I130" s="39">
        <f>Orders!I130</f>
        <v>20056.400000000001</v>
      </c>
      <c r="J130" t="str">
        <f>Orders!J130</f>
        <v>Completed</v>
      </c>
      <c r="K130" t="str">
        <f>Orders!K130</f>
        <v>Mumbai</v>
      </c>
      <c r="L130" t="str">
        <f>IFERROR(VLOOKUP(D130,Products!$A$2:$F$61,3,FALSE),"")</f>
        <v>Home</v>
      </c>
      <c r="M130">
        <f>IFERROR(VLOOKUP(D130,Products!$A$2:$F$61,4,FALSE),"")</f>
        <v>1143</v>
      </c>
      <c r="N130" t="str">
        <f>IFERROR(VLOOKUP(E130,Sales_Reps!$A$2:$E$31,3,FALSE),"")</f>
        <v>North</v>
      </c>
      <c r="O130" t="str">
        <f>IFERROR(VLOOKUP(C130,Customers!$A$2:$F$301,5,FALSE),"")</f>
        <v>Retail</v>
      </c>
      <c r="P130">
        <f>IFERROR(VLOOKUP(C130,Customers!$A$2:$F$301,3,FALSE),"")</f>
        <v>61</v>
      </c>
      <c r="Q130" s="41">
        <f t="shared" ref="Q130:Q193" si="11">IFERROR((G130-M130)/G130,0)</f>
        <v>0.43694581280788175</v>
      </c>
      <c r="R130" t="str">
        <f>IFERROR(VLOOKUP(C130,Customers!$A$2:$F$301,1,FALSE),"")</f>
        <v>CUST-0239</v>
      </c>
      <c r="S130" s="27" t="b">
        <f>IFERROR(VLOOKUP(D130,Products!$A$2:$F$61,6,FALSE),"")</f>
        <v>1</v>
      </c>
      <c r="BL130">
        <v>0</v>
      </c>
      <c r="BM130">
        <v>0</v>
      </c>
      <c r="BN130">
        <v>1.9607843137254902E-2</v>
      </c>
      <c r="BO130">
        <v>0</v>
      </c>
      <c r="BP130">
        <v>0</v>
      </c>
    </row>
    <row r="131" spans="1:68" x14ac:dyDescent="0.35">
      <c r="A131" s="26" t="str">
        <f>Orders!A131</f>
        <v>ORD-00130</v>
      </c>
      <c r="B131" s="33">
        <f>Orders!B131</f>
        <v>45640</v>
      </c>
      <c r="C131" t="str">
        <f>Orders!C131</f>
        <v>CUST-0106</v>
      </c>
      <c r="D131" t="str">
        <f>Orders!D131</f>
        <v>PROD-024</v>
      </c>
      <c r="E131" t="str">
        <f>Orders!E131</f>
        <v>R021</v>
      </c>
      <c r="F131">
        <f>Orders!F131</f>
        <v>9</v>
      </c>
      <c r="G131" s="35">
        <f>Orders!G131</f>
        <v>2270</v>
      </c>
      <c r="H131" s="37">
        <f>Orders!H131</f>
        <v>13.2</v>
      </c>
      <c r="I131" s="39">
        <f>Orders!I131</f>
        <v>17733.240000000002</v>
      </c>
      <c r="J131" t="str">
        <f>Orders!J131</f>
        <v>Pending</v>
      </c>
      <c r="K131" t="str">
        <f>Orders!K131</f>
        <v>Pune</v>
      </c>
      <c r="L131" t="str">
        <f>IFERROR(VLOOKUP(D131,Products!$A$2:$F$61,3,FALSE),"")</f>
        <v>Grocery</v>
      </c>
      <c r="M131">
        <f>IFERROR(VLOOKUP(D131,Products!$A$2:$F$61,4,FALSE),"")</f>
        <v>1203</v>
      </c>
      <c r="N131" t="str">
        <f>IFERROR(VLOOKUP(E131,Sales_Reps!$A$2:$E$31,3,FALSE),"")</f>
        <v>East</v>
      </c>
      <c r="O131" t="str">
        <f>IFERROR(VLOOKUP(C131,Customers!$A$2:$F$301,5,FALSE),"")</f>
        <v>Retail</v>
      </c>
      <c r="P131">
        <f>IFERROR(VLOOKUP(C131,Customers!$A$2:$F$301,3,FALSE),"")</f>
        <v>22</v>
      </c>
      <c r="Q131" s="41">
        <f t="shared" si="11"/>
        <v>0.47004405286343615</v>
      </c>
      <c r="R131" t="str">
        <f>IFERROR(VLOOKUP(C131,Customers!$A$2:$F$301,1,FALSE),"")</f>
        <v>CUST-0106</v>
      </c>
      <c r="S131" s="27" t="b">
        <f>IFERROR(VLOOKUP(D131,Products!$A$2:$F$61,6,FALSE),"")</f>
        <v>1</v>
      </c>
      <c r="BL131">
        <v>0</v>
      </c>
      <c r="BM131">
        <v>0</v>
      </c>
      <c r="BN131">
        <v>2.1276595744680851E-2</v>
      </c>
      <c r="BO131">
        <v>0</v>
      </c>
      <c r="BP131">
        <v>0</v>
      </c>
    </row>
    <row r="132" spans="1:68" x14ac:dyDescent="0.35">
      <c r="A132" s="26" t="str">
        <f>Orders!A132</f>
        <v>ORD-00131</v>
      </c>
      <c r="B132" s="33">
        <f>Orders!B132</f>
        <v>45524</v>
      </c>
      <c r="C132" t="str">
        <f>Orders!C132</f>
        <v>CUST-0273</v>
      </c>
      <c r="D132" t="str">
        <f>Orders!D132</f>
        <v>PROD-046</v>
      </c>
      <c r="E132" t="str">
        <f>Orders!E132</f>
        <v>R003</v>
      </c>
      <c r="F132">
        <f>Orders!F132</f>
        <v>8</v>
      </c>
      <c r="G132" s="35">
        <f>Orders!G132</f>
        <v>4880</v>
      </c>
      <c r="H132" s="37">
        <f>Orders!H132</f>
        <v>13.4</v>
      </c>
      <c r="I132" s="39">
        <f>Orders!I132</f>
        <v>33808.639999999999</v>
      </c>
      <c r="J132" t="str">
        <f>Orders!J132</f>
        <v>Completed</v>
      </c>
      <c r="K132" t="str">
        <f>Orders!K132</f>
        <v>Hyderabad</v>
      </c>
      <c r="L132" t="str">
        <f>IFERROR(VLOOKUP(D132,Products!$A$2:$F$61,3,FALSE),"")</f>
        <v>Beauty</v>
      </c>
      <c r="M132">
        <f>IFERROR(VLOOKUP(D132,Products!$A$2:$F$61,4,FALSE),"")</f>
        <v>2768</v>
      </c>
      <c r="N132" t="str">
        <f>IFERROR(VLOOKUP(E132,Sales_Reps!$A$2:$E$31,3,FALSE),"")</f>
        <v>North</v>
      </c>
      <c r="O132" t="str">
        <f>IFERROR(VLOOKUP(C132,Customers!$A$2:$F$301,5,FALSE),"")</f>
        <v>Corporate</v>
      </c>
      <c r="P132">
        <f>IFERROR(VLOOKUP(C132,Customers!$A$2:$F$301,3,FALSE),"")</f>
        <v>32</v>
      </c>
      <c r="Q132" s="41">
        <f t="shared" si="11"/>
        <v>0.43278688524590164</v>
      </c>
      <c r="R132" t="str">
        <f>IFERROR(VLOOKUP(C132,Customers!$A$2:$F$301,1,FALSE),"")</f>
        <v>CUST-0273</v>
      </c>
      <c r="S132" s="27" t="b">
        <f>IFERROR(VLOOKUP(D132,Products!$A$2:$F$61,6,FALSE),"")</f>
        <v>1</v>
      </c>
      <c r="BL132">
        <v>0</v>
      </c>
      <c r="BM132">
        <v>0</v>
      </c>
      <c r="BN132">
        <v>2.3809523809523808E-2</v>
      </c>
      <c r="BO132">
        <v>0</v>
      </c>
      <c r="BP132">
        <v>0</v>
      </c>
    </row>
    <row r="133" spans="1:68" x14ac:dyDescent="0.35">
      <c r="A133" s="26" t="str">
        <f>Orders!A133</f>
        <v>ORD-00132</v>
      </c>
      <c r="B133" s="33">
        <f>Orders!B133</f>
        <v>45344</v>
      </c>
      <c r="C133" t="str">
        <f>Orders!C133</f>
        <v>CUST-0114</v>
      </c>
      <c r="D133" t="str">
        <f>Orders!D133</f>
        <v>PROD-004</v>
      </c>
      <c r="E133" t="str">
        <f>Orders!E133</f>
        <v>R011</v>
      </c>
      <c r="F133">
        <f>Orders!F133</f>
        <v>10</v>
      </c>
      <c r="G133" s="35">
        <f>Orders!G133</f>
        <v>3870</v>
      </c>
      <c r="H133" s="37">
        <f>Orders!H133</f>
        <v>23.9</v>
      </c>
      <c r="I133" s="39">
        <f>Orders!I133</f>
        <v>29450.7</v>
      </c>
      <c r="J133" t="str">
        <f>Orders!J133</f>
        <v>Completed</v>
      </c>
      <c r="K133" t="str">
        <f>Orders!K133</f>
        <v>Bengaluru</v>
      </c>
      <c r="L133" t="str">
        <f>IFERROR(VLOOKUP(D133,Products!$A$2:$F$61,3,FALSE),"")</f>
        <v>Electronics</v>
      </c>
      <c r="M133">
        <f>IFERROR(VLOOKUP(D133,Products!$A$2:$F$61,4,FALSE),"")</f>
        <v>1559</v>
      </c>
      <c r="N133" t="str">
        <f>IFERROR(VLOOKUP(E133,Sales_Reps!$A$2:$E$31,3,FALSE),"")</f>
        <v>South</v>
      </c>
      <c r="O133" t="str">
        <f>IFERROR(VLOOKUP(C133,Customers!$A$2:$F$301,5,FALSE),"")</f>
        <v>Corporate</v>
      </c>
      <c r="P133">
        <f>IFERROR(VLOOKUP(C133,Customers!$A$2:$F$301,3,FALSE),"")</f>
        <v>42</v>
      </c>
      <c r="Q133" s="41">
        <f t="shared" si="11"/>
        <v>0.59715762273901807</v>
      </c>
      <c r="R133" t="str">
        <f>IFERROR(VLOOKUP(C133,Customers!$A$2:$F$301,1,FALSE),"")</f>
        <v>CUST-0114</v>
      </c>
      <c r="S133" s="27" t="b">
        <f>IFERROR(VLOOKUP(D133,Products!$A$2:$F$61,6,FALSE),"")</f>
        <v>1</v>
      </c>
      <c r="BL133">
        <v>0</v>
      </c>
      <c r="BM133">
        <v>1</v>
      </c>
      <c r="BN133">
        <v>2.3809523809523808E-2</v>
      </c>
      <c r="BO133">
        <v>0</v>
      </c>
      <c r="BP133">
        <v>0</v>
      </c>
    </row>
    <row r="134" spans="1:68" x14ac:dyDescent="0.35">
      <c r="A134" s="26" t="str">
        <f>Orders!A134</f>
        <v>ORD-00133</v>
      </c>
      <c r="B134" s="33">
        <f>Orders!B134</f>
        <v>45463</v>
      </c>
      <c r="C134" t="str">
        <f>Orders!C134</f>
        <v>CUST-0146</v>
      </c>
      <c r="D134" t="str">
        <f>Orders!D134</f>
        <v>PROD-042</v>
      </c>
      <c r="E134" t="str">
        <f>Orders!E134</f>
        <v>R002</v>
      </c>
      <c r="F134">
        <f>Orders!F134</f>
        <v>4</v>
      </c>
      <c r="G134" s="35">
        <f>Orders!G134</f>
        <v>2290</v>
      </c>
      <c r="H134" s="37">
        <f>Orders!H134</f>
        <v>15.2</v>
      </c>
      <c r="I134" s="39">
        <f>Orders!I134</f>
        <v>7767.68</v>
      </c>
      <c r="J134" t="str">
        <f>Orders!J134</f>
        <v>Completed</v>
      </c>
      <c r="K134" t="str">
        <f>Orders!K134</f>
        <v>Hyderabad</v>
      </c>
      <c r="L134" t="str">
        <f>IFERROR(VLOOKUP(D134,Products!$A$2:$F$61,3,FALSE),"")</f>
        <v>Beauty</v>
      </c>
      <c r="M134">
        <f>IFERROR(VLOOKUP(D134,Products!$A$2:$F$61,4,FALSE),"")</f>
        <v>1219</v>
      </c>
      <c r="N134" t="str">
        <f>IFERROR(VLOOKUP(E134,Sales_Reps!$A$2:$E$31,3,FALSE),"")</f>
        <v>North</v>
      </c>
      <c r="O134" t="str">
        <f>IFERROR(VLOOKUP(C134,Customers!$A$2:$F$301,5,FALSE),"")</f>
        <v>Retail</v>
      </c>
      <c r="P134">
        <f>IFERROR(VLOOKUP(C134,Customers!$A$2:$F$301,3,FALSE),"")</f>
        <v>22</v>
      </c>
      <c r="Q134" s="41">
        <f t="shared" si="11"/>
        <v>0.46768558951965067</v>
      </c>
      <c r="R134" t="str">
        <f>IFERROR(VLOOKUP(C134,Customers!$A$2:$F$301,1,FALSE),"")</f>
        <v>CUST-0146</v>
      </c>
      <c r="S134" s="27" t="b">
        <f>IFERROR(VLOOKUP(D134,Products!$A$2:$F$61,6,FALSE),"")</f>
        <v>1</v>
      </c>
      <c r="BL134">
        <v>0</v>
      </c>
      <c r="BM134">
        <v>0</v>
      </c>
      <c r="BN134">
        <v>1.8867924528301886E-2</v>
      </c>
      <c r="BO134">
        <v>0</v>
      </c>
      <c r="BP134">
        <v>0</v>
      </c>
    </row>
    <row r="135" spans="1:68" x14ac:dyDescent="0.35">
      <c r="A135" s="26" t="str">
        <f>Orders!A135</f>
        <v>ORD-00134</v>
      </c>
      <c r="B135" s="33">
        <f>Orders!B135</f>
        <v>45443</v>
      </c>
      <c r="C135" t="str">
        <f>Orders!C135</f>
        <v>CUST-0298</v>
      </c>
      <c r="D135" t="str">
        <f>Orders!D135</f>
        <v>PROD-023</v>
      </c>
      <c r="E135" t="str">
        <f>Orders!E135</f>
        <v>R020</v>
      </c>
      <c r="F135">
        <f>Orders!F135</f>
        <v>8</v>
      </c>
      <c r="G135" s="35">
        <f>Orders!G135</f>
        <v>2380</v>
      </c>
      <c r="H135" s="37">
        <f>Orders!H135</f>
        <v>4.2</v>
      </c>
      <c r="I135" s="39">
        <f>Orders!I135</f>
        <v>18240.32</v>
      </c>
      <c r="J135" t="str">
        <f>Orders!J135</f>
        <v>Completed</v>
      </c>
      <c r="K135" t="str">
        <f>Orders!K135</f>
        <v>Delhi</v>
      </c>
      <c r="L135" t="str">
        <f>IFERROR(VLOOKUP(D135,Products!$A$2:$F$61,3,FALSE),"")</f>
        <v>Grocery</v>
      </c>
      <c r="M135">
        <f>IFERROR(VLOOKUP(D135,Products!$A$2:$F$61,4,FALSE),"")</f>
        <v>1182</v>
      </c>
      <c r="N135" t="str">
        <f>IFERROR(VLOOKUP(E135,Sales_Reps!$A$2:$E$31,3,FALSE),"")</f>
        <v>East</v>
      </c>
      <c r="O135" t="str">
        <f>IFERROR(VLOOKUP(C135,Customers!$A$2:$F$301,5,FALSE),"")</f>
        <v>Retail</v>
      </c>
      <c r="P135">
        <f>IFERROR(VLOOKUP(C135,Customers!$A$2:$F$301,3,FALSE),"")</f>
        <v>44</v>
      </c>
      <c r="Q135" s="41">
        <f t="shared" si="11"/>
        <v>0.50336134453781511</v>
      </c>
      <c r="R135" t="str">
        <f>IFERROR(VLOOKUP(C135,Customers!$A$2:$F$301,1,FALSE),"")</f>
        <v>CUST-0298</v>
      </c>
      <c r="S135" s="27" t="b">
        <f>IFERROR(VLOOKUP(D135,Products!$A$2:$F$61,6,FALSE),"")</f>
        <v>1</v>
      </c>
      <c r="BL135">
        <v>0</v>
      </c>
      <c r="BM135">
        <v>0</v>
      </c>
      <c r="BN135">
        <v>2.3809523809523808E-2</v>
      </c>
      <c r="BO135">
        <v>0</v>
      </c>
      <c r="BP135">
        <v>0</v>
      </c>
    </row>
    <row r="136" spans="1:68" x14ac:dyDescent="0.35">
      <c r="A136" s="26" t="str">
        <f>Orders!A136</f>
        <v>ORD-00135</v>
      </c>
      <c r="B136" s="33">
        <f>Orders!B136</f>
        <v>45301</v>
      </c>
      <c r="C136" t="str">
        <f>Orders!C136</f>
        <v>CUST-0111</v>
      </c>
      <c r="D136" t="str">
        <f>Orders!D136</f>
        <v>PROD-029</v>
      </c>
      <c r="E136" t="str">
        <f>Orders!E136</f>
        <v>R013</v>
      </c>
      <c r="F136">
        <f>Orders!F136</f>
        <v>8</v>
      </c>
      <c r="G136" s="35">
        <f>Orders!G136</f>
        <v>2210</v>
      </c>
      <c r="H136" s="37">
        <f>Orders!H136</f>
        <v>11.5</v>
      </c>
      <c r="I136" s="39">
        <f>Orders!I136</f>
        <v>15646.8</v>
      </c>
      <c r="J136" t="str">
        <f>Orders!J136</f>
        <v>Completed</v>
      </c>
      <c r="K136" t="str">
        <f>Orders!K136</f>
        <v>Chennai</v>
      </c>
      <c r="L136" t="str">
        <f>IFERROR(VLOOKUP(D136,Products!$A$2:$F$61,3,FALSE),"")</f>
        <v>Grocery</v>
      </c>
      <c r="M136">
        <f>IFERROR(VLOOKUP(D136,Products!$A$2:$F$61,4,FALSE),"")</f>
        <v>1010</v>
      </c>
      <c r="N136" t="str">
        <f>IFERROR(VLOOKUP(E136,Sales_Reps!$A$2:$E$31,3,FALSE),"")</f>
        <v>South</v>
      </c>
      <c r="O136" t="str">
        <f>IFERROR(VLOOKUP(C136,Customers!$A$2:$F$301,5,FALSE),"")</f>
        <v>SMB</v>
      </c>
      <c r="P136">
        <f>IFERROR(VLOOKUP(C136,Customers!$A$2:$F$301,3,FALSE),"")</f>
        <v>64</v>
      </c>
      <c r="Q136" s="41">
        <f t="shared" si="11"/>
        <v>0.54298642533936647</v>
      </c>
      <c r="R136" t="str">
        <f>IFERROR(VLOOKUP(C136,Customers!$A$2:$F$301,1,FALSE),"")</f>
        <v>CUST-0111</v>
      </c>
      <c r="S136" s="27" t="b">
        <f>IFERROR(VLOOKUP(D136,Products!$A$2:$F$61,6,FALSE),"")</f>
        <v>1</v>
      </c>
      <c r="BL136">
        <v>0.5</v>
      </c>
      <c r="BM136">
        <v>0</v>
      </c>
      <c r="BN136">
        <v>1.8867924528301886E-2</v>
      </c>
      <c r="BO136">
        <v>0</v>
      </c>
      <c r="BP136">
        <v>0</v>
      </c>
    </row>
    <row r="137" spans="1:68" x14ac:dyDescent="0.35">
      <c r="A137" s="26" t="str">
        <f>Orders!A137</f>
        <v>ORD-01445</v>
      </c>
      <c r="B137" s="33">
        <f>Orders!B137</f>
        <v>45360</v>
      </c>
      <c r="C137" t="str">
        <f>Orders!C137</f>
        <v>CUST-0291</v>
      </c>
      <c r="D137" t="str">
        <f>Orders!D137</f>
        <v>PROD-001</v>
      </c>
      <c r="E137" t="str">
        <f>Orders!E137</f>
        <v>R022</v>
      </c>
      <c r="F137">
        <f>Orders!F137</f>
        <v>4</v>
      </c>
      <c r="G137" s="35">
        <f>Orders!G137</f>
        <v>5330</v>
      </c>
      <c r="H137" s="37">
        <f>Orders!H137</f>
        <v>22.6</v>
      </c>
      <c r="I137" s="39">
        <f>Orders!I137</f>
        <v>16501.68</v>
      </c>
      <c r="J137" t="str">
        <f>Orders!J137</f>
        <v>Pending</v>
      </c>
      <c r="K137" t="str">
        <f>Orders!K137</f>
        <v>Pune</v>
      </c>
      <c r="L137" t="str">
        <f>IFERROR(VLOOKUP(D137,Products!$A$2:$F$61,3,FALSE),"")</f>
        <v>Electronics</v>
      </c>
      <c r="M137">
        <f>IFERROR(VLOOKUP(D137,Products!$A$2:$F$61,4,FALSE),"")</f>
        <v>2405</v>
      </c>
      <c r="N137" t="str">
        <f>IFERROR(VLOOKUP(E137,Sales_Reps!$A$2:$E$31,3,FALSE),"")</f>
        <v>East</v>
      </c>
      <c r="O137" t="str">
        <f>IFERROR(VLOOKUP(C137,Customers!$A$2:$F$301,5,FALSE),"")</f>
        <v>SMB</v>
      </c>
      <c r="P137">
        <f>IFERROR(VLOOKUP(C137,Customers!$A$2:$F$301,3,FALSE),"")</f>
        <v>29</v>
      </c>
      <c r="Q137" s="41">
        <f t="shared" si="11"/>
        <v>0.54878048780487809</v>
      </c>
      <c r="R137" t="str">
        <f>IFERROR(VLOOKUP(C137,Customers!$A$2:$F$301,1,FALSE),"")</f>
        <v>CUST-0291</v>
      </c>
      <c r="S137" s="27" t="b">
        <f>IFERROR(VLOOKUP(D137,Products!$A$2:$F$61,6,FALSE),"")</f>
        <v>1</v>
      </c>
      <c r="BL137">
        <v>0.5</v>
      </c>
      <c r="BM137">
        <v>0</v>
      </c>
      <c r="BN137">
        <v>1.8867924528301886E-2</v>
      </c>
      <c r="BO137">
        <v>0</v>
      </c>
      <c r="BP137">
        <v>0</v>
      </c>
    </row>
    <row r="138" spans="1:68" x14ac:dyDescent="0.35">
      <c r="A138" s="26" t="str">
        <f>Orders!A138</f>
        <v>ORD-00137</v>
      </c>
      <c r="B138" s="33">
        <f>Orders!B138</f>
        <v>45559</v>
      </c>
      <c r="C138" t="str">
        <f>Orders!C138</f>
        <v>CUST-0024</v>
      </c>
      <c r="D138" t="str">
        <f>Orders!D138</f>
        <v>PROD-006</v>
      </c>
      <c r="E138" t="str">
        <f>Orders!E138</f>
        <v>R022</v>
      </c>
      <c r="F138">
        <f>Orders!F138</f>
        <v>8</v>
      </c>
      <c r="G138" s="35">
        <f>Orders!G138</f>
        <v>3970</v>
      </c>
      <c r="H138" s="37">
        <f>Orders!H138</f>
        <v>21.8</v>
      </c>
      <c r="I138" s="39">
        <f>Orders!I138</f>
        <v>24836.32</v>
      </c>
      <c r="J138" t="str">
        <f>Orders!J138</f>
        <v>Completed</v>
      </c>
      <c r="K138" t="str">
        <f>Orders!K138</f>
        <v>Chennai</v>
      </c>
      <c r="L138" t="str">
        <f>IFERROR(VLOOKUP(D138,Products!$A$2:$F$61,3,FALSE),"")</f>
        <v>Electronics</v>
      </c>
      <c r="M138">
        <f>IFERROR(VLOOKUP(D138,Products!$A$2:$F$61,4,FALSE),"")</f>
        <v>2865</v>
      </c>
      <c r="N138" t="str">
        <f>IFERROR(VLOOKUP(E138,Sales_Reps!$A$2:$E$31,3,FALSE),"")</f>
        <v>East</v>
      </c>
      <c r="O138" t="str">
        <f>IFERROR(VLOOKUP(C138,Customers!$A$2:$F$301,5,FALSE),"")</f>
        <v>SMB</v>
      </c>
      <c r="P138">
        <f>IFERROR(VLOOKUP(C138,Customers!$A$2:$F$301,3,FALSE),"")</f>
        <v>64</v>
      </c>
      <c r="Q138" s="41">
        <f t="shared" si="11"/>
        <v>0.27833753148614609</v>
      </c>
      <c r="R138" t="str">
        <f>IFERROR(VLOOKUP(C138,Customers!$A$2:$F$301,1,FALSE),"")</f>
        <v>CUST-0024</v>
      </c>
      <c r="S138" s="27" t="b">
        <f>IFERROR(VLOOKUP(D138,Products!$A$2:$F$61,6,FALSE),"")</f>
        <v>1</v>
      </c>
      <c r="BL138">
        <v>0</v>
      </c>
      <c r="BM138">
        <v>0</v>
      </c>
      <c r="BN138">
        <v>1.8518518518518517E-2</v>
      </c>
      <c r="BO138">
        <v>0</v>
      </c>
      <c r="BP138">
        <v>0</v>
      </c>
    </row>
    <row r="139" spans="1:68" x14ac:dyDescent="0.35">
      <c r="A139" s="26" t="str">
        <f>Orders!A139</f>
        <v>ORD-00138</v>
      </c>
      <c r="B139" s="33">
        <f>Orders!B139</f>
        <v>45546</v>
      </c>
      <c r="C139" t="str">
        <f>Orders!C139</f>
        <v>CUST-0210</v>
      </c>
      <c r="D139" t="str">
        <f>Orders!D139</f>
        <v>PROD-012</v>
      </c>
      <c r="E139" t="str">
        <f>Orders!E139</f>
        <v>R020</v>
      </c>
      <c r="F139">
        <f>Orders!F139</f>
        <v>10</v>
      </c>
      <c r="G139" s="35">
        <f>Orders!G139</f>
        <v>3160</v>
      </c>
      <c r="H139" s="37">
        <f>Orders!H139</f>
        <v>16.100000000000001</v>
      </c>
      <c r="I139" s="39">
        <f>Orders!I139</f>
        <v>26512.400000000001</v>
      </c>
      <c r="J139" t="str">
        <f>Orders!J139</f>
        <v>Cancelled</v>
      </c>
      <c r="K139" t="str">
        <f>Orders!K139</f>
        <v>Pune</v>
      </c>
      <c r="L139" t="str">
        <f>IFERROR(VLOOKUP(D139,Products!$A$2:$F$61,3,FALSE),"")</f>
        <v>Apparel</v>
      </c>
      <c r="M139">
        <f>IFERROR(VLOOKUP(D139,Products!$A$2:$F$61,4,FALSE),"")</f>
        <v>1886</v>
      </c>
      <c r="N139" t="str">
        <f>IFERROR(VLOOKUP(E139,Sales_Reps!$A$2:$E$31,3,FALSE),"")</f>
        <v>East</v>
      </c>
      <c r="O139" t="str">
        <f>IFERROR(VLOOKUP(C139,Customers!$A$2:$F$301,5,FALSE),"")</f>
        <v>Corporate</v>
      </c>
      <c r="P139">
        <f>IFERROR(VLOOKUP(C139,Customers!$A$2:$F$301,3,FALSE),"")</f>
        <v>48</v>
      </c>
      <c r="Q139" s="41">
        <f t="shared" si="11"/>
        <v>0.4031645569620253</v>
      </c>
      <c r="R139" t="str">
        <f>IFERROR(VLOOKUP(C139,Customers!$A$2:$F$301,1,FALSE),"")</f>
        <v>CUST-0210</v>
      </c>
      <c r="S139" s="27" t="b">
        <f>IFERROR(VLOOKUP(D139,Products!$A$2:$F$61,6,FALSE),"")</f>
        <v>1</v>
      </c>
      <c r="BL139">
        <v>0</v>
      </c>
      <c r="BM139">
        <v>0</v>
      </c>
      <c r="BN139">
        <v>1.8867924528301886E-2</v>
      </c>
      <c r="BO139">
        <v>0</v>
      </c>
      <c r="BP139">
        <v>0</v>
      </c>
    </row>
    <row r="140" spans="1:68" x14ac:dyDescent="0.35">
      <c r="A140" s="26" t="str">
        <f>Orders!A140</f>
        <v>ORD-00139</v>
      </c>
      <c r="B140" s="33">
        <f>Orders!B140</f>
        <v>45425</v>
      </c>
      <c r="C140" t="str">
        <f>Orders!C140</f>
        <v>CUST-0192</v>
      </c>
      <c r="D140" t="str">
        <f>Orders!D140</f>
        <v>PROD-060</v>
      </c>
      <c r="E140" t="str">
        <f>Orders!E140</f>
        <v>R009</v>
      </c>
      <c r="F140">
        <f>Orders!F140</f>
        <v>5</v>
      </c>
      <c r="G140" s="35">
        <f>Orders!G140</f>
        <v>190</v>
      </c>
      <c r="H140" s="37">
        <f>Orders!H140</f>
        <v>14.8</v>
      </c>
      <c r="I140" s="39">
        <f>Orders!I140</f>
        <v>809.4</v>
      </c>
      <c r="J140" t="str">
        <f>Orders!J140</f>
        <v>Completed</v>
      </c>
      <c r="K140" t="str">
        <f>Orders!K140</f>
        <v>Bengaluru</v>
      </c>
      <c r="L140" t="str">
        <f>IFERROR(VLOOKUP(D140,Products!$A$2:$F$61,3,FALSE),"")</f>
        <v>Sports</v>
      </c>
      <c r="M140">
        <f>IFERROR(VLOOKUP(D140,Products!$A$2:$F$61,4,FALSE),"")</f>
        <v>147</v>
      </c>
      <c r="N140" t="str">
        <f>IFERROR(VLOOKUP(E140,Sales_Reps!$A$2:$E$31,3,FALSE),"")</f>
        <v>South</v>
      </c>
      <c r="O140" t="str">
        <f>IFERROR(VLOOKUP(C140,Customers!$A$2:$F$301,5,FALSE),"")</f>
        <v>Retail</v>
      </c>
      <c r="P140">
        <f>IFERROR(VLOOKUP(C140,Customers!$A$2:$F$301,3,FALSE),"")</f>
        <v>55</v>
      </c>
      <c r="Q140" s="41">
        <f t="shared" si="11"/>
        <v>0.22631578947368422</v>
      </c>
      <c r="R140" t="str">
        <f>IFERROR(VLOOKUP(C140,Customers!$A$2:$F$301,1,FALSE),"")</f>
        <v>CUST-0192</v>
      </c>
      <c r="S140" s="27" t="b">
        <f>IFERROR(VLOOKUP(D140,Products!$A$2:$F$61,6,FALSE),"")</f>
        <v>1</v>
      </c>
      <c r="BL140">
        <v>0</v>
      </c>
      <c r="BM140">
        <v>0</v>
      </c>
      <c r="BN140">
        <v>1.9607843137254902E-2</v>
      </c>
      <c r="BO140">
        <v>0</v>
      </c>
      <c r="BP140">
        <v>0</v>
      </c>
    </row>
    <row r="141" spans="1:68" x14ac:dyDescent="0.35">
      <c r="A141" s="26" t="str">
        <f>Orders!A141</f>
        <v>ORD-00140</v>
      </c>
      <c r="B141" s="33">
        <f>Orders!B141</f>
        <v>45351</v>
      </c>
      <c r="C141" t="str">
        <f>Orders!C141</f>
        <v>CUST-0078</v>
      </c>
      <c r="D141" t="str">
        <f>Orders!D141</f>
        <v>PROD-021</v>
      </c>
      <c r="E141" t="str">
        <f>Orders!E141</f>
        <v>R007</v>
      </c>
      <c r="F141">
        <f>Orders!F141</f>
        <v>6</v>
      </c>
      <c r="G141" s="35">
        <f>Orders!G141</f>
        <v>2760</v>
      </c>
      <c r="H141" s="37">
        <f>Orders!H141</f>
        <v>19.8</v>
      </c>
      <c r="I141" s="39">
        <f>Orders!I141</f>
        <v>13281.12</v>
      </c>
      <c r="J141" t="str">
        <f>Orders!J141</f>
        <v>Completed</v>
      </c>
      <c r="K141" t="str">
        <f>Orders!K141</f>
        <v>Delhi</v>
      </c>
      <c r="L141" t="str">
        <f>IFERROR(VLOOKUP(D141,Products!$A$2:$F$61,3,FALSE),"")</f>
        <v>Grocery</v>
      </c>
      <c r="M141">
        <f>IFERROR(VLOOKUP(D141,Products!$A$2:$F$61,4,FALSE),"")</f>
        <v>1435</v>
      </c>
      <c r="N141" t="str">
        <f>IFERROR(VLOOKUP(E141,Sales_Reps!$A$2:$E$31,3,FALSE),"")</f>
        <v>North</v>
      </c>
      <c r="O141" t="str">
        <f>IFERROR(VLOOKUP(C141,Customers!$A$2:$F$301,5,FALSE),"")</f>
        <v>Retail</v>
      </c>
      <c r="P141">
        <f>IFERROR(VLOOKUP(C141,Customers!$A$2:$F$301,3,FALSE),"")</f>
        <v>31</v>
      </c>
      <c r="Q141" s="41">
        <f t="shared" si="11"/>
        <v>0.48007246376811596</v>
      </c>
      <c r="R141" t="str">
        <f>IFERROR(VLOOKUP(C141,Customers!$A$2:$F$301,1,FALSE),"")</f>
        <v>CUST-0078</v>
      </c>
      <c r="S141" s="27" t="b">
        <f>IFERROR(VLOOKUP(D141,Products!$A$2:$F$61,6,FALSE),"")</f>
        <v>1</v>
      </c>
      <c r="BL141">
        <v>0</v>
      </c>
      <c r="BM141">
        <v>0</v>
      </c>
      <c r="BN141">
        <v>1.9607843137254902E-2</v>
      </c>
      <c r="BO141">
        <v>0</v>
      </c>
      <c r="BP141">
        <v>0</v>
      </c>
    </row>
    <row r="142" spans="1:68" x14ac:dyDescent="0.35">
      <c r="A142" s="26" t="str">
        <f>Orders!A142</f>
        <v>ORD-00141</v>
      </c>
      <c r="B142" s="33">
        <f>Orders!B142</f>
        <v>45604</v>
      </c>
      <c r="C142" t="str">
        <f>Orders!C142</f>
        <v>CUST-0070</v>
      </c>
      <c r="D142" t="str">
        <f>Orders!D142</f>
        <v>PROD-022</v>
      </c>
      <c r="E142" t="str">
        <f>Orders!E142</f>
        <v>R019</v>
      </c>
      <c r="F142">
        <f>Orders!F142</f>
        <v>9</v>
      </c>
      <c r="G142" s="35">
        <f>Orders!G142</f>
        <v>2270</v>
      </c>
      <c r="H142" s="37">
        <f>Orders!H142</f>
        <v>20.8</v>
      </c>
      <c r="I142" s="39">
        <f>Orders!I142</f>
        <v>16180.56</v>
      </c>
      <c r="J142" t="str">
        <f>Orders!J142</f>
        <v>Cancelled</v>
      </c>
      <c r="K142" t="str">
        <f>Orders!K142</f>
        <v>Mumbai</v>
      </c>
      <c r="L142" t="str">
        <f>IFERROR(VLOOKUP(D142,Products!$A$2:$F$61,3,FALSE),"")</f>
        <v>Grocery</v>
      </c>
      <c r="M142">
        <f>IFERROR(VLOOKUP(D142,Products!$A$2:$F$61,4,FALSE),"")</f>
        <v>1412</v>
      </c>
      <c r="N142" t="str">
        <f>IFERROR(VLOOKUP(E142,Sales_Reps!$A$2:$E$31,3,FALSE),"")</f>
        <v>East</v>
      </c>
      <c r="O142" t="str">
        <f>IFERROR(VLOOKUP(C142,Customers!$A$2:$F$301,5,FALSE),"")</f>
        <v>Retail</v>
      </c>
      <c r="P142">
        <f>IFERROR(VLOOKUP(C142,Customers!$A$2:$F$301,3,FALSE),"")</f>
        <v>42</v>
      </c>
      <c r="Q142" s="41">
        <f t="shared" si="11"/>
        <v>0.37797356828193834</v>
      </c>
      <c r="R142" t="str">
        <f>IFERROR(VLOOKUP(C142,Customers!$A$2:$F$301,1,FALSE),"")</f>
        <v>CUST-0070</v>
      </c>
      <c r="S142" s="27" t="b">
        <f>IFERROR(VLOOKUP(D142,Products!$A$2:$F$61,6,FALSE),"")</f>
        <v>1</v>
      </c>
      <c r="BL142">
        <v>0</v>
      </c>
      <c r="BM142">
        <v>0</v>
      </c>
      <c r="BN142">
        <v>1.9607843137254902E-2</v>
      </c>
      <c r="BO142">
        <v>0</v>
      </c>
      <c r="BP142">
        <v>0</v>
      </c>
    </row>
    <row r="143" spans="1:68" x14ac:dyDescent="0.35">
      <c r="A143" s="26" t="str">
        <f>Orders!A143</f>
        <v>ORD-00142</v>
      </c>
      <c r="B143" s="33">
        <f>Orders!B143</f>
        <v>45328</v>
      </c>
      <c r="C143" t="str">
        <f>Orders!C143</f>
        <v>CUST-0159</v>
      </c>
      <c r="D143" t="str">
        <f>Orders!D143</f>
        <v>PROD-052</v>
      </c>
      <c r="E143" t="str">
        <f>Orders!E143</f>
        <v>R001</v>
      </c>
      <c r="F143">
        <f>Orders!F143</f>
        <v>8</v>
      </c>
      <c r="G143" s="35">
        <f>Orders!G143</f>
        <v>5410</v>
      </c>
      <c r="H143" s="37">
        <f>Orders!H143</f>
        <v>12.9</v>
      </c>
      <c r="I143" s="39">
        <f>Orders!I143</f>
        <v>37696.879999999997</v>
      </c>
      <c r="J143" t="str">
        <f>Orders!J143</f>
        <v>Completed</v>
      </c>
      <c r="K143" t="str">
        <f>Orders!K143</f>
        <v>Hyderabad</v>
      </c>
      <c r="L143" t="str">
        <f>IFERROR(VLOOKUP(D143,Products!$A$2:$F$61,3,FALSE),"")</f>
        <v>Sports</v>
      </c>
      <c r="M143">
        <f>IFERROR(VLOOKUP(D143,Products!$A$2:$F$61,4,FALSE),"")</f>
        <v>2265</v>
      </c>
      <c r="N143" t="str">
        <f>IFERROR(VLOOKUP(E143,Sales_Reps!$A$2:$E$31,3,FALSE),"")</f>
        <v>North</v>
      </c>
      <c r="O143" t="str">
        <f>IFERROR(VLOOKUP(C143,Customers!$A$2:$F$301,5,FALSE),"")</f>
        <v>Retail</v>
      </c>
      <c r="P143">
        <f>IFERROR(VLOOKUP(C143,Customers!$A$2:$F$301,3,FALSE),"")</f>
        <v>32</v>
      </c>
      <c r="Q143" s="41">
        <f t="shared" si="11"/>
        <v>0.58133086876155271</v>
      </c>
      <c r="R143" t="str">
        <f>IFERROR(VLOOKUP(C143,Customers!$A$2:$F$301,1,FALSE),"")</f>
        <v>CUST-0159</v>
      </c>
      <c r="S143" s="27" t="b">
        <f>IFERROR(VLOOKUP(D143,Products!$A$2:$F$61,6,FALSE),"")</f>
        <v>1</v>
      </c>
      <c r="BL143">
        <v>0</v>
      </c>
      <c r="BM143">
        <v>0</v>
      </c>
      <c r="BN143">
        <v>1.8867924528301886E-2</v>
      </c>
      <c r="BO143">
        <v>0</v>
      </c>
      <c r="BP143">
        <v>0</v>
      </c>
    </row>
    <row r="144" spans="1:68" x14ac:dyDescent="0.35">
      <c r="A144" s="26" t="str">
        <f>Orders!A144</f>
        <v>ORD-00143</v>
      </c>
      <c r="B144" s="33">
        <f>Orders!B144</f>
        <v>45508</v>
      </c>
      <c r="C144" t="str">
        <f>Orders!C144</f>
        <v>CUST-0294</v>
      </c>
      <c r="D144" t="str">
        <f>Orders!D144</f>
        <v>PROD-024</v>
      </c>
      <c r="E144" t="str">
        <f>Orders!E144</f>
        <v>R009</v>
      </c>
      <c r="F144">
        <f>Orders!F144</f>
        <v>9</v>
      </c>
      <c r="G144" s="35">
        <f>Orders!G144</f>
        <v>2270</v>
      </c>
      <c r="H144" s="37">
        <f>Orders!H144</f>
        <v>6.8</v>
      </c>
      <c r="I144" s="39">
        <f>Orders!I144</f>
        <v>19040.759999999998</v>
      </c>
      <c r="J144" t="str">
        <f>Orders!J144</f>
        <v>Completed</v>
      </c>
      <c r="K144" t="str">
        <f>Orders!K144</f>
        <v>Delhi</v>
      </c>
      <c r="L144" t="str">
        <f>IFERROR(VLOOKUP(D144,Products!$A$2:$F$61,3,FALSE),"")</f>
        <v>Grocery</v>
      </c>
      <c r="M144">
        <f>IFERROR(VLOOKUP(D144,Products!$A$2:$F$61,4,FALSE),"")</f>
        <v>1203</v>
      </c>
      <c r="N144" t="str">
        <f>IFERROR(VLOOKUP(E144,Sales_Reps!$A$2:$E$31,3,FALSE),"")</f>
        <v>South</v>
      </c>
      <c r="O144" t="str">
        <f>IFERROR(VLOOKUP(C144,Customers!$A$2:$F$301,5,FALSE),"")</f>
        <v>Corporate</v>
      </c>
      <c r="P144">
        <f>IFERROR(VLOOKUP(C144,Customers!$A$2:$F$301,3,FALSE),"")</f>
        <v>31</v>
      </c>
      <c r="Q144" s="41">
        <f t="shared" si="11"/>
        <v>0.47004405286343615</v>
      </c>
      <c r="R144" t="str">
        <f>IFERROR(VLOOKUP(C144,Customers!$A$2:$F$301,1,FALSE),"")</f>
        <v>CUST-0294</v>
      </c>
      <c r="S144" s="27" t="b">
        <f>IFERROR(VLOOKUP(D144,Products!$A$2:$F$61,6,FALSE),"")</f>
        <v>1</v>
      </c>
      <c r="BL144">
        <v>0</v>
      </c>
      <c r="BM144">
        <v>0</v>
      </c>
      <c r="BN144">
        <v>1.8867924528301886E-2</v>
      </c>
      <c r="BO144">
        <v>0</v>
      </c>
      <c r="BP144">
        <v>0</v>
      </c>
    </row>
    <row r="145" spans="1:68" x14ac:dyDescent="0.35">
      <c r="A145" s="26" t="str">
        <f>Orders!A145</f>
        <v>ORD-00144</v>
      </c>
      <c r="B145" s="33">
        <f>Orders!B145</f>
        <v>45309</v>
      </c>
      <c r="C145" t="str">
        <f>Orders!C145</f>
        <v>CUST-0280</v>
      </c>
      <c r="D145" t="str">
        <f>Orders!D145</f>
        <v>PROD-012</v>
      </c>
      <c r="E145" t="str">
        <f>Orders!E145</f>
        <v>R001</v>
      </c>
      <c r="F145">
        <f>Orders!F145</f>
        <v>3</v>
      </c>
      <c r="G145" s="35">
        <f>Orders!G145</f>
        <v>3160</v>
      </c>
      <c r="H145" s="37">
        <f>Orders!H145</f>
        <v>12.8</v>
      </c>
      <c r="I145" s="39">
        <f>Orders!I145</f>
        <v>8266.56</v>
      </c>
      <c r="J145" t="str">
        <f>Orders!J145</f>
        <v>Completed</v>
      </c>
      <c r="K145" t="str">
        <f>Orders!K145</f>
        <v>Delhi</v>
      </c>
      <c r="L145" t="str">
        <f>IFERROR(VLOOKUP(D145,Products!$A$2:$F$61,3,FALSE),"")</f>
        <v>Apparel</v>
      </c>
      <c r="M145">
        <f>IFERROR(VLOOKUP(D145,Products!$A$2:$F$61,4,FALSE),"")</f>
        <v>1886</v>
      </c>
      <c r="N145" t="str">
        <f>IFERROR(VLOOKUP(E145,Sales_Reps!$A$2:$E$31,3,FALSE),"")</f>
        <v>North</v>
      </c>
      <c r="O145" t="str">
        <f>IFERROR(VLOOKUP(C145,Customers!$A$2:$F$301,5,FALSE),"")</f>
        <v>SMB</v>
      </c>
      <c r="P145">
        <f>IFERROR(VLOOKUP(C145,Customers!$A$2:$F$301,3,FALSE),"")</f>
        <v>27</v>
      </c>
      <c r="Q145" s="41">
        <f t="shared" si="11"/>
        <v>0.4031645569620253</v>
      </c>
      <c r="R145" t="str">
        <f>IFERROR(VLOOKUP(C145,Customers!$A$2:$F$301,1,FALSE),"")</f>
        <v>CUST-0280</v>
      </c>
      <c r="S145" s="27" t="b">
        <f>IFERROR(VLOOKUP(D145,Products!$A$2:$F$61,6,FALSE),"")</f>
        <v>1</v>
      </c>
      <c r="BL145">
        <v>0</v>
      </c>
      <c r="BM145">
        <v>1</v>
      </c>
      <c r="BN145">
        <v>1.8867924528301886E-2</v>
      </c>
      <c r="BO145">
        <v>0</v>
      </c>
      <c r="BP145">
        <v>0</v>
      </c>
    </row>
    <row r="146" spans="1:68" x14ac:dyDescent="0.35">
      <c r="A146" s="26" t="str">
        <f>Orders!A146</f>
        <v>ORD-00145</v>
      </c>
      <c r="B146" s="33">
        <f>Orders!B146</f>
        <v>45448</v>
      </c>
      <c r="C146" t="str">
        <f>Orders!C146</f>
        <v>CUST-0291</v>
      </c>
      <c r="D146" t="str">
        <f>Orders!D146</f>
        <v>PROD-025</v>
      </c>
      <c r="E146" t="str">
        <f>Orders!E146</f>
        <v>R028</v>
      </c>
      <c r="F146">
        <f>Orders!F146</f>
        <v>8</v>
      </c>
      <c r="G146" s="35">
        <f>Orders!G146</f>
        <v>4060</v>
      </c>
      <c r="H146" s="37">
        <f>Orders!H146</f>
        <v>20.9</v>
      </c>
      <c r="I146" s="39">
        <f>Orders!I146</f>
        <v>25691.68</v>
      </c>
      <c r="J146" t="str">
        <f>Orders!J146</f>
        <v>Completed</v>
      </c>
      <c r="K146" t="str">
        <f>Orders!K146</f>
        <v>Pune</v>
      </c>
      <c r="L146" t="str">
        <f>IFERROR(VLOOKUP(D146,Products!$A$2:$F$61,3,FALSE),"")</f>
        <v>Grocery</v>
      </c>
      <c r="M146">
        <f>IFERROR(VLOOKUP(D146,Products!$A$2:$F$61,4,FALSE),"")</f>
        <v>2911</v>
      </c>
      <c r="N146" t="str">
        <f>IFERROR(VLOOKUP(E146,Sales_Reps!$A$2:$E$31,3,FALSE),"")</f>
        <v>West</v>
      </c>
      <c r="O146" t="str">
        <f>IFERROR(VLOOKUP(C146,Customers!$A$2:$F$301,5,FALSE),"")</f>
        <v>SMB</v>
      </c>
      <c r="P146">
        <f>IFERROR(VLOOKUP(C146,Customers!$A$2:$F$301,3,FALSE),"")</f>
        <v>29</v>
      </c>
      <c r="Q146" s="41">
        <f t="shared" si="11"/>
        <v>0.28300492610837441</v>
      </c>
      <c r="R146" t="str">
        <f>IFERROR(VLOOKUP(C146,Customers!$A$2:$F$301,1,FALSE),"")</f>
        <v>CUST-0291</v>
      </c>
      <c r="S146" s="27" t="b">
        <f>IFERROR(VLOOKUP(D146,Products!$A$2:$F$61,6,FALSE),"")</f>
        <v>1</v>
      </c>
      <c r="BL146">
        <v>0</v>
      </c>
      <c r="BM146">
        <v>0</v>
      </c>
      <c r="BN146">
        <v>2.1276595744680851E-2</v>
      </c>
      <c r="BO146">
        <v>0</v>
      </c>
      <c r="BP146">
        <v>0</v>
      </c>
    </row>
    <row r="147" spans="1:68" x14ac:dyDescent="0.35">
      <c r="A147" s="26" t="str">
        <f>Orders!A147</f>
        <v>ORD-00146</v>
      </c>
      <c r="B147" s="33">
        <f>Orders!B147</f>
        <v>45449</v>
      </c>
      <c r="C147" t="str">
        <f>Orders!C147</f>
        <v>CUST-9657</v>
      </c>
      <c r="D147" t="str">
        <f>Orders!D147</f>
        <v>PROD-020</v>
      </c>
      <c r="E147" t="str">
        <f>Orders!E147</f>
        <v>R018</v>
      </c>
      <c r="F147">
        <f>Orders!F147</f>
        <v>5</v>
      </c>
      <c r="G147" s="35">
        <f>Orders!G147</f>
        <v>820</v>
      </c>
      <c r="H147" s="37">
        <f>Orders!H147</f>
        <v>9.1</v>
      </c>
      <c r="I147" s="39">
        <f>Orders!I147</f>
        <v>3726.9</v>
      </c>
      <c r="J147" t="str">
        <f>Orders!J147</f>
        <v>Refunded</v>
      </c>
      <c r="K147" t="str">
        <f>Orders!K147</f>
        <v>Pune</v>
      </c>
      <c r="L147" t="str">
        <f>IFERROR(VLOOKUP(D147,Products!$A$2:$F$61,3,FALSE),"")</f>
        <v>Apparel</v>
      </c>
      <c r="M147">
        <f>IFERROR(VLOOKUP(D147,Products!$A$2:$F$61,4,FALSE),"")</f>
        <v>391</v>
      </c>
      <c r="N147" t="str">
        <f>IFERROR(VLOOKUP(E147,Sales_Reps!$A$2:$E$31,3,FALSE),"")</f>
        <v>East</v>
      </c>
      <c r="O147" t="str">
        <f>IFERROR(VLOOKUP(C147,Customers!$A$2:$F$301,5,FALSE),"")</f>
        <v/>
      </c>
      <c r="P147" t="str">
        <f>IFERROR(VLOOKUP(C147,Customers!$A$2:$F$301,3,FALSE),"")</f>
        <v/>
      </c>
      <c r="Q147" s="41">
        <f t="shared" si="11"/>
        <v>0.52317073170731709</v>
      </c>
      <c r="R147" t="str">
        <f>IFERROR(VLOOKUP(C147,Customers!$A$2:$F$301,1,FALSE),"")</f>
        <v/>
      </c>
      <c r="S147" s="27" t="b">
        <f>IFERROR(VLOOKUP(D147,Products!$A$2:$F$61,6,FALSE),"")</f>
        <v>1</v>
      </c>
      <c r="BL147">
        <v>0</v>
      </c>
      <c r="BM147">
        <v>1</v>
      </c>
      <c r="BN147">
        <v>1.9607843137254902E-2</v>
      </c>
      <c r="BO147">
        <v>1</v>
      </c>
      <c r="BP147">
        <v>0</v>
      </c>
    </row>
    <row r="148" spans="1:68" x14ac:dyDescent="0.35">
      <c r="A148" s="26" t="str">
        <f>Orders!A148</f>
        <v>ORD-00147</v>
      </c>
      <c r="B148" s="33">
        <f>Orders!B148</f>
        <v>45555</v>
      </c>
      <c r="C148" t="str">
        <f>Orders!C148</f>
        <v>CUST-0080</v>
      </c>
      <c r="D148" t="str">
        <f>Orders!D148</f>
        <v>PROD-032</v>
      </c>
      <c r="E148" t="str">
        <f>Orders!E148</f>
        <v>R007</v>
      </c>
      <c r="F148">
        <f>Orders!F148</f>
        <v>5</v>
      </c>
      <c r="G148" s="35">
        <f>Orders!G148</f>
        <v>370</v>
      </c>
      <c r="H148" s="37">
        <f>Orders!H148</f>
        <v>11.5</v>
      </c>
      <c r="I148" s="39">
        <f>Orders!I148</f>
        <v>1637.25</v>
      </c>
      <c r="J148" t="str">
        <f>Orders!J148</f>
        <v>Completed</v>
      </c>
      <c r="K148" t="str">
        <f>Orders!K148</f>
        <v>Pune</v>
      </c>
      <c r="L148" t="str">
        <f>IFERROR(VLOOKUP(D148,Products!$A$2:$F$61,3,FALSE),"")</f>
        <v>Home</v>
      </c>
      <c r="M148">
        <f>IFERROR(VLOOKUP(D148,Products!$A$2:$F$61,4,FALSE),"")</f>
        <v>288</v>
      </c>
      <c r="N148" t="str">
        <f>IFERROR(VLOOKUP(E148,Sales_Reps!$A$2:$E$31,3,FALSE),"")</f>
        <v>North</v>
      </c>
      <c r="O148" t="str">
        <f>IFERROR(VLOOKUP(C148,Customers!$A$2:$F$301,5,FALSE),"")</f>
        <v>SMB</v>
      </c>
      <c r="P148">
        <f>IFERROR(VLOOKUP(C148,Customers!$A$2:$F$301,3,FALSE),"")</f>
        <v>30</v>
      </c>
      <c r="Q148" s="41">
        <f t="shared" si="11"/>
        <v>0.22162162162162163</v>
      </c>
      <c r="R148" t="str">
        <f>IFERROR(VLOOKUP(C148,Customers!$A$2:$F$301,1,FALSE),"")</f>
        <v>CUST-0080</v>
      </c>
      <c r="S148" s="27" t="b">
        <f>IFERROR(VLOOKUP(D148,Products!$A$2:$F$61,6,FALSE),"")</f>
        <v>1</v>
      </c>
      <c r="BL148">
        <v>0</v>
      </c>
      <c r="BM148">
        <v>0</v>
      </c>
      <c r="BN148">
        <v>1.8867924528301886E-2</v>
      </c>
      <c r="BO148">
        <v>0</v>
      </c>
      <c r="BP148">
        <v>0</v>
      </c>
    </row>
    <row r="149" spans="1:68" x14ac:dyDescent="0.35">
      <c r="A149" s="26" t="str">
        <f>Orders!A149</f>
        <v>ORD-00148</v>
      </c>
      <c r="B149" s="33">
        <f>Orders!B149</f>
        <v>45341</v>
      </c>
      <c r="C149" t="str">
        <f>Orders!C149</f>
        <v>CUST-0172</v>
      </c>
      <c r="D149" t="str">
        <f>Orders!D149</f>
        <v>PROD-034</v>
      </c>
      <c r="E149" t="str">
        <f>Orders!E149</f>
        <v>R002</v>
      </c>
      <c r="F149">
        <f>Orders!F149</f>
        <v>9</v>
      </c>
      <c r="G149" s="35">
        <f>Orders!G149</f>
        <v>5080</v>
      </c>
      <c r="H149" s="37">
        <f>Orders!H149</f>
        <v>27.5</v>
      </c>
      <c r="I149" s="39">
        <f>Orders!I149</f>
        <v>33147</v>
      </c>
      <c r="J149" t="str">
        <f>Orders!J149</f>
        <v>Completed</v>
      </c>
      <c r="K149" t="str">
        <f>Orders!K149</f>
        <v>Pune</v>
      </c>
      <c r="L149" t="str">
        <f>IFERROR(VLOOKUP(D149,Products!$A$2:$F$61,3,FALSE),"")</f>
        <v>Home</v>
      </c>
      <c r="M149">
        <f>IFERROR(VLOOKUP(D149,Products!$A$2:$F$61,4,FALSE),"")</f>
        <v>2459</v>
      </c>
      <c r="N149" t="str">
        <f>IFERROR(VLOOKUP(E149,Sales_Reps!$A$2:$E$31,3,FALSE),"")</f>
        <v>North</v>
      </c>
      <c r="O149" t="str">
        <f>IFERROR(VLOOKUP(C149,Customers!$A$2:$F$301,5,FALSE),"")</f>
        <v>Retail</v>
      </c>
      <c r="P149">
        <f>IFERROR(VLOOKUP(C149,Customers!$A$2:$F$301,3,FALSE),"")</f>
        <v>65</v>
      </c>
      <c r="Q149" s="41">
        <f t="shared" si="11"/>
        <v>0.51594488188976373</v>
      </c>
      <c r="R149" t="str">
        <f>IFERROR(VLOOKUP(C149,Customers!$A$2:$F$301,1,FALSE),"")</f>
        <v>CUST-0172</v>
      </c>
      <c r="S149" s="27" t="b">
        <f>IFERROR(VLOOKUP(D149,Products!$A$2:$F$61,6,FALSE),"")</f>
        <v>1</v>
      </c>
      <c r="BL149">
        <v>0</v>
      </c>
      <c r="BM149">
        <v>0</v>
      </c>
      <c r="BN149">
        <v>1.8867924528301886E-2</v>
      </c>
      <c r="BO149">
        <v>0</v>
      </c>
      <c r="BP149">
        <v>0</v>
      </c>
    </row>
    <row r="150" spans="1:68" x14ac:dyDescent="0.35">
      <c r="A150" s="26" t="str">
        <f>Orders!A150</f>
        <v>ORD-00149</v>
      </c>
      <c r="B150" s="33">
        <f>Orders!B150</f>
        <v>45422</v>
      </c>
      <c r="C150" t="str">
        <f>Orders!C150</f>
        <v>CUST-0051</v>
      </c>
      <c r="D150" t="str">
        <f>Orders!D150</f>
        <v>PROD-026</v>
      </c>
      <c r="E150" t="str">
        <f>Orders!E150</f>
        <v>R012</v>
      </c>
      <c r="F150">
        <f>Orders!F150</f>
        <v>6</v>
      </c>
      <c r="G150" s="35">
        <f>Orders!G150</f>
        <v>4070</v>
      </c>
      <c r="H150" s="37">
        <f>Orders!H150</f>
        <v>12.5</v>
      </c>
      <c r="I150" s="39">
        <f>Orders!I150</f>
        <v>21367.5</v>
      </c>
      <c r="J150" t="str">
        <f>Orders!J150</f>
        <v>Completed</v>
      </c>
      <c r="K150" t="str">
        <f>Orders!K150</f>
        <v>Pune</v>
      </c>
      <c r="L150" t="str">
        <f>IFERROR(VLOOKUP(D150,Products!$A$2:$F$61,3,FALSE),"")</f>
        <v>Grocery</v>
      </c>
      <c r="M150">
        <f>IFERROR(VLOOKUP(D150,Products!$A$2:$F$61,4,FALSE),"")</f>
        <v>2027</v>
      </c>
      <c r="N150" t="str">
        <f>IFERROR(VLOOKUP(E150,Sales_Reps!$A$2:$E$31,3,FALSE),"")</f>
        <v>South</v>
      </c>
      <c r="O150" t="str">
        <f>IFERROR(VLOOKUP(C150,Customers!$A$2:$F$301,5,FALSE),"")</f>
        <v>SMB</v>
      </c>
      <c r="P150">
        <f>IFERROR(VLOOKUP(C150,Customers!$A$2:$F$301,3,FALSE),"")</f>
        <v>54</v>
      </c>
      <c r="Q150" s="41">
        <f t="shared" si="11"/>
        <v>0.50196560196560192</v>
      </c>
      <c r="R150" t="str">
        <f>IFERROR(VLOOKUP(C150,Customers!$A$2:$F$301,1,FALSE),"")</f>
        <v>CUST-0051</v>
      </c>
      <c r="S150" s="27" t="b">
        <f>IFERROR(VLOOKUP(D150,Products!$A$2:$F$61,6,FALSE),"")</f>
        <v>1</v>
      </c>
      <c r="BL150">
        <v>0</v>
      </c>
      <c r="BM150">
        <v>0</v>
      </c>
      <c r="BN150">
        <v>1.9607843137254902E-2</v>
      </c>
      <c r="BO150">
        <v>0</v>
      </c>
      <c r="BP150">
        <v>0</v>
      </c>
    </row>
    <row r="151" spans="1:68" x14ac:dyDescent="0.35">
      <c r="A151" s="26" t="str">
        <f>Orders!A151</f>
        <v>ORD-00150</v>
      </c>
      <c r="B151" s="33">
        <f>Orders!B151</f>
        <v>45346</v>
      </c>
      <c r="C151" t="str">
        <f>Orders!C151</f>
        <v>CUST-0080</v>
      </c>
      <c r="D151" t="str">
        <f>Orders!D151</f>
        <v>PROD-005</v>
      </c>
      <c r="E151" t="str">
        <f>Orders!E151</f>
        <v>R024</v>
      </c>
      <c r="F151">
        <f>Orders!F151</f>
        <v>5</v>
      </c>
      <c r="G151" s="35">
        <f>Orders!G151</f>
        <v>300</v>
      </c>
      <c r="H151" s="37">
        <f>Orders!H151</f>
        <v>25.8</v>
      </c>
      <c r="I151" s="39">
        <f>Orders!I151</f>
        <v>1113</v>
      </c>
      <c r="J151" t="str">
        <f>Orders!J151</f>
        <v>Completed</v>
      </c>
      <c r="K151" t="str">
        <f>Orders!K151</f>
        <v>Pune</v>
      </c>
      <c r="L151" t="str">
        <f>IFERROR(VLOOKUP(D151,Products!$A$2:$F$61,3,FALSE),"")</f>
        <v>Electronics</v>
      </c>
      <c r="M151">
        <f>IFERROR(VLOOKUP(D151,Products!$A$2:$F$61,4,FALSE),"")</f>
        <v>128</v>
      </c>
      <c r="N151" t="str">
        <f>IFERROR(VLOOKUP(E151,Sales_Reps!$A$2:$E$31,3,FALSE),"")</f>
        <v>West</v>
      </c>
      <c r="O151" t="str">
        <f>IFERROR(VLOOKUP(C151,Customers!$A$2:$F$301,5,FALSE),"")</f>
        <v>SMB</v>
      </c>
      <c r="P151">
        <f>IFERROR(VLOOKUP(C151,Customers!$A$2:$F$301,3,FALSE),"")</f>
        <v>30</v>
      </c>
      <c r="Q151" s="41">
        <f t="shared" si="11"/>
        <v>0.57333333333333336</v>
      </c>
      <c r="R151" t="str">
        <f>IFERROR(VLOOKUP(C151,Customers!$A$2:$F$301,1,FALSE),"")</f>
        <v>CUST-0080</v>
      </c>
      <c r="S151" s="27" t="b">
        <f>IFERROR(VLOOKUP(D151,Products!$A$2:$F$61,6,FALSE),"")</f>
        <v>1</v>
      </c>
      <c r="BL151">
        <v>0</v>
      </c>
      <c r="BM151">
        <v>0</v>
      </c>
      <c r="BN151">
        <v>1.8867924528301886E-2</v>
      </c>
      <c r="BO151">
        <v>0</v>
      </c>
      <c r="BP151">
        <v>0</v>
      </c>
    </row>
    <row r="152" spans="1:68" x14ac:dyDescent="0.35">
      <c r="A152" s="26" t="str">
        <f>Orders!A152</f>
        <v>ORD-00151</v>
      </c>
      <c r="B152" s="33">
        <f>Orders!B152</f>
        <v>45318</v>
      </c>
      <c r="C152" t="str">
        <f>Orders!C152</f>
        <v>CUST-0137</v>
      </c>
      <c r="D152" t="str">
        <f>Orders!D152</f>
        <v>PROD-048</v>
      </c>
      <c r="E152" t="str">
        <f>Orders!E152</f>
        <v>R011</v>
      </c>
      <c r="F152">
        <f>Orders!F152</f>
        <v>7</v>
      </c>
      <c r="G152" s="35">
        <f>Orders!G152</f>
        <v>5100</v>
      </c>
      <c r="H152" s="37">
        <f>Orders!H152</f>
        <v>28.8</v>
      </c>
      <c r="I152" s="39">
        <f>Orders!I152</f>
        <v>25418.400000000001</v>
      </c>
      <c r="J152" t="str">
        <f>Orders!J152</f>
        <v>Completed</v>
      </c>
      <c r="K152" t="str">
        <f>Orders!K152</f>
        <v>MUMBAI</v>
      </c>
      <c r="L152" t="str">
        <f>IFERROR(VLOOKUP(D152,Products!$A$2:$F$61,3,FALSE),"")</f>
        <v>Beauty</v>
      </c>
      <c r="M152">
        <f>IFERROR(VLOOKUP(D152,Products!$A$2:$F$61,4,FALSE),"")</f>
        <v>2237</v>
      </c>
      <c r="N152" t="str">
        <f>IFERROR(VLOOKUP(E152,Sales_Reps!$A$2:$E$31,3,FALSE),"")</f>
        <v>South</v>
      </c>
      <c r="O152" t="str">
        <f>IFERROR(VLOOKUP(C152,Customers!$A$2:$F$301,5,FALSE),"")</f>
        <v>Retail</v>
      </c>
      <c r="P152">
        <f>IFERROR(VLOOKUP(C152,Customers!$A$2:$F$301,3,FALSE),"")</f>
        <v>41</v>
      </c>
      <c r="Q152" s="41">
        <f t="shared" si="11"/>
        <v>0.56137254901960787</v>
      </c>
      <c r="R152" t="str">
        <f>IFERROR(VLOOKUP(C152,Customers!$A$2:$F$301,1,FALSE),"")</f>
        <v>CUST-0137</v>
      </c>
      <c r="S152" s="27" t="b">
        <f>IFERROR(VLOOKUP(D152,Products!$A$2:$F$61,6,FALSE),"")</f>
        <v>1</v>
      </c>
      <c r="BL152">
        <v>0</v>
      </c>
      <c r="BM152">
        <v>0</v>
      </c>
      <c r="BN152">
        <v>1.8518518518518517E-2</v>
      </c>
      <c r="BO152">
        <v>0</v>
      </c>
      <c r="BP152">
        <v>0</v>
      </c>
    </row>
    <row r="153" spans="1:68" x14ac:dyDescent="0.35">
      <c r="A153" s="26" t="str">
        <f>Orders!A153</f>
        <v>ORD-00152</v>
      </c>
      <c r="B153" s="33">
        <f>Orders!B153</f>
        <v>45521</v>
      </c>
      <c r="C153" t="str">
        <f>Orders!C153</f>
        <v>CUST-0222</v>
      </c>
      <c r="D153" t="str">
        <f>Orders!D153</f>
        <v>PROD-038</v>
      </c>
      <c r="E153" t="str">
        <f>Orders!E153</f>
        <v>R012</v>
      </c>
      <c r="F153">
        <f>Orders!F153</f>
        <v>2</v>
      </c>
      <c r="G153" s="35">
        <f>Orders!G153</f>
        <v>5490</v>
      </c>
      <c r="H153" s="37">
        <f>Orders!H153</f>
        <v>5.5</v>
      </c>
      <c r="I153" s="39">
        <f>Orders!I153</f>
        <v>10376.1</v>
      </c>
      <c r="J153" t="str">
        <f>Orders!J153</f>
        <v>Completed</v>
      </c>
      <c r="K153" t="str">
        <f>Orders!K153</f>
        <v>Chennai</v>
      </c>
      <c r="L153" t="str">
        <f>IFERROR(VLOOKUP(D153,Products!$A$2:$F$61,3,FALSE),"")</f>
        <v>Home</v>
      </c>
      <c r="M153">
        <f>IFERROR(VLOOKUP(D153,Products!$A$2:$F$61,4,FALSE),"")</f>
        <v>2549</v>
      </c>
      <c r="N153" t="str">
        <f>IFERROR(VLOOKUP(E153,Sales_Reps!$A$2:$E$31,3,FALSE),"")</f>
        <v>South</v>
      </c>
      <c r="O153" t="str">
        <f>IFERROR(VLOOKUP(C153,Customers!$A$2:$F$301,5,FALSE),"")</f>
        <v>Retail</v>
      </c>
      <c r="P153">
        <f>IFERROR(VLOOKUP(C153,Customers!$A$2:$F$301,3,FALSE),"")</f>
        <v>37</v>
      </c>
      <c r="Q153" s="41">
        <f t="shared" si="11"/>
        <v>0.53570127504553733</v>
      </c>
      <c r="R153" t="str">
        <f>IFERROR(VLOOKUP(C153,Customers!$A$2:$F$301,1,FALSE),"")</f>
        <v>CUST-0222</v>
      </c>
      <c r="S153" s="27" t="b">
        <f>IFERROR(VLOOKUP(D153,Products!$A$2:$F$61,6,FALSE),"")</f>
        <v>1</v>
      </c>
      <c r="BL153">
        <v>0</v>
      </c>
      <c r="BM153">
        <v>0</v>
      </c>
      <c r="BN153">
        <v>2.1276595744680851E-2</v>
      </c>
      <c r="BO153">
        <v>0</v>
      </c>
      <c r="BP153">
        <v>0</v>
      </c>
    </row>
    <row r="154" spans="1:68" x14ac:dyDescent="0.35">
      <c r="A154" s="26" t="str">
        <f>Orders!A154</f>
        <v>ORD-00153</v>
      </c>
      <c r="B154" s="33">
        <f>Orders!B154</f>
        <v>45595</v>
      </c>
      <c r="C154" t="str">
        <f>Orders!C154</f>
        <v>CUST-0117</v>
      </c>
      <c r="D154" t="str">
        <f>Orders!D154</f>
        <v>PROD-011</v>
      </c>
      <c r="E154" t="str">
        <f>Orders!E154</f>
        <v>R015</v>
      </c>
      <c r="F154">
        <f>Orders!F154</f>
        <v>2</v>
      </c>
      <c r="G154" s="35">
        <f>Orders!G154</f>
        <v>3450</v>
      </c>
      <c r="H154" s="37">
        <f>Orders!H154</f>
        <v>1.2</v>
      </c>
      <c r="I154" s="39">
        <f>Orders!I154</f>
        <v>6817.2</v>
      </c>
      <c r="J154" t="str">
        <f>Orders!J154</f>
        <v>Completed</v>
      </c>
      <c r="K154" t="str">
        <f>Orders!K154</f>
        <v>Delhi</v>
      </c>
      <c r="L154" t="str">
        <f>IFERROR(VLOOKUP(D154,Products!$A$2:$F$61,3,FALSE),"")</f>
        <v>Apparel</v>
      </c>
      <c r="M154">
        <f>IFERROR(VLOOKUP(D154,Products!$A$2:$F$61,4,FALSE),"")</f>
        <v>1748</v>
      </c>
      <c r="N154" t="str">
        <f>IFERROR(VLOOKUP(E154,Sales_Reps!$A$2:$E$31,3,FALSE),"")</f>
        <v>South</v>
      </c>
      <c r="O154" t="str">
        <f>IFERROR(VLOOKUP(C154,Customers!$A$2:$F$301,5,FALSE),"")</f>
        <v>SMB</v>
      </c>
      <c r="P154">
        <f>IFERROR(VLOOKUP(C154,Customers!$A$2:$F$301,3,FALSE),"")</f>
        <v>34</v>
      </c>
      <c r="Q154" s="41">
        <f t="shared" si="11"/>
        <v>0.49333333333333335</v>
      </c>
      <c r="R154" t="str">
        <f>IFERROR(VLOOKUP(C154,Customers!$A$2:$F$301,1,FALSE),"")</f>
        <v>CUST-0117</v>
      </c>
      <c r="S154" s="27" t="b">
        <f>IFERROR(VLOOKUP(D154,Products!$A$2:$F$61,6,FALSE),"")</f>
        <v>1</v>
      </c>
      <c r="BL154">
        <v>0</v>
      </c>
      <c r="BM154">
        <v>0</v>
      </c>
      <c r="BN154">
        <v>1.8518518518518517E-2</v>
      </c>
      <c r="BO154">
        <v>0</v>
      </c>
      <c r="BP154">
        <v>0</v>
      </c>
    </row>
    <row r="155" spans="1:68" x14ac:dyDescent="0.35">
      <c r="A155" s="26" t="str">
        <f>Orders!A155</f>
        <v>ORD-00154</v>
      </c>
      <c r="B155" s="33">
        <f>Orders!B155</f>
        <v>45530</v>
      </c>
      <c r="C155" t="str">
        <f>Orders!C155</f>
        <v>CUST-0104</v>
      </c>
      <c r="D155" t="str">
        <f>Orders!D155</f>
        <v>PROD-029</v>
      </c>
      <c r="E155" t="str">
        <f>Orders!E155</f>
        <v>R002</v>
      </c>
      <c r="F155">
        <f>Orders!F155</f>
        <v>10</v>
      </c>
      <c r="G155" s="35">
        <f>Orders!G155</f>
        <v>2210</v>
      </c>
      <c r="H155" s="37">
        <f>Orders!H155</f>
        <v>18.8</v>
      </c>
      <c r="I155" s="39">
        <f>Orders!I155</f>
        <v>17945.2</v>
      </c>
      <c r="J155" t="str">
        <f>Orders!J155</f>
        <v>Completed</v>
      </c>
      <c r="K155" t="str">
        <f>Orders!K155</f>
        <v>Hyderabad</v>
      </c>
      <c r="L155" t="str">
        <f>IFERROR(VLOOKUP(D155,Products!$A$2:$F$61,3,FALSE),"")</f>
        <v>Grocery</v>
      </c>
      <c r="M155">
        <f>IFERROR(VLOOKUP(D155,Products!$A$2:$F$61,4,FALSE),"")</f>
        <v>1010</v>
      </c>
      <c r="N155" t="str">
        <f>IFERROR(VLOOKUP(E155,Sales_Reps!$A$2:$E$31,3,FALSE),"")</f>
        <v>North</v>
      </c>
      <c r="O155" t="str">
        <f>IFERROR(VLOOKUP(C155,Customers!$A$2:$F$301,5,FALSE),"")</f>
        <v>Corporate</v>
      </c>
      <c r="P155">
        <f>IFERROR(VLOOKUP(C155,Customers!$A$2:$F$301,3,FALSE),"")</f>
        <v>43</v>
      </c>
      <c r="Q155" s="41">
        <f t="shared" si="11"/>
        <v>0.54298642533936647</v>
      </c>
      <c r="R155" t="str">
        <f>IFERROR(VLOOKUP(C155,Customers!$A$2:$F$301,1,FALSE),"")</f>
        <v>CUST-0104</v>
      </c>
      <c r="S155" s="27" t="b">
        <f>IFERROR(VLOOKUP(D155,Products!$A$2:$F$61,6,FALSE),"")</f>
        <v>1</v>
      </c>
      <c r="BL155">
        <v>0</v>
      </c>
      <c r="BM155">
        <v>0</v>
      </c>
      <c r="BN155">
        <v>1.8867924528301886E-2</v>
      </c>
      <c r="BO155">
        <v>0</v>
      </c>
      <c r="BP155">
        <v>0</v>
      </c>
    </row>
    <row r="156" spans="1:68" x14ac:dyDescent="0.35">
      <c r="A156" s="26" t="str">
        <f>Orders!A156</f>
        <v>ORD-00155</v>
      </c>
      <c r="B156" s="33">
        <f>Orders!B156</f>
        <v>45644</v>
      </c>
      <c r="C156" t="str">
        <f>Orders!C156</f>
        <v>CUST-0082</v>
      </c>
      <c r="D156" t="str">
        <f>Orders!D156</f>
        <v>PROD-036</v>
      </c>
      <c r="E156" t="str">
        <f>Orders!E156</f>
        <v>R013</v>
      </c>
      <c r="F156">
        <f>Orders!F156</f>
        <v>2</v>
      </c>
      <c r="G156" s="35">
        <f>Orders!G156</f>
        <v>3250</v>
      </c>
      <c r="H156" s="37">
        <f>Orders!H156</f>
        <v>26.2</v>
      </c>
      <c r="I156" s="39">
        <f>Orders!I156</f>
        <v>4797</v>
      </c>
      <c r="J156" t="str">
        <f>Orders!J156</f>
        <v>Completed</v>
      </c>
      <c r="K156" t="str">
        <f>Orders!K156</f>
        <v>Hyderabad</v>
      </c>
      <c r="L156" t="str">
        <f>IFERROR(VLOOKUP(D156,Products!$A$2:$F$61,3,FALSE),"")</f>
        <v>Home</v>
      </c>
      <c r="M156">
        <f>IFERROR(VLOOKUP(D156,Products!$A$2:$F$61,4,FALSE),"")</f>
        <v>1556</v>
      </c>
      <c r="N156" t="str">
        <f>IFERROR(VLOOKUP(E156,Sales_Reps!$A$2:$E$31,3,FALSE),"")</f>
        <v>South</v>
      </c>
      <c r="O156" t="str">
        <f>IFERROR(VLOOKUP(C156,Customers!$A$2:$F$301,5,FALSE),"")</f>
        <v>SMB</v>
      </c>
      <c r="P156">
        <f>IFERROR(VLOOKUP(C156,Customers!$A$2:$F$301,3,FALSE),"")</f>
        <v>36</v>
      </c>
      <c r="Q156" s="41">
        <f t="shared" si="11"/>
        <v>0.52123076923076928</v>
      </c>
      <c r="R156" t="str">
        <f>IFERROR(VLOOKUP(C156,Customers!$A$2:$F$301,1,FALSE),"")</f>
        <v>CUST-0082</v>
      </c>
      <c r="S156" s="27" t="b">
        <f>IFERROR(VLOOKUP(D156,Products!$A$2:$F$61,6,FALSE),"")</f>
        <v>1</v>
      </c>
      <c r="BL156">
        <v>0</v>
      </c>
      <c r="BM156">
        <v>0</v>
      </c>
      <c r="BN156">
        <v>1.8867924528301886E-2</v>
      </c>
      <c r="BO156">
        <v>0</v>
      </c>
      <c r="BP156">
        <v>0</v>
      </c>
    </row>
    <row r="157" spans="1:68" x14ac:dyDescent="0.35">
      <c r="A157" s="26" t="str">
        <f>Orders!A157</f>
        <v>ORD-00156</v>
      </c>
      <c r="B157" s="33">
        <f>Orders!B157</f>
        <v>45298</v>
      </c>
      <c r="C157" t="str">
        <f>Orders!C157</f>
        <v>CUST-0165</v>
      </c>
      <c r="D157" t="str">
        <f>Orders!D157</f>
        <v>PROD-012</v>
      </c>
      <c r="E157" t="str">
        <f>Orders!E157</f>
        <v>R001</v>
      </c>
      <c r="F157">
        <f>Orders!F157</f>
        <v>5</v>
      </c>
      <c r="G157" s="35">
        <f>Orders!G157</f>
        <v>3160</v>
      </c>
      <c r="H157" s="37">
        <f>Orders!H157</f>
        <v>0.9</v>
      </c>
      <c r="I157" s="39">
        <f>Orders!I157</f>
        <v>15657.8</v>
      </c>
      <c r="J157" t="str">
        <f>Orders!J157</f>
        <v>Completed</v>
      </c>
      <c r="K157" t="str">
        <f>Orders!K157</f>
        <v>Pune</v>
      </c>
      <c r="L157" t="str">
        <f>IFERROR(VLOOKUP(D157,Products!$A$2:$F$61,3,FALSE),"")</f>
        <v>Apparel</v>
      </c>
      <c r="M157">
        <f>IFERROR(VLOOKUP(D157,Products!$A$2:$F$61,4,FALSE),"")</f>
        <v>1886</v>
      </c>
      <c r="N157" t="str">
        <f>IFERROR(VLOOKUP(E157,Sales_Reps!$A$2:$E$31,3,FALSE),"")</f>
        <v>North</v>
      </c>
      <c r="O157" t="str">
        <f>IFERROR(VLOOKUP(C157,Customers!$A$2:$F$301,5,FALSE),"")</f>
        <v>Retail</v>
      </c>
      <c r="P157">
        <f>IFERROR(VLOOKUP(C157,Customers!$A$2:$F$301,3,FALSE),"")</f>
        <v>29</v>
      </c>
      <c r="Q157" s="41">
        <f t="shared" si="11"/>
        <v>0.4031645569620253</v>
      </c>
      <c r="R157" t="str">
        <f>IFERROR(VLOOKUP(C157,Customers!$A$2:$F$301,1,FALSE),"")</f>
        <v>CUST-0165</v>
      </c>
      <c r="S157" s="27" t="b">
        <f>IFERROR(VLOOKUP(D157,Products!$A$2:$F$61,6,FALSE),"")</f>
        <v>1</v>
      </c>
      <c r="BL157">
        <v>0</v>
      </c>
      <c r="BM157">
        <v>0</v>
      </c>
      <c r="BN157">
        <v>1.8518518518518517E-2</v>
      </c>
      <c r="BO157">
        <v>0</v>
      </c>
      <c r="BP157">
        <v>0</v>
      </c>
    </row>
    <row r="158" spans="1:68" x14ac:dyDescent="0.35">
      <c r="A158" s="26" t="str">
        <f>Orders!A158</f>
        <v>ORD-00157</v>
      </c>
      <c r="B158" s="33">
        <f>Orders!B158</f>
        <v>45447</v>
      </c>
      <c r="C158" t="str">
        <f>Orders!C158</f>
        <v>CUST-0150</v>
      </c>
      <c r="D158" t="str">
        <f>Orders!D158</f>
        <v>PROD-004</v>
      </c>
      <c r="E158" t="str">
        <f>Orders!E158</f>
        <v>R030</v>
      </c>
      <c r="F158">
        <f>Orders!F158</f>
        <v>4</v>
      </c>
      <c r="G158" s="35">
        <f>Orders!G158</f>
        <v>3870</v>
      </c>
      <c r="H158" s="37">
        <f>Orders!H158</f>
        <v>29.6</v>
      </c>
      <c r="I158" s="39">
        <f>Orders!I158</f>
        <v>10897.92</v>
      </c>
      <c r="J158" t="str">
        <f>Orders!J158</f>
        <v>Cancelled</v>
      </c>
      <c r="K158" t="str">
        <f>Orders!K158</f>
        <v>Pune</v>
      </c>
      <c r="L158" t="str">
        <f>IFERROR(VLOOKUP(D158,Products!$A$2:$F$61,3,FALSE),"")</f>
        <v>Electronics</v>
      </c>
      <c r="M158">
        <f>IFERROR(VLOOKUP(D158,Products!$A$2:$F$61,4,FALSE),"")</f>
        <v>1559</v>
      </c>
      <c r="N158" t="str">
        <f>IFERROR(VLOOKUP(E158,Sales_Reps!$A$2:$E$31,3,FALSE),"")</f>
        <v>West</v>
      </c>
      <c r="O158" t="str">
        <f>IFERROR(VLOOKUP(C158,Customers!$A$2:$F$301,5,FALSE),"")</f>
        <v>SMB</v>
      </c>
      <c r="P158">
        <f>IFERROR(VLOOKUP(C158,Customers!$A$2:$F$301,3,FALSE),"")</f>
        <v>53</v>
      </c>
      <c r="Q158" s="41">
        <f t="shared" si="11"/>
        <v>0.59715762273901807</v>
      </c>
      <c r="R158" t="str">
        <f>IFERROR(VLOOKUP(C158,Customers!$A$2:$F$301,1,FALSE),"")</f>
        <v>CUST-0150</v>
      </c>
      <c r="S158" s="27" t="b">
        <f>IFERROR(VLOOKUP(D158,Products!$A$2:$F$61,6,FALSE),"")</f>
        <v>1</v>
      </c>
      <c r="BL158">
        <v>0</v>
      </c>
      <c r="BM158">
        <v>1</v>
      </c>
      <c r="BN158">
        <v>1.8867924528301886E-2</v>
      </c>
      <c r="BO158">
        <v>0</v>
      </c>
      <c r="BP158">
        <v>0</v>
      </c>
    </row>
    <row r="159" spans="1:68" x14ac:dyDescent="0.35">
      <c r="A159" s="26" t="str">
        <f>Orders!A159</f>
        <v>ORD-00158</v>
      </c>
      <c r="B159" s="33">
        <f>Orders!B159</f>
        <v>45601</v>
      </c>
      <c r="C159" t="str">
        <f>Orders!C159</f>
        <v>CUST-0228</v>
      </c>
      <c r="D159" t="str">
        <f>Orders!D159</f>
        <v>PROD-059</v>
      </c>
      <c r="E159" t="str">
        <f>Orders!E159</f>
        <v>R022</v>
      </c>
      <c r="F159">
        <f>Orders!F159</f>
        <v>4</v>
      </c>
      <c r="G159" s="35">
        <f>Orders!G159</f>
        <v>3780</v>
      </c>
      <c r="H159" s="37">
        <f>Orders!H159</f>
        <v>3.5</v>
      </c>
      <c r="I159" s="39">
        <f>Orders!I159</f>
        <v>14590.8</v>
      </c>
      <c r="J159" t="str">
        <f>Orders!J159</f>
        <v>Cancelled</v>
      </c>
      <c r="K159" t="str">
        <f>Orders!K159</f>
        <v>Pune</v>
      </c>
      <c r="L159" t="str">
        <f>IFERROR(VLOOKUP(D159,Products!$A$2:$F$61,3,FALSE),"")</f>
        <v>Sports</v>
      </c>
      <c r="M159">
        <f>IFERROR(VLOOKUP(D159,Products!$A$2:$F$61,4,FALSE),"")</f>
        <v>1860</v>
      </c>
      <c r="N159" t="str">
        <f>IFERROR(VLOOKUP(E159,Sales_Reps!$A$2:$E$31,3,FALSE),"")</f>
        <v>East</v>
      </c>
      <c r="O159" t="str">
        <f>IFERROR(VLOOKUP(C159,Customers!$A$2:$F$301,5,FALSE),"")</f>
        <v>Corporate</v>
      </c>
      <c r="P159">
        <f>IFERROR(VLOOKUP(C159,Customers!$A$2:$F$301,3,FALSE),"")</f>
        <v>37</v>
      </c>
      <c r="Q159" s="41">
        <f t="shared" si="11"/>
        <v>0.50793650793650791</v>
      </c>
      <c r="R159" t="str">
        <f>IFERROR(VLOOKUP(C159,Customers!$A$2:$F$301,1,FALSE),"")</f>
        <v>CUST-0228</v>
      </c>
      <c r="S159" s="27" t="b">
        <f>IFERROR(VLOOKUP(D159,Products!$A$2:$F$61,6,FALSE),"")</f>
        <v>1</v>
      </c>
      <c r="BL159">
        <v>0</v>
      </c>
      <c r="BM159">
        <v>0</v>
      </c>
      <c r="BN159">
        <v>1.8867924528301886E-2</v>
      </c>
      <c r="BO159">
        <v>0</v>
      </c>
      <c r="BP159">
        <v>0</v>
      </c>
    </row>
    <row r="160" spans="1:68" x14ac:dyDescent="0.35">
      <c r="A160" s="26" t="str">
        <f>Orders!A160</f>
        <v>ORD-00159</v>
      </c>
      <c r="B160" s="33">
        <f>Orders!B160</f>
        <v>45428</v>
      </c>
      <c r="C160" t="str">
        <f>Orders!C160</f>
        <v>CUST-0197</v>
      </c>
      <c r="D160" t="str">
        <f>Orders!D160</f>
        <v>PROD-045</v>
      </c>
      <c r="E160" t="str">
        <f>Orders!E160</f>
        <v>R021</v>
      </c>
      <c r="F160">
        <f>Orders!F160</f>
        <v>4</v>
      </c>
      <c r="G160" s="35">
        <f>Orders!G160</f>
        <v>3020</v>
      </c>
      <c r="H160" s="37">
        <f>Orders!H160</f>
        <v>18.899999999999999</v>
      </c>
      <c r="I160" s="39">
        <f>Orders!I160</f>
        <v>9796.8799999999992</v>
      </c>
      <c r="J160" t="str">
        <f>Orders!J160</f>
        <v>Completed</v>
      </c>
      <c r="K160" t="str">
        <f>Orders!K160</f>
        <v>Bengaluru</v>
      </c>
      <c r="L160" t="str">
        <f>IFERROR(VLOOKUP(D160,Products!$A$2:$F$61,3,FALSE),"")</f>
        <v>Beauty</v>
      </c>
      <c r="M160">
        <f>IFERROR(VLOOKUP(D160,Products!$A$2:$F$61,4,FALSE),"")</f>
        <v>1626</v>
      </c>
      <c r="N160" t="str">
        <f>IFERROR(VLOOKUP(E160,Sales_Reps!$A$2:$E$31,3,FALSE),"")</f>
        <v>East</v>
      </c>
      <c r="O160" t="str">
        <f>IFERROR(VLOOKUP(C160,Customers!$A$2:$F$301,5,FALSE),"")</f>
        <v>Retail</v>
      </c>
      <c r="P160">
        <f>IFERROR(VLOOKUP(C160,Customers!$A$2:$F$301,3,FALSE),"")</f>
        <v>55</v>
      </c>
      <c r="Q160" s="41">
        <f t="shared" si="11"/>
        <v>0.46158940397350995</v>
      </c>
      <c r="R160" t="str">
        <f>IFERROR(VLOOKUP(C160,Customers!$A$2:$F$301,1,FALSE),"")</f>
        <v>CUST-0197</v>
      </c>
      <c r="S160" s="27" t="b">
        <f>IFERROR(VLOOKUP(D160,Products!$A$2:$F$61,6,FALSE),"")</f>
        <v>1</v>
      </c>
      <c r="BL160">
        <v>0</v>
      </c>
      <c r="BM160">
        <v>0</v>
      </c>
      <c r="BN160">
        <v>1.9607843137254902E-2</v>
      </c>
      <c r="BO160">
        <v>0</v>
      </c>
      <c r="BP160">
        <v>0</v>
      </c>
    </row>
    <row r="161" spans="1:68" x14ac:dyDescent="0.35">
      <c r="A161" s="26" t="str">
        <f>Orders!A161</f>
        <v>ORD-00160</v>
      </c>
      <c r="B161" s="33">
        <f>Orders!B161</f>
        <v>45409</v>
      </c>
      <c r="C161" t="str">
        <f>Orders!C161</f>
        <v>CUST-0009</v>
      </c>
      <c r="D161" t="str">
        <f>Orders!D161</f>
        <v>PROD-031</v>
      </c>
      <c r="E161" t="str">
        <f>Orders!E161</f>
        <v>R015</v>
      </c>
      <c r="F161">
        <f>Orders!F161</f>
        <v>1</v>
      </c>
      <c r="G161" s="35">
        <f>Orders!G161</f>
        <v>3730</v>
      </c>
      <c r="H161" s="37">
        <f>Orders!H161</f>
        <v>10.8</v>
      </c>
      <c r="I161" s="39">
        <f>Orders!I161</f>
        <v>3327.16</v>
      </c>
      <c r="J161" t="str">
        <f>Orders!J161</f>
        <v>Refunded</v>
      </c>
      <c r="K161" t="str">
        <f>Orders!K161</f>
        <v>Mumbai</v>
      </c>
      <c r="L161" t="str">
        <f>IFERROR(VLOOKUP(D161,Products!$A$2:$F$61,3,FALSE),"")</f>
        <v>Home</v>
      </c>
      <c r="M161">
        <f>IFERROR(VLOOKUP(D161,Products!$A$2:$F$61,4,FALSE),"")</f>
        <v>2135</v>
      </c>
      <c r="N161" t="str">
        <f>IFERROR(VLOOKUP(E161,Sales_Reps!$A$2:$E$31,3,FALSE),"")</f>
        <v>South</v>
      </c>
      <c r="O161" t="str">
        <f>IFERROR(VLOOKUP(C161,Customers!$A$2:$F$301,5,FALSE),"")</f>
        <v>Retail</v>
      </c>
      <c r="P161">
        <f>IFERROR(VLOOKUP(C161,Customers!$A$2:$F$301,3,FALSE),"")</f>
        <v>61</v>
      </c>
      <c r="Q161" s="41">
        <f t="shared" si="11"/>
        <v>0.42761394101876676</v>
      </c>
      <c r="R161" t="str">
        <f>IFERROR(VLOOKUP(C161,Customers!$A$2:$F$301,1,FALSE),"")</f>
        <v>CUST-0009</v>
      </c>
      <c r="S161" s="27" t="b">
        <f>IFERROR(VLOOKUP(D161,Products!$A$2:$F$61,6,FALSE),"")</f>
        <v>1</v>
      </c>
      <c r="BL161">
        <v>0</v>
      </c>
      <c r="BM161">
        <v>0</v>
      </c>
      <c r="BN161">
        <v>1.9607843137254902E-2</v>
      </c>
      <c r="BO161">
        <v>0</v>
      </c>
      <c r="BP161">
        <v>0</v>
      </c>
    </row>
    <row r="162" spans="1:68" x14ac:dyDescent="0.35">
      <c r="A162" s="26" t="str">
        <f>Orders!A162</f>
        <v>ORD-00161</v>
      </c>
      <c r="B162" s="33">
        <f>Orders!B162</f>
        <v>45394</v>
      </c>
      <c r="C162" t="str">
        <f>Orders!C162</f>
        <v>CUST-0139</v>
      </c>
      <c r="D162" t="str">
        <f>Orders!D162</f>
        <v>PROD-046</v>
      </c>
      <c r="E162" t="str">
        <f>Orders!E162</f>
        <v>R018</v>
      </c>
      <c r="F162">
        <f>Orders!F162</f>
        <v>8</v>
      </c>
      <c r="G162" s="35">
        <f>Orders!G162</f>
        <v>4880</v>
      </c>
      <c r="H162" s="37">
        <f>Orders!H162</f>
        <v>20.3</v>
      </c>
      <c r="I162" s="39">
        <f>Orders!I162</f>
        <v>31114.880000000001</v>
      </c>
      <c r="J162" t="str">
        <f>Orders!J162</f>
        <v>Completed</v>
      </c>
      <c r="K162" t="str">
        <f>Orders!K162</f>
        <v>Hyderabad</v>
      </c>
      <c r="L162" t="str">
        <f>IFERROR(VLOOKUP(D162,Products!$A$2:$F$61,3,FALSE),"")</f>
        <v>Beauty</v>
      </c>
      <c r="M162">
        <f>IFERROR(VLOOKUP(D162,Products!$A$2:$F$61,4,FALSE),"")</f>
        <v>2768</v>
      </c>
      <c r="N162" t="str">
        <f>IFERROR(VLOOKUP(E162,Sales_Reps!$A$2:$E$31,3,FALSE),"")</f>
        <v>East</v>
      </c>
      <c r="O162" t="str">
        <f>IFERROR(VLOOKUP(C162,Customers!$A$2:$F$301,5,FALSE),"")</f>
        <v>SMB</v>
      </c>
      <c r="P162">
        <f>IFERROR(VLOOKUP(C162,Customers!$A$2:$F$301,3,FALSE),"")</f>
        <v>65</v>
      </c>
      <c r="Q162" s="41">
        <f t="shared" si="11"/>
        <v>0.43278688524590164</v>
      </c>
      <c r="R162" t="str">
        <f>IFERROR(VLOOKUP(C162,Customers!$A$2:$F$301,1,FALSE),"")</f>
        <v>CUST-0139</v>
      </c>
      <c r="S162" s="27" t="b">
        <f>IFERROR(VLOOKUP(D162,Products!$A$2:$F$61,6,FALSE),"")</f>
        <v>1</v>
      </c>
      <c r="BL162">
        <v>0</v>
      </c>
      <c r="BM162">
        <v>0</v>
      </c>
      <c r="BN162">
        <v>1.8867924528301886E-2</v>
      </c>
      <c r="BO162">
        <v>0</v>
      </c>
      <c r="BP162">
        <v>0</v>
      </c>
    </row>
    <row r="163" spans="1:68" x14ac:dyDescent="0.35">
      <c r="A163" s="26" t="str">
        <f>Orders!A163</f>
        <v>ORD-00162</v>
      </c>
      <c r="B163" s="33">
        <f>Orders!B163</f>
        <v>45579</v>
      </c>
      <c r="C163" t="str">
        <f>Orders!C163</f>
        <v>CUST-0184</v>
      </c>
      <c r="D163" t="str">
        <f>Orders!D163</f>
        <v>PROD-030</v>
      </c>
      <c r="E163" t="str">
        <f>Orders!E163</f>
        <v>R026</v>
      </c>
      <c r="F163">
        <f>Orders!F163</f>
        <v>9</v>
      </c>
      <c r="G163" s="35">
        <f>Orders!G163</f>
        <v>970</v>
      </c>
      <c r="H163" s="37">
        <f>Orders!H163</f>
        <v>18.2</v>
      </c>
      <c r="I163" s="39">
        <f>Orders!I163</f>
        <v>7141.14</v>
      </c>
      <c r="J163" t="str">
        <f>Orders!J163</f>
        <v>Completed</v>
      </c>
      <c r="K163" t="str">
        <f>Orders!K163</f>
        <v>Pune</v>
      </c>
      <c r="L163" t="str">
        <f>IFERROR(VLOOKUP(D163,Products!$A$2:$F$61,3,FALSE),"")</f>
        <v>Grocery</v>
      </c>
      <c r="M163">
        <f>IFERROR(VLOOKUP(D163,Products!$A$2:$F$61,4,FALSE),"")</f>
        <v>434</v>
      </c>
      <c r="N163" t="str">
        <f>IFERROR(VLOOKUP(E163,Sales_Reps!$A$2:$E$31,3,FALSE),"")</f>
        <v>West</v>
      </c>
      <c r="O163" t="str">
        <f>IFERROR(VLOOKUP(C163,Customers!$A$2:$F$301,5,FALSE),"")</f>
        <v>Retail</v>
      </c>
      <c r="P163">
        <f>IFERROR(VLOOKUP(C163,Customers!$A$2:$F$301,3,FALSE),"")</f>
        <v>63</v>
      </c>
      <c r="Q163" s="41">
        <f t="shared" si="11"/>
        <v>0.5525773195876289</v>
      </c>
      <c r="R163" t="str">
        <f>IFERROR(VLOOKUP(C163,Customers!$A$2:$F$301,1,FALSE),"")</f>
        <v>CUST-0184</v>
      </c>
      <c r="S163" s="27" t="b">
        <f>IFERROR(VLOOKUP(D163,Products!$A$2:$F$61,6,FALSE),"")</f>
        <v>1</v>
      </c>
      <c r="BL163">
        <v>0</v>
      </c>
      <c r="BM163">
        <v>0</v>
      </c>
      <c r="BN163">
        <v>1.8518518518518517E-2</v>
      </c>
      <c r="BO163">
        <v>0</v>
      </c>
      <c r="BP163">
        <v>0</v>
      </c>
    </row>
    <row r="164" spans="1:68" x14ac:dyDescent="0.35">
      <c r="A164" s="26" t="str">
        <f>Orders!A164</f>
        <v>ORD-00163</v>
      </c>
      <c r="B164" s="33">
        <f>Orders!B164</f>
        <v>45442</v>
      </c>
      <c r="C164" t="str">
        <f>Orders!C164</f>
        <v>CUST-0119</v>
      </c>
      <c r="D164" t="str">
        <f>Orders!D164</f>
        <v>PROD-008</v>
      </c>
      <c r="E164" t="str">
        <f>Orders!E164</f>
        <v>R017</v>
      </c>
      <c r="F164">
        <f>Orders!F164</f>
        <v>8</v>
      </c>
      <c r="G164" s="35">
        <f>Orders!G164</f>
        <v>2660</v>
      </c>
      <c r="H164" s="37">
        <f>Orders!H164</f>
        <v>17.600000000000001</v>
      </c>
      <c r="I164" s="39">
        <f>Orders!I164</f>
        <v>17534.72</v>
      </c>
      <c r="J164" t="str">
        <f>Orders!J164</f>
        <v>Completed</v>
      </c>
      <c r="K164" t="str">
        <f>Orders!K164</f>
        <v>Bengaluru</v>
      </c>
      <c r="L164" t="str">
        <f>IFERROR(VLOOKUP(D164,Products!$A$2:$F$61,3,FALSE),"")</f>
        <v>Electronics</v>
      </c>
      <c r="M164">
        <f>IFERROR(VLOOKUP(D164,Products!$A$2:$F$61,4,FALSE),"")</f>
        <v>1259</v>
      </c>
      <c r="N164" t="str">
        <f>IFERROR(VLOOKUP(E164,Sales_Reps!$A$2:$E$31,3,FALSE),"")</f>
        <v>East</v>
      </c>
      <c r="O164" t="str">
        <f>IFERROR(VLOOKUP(C164,Customers!$A$2:$F$301,5,FALSE),"")</f>
        <v>SMB</v>
      </c>
      <c r="P164">
        <f>IFERROR(VLOOKUP(C164,Customers!$A$2:$F$301,3,FALSE),"")</f>
        <v>43</v>
      </c>
      <c r="Q164" s="41">
        <f t="shared" si="11"/>
        <v>0.52669172932330832</v>
      </c>
      <c r="R164" t="str">
        <f>IFERROR(VLOOKUP(C164,Customers!$A$2:$F$301,1,FALSE),"")</f>
        <v>CUST-0119</v>
      </c>
      <c r="S164" s="27" t="b">
        <f>IFERROR(VLOOKUP(D164,Products!$A$2:$F$61,6,FALSE),"")</f>
        <v>0</v>
      </c>
      <c r="BL164">
        <v>0</v>
      </c>
      <c r="BM164">
        <v>0</v>
      </c>
      <c r="BN164">
        <v>1.8867924528301886E-2</v>
      </c>
      <c r="BO164">
        <v>0</v>
      </c>
      <c r="BP164">
        <v>1</v>
      </c>
    </row>
    <row r="165" spans="1:68" x14ac:dyDescent="0.35">
      <c r="A165" s="26" t="str">
        <f>Orders!A165</f>
        <v>ORD-00164</v>
      </c>
      <c r="B165" s="33">
        <f>Orders!B165</f>
        <v>45414</v>
      </c>
      <c r="C165" t="str">
        <f>Orders!C165</f>
        <v>CUST-0280</v>
      </c>
      <c r="D165" t="str">
        <f>Orders!D165</f>
        <v>PROD-020</v>
      </c>
      <c r="E165" t="str">
        <f>Orders!E165</f>
        <v>R015</v>
      </c>
      <c r="F165">
        <f>Orders!F165</f>
        <v>2</v>
      </c>
      <c r="G165" s="35">
        <f>Orders!G165</f>
        <v>820</v>
      </c>
      <c r="H165" s="37">
        <f>Orders!H165</f>
        <v>18.100000000000001</v>
      </c>
      <c r="I165" s="39">
        <f>Orders!I165</f>
        <v>1343.16</v>
      </c>
      <c r="J165" t="str">
        <f>Orders!J165</f>
        <v>Cancelled</v>
      </c>
      <c r="K165" t="str">
        <f>Orders!K165</f>
        <v>Delhi</v>
      </c>
      <c r="L165" t="str">
        <f>IFERROR(VLOOKUP(D165,Products!$A$2:$F$61,3,FALSE),"")</f>
        <v>Apparel</v>
      </c>
      <c r="M165">
        <f>IFERROR(VLOOKUP(D165,Products!$A$2:$F$61,4,FALSE),"")</f>
        <v>391</v>
      </c>
      <c r="N165" t="str">
        <f>IFERROR(VLOOKUP(E165,Sales_Reps!$A$2:$E$31,3,FALSE),"")</f>
        <v>South</v>
      </c>
      <c r="O165" t="str">
        <f>IFERROR(VLOOKUP(C165,Customers!$A$2:$F$301,5,FALSE),"")</f>
        <v>SMB</v>
      </c>
      <c r="P165">
        <f>IFERROR(VLOOKUP(C165,Customers!$A$2:$F$301,3,FALSE),"")</f>
        <v>27</v>
      </c>
      <c r="Q165" s="41">
        <f t="shared" si="11"/>
        <v>0.52317073170731709</v>
      </c>
      <c r="R165" t="str">
        <f>IFERROR(VLOOKUP(C165,Customers!$A$2:$F$301,1,FALSE),"")</f>
        <v>CUST-0280</v>
      </c>
      <c r="S165" s="27" t="b">
        <f>IFERROR(VLOOKUP(D165,Products!$A$2:$F$61,6,FALSE),"")</f>
        <v>1</v>
      </c>
      <c r="BL165">
        <v>0</v>
      </c>
      <c r="BM165">
        <v>0</v>
      </c>
      <c r="BN165">
        <v>1.8867924528301886E-2</v>
      </c>
      <c r="BO165">
        <v>0</v>
      </c>
      <c r="BP165">
        <v>0</v>
      </c>
    </row>
    <row r="166" spans="1:68" x14ac:dyDescent="0.35">
      <c r="A166" s="26" t="str">
        <f>Orders!A166</f>
        <v>ORD-00165</v>
      </c>
      <c r="B166" s="33">
        <f>Orders!B166</f>
        <v>45349</v>
      </c>
      <c r="C166" t="str">
        <f>Orders!C166</f>
        <v>CUST-0240</v>
      </c>
      <c r="D166" t="str">
        <f>Orders!D166</f>
        <v>PROD-033</v>
      </c>
      <c r="E166" t="str">
        <f>Orders!E166</f>
        <v>R009</v>
      </c>
      <c r="F166">
        <f>Orders!F166</f>
        <v>7</v>
      </c>
      <c r="G166" s="35">
        <f>Orders!G166</f>
        <v>2030</v>
      </c>
      <c r="H166" s="37">
        <f>Orders!H166</f>
        <v>23.7</v>
      </c>
      <c r="I166" s="39">
        <f>Orders!I166</f>
        <v>10842.23</v>
      </c>
      <c r="J166" t="str">
        <f>Orders!J166</f>
        <v>Pending</v>
      </c>
      <c r="K166" t="str">
        <f>Orders!K166</f>
        <v>Chennai</v>
      </c>
      <c r="L166" t="str">
        <f>IFERROR(VLOOKUP(D166,Products!$A$2:$F$61,3,FALSE),"")</f>
        <v>Home</v>
      </c>
      <c r="M166">
        <f>IFERROR(VLOOKUP(D166,Products!$A$2:$F$61,4,FALSE),"")</f>
        <v>1143</v>
      </c>
      <c r="N166" t="str">
        <f>IFERROR(VLOOKUP(E166,Sales_Reps!$A$2:$E$31,3,FALSE),"")</f>
        <v>South</v>
      </c>
      <c r="O166" t="str">
        <f>IFERROR(VLOOKUP(C166,Customers!$A$2:$F$301,5,FALSE),"")</f>
        <v>Corporate</v>
      </c>
      <c r="P166">
        <f>IFERROR(VLOOKUP(C166,Customers!$A$2:$F$301,3,FALSE),"")</f>
        <v>35</v>
      </c>
      <c r="Q166" s="41">
        <f t="shared" si="11"/>
        <v>0.43694581280788175</v>
      </c>
      <c r="R166" t="str">
        <f>IFERROR(VLOOKUP(C166,Customers!$A$2:$F$301,1,FALSE),"")</f>
        <v>CUST-0240</v>
      </c>
      <c r="S166" s="27" t="b">
        <f>IFERROR(VLOOKUP(D166,Products!$A$2:$F$61,6,FALSE),"")</f>
        <v>1</v>
      </c>
      <c r="BL166">
        <v>0</v>
      </c>
      <c r="BM166">
        <v>0</v>
      </c>
      <c r="BN166">
        <v>1.8867924528301886E-2</v>
      </c>
      <c r="BO166">
        <v>0</v>
      </c>
      <c r="BP166">
        <v>0</v>
      </c>
    </row>
    <row r="167" spans="1:68" x14ac:dyDescent="0.35">
      <c r="A167" s="26" t="str">
        <f>Orders!A167</f>
        <v>ORD-00166</v>
      </c>
      <c r="B167" s="33">
        <f>Orders!B167</f>
        <v>45533</v>
      </c>
      <c r="C167" t="str">
        <f>Orders!C167</f>
        <v>CUST-0067</v>
      </c>
      <c r="D167" t="str">
        <f>Orders!D167</f>
        <v>PROD-016</v>
      </c>
      <c r="E167" t="str">
        <f>Orders!E167</f>
        <v>R009</v>
      </c>
      <c r="F167">
        <f>Orders!F167</f>
        <v>5</v>
      </c>
      <c r="G167" s="35">
        <f>Orders!G167</f>
        <v>620</v>
      </c>
      <c r="H167" s="37">
        <f>Orders!H167</f>
        <v>13.8</v>
      </c>
      <c r="I167" s="39">
        <f>Orders!I167</f>
        <v>2672.2</v>
      </c>
      <c r="J167" t="str">
        <f>Orders!J167</f>
        <v>Completed</v>
      </c>
      <c r="K167" t="str">
        <f>Orders!K167</f>
        <v>Delhi</v>
      </c>
      <c r="L167" t="str">
        <f>IFERROR(VLOOKUP(D167,Products!$A$2:$F$61,3,FALSE),"")</f>
        <v>Apparel</v>
      </c>
      <c r="M167">
        <f>IFERROR(VLOOKUP(D167,Products!$A$2:$F$61,4,FALSE),"")</f>
        <v>396</v>
      </c>
      <c r="N167" t="str">
        <f>IFERROR(VLOOKUP(E167,Sales_Reps!$A$2:$E$31,3,FALSE),"")</f>
        <v>South</v>
      </c>
      <c r="O167" t="str">
        <f>IFERROR(VLOOKUP(C167,Customers!$A$2:$F$301,5,FALSE),"")</f>
        <v>SMB</v>
      </c>
      <c r="P167">
        <f>IFERROR(VLOOKUP(C167,Customers!$A$2:$F$301,3,FALSE),"")</f>
        <v>59</v>
      </c>
      <c r="Q167" s="41">
        <f t="shared" si="11"/>
        <v>0.36129032258064514</v>
      </c>
      <c r="R167" t="str">
        <f>IFERROR(VLOOKUP(C167,Customers!$A$2:$F$301,1,FALSE),"")</f>
        <v>CUST-0067</v>
      </c>
      <c r="S167" s="27" t="b">
        <f>IFERROR(VLOOKUP(D167,Products!$A$2:$F$61,6,FALSE),"")</f>
        <v>1</v>
      </c>
      <c r="BL167">
        <v>0</v>
      </c>
      <c r="BM167">
        <v>0</v>
      </c>
      <c r="BN167">
        <v>1.9607843137254902E-2</v>
      </c>
      <c r="BO167">
        <v>0</v>
      </c>
      <c r="BP167">
        <v>0</v>
      </c>
    </row>
    <row r="168" spans="1:68" x14ac:dyDescent="0.35">
      <c r="A168" s="26" t="str">
        <f>Orders!A168</f>
        <v>ORD-00167</v>
      </c>
      <c r="B168" s="33">
        <f>Orders!B168</f>
        <v>45489</v>
      </c>
      <c r="C168" t="str">
        <f>Orders!C168</f>
        <v>CUST-0117</v>
      </c>
      <c r="D168" t="str">
        <f>Orders!D168</f>
        <v>PROD-022</v>
      </c>
      <c r="E168" t="str">
        <f>Orders!E168</f>
        <v>R022</v>
      </c>
      <c r="F168">
        <f>Orders!F168</f>
        <v>7</v>
      </c>
      <c r="G168" s="35">
        <f>Orders!G168</f>
        <v>2270</v>
      </c>
      <c r="H168" s="37">
        <f>Orders!H168</f>
        <v>5.5</v>
      </c>
      <c r="I168" s="39">
        <f>Orders!I168</f>
        <v>15016.05</v>
      </c>
      <c r="J168" t="str">
        <f>Orders!J168</f>
        <v>Completed</v>
      </c>
      <c r="K168" t="str">
        <f>Orders!K168</f>
        <v>Delhi</v>
      </c>
      <c r="L168" t="str">
        <f>IFERROR(VLOOKUP(D168,Products!$A$2:$F$61,3,FALSE),"")</f>
        <v>Grocery</v>
      </c>
      <c r="M168">
        <f>IFERROR(VLOOKUP(D168,Products!$A$2:$F$61,4,FALSE),"")</f>
        <v>1412</v>
      </c>
      <c r="N168" t="str">
        <f>IFERROR(VLOOKUP(E168,Sales_Reps!$A$2:$E$31,3,FALSE),"")</f>
        <v>East</v>
      </c>
      <c r="O168" t="str">
        <f>IFERROR(VLOOKUP(C168,Customers!$A$2:$F$301,5,FALSE),"")</f>
        <v>SMB</v>
      </c>
      <c r="P168">
        <f>IFERROR(VLOOKUP(C168,Customers!$A$2:$F$301,3,FALSE),"")</f>
        <v>34</v>
      </c>
      <c r="Q168" s="41">
        <f t="shared" si="11"/>
        <v>0.37797356828193834</v>
      </c>
      <c r="R168" t="str">
        <f>IFERROR(VLOOKUP(C168,Customers!$A$2:$F$301,1,FALSE),"")</f>
        <v>CUST-0117</v>
      </c>
      <c r="S168" s="27" t="b">
        <f>IFERROR(VLOOKUP(D168,Products!$A$2:$F$61,6,FALSE),"")</f>
        <v>1</v>
      </c>
      <c r="BL168">
        <v>0</v>
      </c>
      <c r="BM168">
        <v>0</v>
      </c>
      <c r="BN168">
        <v>2.3809523809523808E-2</v>
      </c>
      <c r="BO168">
        <v>0</v>
      </c>
      <c r="BP168">
        <v>0</v>
      </c>
    </row>
    <row r="169" spans="1:68" x14ac:dyDescent="0.35">
      <c r="A169" s="26" t="str">
        <f>Orders!A169</f>
        <v>ORD-00168</v>
      </c>
      <c r="B169" s="33">
        <f>Orders!B169</f>
        <v>45457</v>
      </c>
      <c r="C169" t="str">
        <f>Orders!C169</f>
        <v>CUST-0101</v>
      </c>
      <c r="D169" t="str">
        <f>Orders!D169</f>
        <v>PROD-053</v>
      </c>
      <c r="E169" t="str">
        <f>Orders!E169</f>
        <v>R016</v>
      </c>
      <c r="F169">
        <f>Orders!F169</f>
        <v>1</v>
      </c>
      <c r="G169" s="35">
        <f>Orders!G169</f>
        <v>470</v>
      </c>
      <c r="H169" s="37">
        <f>Orders!H169</f>
        <v>13.7</v>
      </c>
      <c r="I169" s="39">
        <f>Orders!I169</f>
        <v>405.61</v>
      </c>
      <c r="J169" t="str">
        <f>Orders!J169</f>
        <v>Pending</v>
      </c>
      <c r="K169" t="str">
        <f>Orders!K169</f>
        <v>Hyderabad</v>
      </c>
      <c r="L169" t="str">
        <f>IFERROR(VLOOKUP(D169,Products!$A$2:$F$61,3,FALSE),"")</f>
        <v>Sports</v>
      </c>
      <c r="M169">
        <f>IFERROR(VLOOKUP(D169,Products!$A$2:$F$61,4,FALSE),"")</f>
        <v>302</v>
      </c>
      <c r="N169" t="str">
        <f>IFERROR(VLOOKUP(E169,Sales_Reps!$A$2:$E$31,3,FALSE),"")</f>
        <v>South</v>
      </c>
      <c r="O169" t="str">
        <f>IFERROR(VLOOKUP(C169,Customers!$A$2:$F$301,5,FALSE),"")</f>
        <v>SMB</v>
      </c>
      <c r="P169">
        <f>IFERROR(VLOOKUP(C169,Customers!$A$2:$F$301,3,FALSE),"")</f>
        <v>40</v>
      </c>
      <c r="Q169" s="41">
        <f t="shared" si="11"/>
        <v>0.35744680851063831</v>
      </c>
      <c r="R169" t="str">
        <f>IFERROR(VLOOKUP(C169,Customers!$A$2:$F$301,1,FALSE),"")</f>
        <v>CUST-0101</v>
      </c>
      <c r="S169" s="27" t="b">
        <f>IFERROR(VLOOKUP(D169,Products!$A$2:$F$61,6,FALSE),"")</f>
        <v>0</v>
      </c>
      <c r="BL169">
        <v>0.5</v>
      </c>
      <c r="BM169">
        <v>0</v>
      </c>
      <c r="BN169">
        <v>1.8867924528301886E-2</v>
      </c>
      <c r="BO169">
        <v>0</v>
      </c>
      <c r="BP169">
        <v>1</v>
      </c>
    </row>
    <row r="170" spans="1:68" x14ac:dyDescent="0.35">
      <c r="A170" s="26" t="str">
        <f>Orders!A170</f>
        <v>ORD-00169</v>
      </c>
      <c r="B170" s="33">
        <f>Orders!B170</f>
        <v>45601</v>
      </c>
      <c r="C170" t="str">
        <f>Orders!C170</f>
        <v>CUST-0184</v>
      </c>
      <c r="D170" t="str">
        <f>Orders!D170</f>
        <v>PROD-001</v>
      </c>
      <c r="E170" t="str">
        <f>Orders!E170</f>
        <v>R007</v>
      </c>
      <c r="F170">
        <f>Orders!F170</f>
        <v>6</v>
      </c>
      <c r="G170" s="35">
        <f>Orders!G170</f>
        <v>5330</v>
      </c>
      <c r="H170" s="37">
        <f>Orders!H170</f>
        <v>17.899999999999999</v>
      </c>
      <c r="I170" s="39">
        <f>Orders!I170</f>
        <v>26255.58</v>
      </c>
      <c r="J170" t="str">
        <f>Orders!J170</f>
        <v>Completed</v>
      </c>
      <c r="K170" t="str">
        <f>Orders!K170</f>
        <v>Pune</v>
      </c>
      <c r="L170" t="str">
        <f>IFERROR(VLOOKUP(D170,Products!$A$2:$F$61,3,FALSE),"")</f>
        <v>Electronics</v>
      </c>
      <c r="M170">
        <f>IFERROR(VLOOKUP(D170,Products!$A$2:$F$61,4,FALSE),"")</f>
        <v>2405</v>
      </c>
      <c r="N170" t="str">
        <f>IFERROR(VLOOKUP(E170,Sales_Reps!$A$2:$E$31,3,FALSE),"")</f>
        <v>North</v>
      </c>
      <c r="O170" t="str">
        <f>IFERROR(VLOOKUP(C170,Customers!$A$2:$F$301,5,FALSE),"")</f>
        <v>Retail</v>
      </c>
      <c r="P170">
        <f>IFERROR(VLOOKUP(C170,Customers!$A$2:$F$301,3,FALSE),"")</f>
        <v>63</v>
      </c>
      <c r="Q170" s="41">
        <f t="shared" si="11"/>
        <v>0.54878048780487809</v>
      </c>
      <c r="R170" t="str">
        <f>IFERROR(VLOOKUP(C170,Customers!$A$2:$F$301,1,FALSE),"")</f>
        <v>CUST-0184</v>
      </c>
      <c r="S170" s="27" t="b">
        <f>IFERROR(VLOOKUP(D170,Products!$A$2:$F$61,6,FALSE),"")</f>
        <v>1</v>
      </c>
      <c r="BL170">
        <v>0</v>
      </c>
      <c r="BM170">
        <v>0</v>
      </c>
      <c r="BN170">
        <v>2.1276595744680851E-2</v>
      </c>
      <c r="BO170">
        <v>0</v>
      </c>
      <c r="BP170">
        <v>0</v>
      </c>
    </row>
    <row r="171" spans="1:68" x14ac:dyDescent="0.35">
      <c r="A171" s="26" t="str">
        <f>Orders!A171</f>
        <v>ORD-00170</v>
      </c>
      <c r="B171" s="33">
        <f>Orders!B171</f>
        <v>45294</v>
      </c>
      <c r="C171" t="str">
        <f>Orders!C171</f>
        <v>CUST-0087</v>
      </c>
      <c r="D171" t="str">
        <f>Orders!D171</f>
        <v>PROD-050</v>
      </c>
      <c r="E171" t="str">
        <f>Orders!E171</f>
        <v>R002</v>
      </c>
      <c r="F171">
        <f>Orders!F171</f>
        <v>1</v>
      </c>
      <c r="G171" s="35">
        <f>Orders!G171</f>
        <v>6080</v>
      </c>
      <c r="H171" s="37">
        <f>Orders!H171</f>
        <v>25.5</v>
      </c>
      <c r="I171" s="39">
        <f>Orders!I171</f>
        <v>4529.6000000000004</v>
      </c>
      <c r="J171" t="str">
        <f>Orders!J171</f>
        <v>Completed</v>
      </c>
      <c r="K171" t="str">
        <f>Orders!K171</f>
        <v>Pune</v>
      </c>
      <c r="L171" t="str">
        <f>IFERROR(VLOOKUP(D171,Products!$A$2:$F$61,3,FALSE),"")</f>
        <v>Beauty</v>
      </c>
      <c r="M171">
        <f>IFERROR(VLOOKUP(D171,Products!$A$2:$F$61,4,FALSE),"")</f>
        <v>2617</v>
      </c>
      <c r="N171" t="str">
        <f>IFERROR(VLOOKUP(E171,Sales_Reps!$A$2:$E$31,3,FALSE),"")</f>
        <v>North</v>
      </c>
      <c r="O171" t="str">
        <f>IFERROR(VLOOKUP(C171,Customers!$A$2:$F$301,5,FALSE),"")</f>
        <v>SMB</v>
      </c>
      <c r="P171">
        <f>IFERROR(VLOOKUP(C171,Customers!$A$2:$F$301,3,FALSE),"")</f>
        <v>49</v>
      </c>
      <c r="Q171" s="41">
        <f t="shared" si="11"/>
        <v>0.56957236842105263</v>
      </c>
      <c r="R171" t="str">
        <f>IFERROR(VLOOKUP(C171,Customers!$A$2:$F$301,1,FALSE),"")</f>
        <v>CUST-0087</v>
      </c>
      <c r="S171" s="27" t="b">
        <f>IFERROR(VLOOKUP(D171,Products!$A$2:$F$61,6,FALSE),"")</f>
        <v>1</v>
      </c>
      <c r="BL171">
        <v>0</v>
      </c>
      <c r="BM171">
        <v>0</v>
      </c>
      <c r="BN171">
        <v>1.8518518518518517E-2</v>
      </c>
      <c r="BO171">
        <v>0</v>
      </c>
      <c r="BP171">
        <v>0</v>
      </c>
    </row>
    <row r="172" spans="1:68" x14ac:dyDescent="0.35">
      <c r="A172" s="26" t="str">
        <f>Orders!A172</f>
        <v>ORD-00171</v>
      </c>
      <c r="B172" s="33">
        <f>Orders!B172</f>
        <v>45345</v>
      </c>
      <c r="C172" t="str">
        <f>Orders!C172</f>
        <v>CUST-0261</v>
      </c>
      <c r="D172" t="str">
        <f>Orders!D172</f>
        <v>PROD-027</v>
      </c>
      <c r="E172" t="str">
        <f>Orders!E172</f>
        <v>R022</v>
      </c>
      <c r="F172">
        <f>Orders!F172</f>
        <v>5</v>
      </c>
      <c r="G172" s="35">
        <f>Orders!G172</f>
        <v>3780</v>
      </c>
      <c r="H172" s="37">
        <f>Orders!H172</f>
        <v>28.6</v>
      </c>
      <c r="I172" s="39">
        <f>Orders!I172</f>
        <v>13494.6</v>
      </c>
      <c r="J172" t="str">
        <f>Orders!J172</f>
        <v>Completed</v>
      </c>
      <c r="K172" t="str">
        <f>Orders!K172</f>
        <v>Delhi</v>
      </c>
      <c r="L172" t="str">
        <f>IFERROR(VLOOKUP(D172,Products!$A$2:$F$61,3,FALSE),"")</f>
        <v>Grocery</v>
      </c>
      <c r="M172">
        <f>IFERROR(VLOOKUP(D172,Products!$A$2:$F$61,4,FALSE),"")</f>
        <v>2436</v>
      </c>
      <c r="N172" t="str">
        <f>IFERROR(VLOOKUP(E172,Sales_Reps!$A$2:$E$31,3,FALSE),"")</f>
        <v>East</v>
      </c>
      <c r="O172" t="str">
        <f>IFERROR(VLOOKUP(C172,Customers!$A$2:$F$301,5,FALSE),"")</f>
        <v>Retail</v>
      </c>
      <c r="P172">
        <f>IFERROR(VLOOKUP(C172,Customers!$A$2:$F$301,3,FALSE),"")</f>
        <v>54</v>
      </c>
      <c r="Q172" s="41">
        <f t="shared" si="11"/>
        <v>0.35555555555555557</v>
      </c>
      <c r="R172" t="str">
        <f>IFERROR(VLOOKUP(C172,Customers!$A$2:$F$301,1,FALSE),"")</f>
        <v>CUST-0261</v>
      </c>
      <c r="S172" s="27" t="b">
        <f>IFERROR(VLOOKUP(D172,Products!$A$2:$F$61,6,FALSE),"")</f>
        <v>1</v>
      </c>
      <c r="BL172">
        <v>0</v>
      </c>
      <c r="BM172">
        <v>0</v>
      </c>
      <c r="BN172">
        <v>1.8867924528301886E-2</v>
      </c>
      <c r="BO172">
        <v>0</v>
      </c>
      <c r="BP172">
        <v>0</v>
      </c>
    </row>
    <row r="173" spans="1:68" x14ac:dyDescent="0.35">
      <c r="A173" s="26" t="str">
        <f>Orders!A173</f>
        <v>ORD-00172</v>
      </c>
      <c r="B173" s="33">
        <f>Orders!B173</f>
        <v>45391</v>
      </c>
      <c r="C173" t="str">
        <f>Orders!C173</f>
        <v>CUST-0027</v>
      </c>
      <c r="D173" t="str">
        <f>Orders!D173</f>
        <v>PROD-016</v>
      </c>
      <c r="E173" t="str">
        <f>Orders!E173</f>
        <v>R010</v>
      </c>
      <c r="F173">
        <f>Orders!F173</f>
        <v>5</v>
      </c>
      <c r="G173" s="35">
        <f>Orders!G173</f>
        <v>620</v>
      </c>
      <c r="H173" s="37">
        <f>Orders!H173</f>
        <v>6.9</v>
      </c>
      <c r="I173" s="39">
        <f>Orders!I173</f>
        <v>2886.1</v>
      </c>
      <c r="J173" t="str">
        <f>Orders!J173</f>
        <v>Cancelled</v>
      </c>
      <c r="K173" t="str">
        <f>Orders!K173</f>
        <v>Hyderabad</v>
      </c>
      <c r="L173" t="str">
        <f>IFERROR(VLOOKUP(D173,Products!$A$2:$F$61,3,FALSE),"")</f>
        <v>Apparel</v>
      </c>
      <c r="M173">
        <f>IFERROR(VLOOKUP(D173,Products!$A$2:$F$61,4,FALSE),"")</f>
        <v>396</v>
      </c>
      <c r="N173" t="str">
        <f>IFERROR(VLOOKUP(E173,Sales_Reps!$A$2:$E$31,3,FALSE),"")</f>
        <v>South</v>
      </c>
      <c r="O173" t="str">
        <f>IFERROR(VLOOKUP(C173,Customers!$A$2:$F$301,5,FALSE),"")</f>
        <v>Corporate</v>
      </c>
      <c r="P173">
        <f>IFERROR(VLOOKUP(C173,Customers!$A$2:$F$301,3,FALSE),"")</f>
        <v>52</v>
      </c>
      <c r="Q173" s="41">
        <f t="shared" si="11"/>
        <v>0.36129032258064514</v>
      </c>
      <c r="R173" t="str">
        <f>IFERROR(VLOOKUP(C173,Customers!$A$2:$F$301,1,FALSE),"")</f>
        <v>CUST-0027</v>
      </c>
      <c r="S173" s="27" t="b">
        <f>IFERROR(VLOOKUP(D173,Products!$A$2:$F$61,6,FALSE),"")</f>
        <v>1</v>
      </c>
      <c r="BL173">
        <v>0</v>
      </c>
      <c r="BM173">
        <v>0</v>
      </c>
      <c r="BN173">
        <v>1.8867924528301886E-2</v>
      </c>
      <c r="BO173">
        <v>0</v>
      </c>
      <c r="BP173">
        <v>0</v>
      </c>
    </row>
    <row r="174" spans="1:68" x14ac:dyDescent="0.35">
      <c r="A174" s="26" t="str">
        <f>Orders!A174</f>
        <v>ORD-00173</v>
      </c>
      <c r="B174" s="33">
        <f>Orders!B174</f>
        <v>45419</v>
      </c>
      <c r="C174" t="str">
        <f>Orders!C174</f>
        <v>CUST-0210</v>
      </c>
      <c r="D174" t="str">
        <f>Orders!D174</f>
        <v>PROD-017</v>
      </c>
      <c r="E174" t="str">
        <f>Orders!E174</f>
        <v>R027</v>
      </c>
      <c r="F174">
        <f>Orders!F174</f>
        <v>8</v>
      </c>
      <c r="G174" s="35">
        <f>Orders!G174</f>
        <v>2510</v>
      </c>
      <c r="H174" s="37">
        <f>Orders!H174</f>
        <v>0.7</v>
      </c>
      <c r="I174" s="39">
        <f>Orders!I174</f>
        <v>19939.439999999999</v>
      </c>
      <c r="J174" t="str">
        <f>Orders!J174</f>
        <v>Completed</v>
      </c>
      <c r="K174" t="str">
        <f>Orders!K174</f>
        <v>Pune</v>
      </c>
      <c r="L174" t="str">
        <f>IFERROR(VLOOKUP(D174,Products!$A$2:$F$61,3,FALSE),"")</f>
        <v>Apparel</v>
      </c>
      <c r="M174">
        <f>IFERROR(VLOOKUP(D174,Products!$A$2:$F$61,4,FALSE),"")</f>
        <v>1075</v>
      </c>
      <c r="N174" t="str">
        <f>IFERROR(VLOOKUP(E174,Sales_Reps!$A$2:$E$31,3,FALSE),"")</f>
        <v>West</v>
      </c>
      <c r="O174" t="str">
        <f>IFERROR(VLOOKUP(C174,Customers!$A$2:$F$301,5,FALSE),"")</f>
        <v>Corporate</v>
      </c>
      <c r="P174">
        <f>IFERROR(VLOOKUP(C174,Customers!$A$2:$F$301,3,FALSE),"")</f>
        <v>48</v>
      </c>
      <c r="Q174" s="41">
        <f t="shared" si="11"/>
        <v>0.57171314741035861</v>
      </c>
      <c r="R174" t="str">
        <f>IFERROR(VLOOKUP(C174,Customers!$A$2:$F$301,1,FALSE),"")</f>
        <v>CUST-0210</v>
      </c>
      <c r="S174" s="27" t="b">
        <f>IFERROR(VLOOKUP(D174,Products!$A$2:$F$61,6,FALSE),"")</f>
        <v>0</v>
      </c>
      <c r="BL174">
        <v>0</v>
      </c>
      <c r="BM174">
        <v>0</v>
      </c>
      <c r="BN174">
        <v>1.8518518518518517E-2</v>
      </c>
      <c r="BO174">
        <v>0</v>
      </c>
      <c r="BP174">
        <v>1</v>
      </c>
    </row>
    <row r="175" spans="1:68" x14ac:dyDescent="0.35">
      <c r="A175" s="26" t="str">
        <f>Orders!A175</f>
        <v>ORD-00174</v>
      </c>
      <c r="B175" s="33">
        <f>Orders!B175</f>
        <v>45306</v>
      </c>
      <c r="C175" t="str">
        <f>Orders!C175</f>
        <v>CUST-0163</v>
      </c>
      <c r="D175" t="str">
        <f>Orders!D175</f>
        <v>PROD-015</v>
      </c>
      <c r="E175" t="str">
        <f>Orders!E175</f>
        <v>R020</v>
      </c>
      <c r="F175">
        <f>Orders!F175</f>
        <v>1</v>
      </c>
      <c r="G175" s="35">
        <f>Orders!G175</f>
        <v>2720</v>
      </c>
      <c r="H175" s="37">
        <f>Orders!H175</f>
        <v>13.7</v>
      </c>
      <c r="I175" s="39">
        <f>Orders!I175</f>
        <v>2347.36</v>
      </c>
      <c r="J175" t="str">
        <f>Orders!J175</f>
        <v>Completed</v>
      </c>
      <c r="K175" t="str">
        <f>Orders!K175</f>
        <v>Pune</v>
      </c>
      <c r="L175" t="str">
        <f>IFERROR(VLOOKUP(D175,Products!$A$2:$F$61,3,FALSE),"")</f>
        <v>Apparel</v>
      </c>
      <c r="M175">
        <f>IFERROR(VLOOKUP(D175,Products!$A$2:$F$61,4,FALSE),"")</f>
        <v>1962</v>
      </c>
      <c r="N175" t="str">
        <f>IFERROR(VLOOKUP(E175,Sales_Reps!$A$2:$E$31,3,FALSE),"")</f>
        <v>East</v>
      </c>
      <c r="O175" t="str">
        <f>IFERROR(VLOOKUP(C175,Customers!$A$2:$F$301,5,FALSE),"")</f>
        <v>Retail</v>
      </c>
      <c r="P175">
        <f>IFERROR(VLOOKUP(C175,Customers!$A$2:$F$301,3,FALSE),"")</f>
        <v>49</v>
      </c>
      <c r="Q175" s="41">
        <f t="shared" si="11"/>
        <v>0.2786764705882353</v>
      </c>
      <c r="R175" t="str">
        <f>IFERROR(VLOOKUP(C175,Customers!$A$2:$F$301,1,FALSE),"")</f>
        <v>CUST-0163</v>
      </c>
      <c r="S175" s="27" t="b">
        <f>IFERROR(VLOOKUP(D175,Products!$A$2:$F$61,6,FALSE),"")</f>
        <v>1</v>
      </c>
      <c r="BL175">
        <v>0</v>
      </c>
      <c r="BM175">
        <v>0</v>
      </c>
      <c r="BN175">
        <v>1.8867924528301886E-2</v>
      </c>
      <c r="BO175">
        <v>0</v>
      </c>
      <c r="BP175">
        <v>0</v>
      </c>
    </row>
    <row r="176" spans="1:68" x14ac:dyDescent="0.35">
      <c r="A176" s="26" t="str">
        <f>Orders!A176</f>
        <v>ORD-00175</v>
      </c>
      <c r="B176" s="33">
        <f>Orders!B176</f>
        <v>45546</v>
      </c>
      <c r="C176" t="str">
        <f>Orders!C176</f>
        <v>CUST-0059</v>
      </c>
      <c r="D176" t="str">
        <f>Orders!D176</f>
        <v>PROD-053</v>
      </c>
      <c r="E176" t="str">
        <f>Orders!E176</f>
        <v>R018</v>
      </c>
      <c r="F176">
        <f>Orders!F176</f>
        <v>9</v>
      </c>
      <c r="G176" s="35">
        <f>Orders!G176</f>
        <v>470</v>
      </c>
      <c r="H176" s="37">
        <f>Orders!H176</f>
        <v>23.6</v>
      </c>
      <c r="I176" s="39">
        <f>Orders!I176</f>
        <v>3231.72</v>
      </c>
      <c r="J176" t="str">
        <f>Orders!J176</f>
        <v>Completed</v>
      </c>
      <c r="K176" t="str">
        <f>Orders!K176</f>
        <v>Pune</v>
      </c>
      <c r="L176" t="str">
        <f>IFERROR(VLOOKUP(D176,Products!$A$2:$F$61,3,FALSE),"")</f>
        <v>Sports</v>
      </c>
      <c r="M176">
        <f>IFERROR(VLOOKUP(D176,Products!$A$2:$F$61,4,FALSE),"")</f>
        <v>302</v>
      </c>
      <c r="N176" t="str">
        <f>IFERROR(VLOOKUP(E176,Sales_Reps!$A$2:$E$31,3,FALSE),"")</f>
        <v>East</v>
      </c>
      <c r="O176" t="str">
        <f>IFERROR(VLOOKUP(C176,Customers!$A$2:$F$301,5,FALSE),"")</f>
        <v>Corporate</v>
      </c>
      <c r="P176">
        <f>IFERROR(VLOOKUP(C176,Customers!$A$2:$F$301,3,FALSE),"")</f>
        <v>29</v>
      </c>
      <c r="Q176" s="41">
        <f t="shared" si="11"/>
        <v>0.35744680851063831</v>
      </c>
      <c r="R176" t="str">
        <f>IFERROR(VLOOKUP(C176,Customers!$A$2:$F$301,1,FALSE),"")</f>
        <v>CUST-0059</v>
      </c>
      <c r="S176" s="27" t="b">
        <f>IFERROR(VLOOKUP(D176,Products!$A$2:$F$61,6,FALSE),"")</f>
        <v>0</v>
      </c>
      <c r="BL176">
        <v>0</v>
      </c>
      <c r="BM176">
        <v>0</v>
      </c>
      <c r="BN176">
        <v>2.3809523809523808E-2</v>
      </c>
      <c r="BO176">
        <v>0</v>
      </c>
      <c r="BP176">
        <v>1</v>
      </c>
    </row>
    <row r="177" spans="1:68" x14ac:dyDescent="0.35">
      <c r="A177" s="26" t="str">
        <f>Orders!A177</f>
        <v>ORD-00176</v>
      </c>
      <c r="B177" s="33">
        <f>Orders!B177</f>
        <v>45633</v>
      </c>
      <c r="C177" t="str">
        <f>Orders!C177</f>
        <v>CUST-0020</v>
      </c>
      <c r="D177" t="str">
        <f>Orders!D177</f>
        <v>PROD-036</v>
      </c>
      <c r="E177" t="str">
        <f>Orders!E177</f>
        <v>R018</v>
      </c>
      <c r="F177">
        <f>Orders!F177</f>
        <v>10</v>
      </c>
      <c r="G177" s="35">
        <f>Orders!G177</f>
        <v>3250</v>
      </c>
      <c r="H177" s="37">
        <f>Orders!H177</f>
        <v>21</v>
      </c>
      <c r="I177" s="39">
        <f>Orders!I177</f>
        <v>25675</v>
      </c>
      <c r="J177" t="str">
        <f>Orders!J177</f>
        <v>Cancelled</v>
      </c>
      <c r="K177" t="str">
        <f>Orders!K177</f>
        <v>Hyderabad</v>
      </c>
      <c r="L177" t="str">
        <f>IFERROR(VLOOKUP(D177,Products!$A$2:$F$61,3,FALSE),"")</f>
        <v>Home</v>
      </c>
      <c r="M177">
        <f>IFERROR(VLOOKUP(D177,Products!$A$2:$F$61,4,FALSE),"")</f>
        <v>1556</v>
      </c>
      <c r="N177" t="str">
        <f>IFERROR(VLOOKUP(E177,Sales_Reps!$A$2:$E$31,3,FALSE),"")</f>
        <v>East</v>
      </c>
      <c r="O177" t="str">
        <f>IFERROR(VLOOKUP(C177,Customers!$A$2:$F$301,5,FALSE),"")</f>
        <v>Retail</v>
      </c>
      <c r="P177">
        <f>IFERROR(VLOOKUP(C177,Customers!$A$2:$F$301,3,FALSE),"")</f>
        <v>46</v>
      </c>
      <c r="Q177" s="41">
        <f t="shared" si="11"/>
        <v>0.52123076923076928</v>
      </c>
      <c r="R177" t="str">
        <f>IFERROR(VLOOKUP(C177,Customers!$A$2:$F$301,1,FALSE),"")</f>
        <v>CUST-0020</v>
      </c>
      <c r="S177" s="27" t="b">
        <f>IFERROR(VLOOKUP(D177,Products!$A$2:$F$61,6,FALSE),"")</f>
        <v>1</v>
      </c>
      <c r="BL177">
        <v>0</v>
      </c>
      <c r="BM177">
        <v>0</v>
      </c>
      <c r="BN177">
        <v>2.1276595744680851E-2</v>
      </c>
      <c r="BO177">
        <v>0</v>
      </c>
      <c r="BP177">
        <v>0</v>
      </c>
    </row>
    <row r="178" spans="1:68" x14ac:dyDescent="0.35">
      <c r="A178" s="26" t="str">
        <f>Orders!A178</f>
        <v>ORD-00177</v>
      </c>
      <c r="B178" s="33">
        <f>Orders!B178</f>
        <v>45649</v>
      </c>
      <c r="C178" t="str">
        <f>Orders!C178</f>
        <v>CUST-0048</v>
      </c>
      <c r="D178" t="str">
        <f>Orders!D178</f>
        <v>PROD-034</v>
      </c>
      <c r="E178" t="str">
        <f>Orders!E178</f>
        <v>R028</v>
      </c>
      <c r="F178">
        <f>Orders!F178</f>
        <v>6</v>
      </c>
      <c r="G178" s="35">
        <f>Orders!G178</f>
        <v>5080</v>
      </c>
      <c r="H178" s="37">
        <f>Orders!H178</f>
        <v>16.8</v>
      </c>
      <c r="I178" s="39">
        <f>Orders!I178</f>
        <v>25359.360000000001</v>
      </c>
      <c r="J178" t="str">
        <f>Orders!J178</f>
        <v>Pending</v>
      </c>
      <c r="K178" t="str">
        <f>Orders!K178</f>
        <v>Delhi</v>
      </c>
      <c r="L178" t="str">
        <f>IFERROR(VLOOKUP(D178,Products!$A$2:$F$61,3,FALSE),"")</f>
        <v>Home</v>
      </c>
      <c r="M178">
        <f>IFERROR(VLOOKUP(D178,Products!$A$2:$F$61,4,FALSE),"")</f>
        <v>2459</v>
      </c>
      <c r="N178" t="str">
        <f>IFERROR(VLOOKUP(E178,Sales_Reps!$A$2:$E$31,3,FALSE),"")</f>
        <v>West</v>
      </c>
      <c r="O178" t="str">
        <f>IFERROR(VLOOKUP(C178,Customers!$A$2:$F$301,5,FALSE),"")</f>
        <v>Retail</v>
      </c>
      <c r="P178">
        <f>IFERROR(VLOOKUP(C178,Customers!$A$2:$F$301,3,FALSE),"")</f>
        <v>59</v>
      </c>
      <c r="Q178" s="41">
        <f t="shared" si="11"/>
        <v>0.51594488188976373</v>
      </c>
      <c r="R178" t="str">
        <f>IFERROR(VLOOKUP(C178,Customers!$A$2:$F$301,1,FALSE),"")</f>
        <v>CUST-0048</v>
      </c>
      <c r="S178" s="27" t="b">
        <f>IFERROR(VLOOKUP(D178,Products!$A$2:$F$61,6,FALSE),"")</f>
        <v>1</v>
      </c>
      <c r="BL178">
        <v>0</v>
      </c>
      <c r="BM178">
        <v>0</v>
      </c>
      <c r="BN178">
        <v>1.8518518518518517E-2</v>
      </c>
      <c r="BO178">
        <v>0</v>
      </c>
      <c r="BP178">
        <v>0</v>
      </c>
    </row>
    <row r="179" spans="1:68" x14ac:dyDescent="0.35">
      <c r="A179" s="26" t="str">
        <f>Orders!A179</f>
        <v>ORD-00178</v>
      </c>
      <c r="B179" s="33">
        <f>Orders!B179</f>
        <v>45312</v>
      </c>
      <c r="C179" t="str">
        <f>Orders!C179</f>
        <v>CUST-0172</v>
      </c>
      <c r="D179" t="str">
        <f>Orders!D179</f>
        <v>PROD-003</v>
      </c>
      <c r="E179" t="str">
        <f>Orders!E179</f>
        <v>R012</v>
      </c>
      <c r="F179">
        <f>Orders!F179</f>
        <v>2</v>
      </c>
      <c r="G179" s="35">
        <f>Orders!G179</f>
        <v>3570</v>
      </c>
      <c r="H179" s="37">
        <f>Orders!H179</f>
        <v>6.7</v>
      </c>
      <c r="I179" s="39">
        <f>Orders!I179</f>
        <v>6661.62</v>
      </c>
      <c r="J179" t="str">
        <f>Orders!J179</f>
        <v>Cancelled</v>
      </c>
      <c r="K179" t="str">
        <f>Orders!K179</f>
        <v>Pune</v>
      </c>
      <c r="L179" t="str">
        <f>IFERROR(VLOOKUP(D179,Products!$A$2:$F$61,3,FALSE),"")</f>
        <v>Electronics</v>
      </c>
      <c r="M179">
        <f>IFERROR(VLOOKUP(D179,Products!$A$2:$F$61,4,FALSE),"")</f>
        <v>1665</v>
      </c>
      <c r="N179" t="str">
        <f>IFERROR(VLOOKUP(E179,Sales_Reps!$A$2:$E$31,3,FALSE),"")</f>
        <v>South</v>
      </c>
      <c r="O179" t="str">
        <f>IFERROR(VLOOKUP(C179,Customers!$A$2:$F$301,5,FALSE),"")</f>
        <v>Retail</v>
      </c>
      <c r="P179">
        <f>IFERROR(VLOOKUP(C179,Customers!$A$2:$F$301,3,FALSE),"")</f>
        <v>65</v>
      </c>
      <c r="Q179" s="41">
        <f t="shared" si="11"/>
        <v>0.53361344537815125</v>
      </c>
      <c r="R179" t="str">
        <f>IFERROR(VLOOKUP(C179,Customers!$A$2:$F$301,1,FALSE),"")</f>
        <v>CUST-0172</v>
      </c>
      <c r="S179" s="27" t="b">
        <f>IFERROR(VLOOKUP(D179,Products!$A$2:$F$61,6,FALSE),"")</f>
        <v>1</v>
      </c>
      <c r="BL179">
        <v>0</v>
      </c>
      <c r="BM179">
        <v>0</v>
      </c>
      <c r="BN179">
        <v>1.9607843137254902E-2</v>
      </c>
      <c r="BO179">
        <v>0</v>
      </c>
      <c r="BP179">
        <v>0</v>
      </c>
    </row>
    <row r="180" spans="1:68" x14ac:dyDescent="0.35">
      <c r="A180" s="26" t="str">
        <f>Orders!A180</f>
        <v>ORD-00179</v>
      </c>
      <c r="B180" s="33">
        <f>Orders!B180</f>
        <v>45382</v>
      </c>
      <c r="C180" t="str">
        <f>Orders!C180</f>
        <v>CUST-0124</v>
      </c>
      <c r="D180" t="str">
        <f>Orders!D180</f>
        <v>PROD-013</v>
      </c>
      <c r="E180" t="str">
        <f>Orders!E180</f>
        <v>R012</v>
      </c>
      <c r="F180">
        <f>Orders!F180</f>
        <v>4</v>
      </c>
      <c r="G180" s="35">
        <f>Orders!G180</f>
        <v>3640</v>
      </c>
      <c r="H180" s="37">
        <f>Orders!H180</f>
        <v>18.399999999999999</v>
      </c>
      <c r="I180" s="39">
        <f>Orders!I180</f>
        <v>11880.96</v>
      </c>
      <c r="J180" t="str">
        <f>Orders!J180</f>
        <v>Completed</v>
      </c>
      <c r="K180" t="str">
        <f>Orders!K180</f>
        <v>Pune</v>
      </c>
      <c r="L180" t="str">
        <f>IFERROR(VLOOKUP(D180,Products!$A$2:$F$61,3,FALSE),"")</f>
        <v>Apparel</v>
      </c>
      <c r="M180">
        <f>IFERROR(VLOOKUP(D180,Products!$A$2:$F$61,4,FALSE),"")</f>
        <v>2611</v>
      </c>
      <c r="N180" t="str">
        <f>IFERROR(VLOOKUP(E180,Sales_Reps!$A$2:$E$31,3,FALSE),"")</f>
        <v>South</v>
      </c>
      <c r="O180" t="str">
        <f>IFERROR(VLOOKUP(C180,Customers!$A$2:$F$301,5,FALSE),"")</f>
        <v>Retail</v>
      </c>
      <c r="P180">
        <f>IFERROR(VLOOKUP(C180,Customers!$A$2:$F$301,3,FALSE),"")</f>
        <v>57</v>
      </c>
      <c r="Q180" s="41">
        <f t="shared" si="11"/>
        <v>0.28269230769230769</v>
      </c>
      <c r="R180" t="str">
        <f>IFERROR(VLOOKUP(C180,Customers!$A$2:$F$301,1,FALSE),"")</f>
        <v>CUST-0124</v>
      </c>
      <c r="S180" s="27" t="b">
        <f>IFERROR(VLOOKUP(D180,Products!$A$2:$F$61,6,FALSE),"")</f>
        <v>1</v>
      </c>
      <c r="BL180">
        <v>0</v>
      </c>
      <c r="BM180">
        <v>0</v>
      </c>
      <c r="BN180">
        <v>1.8518518518518517E-2</v>
      </c>
      <c r="BO180">
        <v>0</v>
      </c>
      <c r="BP180">
        <v>0</v>
      </c>
    </row>
    <row r="181" spans="1:68" x14ac:dyDescent="0.35">
      <c r="A181" s="26" t="str">
        <f>Orders!A181</f>
        <v>ORD-00180</v>
      </c>
      <c r="B181" s="33">
        <f>Orders!B181</f>
        <v>45524</v>
      </c>
      <c r="C181" t="str">
        <f>Orders!C181</f>
        <v>CUST-0184</v>
      </c>
      <c r="D181" t="str">
        <f>Orders!D181</f>
        <v>PROD-026</v>
      </c>
      <c r="E181" t="str">
        <f>Orders!E181</f>
        <v>R001</v>
      </c>
      <c r="F181">
        <f>Orders!F181</f>
        <v>8</v>
      </c>
      <c r="G181" s="35">
        <f>Orders!G181</f>
        <v>4070</v>
      </c>
      <c r="H181" s="37">
        <f>Orders!H181</f>
        <v>6.6</v>
      </c>
      <c r="I181" s="39">
        <f>Orders!I181</f>
        <v>30411.040000000001</v>
      </c>
      <c r="J181" t="str">
        <f>Orders!J181</f>
        <v>Completed</v>
      </c>
      <c r="K181" t="str">
        <f>Orders!K181</f>
        <v>Pune</v>
      </c>
      <c r="L181" t="str">
        <f>IFERROR(VLOOKUP(D181,Products!$A$2:$F$61,3,FALSE),"")</f>
        <v>Grocery</v>
      </c>
      <c r="M181">
        <f>IFERROR(VLOOKUP(D181,Products!$A$2:$F$61,4,FALSE),"")</f>
        <v>2027</v>
      </c>
      <c r="N181" t="str">
        <f>IFERROR(VLOOKUP(E181,Sales_Reps!$A$2:$E$31,3,FALSE),"")</f>
        <v>North</v>
      </c>
      <c r="O181" t="str">
        <f>IFERROR(VLOOKUP(C181,Customers!$A$2:$F$301,5,FALSE),"")</f>
        <v>Retail</v>
      </c>
      <c r="P181">
        <f>IFERROR(VLOOKUP(C181,Customers!$A$2:$F$301,3,FALSE),"")</f>
        <v>63</v>
      </c>
      <c r="Q181" s="41">
        <f t="shared" si="11"/>
        <v>0.50196560196560192</v>
      </c>
      <c r="R181" t="str">
        <f>IFERROR(VLOOKUP(C181,Customers!$A$2:$F$301,1,FALSE),"")</f>
        <v>CUST-0184</v>
      </c>
      <c r="S181" s="27" t="b">
        <f>IFERROR(VLOOKUP(D181,Products!$A$2:$F$61,6,FALSE),"")</f>
        <v>1</v>
      </c>
      <c r="BL181">
        <v>0</v>
      </c>
      <c r="BM181">
        <v>0</v>
      </c>
      <c r="BN181">
        <v>1.8867924528301886E-2</v>
      </c>
      <c r="BO181">
        <v>0</v>
      </c>
      <c r="BP181">
        <v>0</v>
      </c>
    </row>
    <row r="182" spans="1:68" x14ac:dyDescent="0.35">
      <c r="A182" s="26" t="str">
        <f>Orders!A182</f>
        <v>ORD-00181</v>
      </c>
      <c r="B182" s="33">
        <f>Orders!B182</f>
        <v>45392</v>
      </c>
      <c r="C182" t="str">
        <f>Orders!C182</f>
        <v>CUST-0259</v>
      </c>
      <c r="D182" t="str">
        <f>Orders!D182</f>
        <v>PROD-011</v>
      </c>
      <c r="E182" t="str">
        <f>Orders!E182</f>
        <v>R012</v>
      </c>
      <c r="F182">
        <f>Orders!F182</f>
        <v>6</v>
      </c>
      <c r="G182" s="35">
        <f>Orders!G182</f>
        <v>3450</v>
      </c>
      <c r="H182" s="37">
        <f>Orders!H182</f>
        <v>14.4</v>
      </c>
      <c r="I182" s="39">
        <f>Orders!I182</f>
        <v>17719.2</v>
      </c>
      <c r="J182" t="str">
        <f>Orders!J182</f>
        <v>Pending</v>
      </c>
      <c r="K182" t="str">
        <f>Orders!K182</f>
        <v>Mumbai</v>
      </c>
      <c r="L182" t="str">
        <f>IFERROR(VLOOKUP(D182,Products!$A$2:$F$61,3,FALSE),"")</f>
        <v>Apparel</v>
      </c>
      <c r="M182">
        <f>IFERROR(VLOOKUP(D182,Products!$A$2:$F$61,4,FALSE),"")</f>
        <v>1748</v>
      </c>
      <c r="N182" t="str">
        <f>IFERROR(VLOOKUP(E182,Sales_Reps!$A$2:$E$31,3,FALSE),"")</f>
        <v>South</v>
      </c>
      <c r="O182" t="str">
        <f>IFERROR(VLOOKUP(C182,Customers!$A$2:$F$301,5,FALSE),"")</f>
        <v>Retail</v>
      </c>
      <c r="P182">
        <f>IFERROR(VLOOKUP(C182,Customers!$A$2:$F$301,3,FALSE),"")</f>
        <v>34</v>
      </c>
      <c r="Q182" s="41">
        <f t="shared" si="11"/>
        <v>0.49333333333333335</v>
      </c>
      <c r="R182" t="str">
        <f>IFERROR(VLOOKUP(C182,Customers!$A$2:$F$301,1,FALSE),"")</f>
        <v>CUST-0259</v>
      </c>
      <c r="S182" s="27" t="b">
        <f>IFERROR(VLOOKUP(D182,Products!$A$2:$F$61,6,FALSE),"")</f>
        <v>1</v>
      </c>
      <c r="BL182">
        <v>0</v>
      </c>
      <c r="BM182">
        <v>0</v>
      </c>
      <c r="BN182">
        <v>2.3809523809523808E-2</v>
      </c>
      <c r="BO182">
        <v>0</v>
      </c>
      <c r="BP182">
        <v>0</v>
      </c>
    </row>
    <row r="183" spans="1:68" x14ac:dyDescent="0.35">
      <c r="A183" s="26" t="str">
        <f>Orders!A183</f>
        <v>ORD-00182</v>
      </c>
      <c r="B183" s="33">
        <f>Orders!B183</f>
        <v>45443</v>
      </c>
      <c r="C183" t="str">
        <f>Orders!C183</f>
        <v>CUST-0204</v>
      </c>
      <c r="D183" t="str">
        <f>Orders!D183</f>
        <v>PROD-034</v>
      </c>
      <c r="E183" t="str">
        <f>Orders!E183</f>
        <v>R029</v>
      </c>
      <c r="F183">
        <f>Orders!F183</f>
        <v>7</v>
      </c>
      <c r="G183" s="35">
        <f>Orders!G183</f>
        <v>5080</v>
      </c>
      <c r="H183" s="37">
        <f>Orders!H183</f>
        <v>25.4</v>
      </c>
      <c r="I183" s="39">
        <f>Orders!I183</f>
        <v>26527.759999999998</v>
      </c>
      <c r="J183" t="str">
        <f>Orders!J183</f>
        <v>Pending</v>
      </c>
      <c r="K183" t="str">
        <f>Orders!K183</f>
        <v>Hyderabad</v>
      </c>
      <c r="L183" t="str">
        <f>IFERROR(VLOOKUP(D183,Products!$A$2:$F$61,3,FALSE),"")</f>
        <v>Home</v>
      </c>
      <c r="M183">
        <f>IFERROR(VLOOKUP(D183,Products!$A$2:$F$61,4,FALSE),"")</f>
        <v>2459</v>
      </c>
      <c r="N183" t="str">
        <f>IFERROR(VLOOKUP(E183,Sales_Reps!$A$2:$E$31,3,FALSE),"")</f>
        <v>West</v>
      </c>
      <c r="O183" t="str">
        <f>IFERROR(VLOOKUP(C183,Customers!$A$2:$F$301,5,FALSE),"")</f>
        <v>Retail</v>
      </c>
      <c r="P183">
        <f>IFERROR(VLOOKUP(C183,Customers!$A$2:$F$301,3,FALSE),"")</f>
        <v>60</v>
      </c>
      <c r="Q183" s="41">
        <f t="shared" si="11"/>
        <v>0.51594488188976373</v>
      </c>
      <c r="R183" t="str">
        <f>IFERROR(VLOOKUP(C183,Customers!$A$2:$F$301,1,FALSE),"")</f>
        <v>CUST-0204</v>
      </c>
      <c r="S183" s="27" t="b">
        <f>IFERROR(VLOOKUP(D183,Products!$A$2:$F$61,6,FALSE),"")</f>
        <v>1</v>
      </c>
      <c r="BL183">
        <v>0</v>
      </c>
      <c r="BM183">
        <v>0</v>
      </c>
      <c r="BN183">
        <v>1.8518518518518517E-2</v>
      </c>
      <c r="BO183">
        <v>0</v>
      </c>
      <c r="BP183">
        <v>0</v>
      </c>
    </row>
    <row r="184" spans="1:68" x14ac:dyDescent="0.35">
      <c r="A184" s="26" t="str">
        <f>Orders!A184</f>
        <v>ORD-00183</v>
      </c>
      <c r="B184" s="33">
        <f>Orders!B184</f>
        <v>45333</v>
      </c>
      <c r="C184" t="str">
        <f>Orders!C184</f>
        <v>CUST-0032</v>
      </c>
      <c r="D184" t="str">
        <f>Orders!D184</f>
        <v>PROD-021</v>
      </c>
      <c r="E184" t="str">
        <f>Orders!E184</f>
        <v>R028</v>
      </c>
      <c r="F184">
        <f>Orders!F184</f>
        <v>10</v>
      </c>
      <c r="G184" s="35">
        <f>Orders!G184</f>
        <v>2760</v>
      </c>
      <c r="H184" s="37">
        <f>Orders!H184</f>
        <v>20.100000000000001</v>
      </c>
      <c r="I184" s="39">
        <f>Orders!I184</f>
        <v>22052.400000000001</v>
      </c>
      <c r="J184" t="str">
        <f>Orders!J184</f>
        <v>Completed</v>
      </c>
      <c r="K184" t="str">
        <f>Orders!K184</f>
        <v>Hyderabad</v>
      </c>
      <c r="L184" t="str">
        <f>IFERROR(VLOOKUP(D184,Products!$A$2:$F$61,3,FALSE),"")</f>
        <v>Grocery</v>
      </c>
      <c r="M184">
        <f>IFERROR(VLOOKUP(D184,Products!$A$2:$F$61,4,FALSE),"")</f>
        <v>1435</v>
      </c>
      <c r="N184" t="str">
        <f>IFERROR(VLOOKUP(E184,Sales_Reps!$A$2:$E$31,3,FALSE),"")</f>
        <v>West</v>
      </c>
      <c r="O184" t="str">
        <f>IFERROR(VLOOKUP(C184,Customers!$A$2:$F$301,5,FALSE),"")</f>
        <v>Retail</v>
      </c>
      <c r="P184">
        <f>IFERROR(VLOOKUP(C184,Customers!$A$2:$F$301,3,FALSE),"")</f>
        <v>28</v>
      </c>
      <c r="Q184" s="41">
        <f t="shared" si="11"/>
        <v>0.48007246376811596</v>
      </c>
      <c r="R184" t="str">
        <f>IFERROR(VLOOKUP(C184,Customers!$A$2:$F$301,1,FALSE),"")</f>
        <v>CUST-0032</v>
      </c>
      <c r="S184" s="27" t="b">
        <f>IFERROR(VLOOKUP(D184,Products!$A$2:$F$61,6,FALSE),"")</f>
        <v>1</v>
      </c>
      <c r="BL184">
        <v>0</v>
      </c>
      <c r="BM184">
        <v>0</v>
      </c>
      <c r="BN184">
        <v>1.8518518518518517E-2</v>
      </c>
      <c r="BO184">
        <v>0</v>
      </c>
      <c r="BP184">
        <v>0</v>
      </c>
    </row>
    <row r="185" spans="1:68" x14ac:dyDescent="0.35">
      <c r="A185" s="26" t="str">
        <f>Orders!A185</f>
        <v>ORD-00184</v>
      </c>
      <c r="B185" s="33">
        <f>Orders!B185</f>
        <v>45456</v>
      </c>
      <c r="C185" t="str">
        <f>Orders!C185</f>
        <v>CUST-0239</v>
      </c>
      <c r="D185" t="str">
        <f>Orders!D185</f>
        <v>PROD-044</v>
      </c>
      <c r="E185" t="str">
        <f>Orders!E185</f>
        <v>R016</v>
      </c>
      <c r="F185">
        <f>Orders!F185</f>
        <v>6</v>
      </c>
      <c r="G185" s="35">
        <f>Orders!G185</f>
        <v>1650</v>
      </c>
      <c r="H185" s="37">
        <f>Orders!H185</f>
        <v>11.3</v>
      </c>
      <c r="I185" s="39">
        <f>Orders!I185</f>
        <v>8781.2999999999993</v>
      </c>
      <c r="J185" t="str">
        <f>Orders!J185</f>
        <v>Pending</v>
      </c>
      <c r="K185" t="str">
        <f>Orders!K185</f>
        <v>Mumbai</v>
      </c>
      <c r="L185" t="str">
        <f>IFERROR(VLOOKUP(D185,Products!$A$2:$F$61,3,FALSE),"")</f>
        <v>Beauty</v>
      </c>
      <c r="M185">
        <f>IFERROR(VLOOKUP(D185,Products!$A$2:$F$61,4,FALSE),"")</f>
        <v>1222</v>
      </c>
      <c r="N185" t="str">
        <f>IFERROR(VLOOKUP(E185,Sales_Reps!$A$2:$E$31,3,FALSE),"")</f>
        <v>South</v>
      </c>
      <c r="O185" t="str">
        <f>IFERROR(VLOOKUP(C185,Customers!$A$2:$F$301,5,FALSE),"")</f>
        <v>Retail</v>
      </c>
      <c r="P185">
        <f>IFERROR(VLOOKUP(C185,Customers!$A$2:$F$301,3,FALSE),"")</f>
        <v>61</v>
      </c>
      <c r="Q185" s="41">
        <f t="shared" si="11"/>
        <v>0.2593939393939394</v>
      </c>
      <c r="R185" t="str">
        <f>IFERROR(VLOOKUP(C185,Customers!$A$2:$F$301,1,FALSE),"")</f>
        <v>CUST-0239</v>
      </c>
      <c r="S185" s="27" t="b">
        <f>IFERROR(VLOOKUP(D185,Products!$A$2:$F$61,6,FALSE),"")</f>
        <v>1</v>
      </c>
      <c r="BL185">
        <v>0</v>
      </c>
      <c r="BM185">
        <v>0</v>
      </c>
      <c r="BN185">
        <v>1.8867924528301886E-2</v>
      </c>
      <c r="BO185">
        <v>0</v>
      </c>
      <c r="BP185">
        <v>0</v>
      </c>
    </row>
    <row r="186" spans="1:68" x14ac:dyDescent="0.35">
      <c r="A186" s="26" t="str">
        <f>Orders!A186</f>
        <v>ORD-00185</v>
      </c>
      <c r="B186" s="33">
        <f>Orders!B186</f>
        <v>45295</v>
      </c>
      <c r="C186" t="str">
        <f>Orders!C186</f>
        <v>CUST-0191</v>
      </c>
      <c r="D186" t="str">
        <f>Orders!D186</f>
        <v>PROD-004</v>
      </c>
      <c r="E186" t="str">
        <f>Orders!E186</f>
        <v>R007</v>
      </c>
      <c r="F186">
        <f>Orders!F186</f>
        <v>9</v>
      </c>
      <c r="G186" s="35">
        <f>Orders!G186</f>
        <v>3870</v>
      </c>
      <c r="H186" s="37">
        <f>Orders!H186</f>
        <v>27.5</v>
      </c>
      <c r="I186" s="39">
        <f>Orders!I186</f>
        <v>25251.75</v>
      </c>
      <c r="J186" t="str">
        <f>Orders!J186</f>
        <v>Completed</v>
      </c>
      <c r="K186" t="str">
        <f>Orders!K186</f>
        <v>Hyderabad</v>
      </c>
      <c r="L186" t="str">
        <f>IFERROR(VLOOKUP(D186,Products!$A$2:$F$61,3,FALSE),"")</f>
        <v>Electronics</v>
      </c>
      <c r="M186">
        <f>IFERROR(VLOOKUP(D186,Products!$A$2:$F$61,4,FALSE),"")</f>
        <v>1559</v>
      </c>
      <c r="N186" t="str">
        <f>IFERROR(VLOOKUP(E186,Sales_Reps!$A$2:$E$31,3,FALSE),"")</f>
        <v>North</v>
      </c>
      <c r="O186" t="str">
        <f>IFERROR(VLOOKUP(C186,Customers!$A$2:$F$301,5,FALSE),"")</f>
        <v>SMB</v>
      </c>
      <c r="P186">
        <f>IFERROR(VLOOKUP(C186,Customers!$A$2:$F$301,3,FALSE),"")</f>
        <v>43</v>
      </c>
      <c r="Q186" s="41">
        <f t="shared" si="11"/>
        <v>0.59715762273901807</v>
      </c>
      <c r="R186" t="str">
        <f>IFERROR(VLOOKUP(C186,Customers!$A$2:$F$301,1,FALSE),"")</f>
        <v>CUST-0191</v>
      </c>
      <c r="S186" s="27" t="b">
        <f>IFERROR(VLOOKUP(D186,Products!$A$2:$F$61,6,FALSE),"")</f>
        <v>1</v>
      </c>
      <c r="BL186">
        <v>0</v>
      </c>
      <c r="BM186">
        <v>0</v>
      </c>
      <c r="BN186">
        <v>1.9607843137254902E-2</v>
      </c>
      <c r="BO186">
        <v>0</v>
      </c>
      <c r="BP186">
        <v>0</v>
      </c>
    </row>
    <row r="187" spans="1:68" x14ac:dyDescent="0.35">
      <c r="A187" s="26" t="str">
        <f>Orders!A187</f>
        <v>ORD-00186</v>
      </c>
      <c r="B187" s="33">
        <f>Orders!B187</f>
        <v>45532</v>
      </c>
      <c r="C187" t="str">
        <f>Orders!C187</f>
        <v>CUST-0284</v>
      </c>
      <c r="D187" t="str">
        <f>Orders!D187</f>
        <v>PROD-035</v>
      </c>
      <c r="E187" t="str">
        <f>Orders!E187</f>
        <v>R022</v>
      </c>
      <c r="F187">
        <f>Orders!F187</f>
        <v>2</v>
      </c>
      <c r="G187" s="35">
        <f>Orders!G187</f>
        <v>1090</v>
      </c>
      <c r="H187" s="37">
        <f>Orders!H187</f>
        <v>18.7</v>
      </c>
      <c r="I187" s="39">
        <f>Orders!I187</f>
        <v>1772.34</v>
      </c>
      <c r="J187" t="str">
        <f>Orders!J187</f>
        <v>Refunded</v>
      </c>
      <c r="K187" t="str">
        <f>Orders!K187</f>
        <v>Hyderabad</v>
      </c>
      <c r="L187" t="str">
        <f>IFERROR(VLOOKUP(D187,Products!$A$2:$F$61,3,FALSE),"")</f>
        <v>Home</v>
      </c>
      <c r="M187">
        <f>IFERROR(VLOOKUP(D187,Products!$A$2:$F$61,4,FALSE),"")</f>
        <v>464</v>
      </c>
      <c r="N187" t="str">
        <f>IFERROR(VLOOKUP(E187,Sales_Reps!$A$2:$E$31,3,FALSE),"")</f>
        <v>East</v>
      </c>
      <c r="O187" t="str">
        <f>IFERROR(VLOOKUP(C187,Customers!$A$2:$F$301,5,FALSE),"")</f>
        <v>SMB</v>
      </c>
      <c r="P187">
        <f>IFERROR(VLOOKUP(C187,Customers!$A$2:$F$301,3,FALSE),"")</f>
        <v>65</v>
      </c>
      <c r="Q187" s="41">
        <f t="shared" si="11"/>
        <v>0.57431192660550456</v>
      </c>
      <c r="R187" t="str">
        <f>IFERROR(VLOOKUP(C187,Customers!$A$2:$F$301,1,FALSE),"")</f>
        <v>CUST-0284</v>
      </c>
      <c r="S187" s="27" t="b">
        <f>IFERROR(VLOOKUP(D187,Products!$A$2:$F$61,6,FALSE),"")</f>
        <v>1</v>
      </c>
      <c r="BL187">
        <v>0</v>
      </c>
      <c r="BM187">
        <v>0</v>
      </c>
      <c r="BN187">
        <v>2.1276595744680851E-2</v>
      </c>
      <c r="BO187">
        <v>0</v>
      </c>
      <c r="BP187">
        <v>0</v>
      </c>
    </row>
    <row r="188" spans="1:68" x14ac:dyDescent="0.35">
      <c r="A188" s="26" t="str">
        <f>Orders!A188</f>
        <v>ORD-00187</v>
      </c>
      <c r="B188" s="33">
        <f>Orders!B188</f>
        <v>45564</v>
      </c>
      <c r="C188" t="str">
        <f>Orders!C188</f>
        <v>CUST-0274</v>
      </c>
      <c r="D188" t="str">
        <f>Orders!D188</f>
        <v>PROD-049</v>
      </c>
      <c r="E188" t="str">
        <f>Orders!E188</f>
        <v>R025</v>
      </c>
      <c r="F188">
        <f>Orders!F188</f>
        <v>4</v>
      </c>
      <c r="G188" s="35">
        <f>Orders!G188</f>
        <v>960</v>
      </c>
      <c r="H188" s="37">
        <f>Orders!H188</f>
        <v>23.4</v>
      </c>
      <c r="I188" s="39">
        <f>Orders!I188</f>
        <v>2941.44</v>
      </c>
      <c r="J188" t="str">
        <f>Orders!J188</f>
        <v>Completed</v>
      </c>
      <c r="K188" t="str">
        <f>Orders!K188</f>
        <v>Bengaluru</v>
      </c>
      <c r="L188" t="str">
        <f>IFERROR(VLOOKUP(D188,Products!$A$2:$F$61,3,FALSE),"")</f>
        <v>Beauty</v>
      </c>
      <c r="M188">
        <f>IFERROR(VLOOKUP(D188,Products!$A$2:$F$61,4,FALSE),"")</f>
        <v>675</v>
      </c>
      <c r="N188" t="str">
        <f>IFERROR(VLOOKUP(E188,Sales_Reps!$A$2:$E$31,3,FALSE),"")</f>
        <v>West</v>
      </c>
      <c r="O188" t="str">
        <f>IFERROR(VLOOKUP(C188,Customers!$A$2:$F$301,5,FALSE),"")</f>
        <v>Corporate</v>
      </c>
      <c r="P188">
        <f>IFERROR(VLOOKUP(C188,Customers!$A$2:$F$301,3,FALSE),"")</f>
        <v>36</v>
      </c>
      <c r="Q188" s="41">
        <f t="shared" si="11"/>
        <v>0.296875</v>
      </c>
      <c r="R188" t="str">
        <f>IFERROR(VLOOKUP(C188,Customers!$A$2:$F$301,1,FALSE),"")</f>
        <v>CUST-0274</v>
      </c>
      <c r="S188" s="27" t="b">
        <f>IFERROR(VLOOKUP(D188,Products!$A$2:$F$61,6,FALSE),"")</f>
        <v>1</v>
      </c>
      <c r="BL188">
        <v>0</v>
      </c>
      <c r="BM188">
        <v>0</v>
      </c>
      <c r="BN188">
        <v>1.8867924528301886E-2</v>
      </c>
      <c r="BO188">
        <v>0</v>
      </c>
      <c r="BP188">
        <v>0</v>
      </c>
    </row>
    <row r="189" spans="1:68" x14ac:dyDescent="0.35">
      <c r="A189" s="26" t="str">
        <f>Orders!A189</f>
        <v>ORD-00188</v>
      </c>
      <c r="B189" s="33">
        <f>Orders!B189</f>
        <v>45539</v>
      </c>
      <c r="C189" t="str">
        <f>Orders!C189</f>
        <v>CUST-0234</v>
      </c>
      <c r="D189" t="str">
        <f>Orders!D189</f>
        <v>PROD-043</v>
      </c>
      <c r="E189" t="str">
        <f>Orders!E189</f>
        <v>R021</v>
      </c>
      <c r="F189">
        <f>Orders!F189</f>
        <v>3</v>
      </c>
      <c r="G189" s="35">
        <f>Orders!G189</f>
        <v>3350</v>
      </c>
      <c r="H189" s="37">
        <f>Orders!H189</f>
        <v>17.899999999999999</v>
      </c>
      <c r="I189" s="39">
        <f>Orders!I189</f>
        <v>8251.0499999999993</v>
      </c>
      <c r="J189" t="str">
        <f>Orders!J189</f>
        <v>Completed</v>
      </c>
      <c r="K189" t="str">
        <f>Orders!K189</f>
        <v>Bengaluru</v>
      </c>
      <c r="L189" t="str">
        <f>IFERROR(VLOOKUP(D189,Products!$A$2:$F$61,3,FALSE),"")</f>
        <v>Beauty</v>
      </c>
      <c r="M189">
        <f>IFERROR(VLOOKUP(D189,Products!$A$2:$F$61,4,FALSE),"")</f>
        <v>1728</v>
      </c>
      <c r="N189" t="str">
        <f>IFERROR(VLOOKUP(E189,Sales_Reps!$A$2:$E$31,3,FALSE),"")</f>
        <v>East</v>
      </c>
      <c r="O189" t="str">
        <f>IFERROR(VLOOKUP(C189,Customers!$A$2:$F$301,5,FALSE),"")</f>
        <v>Retail</v>
      </c>
      <c r="P189">
        <f>IFERROR(VLOOKUP(C189,Customers!$A$2:$F$301,3,FALSE),"")</f>
        <v>34</v>
      </c>
      <c r="Q189" s="41">
        <f t="shared" si="11"/>
        <v>0.48417910447761192</v>
      </c>
      <c r="R189" t="str">
        <f>IFERROR(VLOOKUP(C189,Customers!$A$2:$F$301,1,FALSE),"")</f>
        <v>CUST-0234</v>
      </c>
      <c r="S189" s="27" t="b">
        <f>IFERROR(VLOOKUP(D189,Products!$A$2:$F$61,6,FALSE),"")</f>
        <v>1</v>
      </c>
      <c r="BL189">
        <v>0</v>
      </c>
      <c r="BM189">
        <v>0</v>
      </c>
      <c r="BN189">
        <v>2.1276595744680851E-2</v>
      </c>
      <c r="BO189">
        <v>0</v>
      </c>
      <c r="BP189">
        <v>0</v>
      </c>
    </row>
    <row r="190" spans="1:68" x14ac:dyDescent="0.35">
      <c r="A190" s="26" t="str">
        <f>Orders!A190</f>
        <v>ORD-00189</v>
      </c>
      <c r="B190" s="33">
        <f>Orders!B190</f>
        <v>45605</v>
      </c>
      <c r="C190" t="str">
        <f>Orders!C190</f>
        <v>CUST-0264</v>
      </c>
      <c r="D190" t="str">
        <f>Orders!D190</f>
        <v>PROD-022</v>
      </c>
      <c r="E190" t="str">
        <f>Orders!E190</f>
        <v>R005</v>
      </c>
      <c r="F190">
        <f>Orders!F190</f>
        <v>4</v>
      </c>
      <c r="G190" s="35">
        <f>Orders!G190</f>
        <v>2270</v>
      </c>
      <c r="H190" s="37">
        <f>Orders!H190</f>
        <v>29</v>
      </c>
      <c r="I190" s="39">
        <f>Orders!I190</f>
        <v>6446.8</v>
      </c>
      <c r="J190" t="str">
        <f>Orders!J190</f>
        <v>Completed</v>
      </c>
      <c r="K190" t="str">
        <f>Orders!K190</f>
        <v>Pune</v>
      </c>
      <c r="L190" t="str">
        <f>IFERROR(VLOOKUP(D190,Products!$A$2:$F$61,3,FALSE),"")</f>
        <v>Grocery</v>
      </c>
      <c r="M190">
        <f>IFERROR(VLOOKUP(D190,Products!$A$2:$F$61,4,FALSE),"")</f>
        <v>1412</v>
      </c>
      <c r="N190" t="str">
        <f>IFERROR(VLOOKUP(E190,Sales_Reps!$A$2:$E$31,3,FALSE),"")</f>
        <v>North</v>
      </c>
      <c r="O190" t="str">
        <f>IFERROR(VLOOKUP(C190,Customers!$A$2:$F$301,5,FALSE),"")</f>
        <v>Retail</v>
      </c>
      <c r="P190">
        <f>IFERROR(VLOOKUP(C190,Customers!$A$2:$F$301,3,FALSE),"")</f>
        <v>59</v>
      </c>
      <c r="Q190" s="41">
        <f t="shared" si="11"/>
        <v>0.37797356828193834</v>
      </c>
      <c r="R190" t="str">
        <f>IFERROR(VLOOKUP(C190,Customers!$A$2:$F$301,1,FALSE),"")</f>
        <v>CUST-0264</v>
      </c>
      <c r="S190" s="27" t="b">
        <f>IFERROR(VLOOKUP(D190,Products!$A$2:$F$61,6,FALSE),"")</f>
        <v>1</v>
      </c>
      <c r="BL190">
        <v>0</v>
      </c>
      <c r="BM190">
        <v>0</v>
      </c>
      <c r="BN190">
        <v>1.8867924528301886E-2</v>
      </c>
      <c r="BO190">
        <v>0</v>
      </c>
      <c r="BP190">
        <v>0</v>
      </c>
    </row>
    <row r="191" spans="1:68" x14ac:dyDescent="0.35">
      <c r="A191" s="26" t="str">
        <f>Orders!A191</f>
        <v>ORD-00190</v>
      </c>
      <c r="B191" s="33">
        <f>Orders!B191</f>
        <v>45460</v>
      </c>
      <c r="C191" t="str">
        <f>Orders!C191</f>
        <v>CUST-0192</v>
      </c>
      <c r="D191" t="str">
        <f>Orders!D191</f>
        <v>PROD-039</v>
      </c>
      <c r="E191" t="str">
        <f>Orders!E191</f>
        <v>R023</v>
      </c>
      <c r="F191">
        <f>Orders!F191</f>
        <v>9</v>
      </c>
      <c r="G191" s="35">
        <f>Orders!G191</f>
        <v>4610</v>
      </c>
      <c r="H191" s="37">
        <f>Orders!H191</f>
        <v>28.3</v>
      </c>
      <c r="I191" s="39">
        <f>Orders!I191</f>
        <v>29748.33</v>
      </c>
      <c r="J191" t="str">
        <f>Orders!J191</f>
        <v>Pending</v>
      </c>
      <c r="K191" t="str">
        <f>Orders!K191</f>
        <v>Bengaluru</v>
      </c>
      <c r="L191" t="str">
        <f>IFERROR(VLOOKUP(D191,Products!$A$2:$F$61,3,FALSE),"")</f>
        <v>Home</v>
      </c>
      <c r="M191">
        <f>IFERROR(VLOOKUP(D191,Products!$A$2:$F$61,4,FALSE),"")</f>
        <v>1850</v>
      </c>
      <c r="N191" t="str">
        <f>IFERROR(VLOOKUP(E191,Sales_Reps!$A$2:$E$31,3,FALSE),"")</f>
        <v>East</v>
      </c>
      <c r="O191" t="str">
        <f>IFERROR(VLOOKUP(C191,Customers!$A$2:$F$301,5,FALSE),"")</f>
        <v>Retail</v>
      </c>
      <c r="P191">
        <f>IFERROR(VLOOKUP(C191,Customers!$A$2:$F$301,3,FALSE),"")</f>
        <v>55</v>
      </c>
      <c r="Q191" s="41">
        <f t="shared" si="11"/>
        <v>0.59869848156182215</v>
      </c>
      <c r="R191" t="str">
        <f>IFERROR(VLOOKUP(C191,Customers!$A$2:$F$301,1,FALSE),"")</f>
        <v>CUST-0192</v>
      </c>
      <c r="S191" s="27" t="b">
        <f>IFERROR(VLOOKUP(D191,Products!$A$2:$F$61,6,FALSE),"")</f>
        <v>1</v>
      </c>
      <c r="BL191">
        <v>0</v>
      </c>
      <c r="BM191">
        <v>0</v>
      </c>
      <c r="BN191">
        <v>1.9607843137254902E-2</v>
      </c>
      <c r="BO191">
        <v>0</v>
      </c>
      <c r="BP191">
        <v>0</v>
      </c>
    </row>
    <row r="192" spans="1:68" x14ac:dyDescent="0.35">
      <c r="A192" s="26" t="str">
        <f>Orders!A192</f>
        <v>ORD-00191</v>
      </c>
      <c r="B192" s="33">
        <f>Orders!B192</f>
        <v>45538</v>
      </c>
      <c r="C192" t="str">
        <f>Orders!C192</f>
        <v>CUST-0041</v>
      </c>
      <c r="D192" t="str">
        <f>Orders!D192</f>
        <v>PROD-012</v>
      </c>
      <c r="E192" t="str">
        <f>Orders!E192</f>
        <v>R009</v>
      </c>
      <c r="F192">
        <f>Orders!F192</f>
        <v>3</v>
      </c>
      <c r="G192" s="35">
        <f>Orders!G192</f>
        <v>3160</v>
      </c>
      <c r="H192" s="37">
        <f>Orders!H192</f>
        <v>7.3</v>
      </c>
      <c r="I192" s="39">
        <f>Orders!I192</f>
        <v>8787.9599999999991</v>
      </c>
      <c r="J192" t="str">
        <f>Orders!J192</f>
        <v>Completed</v>
      </c>
      <c r="K192" t="str">
        <f>Orders!K192</f>
        <v>Bengaluru</v>
      </c>
      <c r="L192" t="str">
        <f>IFERROR(VLOOKUP(D192,Products!$A$2:$F$61,3,FALSE),"")</f>
        <v>Apparel</v>
      </c>
      <c r="M192">
        <f>IFERROR(VLOOKUP(D192,Products!$A$2:$F$61,4,FALSE),"")</f>
        <v>1886</v>
      </c>
      <c r="N192" t="str">
        <f>IFERROR(VLOOKUP(E192,Sales_Reps!$A$2:$E$31,3,FALSE),"")</f>
        <v>South</v>
      </c>
      <c r="O192" t="str">
        <f>IFERROR(VLOOKUP(C192,Customers!$A$2:$F$301,5,FALSE),"")</f>
        <v>SMB</v>
      </c>
      <c r="P192">
        <f>IFERROR(VLOOKUP(C192,Customers!$A$2:$F$301,3,FALSE),"")</f>
        <v>26</v>
      </c>
      <c r="Q192" s="41">
        <f t="shared" si="11"/>
        <v>0.4031645569620253</v>
      </c>
      <c r="R192" t="str">
        <f>IFERROR(VLOOKUP(C192,Customers!$A$2:$F$301,1,FALSE),"")</f>
        <v>CUST-0041</v>
      </c>
      <c r="S192" s="27" t="b">
        <f>IFERROR(VLOOKUP(D192,Products!$A$2:$F$61,6,FALSE),"")</f>
        <v>1</v>
      </c>
      <c r="BL192">
        <v>0</v>
      </c>
      <c r="BM192">
        <v>0</v>
      </c>
      <c r="BN192">
        <v>1.9607843137254902E-2</v>
      </c>
      <c r="BO192">
        <v>0</v>
      </c>
      <c r="BP192">
        <v>0</v>
      </c>
    </row>
    <row r="193" spans="1:68" x14ac:dyDescent="0.35">
      <c r="A193" s="26" t="str">
        <f>Orders!A193</f>
        <v>ORD-00192</v>
      </c>
      <c r="B193" s="33">
        <f>Orders!B193</f>
        <v>45573</v>
      </c>
      <c r="C193" t="str">
        <f>Orders!C193</f>
        <v>CUST-0043</v>
      </c>
      <c r="D193" t="str">
        <f>Orders!D193</f>
        <v>PROD-022</v>
      </c>
      <c r="E193" t="str">
        <f>Orders!E193</f>
        <v>R004</v>
      </c>
      <c r="F193">
        <f>Orders!F193</f>
        <v>8</v>
      </c>
      <c r="G193" s="35">
        <f>Orders!G193</f>
        <v>2270</v>
      </c>
      <c r="H193" s="37">
        <f>Orders!H193</f>
        <v>15.6</v>
      </c>
      <c r="I193" s="39">
        <f>Orders!I193</f>
        <v>15327.04</v>
      </c>
      <c r="J193" t="str">
        <f>Orders!J193</f>
        <v>Completed</v>
      </c>
      <c r="K193" t="str">
        <f>Orders!K193</f>
        <v>Hyderabad</v>
      </c>
      <c r="L193" t="str">
        <f>IFERROR(VLOOKUP(D193,Products!$A$2:$F$61,3,FALSE),"")</f>
        <v>Grocery</v>
      </c>
      <c r="M193">
        <f>IFERROR(VLOOKUP(D193,Products!$A$2:$F$61,4,FALSE),"")</f>
        <v>1412</v>
      </c>
      <c r="N193" t="str">
        <f>IFERROR(VLOOKUP(E193,Sales_Reps!$A$2:$E$31,3,FALSE),"")</f>
        <v>North</v>
      </c>
      <c r="O193" t="str">
        <f>IFERROR(VLOOKUP(C193,Customers!$A$2:$F$301,5,FALSE),"")</f>
        <v>Retail</v>
      </c>
      <c r="P193">
        <f>IFERROR(VLOOKUP(C193,Customers!$A$2:$F$301,3,FALSE),"")</f>
        <v>61</v>
      </c>
      <c r="Q193" s="41">
        <f t="shared" si="11"/>
        <v>0.37797356828193834</v>
      </c>
      <c r="R193" t="str">
        <f>IFERROR(VLOOKUP(C193,Customers!$A$2:$F$301,1,FALSE),"")</f>
        <v>CUST-0043</v>
      </c>
      <c r="S193" s="27" t="b">
        <f>IFERROR(VLOOKUP(D193,Products!$A$2:$F$61,6,FALSE),"")</f>
        <v>1</v>
      </c>
      <c r="BL193">
        <v>0</v>
      </c>
      <c r="BM193">
        <v>0</v>
      </c>
      <c r="BN193">
        <v>2.1276595744680851E-2</v>
      </c>
      <c r="BO193">
        <v>0</v>
      </c>
      <c r="BP193">
        <v>0</v>
      </c>
    </row>
    <row r="194" spans="1:68" x14ac:dyDescent="0.35">
      <c r="A194" s="26" t="str">
        <f>Orders!A194</f>
        <v>ORD-00193</v>
      </c>
      <c r="B194" s="33">
        <f>Orders!B194</f>
        <v>45483</v>
      </c>
      <c r="C194" t="str">
        <f>Orders!C194</f>
        <v>CUST-0147</v>
      </c>
      <c r="D194" t="str">
        <f>Orders!D194</f>
        <v>PROD-045</v>
      </c>
      <c r="E194" t="str">
        <f>Orders!E194</f>
        <v>R028</v>
      </c>
      <c r="F194">
        <f>Orders!F194</f>
        <v>8</v>
      </c>
      <c r="G194" s="35">
        <f>Orders!G194</f>
        <v>3020</v>
      </c>
      <c r="H194" s="37">
        <f>Orders!H194</f>
        <v>16.3</v>
      </c>
      <c r="I194" s="39">
        <f>Orders!I194</f>
        <v>20221.919999999998</v>
      </c>
      <c r="J194" t="str">
        <f>Orders!J194</f>
        <v>Cancelled</v>
      </c>
      <c r="K194" t="str">
        <f>Orders!K194</f>
        <v>Pune</v>
      </c>
      <c r="L194" t="str">
        <f>IFERROR(VLOOKUP(D194,Products!$A$2:$F$61,3,FALSE),"")</f>
        <v>Beauty</v>
      </c>
      <c r="M194">
        <f>IFERROR(VLOOKUP(D194,Products!$A$2:$F$61,4,FALSE),"")</f>
        <v>1626</v>
      </c>
      <c r="N194" t="str">
        <f>IFERROR(VLOOKUP(E194,Sales_Reps!$A$2:$E$31,3,FALSE),"")</f>
        <v>West</v>
      </c>
      <c r="O194" t="str">
        <f>IFERROR(VLOOKUP(C194,Customers!$A$2:$F$301,5,FALSE),"")</f>
        <v>Retail</v>
      </c>
      <c r="P194">
        <f>IFERROR(VLOOKUP(C194,Customers!$A$2:$F$301,3,FALSE),"")</f>
        <v>56</v>
      </c>
      <c r="Q194" s="41">
        <f t="shared" ref="Q194:Q257" si="12">IFERROR((G194-M194)/G194,0)</f>
        <v>0.46158940397350995</v>
      </c>
      <c r="R194" t="str">
        <f>IFERROR(VLOOKUP(C194,Customers!$A$2:$F$301,1,FALSE),"")</f>
        <v>CUST-0147</v>
      </c>
      <c r="S194" s="27" t="b">
        <f>IFERROR(VLOOKUP(D194,Products!$A$2:$F$61,6,FALSE),"")</f>
        <v>1</v>
      </c>
      <c r="BL194">
        <v>0</v>
      </c>
      <c r="BM194">
        <v>0</v>
      </c>
      <c r="BN194">
        <v>2.1276595744680851E-2</v>
      </c>
      <c r="BO194">
        <v>0</v>
      </c>
      <c r="BP194">
        <v>0</v>
      </c>
    </row>
    <row r="195" spans="1:68" x14ac:dyDescent="0.35">
      <c r="A195" s="26" t="str">
        <f>Orders!A195</f>
        <v>ORD-00194</v>
      </c>
      <c r="B195" s="33">
        <f>Orders!B195</f>
        <v>45617</v>
      </c>
      <c r="C195" t="str">
        <f>Orders!C195</f>
        <v>CUST-0056</v>
      </c>
      <c r="D195" t="str">
        <f>Orders!D195</f>
        <v>PROD-056</v>
      </c>
      <c r="E195" t="str">
        <f>Orders!E195</f>
        <v>R030</v>
      </c>
      <c r="F195">
        <f>Orders!F195</f>
        <v>7</v>
      </c>
      <c r="G195" s="35">
        <f>Orders!G195</f>
        <v>6940</v>
      </c>
      <c r="H195" s="37">
        <f>Orders!H195</f>
        <v>8.5</v>
      </c>
      <c r="I195" s="39">
        <f>Orders!I195</f>
        <v>44450.7</v>
      </c>
      <c r="J195" t="str">
        <f>Orders!J195</f>
        <v>Completed</v>
      </c>
      <c r="K195" t="str">
        <f>Orders!K195</f>
        <v>Bengaluru</v>
      </c>
      <c r="L195" t="str">
        <f>IFERROR(VLOOKUP(D195,Products!$A$2:$F$61,3,FALSE),"")</f>
        <v>Sports</v>
      </c>
      <c r="M195">
        <f>IFERROR(VLOOKUP(D195,Products!$A$2:$F$61,4,FALSE),"")</f>
        <v>2827</v>
      </c>
      <c r="N195" t="str">
        <f>IFERROR(VLOOKUP(E195,Sales_Reps!$A$2:$E$31,3,FALSE),"")</f>
        <v>West</v>
      </c>
      <c r="O195" t="str">
        <f>IFERROR(VLOOKUP(C195,Customers!$A$2:$F$301,5,FALSE),"")</f>
        <v>SMB</v>
      </c>
      <c r="P195">
        <f>IFERROR(VLOOKUP(C195,Customers!$A$2:$F$301,3,FALSE),"")</f>
        <v>46</v>
      </c>
      <c r="Q195" s="41">
        <f t="shared" si="12"/>
        <v>0.5926512968299712</v>
      </c>
      <c r="R195" t="str">
        <f>IFERROR(VLOOKUP(C195,Customers!$A$2:$F$301,1,FALSE),"")</f>
        <v>CUST-0056</v>
      </c>
      <c r="S195" s="27" t="b">
        <f>IFERROR(VLOOKUP(D195,Products!$A$2:$F$61,6,FALSE),"")</f>
        <v>1</v>
      </c>
      <c r="BL195">
        <v>0</v>
      </c>
      <c r="BM195">
        <v>0</v>
      </c>
      <c r="BN195">
        <v>2.3809523809523808E-2</v>
      </c>
      <c r="BO195">
        <v>0</v>
      </c>
      <c r="BP195">
        <v>0</v>
      </c>
    </row>
    <row r="196" spans="1:68" x14ac:dyDescent="0.35">
      <c r="A196" s="26" t="str">
        <f>Orders!A196</f>
        <v>ORD-00195</v>
      </c>
      <c r="B196" s="33">
        <f>Orders!B196</f>
        <v>45546</v>
      </c>
      <c r="C196" t="str">
        <f>Orders!C196</f>
        <v>CUST-0059</v>
      </c>
      <c r="D196" t="str">
        <f>Orders!D196</f>
        <v>PROD-041</v>
      </c>
      <c r="E196" t="str">
        <f>Orders!E196</f>
        <v>R012</v>
      </c>
      <c r="F196">
        <f>Orders!F196</f>
        <v>8</v>
      </c>
      <c r="G196" s="35">
        <f>Orders!G196</f>
        <v>1540</v>
      </c>
      <c r="H196" s="37">
        <f>Orders!H196</f>
        <v>21</v>
      </c>
      <c r="I196" s="39">
        <f>Orders!I196</f>
        <v>9732.7999999999993</v>
      </c>
      <c r="J196" t="str">
        <f>Orders!J196</f>
        <v>Completed</v>
      </c>
      <c r="K196" t="str">
        <f>Orders!K196</f>
        <v>Pune</v>
      </c>
      <c r="L196" t="str">
        <f>IFERROR(VLOOKUP(D196,Products!$A$2:$F$61,3,FALSE),"")</f>
        <v>Beauty</v>
      </c>
      <c r="M196">
        <f>IFERROR(VLOOKUP(D196,Products!$A$2:$F$61,4,FALSE),"")</f>
        <v>647</v>
      </c>
      <c r="N196" t="str">
        <f>IFERROR(VLOOKUP(E196,Sales_Reps!$A$2:$E$31,3,FALSE),"")</f>
        <v>South</v>
      </c>
      <c r="O196" t="str">
        <f>IFERROR(VLOOKUP(C196,Customers!$A$2:$F$301,5,FALSE),"")</f>
        <v>Corporate</v>
      </c>
      <c r="P196">
        <f>IFERROR(VLOOKUP(C196,Customers!$A$2:$F$301,3,FALSE),"")</f>
        <v>29</v>
      </c>
      <c r="Q196" s="41">
        <f t="shared" si="12"/>
        <v>0.57987012987012987</v>
      </c>
      <c r="R196" t="str">
        <f>IFERROR(VLOOKUP(C196,Customers!$A$2:$F$301,1,FALSE),"")</f>
        <v>CUST-0059</v>
      </c>
      <c r="S196" s="27" t="b">
        <f>IFERROR(VLOOKUP(D196,Products!$A$2:$F$61,6,FALSE),"")</f>
        <v>0</v>
      </c>
      <c r="BL196">
        <v>0</v>
      </c>
      <c r="BM196">
        <v>1</v>
      </c>
      <c r="BN196">
        <v>2.1276595744680851E-2</v>
      </c>
      <c r="BO196">
        <v>0</v>
      </c>
      <c r="BP196">
        <v>1</v>
      </c>
    </row>
    <row r="197" spans="1:68" x14ac:dyDescent="0.35">
      <c r="A197" s="26" t="str">
        <f>Orders!A197</f>
        <v>ORD-00196</v>
      </c>
      <c r="B197" s="33">
        <f>Orders!B197</f>
        <v>45380</v>
      </c>
      <c r="C197" t="str">
        <f>Orders!C197</f>
        <v>CUST-0047</v>
      </c>
      <c r="D197" t="str">
        <f>Orders!D197</f>
        <v>PROD-019</v>
      </c>
      <c r="E197" t="str">
        <f>Orders!E197</f>
        <v>R029</v>
      </c>
      <c r="F197">
        <f>Orders!F197</f>
        <v>6</v>
      </c>
      <c r="G197" s="35">
        <f>Orders!G197</f>
        <v>2480</v>
      </c>
      <c r="H197" s="37">
        <f>Orders!H197</f>
        <v>27.9</v>
      </c>
      <c r="I197" s="39">
        <f>Orders!I197</f>
        <v>10728.48</v>
      </c>
      <c r="J197" t="str">
        <f>Orders!J197</f>
        <v>Completed</v>
      </c>
      <c r="K197" t="str">
        <f>Orders!K197</f>
        <v>Pune</v>
      </c>
      <c r="L197" t="str">
        <f>IFERROR(VLOOKUP(D197,Products!$A$2:$F$61,3,FALSE),"")</f>
        <v>Apparel</v>
      </c>
      <c r="M197">
        <f>IFERROR(VLOOKUP(D197,Products!$A$2:$F$61,4,FALSE),"")</f>
        <v>1173</v>
      </c>
      <c r="N197" t="str">
        <f>IFERROR(VLOOKUP(E197,Sales_Reps!$A$2:$E$31,3,FALSE),"")</f>
        <v>West</v>
      </c>
      <c r="O197" t="str">
        <f>IFERROR(VLOOKUP(C197,Customers!$A$2:$F$301,5,FALSE),"")</f>
        <v>Retail</v>
      </c>
      <c r="P197">
        <f>IFERROR(VLOOKUP(C197,Customers!$A$2:$F$301,3,FALSE),"")</f>
        <v>49</v>
      </c>
      <c r="Q197" s="41">
        <f t="shared" si="12"/>
        <v>0.52701612903225803</v>
      </c>
      <c r="R197" t="str">
        <f>IFERROR(VLOOKUP(C197,Customers!$A$2:$F$301,1,FALSE),"")</f>
        <v>CUST-0047</v>
      </c>
      <c r="S197" s="27" t="b">
        <f>IFERROR(VLOOKUP(D197,Products!$A$2:$F$61,6,FALSE),"")</f>
        <v>1</v>
      </c>
      <c r="BL197">
        <v>0</v>
      </c>
      <c r="BM197">
        <v>0</v>
      </c>
      <c r="BN197">
        <v>1.8867924528301886E-2</v>
      </c>
      <c r="BO197">
        <v>0</v>
      </c>
      <c r="BP197">
        <v>0</v>
      </c>
    </row>
    <row r="198" spans="1:68" x14ac:dyDescent="0.35">
      <c r="A198" s="26" t="str">
        <f>Orders!A198</f>
        <v>ORD-00197</v>
      </c>
      <c r="B198" s="33">
        <f>Orders!B198</f>
        <v>45320</v>
      </c>
      <c r="C198" t="str">
        <f>Orders!C198</f>
        <v>CUST-0162</v>
      </c>
      <c r="D198" t="str">
        <f>Orders!D198</f>
        <v>PROD-060</v>
      </c>
      <c r="E198" t="str">
        <f>Orders!E198</f>
        <v>R022</v>
      </c>
      <c r="F198">
        <f>Orders!F198</f>
        <v>4</v>
      </c>
      <c r="G198" s="35">
        <f>Orders!G198</f>
        <v>190</v>
      </c>
      <c r="H198" s="37">
        <f>Orders!H198</f>
        <v>21.5</v>
      </c>
      <c r="I198" s="39">
        <f>Orders!I198</f>
        <v>596.6</v>
      </c>
      <c r="J198" t="str">
        <f>Orders!J198</f>
        <v>Completed</v>
      </c>
      <c r="K198" t="str">
        <f>Orders!K198</f>
        <v>Mumbai</v>
      </c>
      <c r="L198" t="str">
        <f>IFERROR(VLOOKUP(D198,Products!$A$2:$F$61,3,FALSE),"")</f>
        <v>Sports</v>
      </c>
      <c r="M198">
        <f>IFERROR(VLOOKUP(D198,Products!$A$2:$F$61,4,FALSE),"")</f>
        <v>147</v>
      </c>
      <c r="N198" t="str">
        <f>IFERROR(VLOOKUP(E198,Sales_Reps!$A$2:$E$31,3,FALSE),"")</f>
        <v>East</v>
      </c>
      <c r="O198" t="str">
        <f>IFERROR(VLOOKUP(C198,Customers!$A$2:$F$301,5,FALSE),"")</f>
        <v>Corporate</v>
      </c>
      <c r="P198">
        <f>IFERROR(VLOOKUP(C198,Customers!$A$2:$F$301,3,FALSE),"")</f>
        <v>35</v>
      </c>
      <c r="Q198" s="41">
        <f t="shared" si="12"/>
        <v>0.22631578947368422</v>
      </c>
      <c r="R198" t="str">
        <f>IFERROR(VLOOKUP(C198,Customers!$A$2:$F$301,1,FALSE),"")</f>
        <v>CUST-0162</v>
      </c>
      <c r="S198" s="27" t="b">
        <f>IFERROR(VLOOKUP(D198,Products!$A$2:$F$61,6,FALSE),"")</f>
        <v>1</v>
      </c>
      <c r="BL198">
        <v>0</v>
      </c>
      <c r="BM198">
        <v>0</v>
      </c>
      <c r="BN198">
        <v>2.1276595744680851E-2</v>
      </c>
      <c r="BO198">
        <v>0</v>
      </c>
      <c r="BP198">
        <v>0</v>
      </c>
    </row>
    <row r="199" spans="1:68" x14ac:dyDescent="0.35">
      <c r="A199" s="26" t="str">
        <f>Orders!A199</f>
        <v>ORD-00198</v>
      </c>
      <c r="B199" s="33">
        <f>Orders!B199</f>
        <v>45355</v>
      </c>
      <c r="C199" t="str">
        <f>Orders!C199</f>
        <v>CUST-0121</v>
      </c>
      <c r="D199" t="str">
        <f>Orders!D199</f>
        <v>PROD-055</v>
      </c>
      <c r="E199" t="str">
        <f>Orders!E199</f>
        <v>R014</v>
      </c>
      <c r="F199">
        <f>Orders!F199</f>
        <v>1</v>
      </c>
      <c r="G199" s="35">
        <f>Orders!G199</f>
        <v>2860</v>
      </c>
      <c r="H199" s="37">
        <f>Orders!H199</f>
        <v>15.3</v>
      </c>
      <c r="I199" s="39">
        <f>Orders!I199</f>
        <v>2422.42</v>
      </c>
      <c r="J199" t="str">
        <f>Orders!J199</f>
        <v>Completed</v>
      </c>
      <c r="K199" t="str">
        <f>Orders!K199</f>
        <v>Delhi</v>
      </c>
      <c r="L199" t="str">
        <f>IFERROR(VLOOKUP(D199,Products!$A$2:$F$61,3,FALSE),"")</f>
        <v>Sports</v>
      </c>
      <c r="M199">
        <f>IFERROR(VLOOKUP(D199,Products!$A$2:$F$61,4,FALSE),"")</f>
        <v>2028</v>
      </c>
      <c r="N199" t="str">
        <f>IFERROR(VLOOKUP(E199,Sales_Reps!$A$2:$E$31,3,FALSE),"")</f>
        <v>South</v>
      </c>
      <c r="O199" t="str">
        <f>IFERROR(VLOOKUP(C199,Customers!$A$2:$F$301,5,FALSE),"")</f>
        <v>SMB</v>
      </c>
      <c r="P199">
        <f>IFERROR(VLOOKUP(C199,Customers!$A$2:$F$301,3,FALSE),"")</f>
        <v>55</v>
      </c>
      <c r="Q199" s="41">
        <f t="shared" si="12"/>
        <v>0.29090909090909089</v>
      </c>
      <c r="R199" t="str">
        <f>IFERROR(VLOOKUP(C199,Customers!$A$2:$F$301,1,FALSE),"")</f>
        <v>CUST-0121</v>
      </c>
      <c r="S199" s="27" t="b">
        <f>IFERROR(VLOOKUP(D199,Products!$A$2:$F$61,6,FALSE),"")</f>
        <v>1</v>
      </c>
      <c r="BL199">
        <v>0</v>
      </c>
      <c r="BM199">
        <v>0</v>
      </c>
      <c r="BN199">
        <v>1.8867924528301886E-2</v>
      </c>
      <c r="BO199">
        <v>0</v>
      </c>
      <c r="BP199">
        <v>0</v>
      </c>
    </row>
    <row r="200" spans="1:68" x14ac:dyDescent="0.35">
      <c r="A200" s="26" t="str">
        <f>Orders!A200</f>
        <v>ORD-00199</v>
      </c>
      <c r="B200" s="33">
        <f>Orders!B200</f>
        <v>45350</v>
      </c>
      <c r="C200" t="str">
        <f>Orders!C200</f>
        <v>CUST-0075</v>
      </c>
      <c r="D200" t="str">
        <f>Orders!D200</f>
        <v>PROD-017</v>
      </c>
      <c r="E200" t="str">
        <f>Orders!E200</f>
        <v>R015</v>
      </c>
      <c r="F200">
        <f>Orders!F200</f>
        <v>4</v>
      </c>
      <c r="G200" s="35">
        <f>Orders!G200</f>
        <v>2510</v>
      </c>
      <c r="H200" s="37">
        <f>Orders!H200</f>
        <v>10.1</v>
      </c>
      <c r="I200" s="39">
        <f>Orders!I200</f>
        <v>9025.9599999999991</v>
      </c>
      <c r="J200" t="str">
        <f>Orders!J200</f>
        <v>Refunded</v>
      </c>
      <c r="K200" t="str">
        <f>Orders!K200</f>
        <v>Mumbai</v>
      </c>
      <c r="L200" t="str">
        <f>IFERROR(VLOOKUP(D200,Products!$A$2:$F$61,3,FALSE),"")</f>
        <v>Apparel</v>
      </c>
      <c r="M200">
        <f>IFERROR(VLOOKUP(D200,Products!$A$2:$F$61,4,FALSE),"")</f>
        <v>1075</v>
      </c>
      <c r="N200" t="str">
        <f>IFERROR(VLOOKUP(E200,Sales_Reps!$A$2:$E$31,3,FALSE),"")</f>
        <v>South</v>
      </c>
      <c r="O200" t="str">
        <f>IFERROR(VLOOKUP(C200,Customers!$A$2:$F$301,5,FALSE),"")</f>
        <v>Corporate</v>
      </c>
      <c r="P200">
        <f>IFERROR(VLOOKUP(C200,Customers!$A$2:$F$301,3,FALSE),"")</f>
        <v>55</v>
      </c>
      <c r="Q200" s="41">
        <f t="shared" si="12"/>
        <v>0.57171314741035861</v>
      </c>
      <c r="R200" t="str">
        <f>IFERROR(VLOOKUP(C200,Customers!$A$2:$F$301,1,FALSE),"")</f>
        <v>CUST-0075</v>
      </c>
      <c r="S200" s="27" t="b">
        <f>IFERROR(VLOOKUP(D200,Products!$A$2:$F$61,6,FALSE),"")</f>
        <v>0</v>
      </c>
      <c r="BL200">
        <v>0</v>
      </c>
      <c r="BM200">
        <v>0</v>
      </c>
      <c r="BN200">
        <v>1.9607843137254902E-2</v>
      </c>
      <c r="BO200">
        <v>0</v>
      </c>
      <c r="BP200">
        <v>1</v>
      </c>
    </row>
    <row r="201" spans="1:68" x14ac:dyDescent="0.35">
      <c r="A201" s="26" t="str">
        <f>Orders!A201</f>
        <v>ORD-00200</v>
      </c>
      <c r="B201" s="33">
        <f>Orders!B201</f>
        <v>45587</v>
      </c>
      <c r="C201" t="str">
        <f>Orders!C201</f>
        <v>CUST-0025</v>
      </c>
      <c r="D201" t="str">
        <f>Orders!D201</f>
        <v>PROD-003</v>
      </c>
      <c r="E201" t="str">
        <f>Orders!E201</f>
        <v>R003</v>
      </c>
      <c r="F201">
        <f>Orders!F201</f>
        <v>2</v>
      </c>
      <c r="G201" s="35">
        <f>Orders!G201</f>
        <v>3570</v>
      </c>
      <c r="H201" s="37">
        <f>Orders!H201</f>
        <v>11.6</v>
      </c>
      <c r="I201" s="39">
        <f>Orders!I201</f>
        <v>6311.76</v>
      </c>
      <c r="J201" t="str">
        <f>Orders!J201</f>
        <v>Pending</v>
      </c>
      <c r="K201" t="str">
        <f>Orders!K201</f>
        <v>Bengaluru</v>
      </c>
      <c r="L201" t="str">
        <f>IFERROR(VLOOKUP(D201,Products!$A$2:$F$61,3,FALSE),"")</f>
        <v>Electronics</v>
      </c>
      <c r="M201">
        <f>IFERROR(VLOOKUP(D201,Products!$A$2:$F$61,4,FALSE),"")</f>
        <v>1665</v>
      </c>
      <c r="N201" t="str">
        <f>IFERROR(VLOOKUP(E201,Sales_Reps!$A$2:$E$31,3,FALSE),"")</f>
        <v>North</v>
      </c>
      <c r="O201" t="str">
        <f>IFERROR(VLOOKUP(C201,Customers!$A$2:$F$301,5,FALSE),"")</f>
        <v>Retail</v>
      </c>
      <c r="P201">
        <f>IFERROR(VLOOKUP(C201,Customers!$A$2:$F$301,3,FALSE),"")</f>
        <v>23</v>
      </c>
      <c r="Q201" s="41">
        <f t="shared" si="12"/>
        <v>0.53361344537815125</v>
      </c>
      <c r="R201" t="str">
        <f>IFERROR(VLOOKUP(C201,Customers!$A$2:$F$301,1,FALSE),"")</f>
        <v>CUST-0025</v>
      </c>
      <c r="S201" s="27" t="b">
        <f>IFERROR(VLOOKUP(D201,Products!$A$2:$F$61,6,FALSE),"")</f>
        <v>1</v>
      </c>
      <c r="BL201">
        <v>0</v>
      </c>
      <c r="BM201">
        <v>0</v>
      </c>
      <c r="BN201">
        <v>1.9607843137254902E-2</v>
      </c>
      <c r="BO201">
        <v>0</v>
      </c>
      <c r="BP201">
        <v>0</v>
      </c>
    </row>
    <row r="202" spans="1:68" x14ac:dyDescent="0.35">
      <c r="A202" s="26" t="str">
        <f>Orders!A202</f>
        <v>ORD-00201</v>
      </c>
      <c r="B202" s="33">
        <f>Orders!B202</f>
        <v>45344</v>
      </c>
      <c r="C202" t="str">
        <f>Orders!C202</f>
        <v>CUST-0048</v>
      </c>
      <c r="D202" t="str">
        <f>Orders!D202</f>
        <v>PROD-031</v>
      </c>
      <c r="E202" t="str">
        <f>Orders!E202</f>
        <v>R016</v>
      </c>
      <c r="F202">
        <f>Orders!F202</f>
        <v>7</v>
      </c>
      <c r="G202" s="35">
        <f>Orders!G202</f>
        <v>3730</v>
      </c>
      <c r="H202" s="37">
        <f>Orders!H202</f>
        <v>2.5</v>
      </c>
      <c r="I202" s="39">
        <f>Orders!I202</f>
        <v>25457.25</v>
      </c>
      <c r="J202" t="str">
        <f>Orders!J202</f>
        <v>Cancelled</v>
      </c>
      <c r="K202" t="str">
        <f>Orders!K202</f>
        <v>Delhi</v>
      </c>
      <c r="L202" t="str">
        <f>IFERROR(VLOOKUP(D202,Products!$A$2:$F$61,3,FALSE),"")</f>
        <v>Home</v>
      </c>
      <c r="M202">
        <f>IFERROR(VLOOKUP(D202,Products!$A$2:$F$61,4,FALSE),"")</f>
        <v>2135</v>
      </c>
      <c r="N202" t="str">
        <f>IFERROR(VLOOKUP(E202,Sales_Reps!$A$2:$E$31,3,FALSE),"")</f>
        <v>South</v>
      </c>
      <c r="O202" t="str">
        <f>IFERROR(VLOOKUP(C202,Customers!$A$2:$F$301,5,FALSE),"")</f>
        <v>Retail</v>
      </c>
      <c r="P202">
        <f>IFERROR(VLOOKUP(C202,Customers!$A$2:$F$301,3,FALSE),"")</f>
        <v>59</v>
      </c>
      <c r="Q202" s="41">
        <f t="shared" si="12"/>
        <v>0.42761394101876676</v>
      </c>
      <c r="R202" t="str">
        <f>IFERROR(VLOOKUP(C202,Customers!$A$2:$F$301,1,FALSE),"")</f>
        <v>CUST-0048</v>
      </c>
      <c r="S202" s="27" t="b">
        <f>IFERROR(VLOOKUP(D202,Products!$A$2:$F$61,6,FALSE),"")</f>
        <v>1</v>
      </c>
      <c r="BL202">
        <v>0</v>
      </c>
      <c r="BM202">
        <v>0</v>
      </c>
      <c r="BN202">
        <v>1.9607843137254902E-2</v>
      </c>
      <c r="BO202">
        <v>0</v>
      </c>
      <c r="BP202">
        <v>0</v>
      </c>
    </row>
    <row r="203" spans="1:68" x14ac:dyDescent="0.35">
      <c r="A203" s="26" t="str">
        <f>Orders!A203</f>
        <v>ORD-00202</v>
      </c>
      <c r="B203" s="33">
        <f>Orders!B203</f>
        <v>45492</v>
      </c>
      <c r="C203" t="str">
        <f>Orders!C203</f>
        <v>CUST-0251</v>
      </c>
      <c r="D203" t="str">
        <f>Orders!D203</f>
        <v>PROD-032</v>
      </c>
      <c r="E203" t="str">
        <f>Orders!E203</f>
        <v>R030</v>
      </c>
      <c r="F203">
        <f>Orders!F203</f>
        <v>6</v>
      </c>
      <c r="G203" s="35">
        <f>Orders!G203</f>
        <v>370</v>
      </c>
      <c r="H203" s="37">
        <f>Orders!H203</f>
        <v>9.9</v>
      </c>
      <c r="I203" s="39">
        <f>Orders!I203</f>
        <v>2000.22</v>
      </c>
      <c r="J203" t="str">
        <f>Orders!J203</f>
        <v>Completed</v>
      </c>
      <c r="K203" t="str">
        <f>Orders!K203</f>
        <v>Mumbai</v>
      </c>
      <c r="L203" t="str">
        <f>IFERROR(VLOOKUP(D203,Products!$A$2:$F$61,3,FALSE),"")</f>
        <v>Home</v>
      </c>
      <c r="M203">
        <f>IFERROR(VLOOKUP(D203,Products!$A$2:$F$61,4,FALSE),"")</f>
        <v>288</v>
      </c>
      <c r="N203" t="str">
        <f>IFERROR(VLOOKUP(E203,Sales_Reps!$A$2:$E$31,3,FALSE),"")</f>
        <v>West</v>
      </c>
      <c r="O203" t="str">
        <f>IFERROR(VLOOKUP(C203,Customers!$A$2:$F$301,5,FALSE),"")</f>
        <v>Retail</v>
      </c>
      <c r="P203">
        <f>IFERROR(VLOOKUP(C203,Customers!$A$2:$F$301,3,FALSE),"")</f>
        <v>44</v>
      </c>
      <c r="Q203" s="41">
        <f t="shared" si="12"/>
        <v>0.22162162162162163</v>
      </c>
      <c r="R203" t="str">
        <f>IFERROR(VLOOKUP(C203,Customers!$A$2:$F$301,1,FALSE),"")</f>
        <v>CUST-0251</v>
      </c>
      <c r="S203" s="27" t="b">
        <f>IFERROR(VLOOKUP(D203,Products!$A$2:$F$61,6,FALSE),"")</f>
        <v>1</v>
      </c>
      <c r="BL203">
        <v>0</v>
      </c>
      <c r="BM203">
        <v>0</v>
      </c>
      <c r="BN203">
        <v>1.8867924528301886E-2</v>
      </c>
      <c r="BO203">
        <v>0</v>
      </c>
      <c r="BP203">
        <v>0</v>
      </c>
    </row>
    <row r="204" spans="1:68" x14ac:dyDescent="0.35">
      <c r="A204" s="26" t="str">
        <f>Orders!A204</f>
        <v>ORD-00203</v>
      </c>
      <c r="B204" s="33">
        <f>Orders!B204</f>
        <v>45490</v>
      </c>
      <c r="C204" t="str">
        <f>Orders!C204</f>
        <v>CUST-0125</v>
      </c>
      <c r="D204" t="str">
        <f>Orders!D204</f>
        <v>PROD-008</v>
      </c>
      <c r="E204" t="str">
        <f>Orders!E204</f>
        <v>R014</v>
      </c>
      <c r="F204">
        <f>Orders!F204</f>
        <v>4</v>
      </c>
      <c r="G204" s="35">
        <f>Orders!G204</f>
        <v>2660</v>
      </c>
      <c r="H204" s="37">
        <f>Orders!H204</f>
        <v>29.7</v>
      </c>
      <c r="I204" s="39">
        <f>Orders!I204</f>
        <v>7479.92</v>
      </c>
      <c r="J204" t="str">
        <f>Orders!J204</f>
        <v>Completed</v>
      </c>
      <c r="K204" t="str">
        <f>Orders!K204</f>
        <v>Delhi</v>
      </c>
      <c r="L204" t="str">
        <f>IFERROR(VLOOKUP(D204,Products!$A$2:$F$61,3,FALSE),"")</f>
        <v>Electronics</v>
      </c>
      <c r="M204">
        <f>IFERROR(VLOOKUP(D204,Products!$A$2:$F$61,4,FALSE),"")</f>
        <v>1259</v>
      </c>
      <c r="N204" t="str">
        <f>IFERROR(VLOOKUP(E204,Sales_Reps!$A$2:$E$31,3,FALSE),"")</f>
        <v>South</v>
      </c>
      <c r="O204" t="str">
        <f>IFERROR(VLOOKUP(C204,Customers!$A$2:$F$301,5,FALSE),"")</f>
        <v>Retail</v>
      </c>
      <c r="P204">
        <f>IFERROR(VLOOKUP(C204,Customers!$A$2:$F$301,3,FALSE),"")</f>
        <v>45</v>
      </c>
      <c r="Q204" s="41">
        <f t="shared" si="12"/>
        <v>0.52669172932330832</v>
      </c>
      <c r="R204" t="str">
        <f>IFERROR(VLOOKUP(C204,Customers!$A$2:$F$301,1,FALSE),"")</f>
        <v>CUST-0125</v>
      </c>
      <c r="S204" s="27" t="b">
        <f>IFERROR(VLOOKUP(D204,Products!$A$2:$F$61,6,FALSE),"")</f>
        <v>0</v>
      </c>
      <c r="BL204">
        <v>0</v>
      </c>
      <c r="BM204">
        <v>0</v>
      </c>
      <c r="BN204">
        <v>1.8867924528301886E-2</v>
      </c>
      <c r="BO204">
        <v>0</v>
      </c>
      <c r="BP204">
        <v>1</v>
      </c>
    </row>
    <row r="205" spans="1:68" x14ac:dyDescent="0.35">
      <c r="A205" s="26" t="str">
        <f>Orders!A205</f>
        <v>ORD-00204</v>
      </c>
      <c r="B205" s="33">
        <f>Orders!B205</f>
        <v>45538</v>
      </c>
      <c r="C205" t="str">
        <f>Orders!C205</f>
        <v>CUST-0025</v>
      </c>
      <c r="D205" t="str">
        <f>Orders!D205</f>
        <v>PROD-021</v>
      </c>
      <c r="E205" t="str">
        <f>Orders!E205</f>
        <v>R015</v>
      </c>
      <c r="F205">
        <f>Orders!F205</f>
        <v>6</v>
      </c>
      <c r="G205" s="35">
        <f>Orders!G205</f>
        <v>2760</v>
      </c>
      <c r="H205" s="37">
        <f>Orders!H205</f>
        <v>0.9</v>
      </c>
      <c r="I205" s="39">
        <f>Orders!I205</f>
        <v>16410.96</v>
      </c>
      <c r="J205" t="str">
        <f>Orders!J205</f>
        <v>Completed</v>
      </c>
      <c r="K205" t="str">
        <f>Orders!K205</f>
        <v>Bengaluru</v>
      </c>
      <c r="L205" t="str">
        <f>IFERROR(VLOOKUP(D205,Products!$A$2:$F$61,3,FALSE),"")</f>
        <v>Grocery</v>
      </c>
      <c r="M205">
        <f>IFERROR(VLOOKUP(D205,Products!$A$2:$F$61,4,FALSE),"")</f>
        <v>1435</v>
      </c>
      <c r="N205" t="str">
        <f>IFERROR(VLOOKUP(E205,Sales_Reps!$A$2:$E$31,3,FALSE),"")</f>
        <v>South</v>
      </c>
      <c r="O205" t="str">
        <f>IFERROR(VLOOKUP(C205,Customers!$A$2:$F$301,5,FALSE),"")</f>
        <v>Retail</v>
      </c>
      <c r="P205">
        <f>IFERROR(VLOOKUP(C205,Customers!$A$2:$F$301,3,FALSE),"")</f>
        <v>23</v>
      </c>
      <c r="Q205" s="41">
        <f t="shared" si="12"/>
        <v>0.48007246376811596</v>
      </c>
      <c r="R205" t="str">
        <f>IFERROR(VLOOKUP(C205,Customers!$A$2:$F$301,1,FALSE),"")</f>
        <v>CUST-0025</v>
      </c>
      <c r="S205" s="27" t="b">
        <f>IFERROR(VLOOKUP(D205,Products!$A$2:$F$61,6,FALSE),"")</f>
        <v>1</v>
      </c>
      <c r="BL205">
        <v>0</v>
      </c>
      <c r="BM205">
        <v>0</v>
      </c>
      <c r="BN205">
        <v>1.9607843137254902E-2</v>
      </c>
      <c r="BO205">
        <v>0</v>
      </c>
      <c r="BP205">
        <v>0</v>
      </c>
    </row>
    <row r="206" spans="1:68" x14ac:dyDescent="0.35">
      <c r="A206" s="26" t="str">
        <f>Orders!A206</f>
        <v>ORD-00205</v>
      </c>
      <c r="B206" s="33">
        <f>Orders!B206</f>
        <v>45591</v>
      </c>
      <c r="C206" t="str">
        <f>Orders!C206</f>
        <v>CUST-0068</v>
      </c>
      <c r="D206" t="str">
        <f>Orders!D206</f>
        <v>PROD-043</v>
      </c>
      <c r="E206" t="str">
        <f>Orders!E206</f>
        <v>R009</v>
      </c>
      <c r="F206">
        <f>Orders!F206</f>
        <v>6</v>
      </c>
      <c r="G206" s="35">
        <f>Orders!G206</f>
        <v>3350</v>
      </c>
      <c r="H206" s="37">
        <f>Orders!H206</f>
        <v>17.899999999999999</v>
      </c>
      <c r="I206" s="39">
        <f>Orders!I206</f>
        <v>16502.099999999999</v>
      </c>
      <c r="J206" t="str">
        <f>Orders!J206</f>
        <v>Completed</v>
      </c>
      <c r="K206" t="str">
        <f>Orders!K206</f>
        <v>Delhi</v>
      </c>
      <c r="L206" t="str">
        <f>IFERROR(VLOOKUP(D206,Products!$A$2:$F$61,3,FALSE),"")</f>
        <v>Beauty</v>
      </c>
      <c r="M206">
        <f>IFERROR(VLOOKUP(D206,Products!$A$2:$F$61,4,FALSE),"")</f>
        <v>1728</v>
      </c>
      <c r="N206" t="str">
        <f>IFERROR(VLOOKUP(E206,Sales_Reps!$A$2:$E$31,3,FALSE),"")</f>
        <v>South</v>
      </c>
      <c r="O206" t="str">
        <f>IFERROR(VLOOKUP(C206,Customers!$A$2:$F$301,5,FALSE),"")</f>
        <v>SMB</v>
      </c>
      <c r="P206">
        <f>IFERROR(VLOOKUP(C206,Customers!$A$2:$F$301,3,FALSE),"")</f>
        <v>48</v>
      </c>
      <c r="Q206" s="41">
        <f t="shared" si="12"/>
        <v>0.48417910447761192</v>
      </c>
      <c r="R206" t="str">
        <f>IFERROR(VLOOKUP(C206,Customers!$A$2:$F$301,1,FALSE),"")</f>
        <v>CUST-0068</v>
      </c>
      <c r="S206" s="27" t="b">
        <f>IFERROR(VLOOKUP(D206,Products!$A$2:$F$61,6,FALSE),"")</f>
        <v>1</v>
      </c>
      <c r="BL206">
        <v>0</v>
      </c>
      <c r="BM206">
        <v>0</v>
      </c>
      <c r="BN206">
        <v>1.8867924528301886E-2</v>
      </c>
      <c r="BO206">
        <v>0</v>
      </c>
      <c r="BP206">
        <v>0</v>
      </c>
    </row>
    <row r="207" spans="1:68" x14ac:dyDescent="0.35">
      <c r="A207" s="26" t="str">
        <f>Orders!A207</f>
        <v>ORD-00206</v>
      </c>
      <c r="B207" s="33">
        <f>Orders!B207</f>
        <v>45319</v>
      </c>
      <c r="C207" t="str">
        <f>Orders!C207</f>
        <v>CUST-0080</v>
      </c>
      <c r="D207" t="str">
        <f>Orders!D207</f>
        <v>PROD-005</v>
      </c>
      <c r="E207" t="str">
        <f>Orders!E207</f>
        <v>R017</v>
      </c>
      <c r="F207">
        <f>Orders!F207</f>
        <v>8</v>
      </c>
      <c r="G207" s="35">
        <f>Orders!G207</f>
        <v>300</v>
      </c>
      <c r="H207" s="37">
        <f>Orders!H207</f>
        <v>20.6</v>
      </c>
      <c r="I207" s="39">
        <f>Orders!I207</f>
        <v>1905.6</v>
      </c>
      <c r="J207" t="str">
        <f>Orders!J207</f>
        <v>Refunded</v>
      </c>
      <c r="K207" t="str">
        <f>Orders!K207</f>
        <v>Pune</v>
      </c>
      <c r="L207" t="str">
        <f>IFERROR(VLOOKUP(D207,Products!$A$2:$F$61,3,FALSE),"")</f>
        <v>Electronics</v>
      </c>
      <c r="M207">
        <f>IFERROR(VLOOKUP(D207,Products!$A$2:$F$61,4,FALSE),"")</f>
        <v>128</v>
      </c>
      <c r="N207" t="str">
        <f>IFERROR(VLOOKUP(E207,Sales_Reps!$A$2:$E$31,3,FALSE),"")</f>
        <v>East</v>
      </c>
      <c r="O207" t="str">
        <f>IFERROR(VLOOKUP(C207,Customers!$A$2:$F$301,5,FALSE),"")</f>
        <v>SMB</v>
      </c>
      <c r="P207">
        <f>IFERROR(VLOOKUP(C207,Customers!$A$2:$F$301,3,FALSE),"")</f>
        <v>30</v>
      </c>
      <c r="Q207" s="41">
        <f t="shared" si="12"/>
        <v>0.57333333333333336</v>
      </c>
      <c r="R207" t="str">
        <f>IFERROR(VLOOKUP(C207,Customers!$A$2:$F$301,1,FALSE),"")</f>
        <v>CUST-0080</v>
      </c>
      <c r="S207" s="27" t="b">
        <f>IFERROR(VLOOKUP(D207,Products!$A$2:$F$61,6,FALSE),"")</f>
        <v>1</v>
      </c>
      <c r="BL207">
        <v>0</v>
      </c>
      <c r="BM207">
        <v>0</v>
      </c>
      <c r="BN207">
        <v>1.8518518518518517E-2</v>
      </c>
      <c r="BO207">
        <v>0</v>
      </c>
      <c r="BP207">
        <v>0</v>
      </c>
    </row>
    <row r="208" spans="1:68" x14ac:dyDescent="0.35">
      <c r="A208" s="26" t="str">
        <f>Orders!A208</f>
        <v>ORD-00207</v>
      </c>
      <c r="B208" s="33">
        <f>Orders!B208</f>
        <v>45527</v>
      </c>
      <c r="C208" t="str">
        <f>Orders!C208</f>
        <v>CUST-0251</v>
      </c>
      <c r="D208" t="str">
        <f>Orders!D208</f>
        <v>PROD-015</v>
      </c>
      <c r="E208" t="str">
        <f>Orders!E208</f>
        <v>R002</v>
      </c>
      <c r="F208">
        <f>Orders!F208</f>
        <v>5</v>
      </c>
      <c r="G208" s="35">
        <f>Orders!G208</f>
        <v>2720</v>
      </c>
      <c r="H208" s="37">
        <f>Orders!H208</f>
        <v>17.100000000000001</v>
      </c>
      <c r="I208" s="39">
        <f>Orders!I208</f>
        <v>11274.4</v>
      </c>
      <c r="J208" t="str">
        <f>Orders!J208</f>
        <v>Pending</v>
      </c>
      <c r="K208" t="str">
        <f>Orders!K208</f>
        <v>Mumbai</v>
      </c>
      <c r="L208" t="str">
        <f>IFERROR(VLOOKUP(D208,Products!$A$2:$F$61,3,FALSE),"")</f>
        <v>Apparel</v>
      </c>
      <c r="M208">
        <f>IFERROR(VLOOKUP(D208,Products!$A$2:$F$61,4,FALSE),"")</f>
        <v>1962</v>
      </c>
      <c r="N208" t="str">
        <f>IFERROR(VLOOKUP(E208,Sales_Reps!$A$2:$E$31,3,FALSE),"")</f>
        <v>North</v>
      </c>
      <c r="O208" t="str">
        <f>IFERROR(VLOOKUP(C208,Customers!$A$2:$F$301,5,FALSE),"")</f>
        <v>Retail</v>
      </c>
      <c r="P208">
        <f>IFERROR(VLOOKUP(C208,Customers!$A$2:$F$301,3,FALSE),"")</f>
        <v>44</v>
      </c>
      <c r="Q208" s="41">
        <f t="shared" si="12"/>
        <v>0.2786764705882353</v>
      </c>
      <c r="R208" t="str">
        <f>IFERROR(VLOOKUP(C208,Customers!$A$2:$F$301,1,FALSE),"")</f>
        <v>CUST-0251</v>
      </c>
      <c r="S208" s="27" t="b">
        <f>IFERROR(VLOOKUP(D208,Products!$A$2:$F$61,6,FALSE),"")</f>
        <v>1</v>
      </c>
      <c r="BL208">
        <v>0</v>
      </c>
      <c r="BM208">
        <v>0</v>
      </c>
      <c r="BN208">
        <v>1.9607843137254902E-2</v>
      </c>
      <c r="BO208">
        <v>0</v>
      </c>
      <c r="BP208">
        <v>0</v>
      </c>
    </row>
    <row r="209" spans="1:68" x14ac:dyDescent="0.35">
      <c r="A209" s="26" t="str">
        <f>Orders!A209</f>
        <v>ORD-00208</v>
      </c>
      <c r="B209" s="33">
        <f>Orders!B209</f>
        <v>45572</v>
      </c>
      <c r="C209" t="str">
        <f>Orders!C209</f>
        <v>CUST-0077</v>
      </c>
      <c r="D209" t="str">
        <f>Orders!D209</f>
        <v>PROD-004</v>
      </c>
      <c r="E209" t="str">
        <f>Orders!E209</f>
        <v>R015</v>
      </c>
      <c r="F209">
        <f>Orders!F209</f>
        <v>1</v>
      </c>
      <c r="G209" s="35">
        <f>Orders!G209</f>
        <v>3870</v>
      </c>
      <c r="H209" s="37">
        <f>Orders!H209</f>
        <v>23.5</v>
      </c>
      <c r="I209" s="39">
        <f>Orders!I209</f>
        <v>2960.55</v>
      </c>
      <c r="J209" t="str">
        <f>Orders!J209</f>
        <v>Pending</v>
      </c>
      <c r="K209" t="str">
        <f>Orders!K209</f>
        <v>Hyderabad</v>
      </c>
      <c r="L209" t="str">
        <f>IFERROR(VLOOKUP(D209,Products!$A$2:$F$61,3,FALSE),"")</f>
        <v>Electronics</v>
      </c>
      <c r="M209">
        <f>IFERROR(VLOOKUP(D209,Products!$A$2:$F$61,4,FALSE),"")</f>
        <v>1559</v>
      </c>
      <c r="N209" t="str">
        <f>IFERROR(VLOOKUP(E209,Sales_Reps!$A$2:$E$31,3,FALSE),"")</f>
        <v>South</v>
      </c>
      <c r="O209" t="str">
        <f>IFERROR(VLOOKUP(C209,Customers!$A$2:$F$301,5,FALSE),"")</f>
        <v>SMB</v>
      </c>
      <c r="P209">
        <f>IFERROR(VLOOKUP(C209,Customers!$A$2:$F$301,3,FALSE),"")</f>
        <v>48</v>
      </c>
      <c r="Q209" s="41">
        <f t="shared" si="12"/>
        <v>0.59715762273901807</v>
      </c>
      <c r="R209" t="str">
        <f>IFERROR(VLOOKUP(C209,Customers!$A$2:$F$301,1,FALSE),"")</f>
        <v>CUST-0077</v>
      </c>
      <c r="S209" s="27" t="b">
        <f>IFERROR(VLOOKUP(D209,Products!$A$2:$F$61,6,FALSE),"")</f>
        <v>1</v>
      </c>
      <c r="BL209">
        <v>0</v>
      </c>
      <c r="BM209">
        <v>0</v>
      </c>
      <c r="BN209">
        <v>1.8518518518518517E-2</v>
      </c>
      <c r="BO209">
        <v>0</v>
      </c>
      <c r="BP209">
        <v>0</v>
      </c>
    </row>
    <row r="210" spans="1:68" x14ac:dyDescent="0.35">
      <c r="A210" s="26" t="str">
        <f>Orders!A210</f>
        <v>ORD-00209</v>
      </c>
      <c r="B210" s="33">
        <f>Orders!B210</f>
        <v>45637</v>
      </c>
      <c r="C210" t="str">
        <f>Orders!C210</f>
        <v>CUST-0232</v>
      </c>
      <c r="D210" t="str">
        <f>Orders!D210</f>
        <v>PROD-031</v>
      </c>
      <c r="E210" t="str">
        <f>Orders!E210</f>
        <v>R012</v>
      </c>
      <c r="F210">
        <f>Orders!F210</f>
        <v>3</v>
      </c>
      <c r="G210" s="35">
        <f>Orders!G210</f>
        <v>3730</v>
      </c>
      <c r="H210" s="37">
        <f>Orders!H210</f>
        <v>0.7</v>
      </c>
      <c r="I210" s="39">
        <f>Orders!I210</f>
        <v>11111.67</v>
      </c>
      <c r="J210" t="str">
        <f>Orders!J210</f>
        <v>Pending</v>
      </c>
      <c r="K210" t="str">
        <f>Orders!K210</f>
        <v>Hyderabad</v>
      </c>
      <c r="L210" t="str">
        <f>IFERROR(VLOOKUP(D210,Products!$A$2:$F$61,3,FALSE),"")</f>
        <v>Home</v>
      </c>
      <c r="M210">
        <f>IFERROR(VLOOKUP(D210,Products!$A$2:$F$61,4,FALSE),"")</f>
        <v>2135</v>
      </c>
      <c r="N210" t="str">
        <f>IFERROR(VLOOKUP(E210,Sales_Reps!$A$2:$E$31,3,FALSE),"")</f>
        <v>South</v>
      </c>
      <c r="O210" t="str">
        <f>IFERROR(VLOOKUP(C210,Customers!$A$2:$F$301,5,FALSE),"")</f>
        <v>Retail</v>
      </c>
      <c r="P210">
        <f>IFERROR(VLOOKUP(C210,Customers!$A$2:$F$301,3,FALSE),"")</f>
        <v>38</v>
      </c>
      <c r="Q210" s="41">
        <f t="shared" si="12"/>
        <v>0.42761394101876676</v>
      </c>
      <c r="R210" t="str">
        <f>IFERROR(VLOOKUP(C210,Customers!$A$2:$F$301,1,FALSE),"")</f>
        <v>CUST-0232</v>
      </c>
      <c r="S210" s="27" t="b">
        <f>IFERROR(VLOOKUP(D210,Products!$A$2:$F$61,6,FALSE),"")</f>
        <v>1</v>
      </c>
      <c r="BL210">
        <v>0</v>
      </c>
      <c r="BM210">
        <v>0</v>
      </c>
      <c r="BN210">
        <v>1.8867924528301886E-2</v>
      </c>
      <c r="BO210">
        <v>0</v>
      </c>
      <c r="BP210">
        <v>0</v>
      </c>
    </row>
    <row r="211" spans="1:68" x14ac:dyDescent="0.35">
      <c r="A211" s="26" t="str">
        <f>Orders!A211</f>
        <v>ORD-00210</v>
      </c>
      <c r="B211" s="33">
        <f>Orders!B211</f>
        <v>45315</v>
      </c>
      <c r="C211" t="str">
        <f>Orders!C211</f>
        <v>CUST-0277</v>
      </c>
      <c r="D211" t="str">
        <f>Orders!D211</f>
        <v>PROD-019</v>
      </c>
      <c r="E211" t="str">
        <f>Orders!E211</f>
        <v>R012</v>
      </c>
      <c r="F211">
        <f>Orders!F211</f>
        <v>8</v>
      </c>
      <c r="G211" s="35">
        <f>Orders!G211</f>
        <v>2480</v>
      </c>
      <c r="H211" s="37">
        <f>Orders!H211</f>
        <v>18.2</v>
      </c>
      <c r="I211" s="39">
        <f>Orders!I211</f>
        <v>16229.12</v>
      </c>
      <c r="J211" t="str">
        <f>Orders!J211</f>
        <v>Cancelled</v>
      </c>
      <c r="K211" t="str">
        <f>Orders!K211</f>
        <v>Chennai</v>
      </c>
      <c r="L211" t="str">
        <f>IFERROR(VLOOKUP(D211,Products!$A$2:$F$61,3,FALSE),"")</f>
        <v>Apparel</v>
      </c>
      <c r="M211">
        <f>IFERROR(VLOOKUP(D211,Products!$A$2:$F$61,4,FALSE),"")</f>
        <v>1173</v>
      </c>
      <c r="N211" t="str">
        <f>IFERROR(VLOOKUP(E211,Sales_Reps!$A$2:$E$31,3,FALSE),"")</f>
        <v>South</v>
      </c>
      <c r="O211" t="str">
        <f>IFERROR(VLOOKUP(C211,Customers!$A$2:$F$301,5,FALSE),"")</f>
        <v>Corporate</v>
      </c>
      <c r="P211">
        <f>IFERROR(VLOOKUP(C211,Customers!$A$2:$F$301,3,FALSE),"")</f>
        <v>34</v>
      </c>
      <c r="Q211" s="41">
        <f t="shared" si="12"/>
        <v>0.52701612903225803</v>
      </c>
      <c r="R211" t="str">
        <f>IFERROR(VLOOKUP(C211,Customers!$A$2:$F$301,1,FALSE),"")</f>
        <v>CUST-0277</v>
      </c>
      <c r="S211" s="27" t="b">
        <f>IFERROR(VLOOKUP(D211,Products!$A$2:$F$61,6,FALSE),"")</f>
        <v>1</v>
      </c>
      <c r="BL211">
        <v>0</v>
      </c>
      <c r="BM211">
        <v>0</v>
      </c>
      <c r="BN211">
        <v>1.8867924528301886E-2</v>
      </c>
      <c r="BO211">
        <v>0</v>
      </c>
      <c r="BP211">
        <v>0</v>
      </c>
    </row>
    <row r="212" spans="1:68" x14ac:dyDescent="0.35">
      <c r="A212" s="26" t="str">
        <f>Orders!A212</f>
        <v>ORD-00211</v>
      </c>
      <c r="B212" s="33">
        <f>Orders!B212</f>
        <v>45374</v>
      </c>
      <c r="C212" t="str">
        <f>Orders!C212</f>
        <v>CUST-0149</v>
      </c>
      <c r="D212" t="str">
        <f>Orders!D212</f>
        <v>PROD-057</v>
      </c>
      <c r="E212" t="str">
        <f>Orders!E212</f>
        <v>R019</v>
      </c>
      <c r="F212">
        <f>Orders!F212</f>
        <v>2</v>
      </c>
      <c r="G212" s="35">
        <f>Orders!G212</f>
        <v>960</v>
      </c>
      <c r="H212" s="37">
        <f>Orders!H212</f>
        <v>2.2000000000000002</v>
      </c>
      <c r="I212" s="39">
        <f>Orders!I212</f>
        <v>1877.76</v>
      </c>
      <c r="J212" t="str">
        <f>Orders!J212</f>
        <v>Completed</v>
      </c>
      <c r="K212" t="str">
        <f>Orders!K212</f>
        <v>Hyderabad</v>
      </c>
      <c r="L212" t="str">
        <f>IFERROR(VLOOKUP(D212,Products!$A$2:$F$61,3,FALSE),"")</f>
        <v>Sports</v>
      </c>
      <c r="M212">
        <f>IFERROR(VLOOKUP(D212,Products!$A$2:$F$61,4,FALSE),"")</f>
        <v>705</v>
      </c>
      <c r="N212" t="str">
        <f>IFERROR(VLOOKUP(E212,Sales_Reps!$A$2:$E$31,3,FALSE),"")</f>
        <v>East</v>
      </c>
      <c r="O212" t="str">
        <f>IFERROR(VLOOKUP(C212,Customers!$A$2:$F$301,5,FALSE),"")</f>
        <v>Retail</v>
      </c>
      <c r="P212">
        <f>IFERROR(VLOOKUP(C212,Customers!$A$2:$F$301,3,FALSE),"")</f>
        <v>44</v>
      </c>
      <c r="Q212" s="41">
        <f t="shared" si="12"/>
        <v>0.265625</v>
      </c>
      <c r="R212" t="str">
        <f>IFERROR(VLOOKUP(C212,Customers!$A$2:$F$301,1,FALSE),"")</f>
        <v>CUST-0149</v>
      </c>
      <c r="S212" s="27" t="b">
        <f>IFERROR(VLOOKUP(D212,Products!$A$2:$F$61,6,FALSE),"")</f>
        <v>1</v>
      </c>
      <c r="BL212">
        <v>0</v>
      </c>
      <c r="BM212">
        <v>0</v>
      </c>
      <c r="BN212">
        <v>2.1276595744680851E-2</v>
      </c>
      <c r="BO212">
        <v>0</v>
      </c>
      <c r="BP212">
        <v>0</v>
      </c>
    </row>
    <row r="213" spans="1:68" x14ac:dyDescent="0.35">
      <c r="A213" s="26" t="str">
        <f>Orders!A213</f>
        <v>ORD-00212</v>
      </c>
      <c r="B213" s="33">
        <f>Orders!B213</f>
        <v>45335</v>
      </c>
      <c r="C213" t="str">
        <f>Orders!C213</f>
        <v>CUST-0178</v>
      </c>
      <c r="D213" t="str">
        <f>Orders!D213</f>
        <v>PROD-046</v>
      </c>
      <c r="E213" t="str">
        <f>Orders!E213</f>
        <v>R018</v>
      </c>
      <c r="F213">
        <f>Orders!F213</f>
        <v>8</v>
      </c>
      <c r="G213" s="35">
        <f>Orders!G213</f>
        <v>4880</v>
      </c>
      <c r="H213" s="37">
        <f>Orders!H213</f>
        <v>11.9</v>
      </c>
      <c r="I213" s="39">
        <f>Orders!I213</f>
        <v>34394.239999999998</v>
      </c>
      <c r="J213" t="str">
        <f>Orders!J213</f>
        <v>Completed</v>
      </c>
      <c r="K213" t="str">
        <f>Orders!K213</f>
        <v>Hyderabad</v>
      </c>
      <c r="L213" t="str">
        <f>IFERROR(VLOOKUP(D213,Products!$A$2:$F$61,3,FALSE),"")</f>
        <v>Beauty</v>
      </c>
      <c r="M213">
        <f>IFERROR(VLOOKUP(D213,Products!$A$2:$F$61,4,FALSE),"")</f>
        <v>2768</v>
      </c>
      <c r="N213" t="str">
        <f>IFERROR(VLOOKUP(E213,Sales_Reps!$A$2:$E$31,3,FALSE),"")</f>
        <v>East</v>
      </c>
      <c r="O213" t="str">
        <f>IFERROR(VLOOKUP(C213,Customers!$A$2:$F$301,5,FALSE),"")</f>
        <v>Retail</v>
      </c>
      <c r="P213">
        <f>IFERROR(VLOOKUP(C213,Customers!$A$2:$F$301,3,FALSE),"")</f>
        <v>25</v>
      </c>
      <c r="Q213" s="41">
        <f t="shared" si="12"/>
        <v>0.43278688524590164</v>
      </c>
      <c r="R213" t="str">
        <f>IFERROR(VLOOKUP(C213,Customers!$A$2:$F$301,1,FALSE),"")</f>
        <v>CUST-0178</v>
      </c>
      <c r="S213" s="27" t="b">
        <f>IFERROR(VLOOKUP(D213,Products!$A$2:$F$61,6,FALSE),"")</f>
        <v>1</v>
      </c>
      <c r="BL213">
        <v>0</v>
      </c>
      <c r="BM213">
        <v>0</v>
      </c>
      <c r="BN213">
        <v>1.8867924528301886E-2</v>
      </c>
      <c r="BO213">
        <v>0</v>
      </c>
      <c r="BP213">
        <v>0</v>
      </c>
    </row>
    <row r="214" spans="1:68" x14ac:dyDescent="0.35">
      <c r="A214" s="26" t="str">
        <f>Orders!A214</f>
        <v>ORD-00213</v>
      </c>
      <c r="B214" s="33">
        <f>Orders!B214</f>
        <v>45656</v>
      </c>
      <c r="C214" t="str">
        <f>Orders!C214</f>
        <v>CUST-0246</v>
      </c>
      <c r="D214" t="str">
        <f>Orders!D214</f>
        <v>PROD-014</v>
      </c>
      <c r="E214" t="str">
        <f>Orders!E214</f>
        <v>R030</v>
      </c>
      <c r="F214">
        <f>Orders!F214</f>
        <v>2</v>
      </c>
      <c r="G214" s="35">
        <f>Orders!G214</f>
        <v>3620</v>
      </c>
      <c r="H214" s="37">
        <f>Orders!H214</f>
        <v>1.1000000000000001</v>
      </c>
      <c r="I214" s="39">
        <f>Orders!I214</f>
        <v>7160.36</v>
      </c>
      <c r="J214" t="str">
        <f>Orders!J214</f>
        <v>Pending</v>
      </c>
      <c r="K214" t="str">
        <f>Orders!K214</f>
        <v>Delhi</v>
      </c>
      <c r="L214" t="str">
        <f>IFERROR(VLOOKUP(D214,Products!$A$2:$F$61,3,FALSE),"")</f>
        <v>Apparel</v>
      </c>
      <c r="M214">
        <f>IFERROR(VLOOKUP(D214,Products!$A$2:$F$61,4,FALSE),"")</f>
        <v>2509</v>
      </c>
      <c r="N214" t="str">
        <f>IFERROR(VLOOKUP(E214,Sales_Reps!$A$2:$E$31,3,FALSE),"")</f>
        <v>West</v>
      </c>
      <c r="O214" t="str">
        <f>IFERROR(VLOOKUP(C214,Customers!$A$2:$F$301,5,FALSE),"")</f>
        <v>SMB</v>
      </c>
      <c r="P214">
        <f>IFERROR(VLOOKUP(C214,Customers!$A$2:$F$301,3,FALSE),"")</f>
        <v>29</v>
      </c>
      <c r="Q214" s="41">
        <f t="shared" si="12"/>
        <v>0.3069060773480663</v>
      </c>
      <c r="R214" t="str">
        <f>IFERROR(VLOOKUP(C214,Customers!$A$2:$F$301,1,FALSE),"")</f>
        <v>CUST-0246</v>
      </c>
      <c r="S214" s="27" t="b">
        <f>IFERROR(VLOOKUP(D214,Products!$A$2:$F$61,6,FALSE),"")</f>
        <v>1</v>
      </c>
      <c r="BL214">
        <v>0</v>
      </c>
      <c r="BM214">
        <v>0</v>
      </c>
      <c r="BN214">
        <v>1.8518518518518517E-2</v>
      </c>
      <c r="BO214">
        <v>0</v>
      </c>
      <c r="BP214">
        <v>0</v>
      </c>
    </row>
    <row r="215" spans="1:68" x14ac:dyDescent="0.35">
      <c r="A215" s="26" t="str">
        <f>Orders!A215</f>
        <v>ORD-00214</v>
      </c>
      <c r="B215" s="33">
        <f>Orders!B215</f>
        <v>45573</v>
      </c>
      <c r="C215" t="str">
        <f>Orders!C215</f>
        <v>CUST-0033</v>
      </c>
      <c r="D215" t="str">
        <f>Orders!D215</f>
        <v>PROD-006</v>
      </c>
      <c r="E215" t="str">
        <f>Orders!E215</f>
        <v>R008</v>
      </c>
      <c r="F215">
        <f>Orders!F215</f>
        <v>8</v>
      </c>
      <c r="G215" s="35">
        <f>Orders!G215</f>
        <v>3970</v>
      </c>
      <c r="H215" s="37">
        <f>Orders!H215</f>
        <v>18.100000000000001</v>
      </c>
      <c r="I215" s="39">
        <f>Orders!I215</f>
        <v>26011.439999999999</v>
      </c>
      <c r="J215" t="str">
        <f>Orders!J215</f>
        <v>Completed</v>
      </c>
      <c r="K215" t="str">
        <f>Orders!K215</f>
        <v>Delhi</v>
      </c>
      <c r="L215" t="str">
        <f>IFERROR(VLOOKUP(D215,Products!$A$2:$F$61,3,FALSE),"")</f>
        <v>Electronics</v>
      </c>
      <c r="M215">
        <f>IFERROR(VLOOKUP(D215,Products!$A$2:$F$61,4,FALSE),"")</f>
        <v>2865</v>
      </c>
      <c r="N215" t="str">
        <f>IFERROR(VLOOKUP(E215,Sales_Reps!$A$2:$E$31,3,FALSE),"")</f>
        <v>North</v>
      </c>
      <c r="O215" t="str">
        <f>IFERROR(VLOOKUP(C215,Customers!$A$2:$F$301,5,FALSE),"")</f>
        <v>Retail</v>
      </c>
      <c r="P215">
        <f>IFERROR(VLOOKUP(C215,Customers!$A$2:$F$301,3,FALSE),"")</f>
        <v>35</v>
      </c>
      <c r="Q215" s="41">
        <f t="shared" si="12"/>
        <v>0.27833753148614609</v>
      </c>
      <c r="R215" t="str">
        <f>IFERROR(VLOOKUP(C215,Customers!$A$2:$F$301,1,FALSE),"")</f>
        <v>CUST-0033</v>
      </c>
      <c r="S215" s="27" t="b">
        <f>IFERROR(VLOOKUP(D215,Products!$A$2:$F$61,6,FALSE),"")</f>
        <v>1</v>
      </c>
      <c r="BL215">
        <v>0</v>
      </c>
      <c r="BM215">
        <v>0</v>
      </c>
      <c r="BN215">
        <v>1.8518518518518517E-2</v>
      </c>
      <c r="BO215">
        <v>0</v>
      </c>
      <c r="BP215">
        <v>0</v>
      </c>
    </row>
    <row r="216" spans="1:68" x14ac:dyDescent="0.35">
      <c r="A216" s="26" t="str">
        <f>Orders!A216</f>
        <v>ORD-00215</v>
      </c>
      <c r="B216" s="33">
        <f>Orders!B216</f>
        <v>45534</v>
      </c>
      <c r="C216" t="str">
        <f>Orders!C216</f>
        <v>CUST-0159</v>
      </c>
      <c r="D216" t="str">
        <f>Orders!D216</f>
        <v>PROD-022</v>
      </c>
      <c r="E216" t="str">
        <f>Orders!E216</f>
        <v>R026</v>
      </c>
      <c r="F216">
        <f>Orders!F216</f>
        <v>8</v>
      </c>
      <c r="G216" s="35">
        <f>Orders!G216</f>
        <v>2270</v>
      </c>
      <c r="H216" s="37">
        <f>Orders!H216</f>
        <v>19.600000000000001</v>
      </c>
      <c r="I216" s="39">
        <f>Orders!I216</f>
        <v>14600.64</v>
      </c>
      <c r="J216" t="str">
        <f>Orders!J216</f>
        <v>Completed</v>
      </c>
      <c r="K216" t="str">
        <f>Orders!K216</f>
        <v>Hyderabad</v>
      </c>
      <c r="L216" t="str">
        <f>IFERROR(VLOOKUP(D216,Products!$A$2:$F$61,3,FALSE),"")</f>
        <v>Grocery</v>
      </c>
      <c r="M216">
        <f>IFERROR(VLOOKUP(D216,Products!$A$2:$F$61,4,FALSE),"")</f>
        <v>1412</v>
      </c>
      <c r="N216" t="str">
        <f>IFERROR(VLOOKUP(E216,Sales_Reps!$A$2:$E$31,3,FALSE),"")</f>
        <v>West</v>
      </c>
      <c r="O216" t="str">
        <f>IFERROR(VLOOKUP(C216,Customers!$A$2:$F$301,5,FALSE),"")</f>
        <v>Retail</v>
      </c>
      <c r="P216">
        <f>IFERROR(VLOOKUP(C216,Customers!$A$2:$F$301,3,FALSE),"")</f>
        <v>32</v>
      </c>
      <c r="Q216" s="41">
        <f t="shared" si="12"/>
        <v>0.37797356828193834</v>
      </c>
      <c r="R216" t="str">
        <f>IFERROR(VLOOKUP(C216,Customers!$A$2:$F$301,1,FALSE),"")</f>
        <v>CUST-0159</v>
      </c>
      <c r="S216" s="27" t="b">
        <f>IFERROR(VLOOKUP(D216,Products!$A$2:$F$61,6,FALSE),"")</f>
        <v>1</v>
      </c>
      <c r="BL216">
        <v>0</v>
      </c>
      <c r="BM216">
        <v>0</v>
      </c>
      <c r="BN216">
        <v>1.9607843137254902E-2</v>
      </c>
      <c r="BO216">
        <v>0</v>
      </c>
      <c r="BP216">
        <v>0</v>
      </c>
    </row>
    <row r="217" spans="1:68" x14ac:dyDescent="0.35">
      <c r="A217" s="26" t="str">
        <f>Orders!A217</f>
        <v>ORD-00216</v>
      </c>
      <c r="B217" s="33">
        <f>Orders!B217</f>
        <v>45639</v>
      </c>
      <c r="C217" t="str">
        <f>Orders!C217</f>
        <v>CUST-0175</v>
      </c>
      <c r="D217" t="str">
        <f>Orders!D217</f>
        <v>PROD-027</v>
      </c>
      <c r="E217" t="str">
        <f>Orders!E217</f>
        <v>R013</v>
      </c>
      <c r="F217">
        <f>Orders!F217</f>
        <v>1</v>
      </c>
      <c r="G217" s="35">
        <f>Orders!G217</f>
        <v>3780</v>
      </c>
      <c r="H217" s="37">
        <f>Orders!H217</f>
        <v>22.6</v>
      </c>
      <c r="I217" s="39">
        <f>Orders!I217</f>
        <v>2925.72</v>
      </c>
      <c r="J217" t="str">
        <f>Orders!J217</f>
        <v>Completed</v>
      </c>
      <c r="K217" t="str">
        <f>Orders!K217</f>
        <v>Delhi</v>
      </c>
      <c r="L217" t="str">
        <f>IFERROR(VLOOKUP(D217,Products!$A$2:$F$61,3,FALSE),"")</f>
        <v>Grocery</v>
      </c>
      <c r="M217">
        <f>IFERROR(VLOOKUP(D217,Products!$A$2:$F$61,4,FALSE),"")</f>
        <v>2436</v>
      </c>
      <c r="N217" t="str">
        <f>IFERROR(VLOOKUP(E217,Sales_Reps!$A$2:$E$31,3,FALSE),"")</f>
        <v>South</v>
      </c>
      <c r="O217" t="str">
        <f>IFERROR(VLOOKUP(C217,Customers!$A$2:$F$301,5,FALSE),"")</f>
        <v>Corporate</v>
      </c>
      <c r="P217">
        <f>IFERROR(VLOOKUP(C217,Customers!$A$2:$F$301,3,FALSE),"")</f>
        <v>55</v>
      </c>
      <c r="Q217" s="41">
        <f t="shared" si="12"/>
        <v>0.35555555555555557</v>
      </c>
      <c r="R217" t="str">
        <f>IFERROR(VLOOKUP(C217,Customers!$A$2:$F$301,1,FALSE),"")</f>
        <v>CUST-0175</v>
      </c>
      <c r="S217" s="27" t="b">
        <f>IFERROR(VLOOKUP(D217,Products!$A$2:$F$61,6,FALSE),"")</f>
        <v>1</v>
      </c>
      <c r="BL217">
        <v>0</v>
      </c>
      <c r="BM217">
        <v>0</v>
      </c>
      <c r="BN217">
        <v>1.8518518518518517E-2</v>
      </c>
      <c r="BO217">
        <v>0</v>
      </c>
      <c r="BP217">
        <v>0</v>
      </c>
    </row>
    <row r="218" spans="1:68" x14ac:dyDescent="0.35">
      <c r="A218" s="26" t="str">
        <f>Orders!A218</f>
        <v>ORD-00217</v>
      </c>
      <c r="B218" s="33">
        <f>Orders!B218</f>
        <v>45653</v>
      </c>
      <c r="C218" t="str">
        <f>Orders!C218</f>
        <v>CUST-0079</v>
      </c>
      <c r="D218" t="str">
        <f>Orders!D218</f>
        <v>PROD-026</v>
      </c>
      <c r="E218" t="str">
        <f>Orders!E218</f>
        <v>R022</v>
      </c>
      <c r="F218">
        <f>Orders!F218</f>
        <v>9</v>
      </c>
      <c r="G218" s="35">
        <f>Orders!G218</f>
        <v>4070</v>
      </c>
      <c r="H218" s="37">
        <f>Orders!H218</f>
        <v>28.2</v>
      </c>
      <c r="I218" s="39">
        <f>Orders!I218</f>
        <v>26300.34</v>
      </c>
      <c r="J218" t="str">
        <f>Orders!J218</f>
        <v>Completed</v>
      </c>
      <c r="K218" t="str">
        <f>Orders!K218</f>
        <v>Mumbai</v>
      </c>
      <c r="L218" t="str">
        <f>IFERROR(VLOOKUP(D218,Products!$A$2:$F$61,3,FALSE),"")</f>
        <v>Grocery</v>
      </c>
      <c r="M218">
        <f>IFERROR(VLOOKUP(D218,Products!$A$2:$F$61,4,FALSE),"")</f>
        <v>2027</v>
      </c>
      <c r="N218" t="str">
        <f>IFERROR(VLOOKUP(E218,Sales_Reps!$A$2:$E$31,3,FALSE),"")</f>
        <v>East</v>
      </c>
      <c r="O218" t="str">
        <f>IFERROR(VLOOKUP(C218,Customers!$A$2:$F$301,5,FALSE),"")</f>
        <v>Corporate</v>
      </c>
      <c r="P218">
        <f>IFERROR(VLOOKUP(C218,Customers!$A$2:$F$301,3,FALSE),"")</f>
        <v>60</v>
      </c>
      <c r="Q218" s="41">
        <f t="shared" si="12"/>
        <v>0.50196560196560192</v>
      </c>
      <c r="R218" t="str">
        <f>IFERROR(VLOOKUP(C218,Customers!$A$2:$F$301,1,FALSE),"")</f>
        <v>CUST-0079</v>
      </c>
      <c r="S218" s="27" t="b">
        <f>IFERROR(VLOOKUP(D218,Products!$A$2:$F$61,6,FALSE),"")</f>
        <v>1</v>
      </c>
      <c r="BL218">
        <v>0</v>
      </c>
      <c r="BM218">
        <v>0</v>
      </c>
      <c r="BN218">
        <v>1.8867924528301886E-2</v>
      </c>
      <c r="BO218">
        <v>0</v>
      </c>
      <c r="BP218">
        <v>0</v>
      </c>
    </row>
    <row r="219" spans="1:68" x14ac:dyDescent="0.35">
      <c r="A219" s="26" t="str">
        <f>Orders!A219</f>
        <v>ORD-00218</v>
      </c>
      <c r="B219" s="33">
        <f>Orders!B219</f>
        <v>45424</v>
      </c>
      <c r="C219" t="str">
        <f>Orders!C219</f>
        <v>CUST-0173</v>
      </c>
      <c r="D219" t="str">
        <f>Orders!D219</f>
        <v>PROD-008</v>
      </c>
      <c r="E219" t="str">
        <f>Orders!E219</f>
        <v>R006</v>
      </c>
      <c r="F219">
        <f>Orders!F219</f>
        <v>9</v>
      </c>
      <c r="G219" s="35">
        <f>Orders!G219</f>
        <v>2660</v>
      </c>
      <c r="H219" s="37">
        <f>Orders!H219</f>
        <v>13.1</v>
      </c>
      <c r="I219" s="39">
        <f>Orders!I219</f>
        <v>20803.86</v>
      </c>
      <c r="J219" t="str">
        <f>Orders!J219</f>
        <v>Pending</v>
      </c>
      <c r="K219" t="str">
        <f>Orders!K219</f>
        <v>Mumbai</v>
      </c>
      <c r="L219" t="str">
        <f>IFERROR(VLOOKUP(D219,Products!$A$2:$F$61,3,FALSE),"")</f>
        <v>Electronics</v>
      </c>
      <c r="M219">
        <f>IFERROR(VLOOKUP(D219,Products!$A$2:$F$61,4,FALSE),"")</f>
        <v>1259</v>
      </c>
      <c r="N219" t="str">
        <f>IFERROR(VLOOKUP(E219,Sales_Reps!$A$2:$E$31,3,FALSE),"")</f>
        <v>North</v>
      </c>
      <c r="O219" t="str">
        <f>IFERROR(VLOOKUP(C219,Customers!$A$2:$F$301,5,FALSE),"")</f>
        <v>Retail</v>
      </c>
      <c r="P219">
        <f>IFERROR(VLOOKUP(C219,Customers!$A$2:$F$301,3,FALSE),"")</f>
        <v>65</v>
      </c>
      <c r="Q219" s="41">
        <f t="shared" si="12"/>
        <v>0.52669172932330832</v>
      </c>
      <c r="R219" t="str">
        <f>IFERROR(VLOOKUP(C219,Customers!$A$2:$F$301,1,FALSE),"")</f>
        <v>CUST-0173</v>
      </c>
      <c r="S219" s="27" t="b">
        <f>IFERROR(VLOOKUP(D219,Products!$A$2:$F$61,6,FALSE),"")</f>
        <v>0</v>
      </c>
      <c r="BL219">
        <v>0</v>
      </c>
      <c r="BM219">
        <v>0</v>
      </c>
      <c r="BN219">
        <v>1.8518518518518517E-2</v>
      </c>
      <c r="BO219">
        <v>0</v>
      </c>
      <c r="BP219">
        <v>1</v>
      </c>
    </row>
    <row r="220" spans="1:68" x14ac:dyDescent="0.35">
      <c r="A220" s="26" t="str">
        <f>Orders!A220</f>
        <v>ORD-00219</v>
      </c>
      <c r="B220" s="33">
        <f>Orders!B220</f>
        <v>45400</v>
      </c>
      <c r="C220" t="str">
        <f>Orders!C220</f>
        <v>CUST-0050</v>
      </c>
      <c r="D220" t="str">
        <f>Orders!D220</f>
        <v>PROD-003</v>
      </c>
      <c r="E220" t="str">
        <f>Orders!E220</f>
        <v>R004</v>
      </c>
      <c r="F220">
        <f>Orders!F220</f>
        <v>4</v>
      </c>
      <c r="G220" s="35">
        <f>Orders!G220</f>
        <v>3570</v>
      </c>
      <c r="H220" s="37">
        <f>Orders!H220</f>
        <v>1.5</v>
      </c>
      <c r="I220" s="39">
        <f>Orders!I220</f>
        <v>14065.8</v>
      </c>
      <c r="J220" t="str">
        <f>Orders!J220</f>
        <v>Cancelled</v>
      </c>
      <c r="K220" t="str">
        <f>Orders!K220</f>
        <v>Mumbai</v>
      </c>
      <c r="L220" t="str">
        <f>IFERROR(VLOOKUP(D220,Products!$A$2:$F$61,3,FALSE),"")</f>
        <v>Electronics</v>
      </c>
      <c r="M220">
        <f>IFERROR(VLOOKUP(D220,Products!$A$2:$F$61,4,FALSE),"")</f>
        <v>1665</v>
      </c>
      <c r="N220" t="str">
        <f>IFERROR(VLOOKUP(E220,Sales_Reps!$A$2:$E$31,3,FALSE),"")</f>
        <v>North</v>
      </c>
      <c r="O220" t="str">
        <f>IFERROR(VLOOKUP(C220,Customers!$A$2:$F$301,5,FALSE),"")</f>
        <v>Retail</v>
      </c>
      <c r="P220">
        <f>IFERROR(VLOOKUP(C220,Customers!$A$2:$F$301,3,FALSE),"")</f>
        <v>37</v>
      </c>
      <c r="Q220" s="41">
        <f t="shared" si="12"/>
        <v>0.53361344537815125</v>
      </c>
      <c r="R220" t="str">
        <f>IFERROR(VLOOKUP(C220,Customers!$A$2:$F$301,1,FALSE),"")</f>
        <v>CUST-0050</v>
      </c>
      <c r="S220" s="27" t="b">
        <f>IFERROR(VLOOKUP(D220,Products!$A$2:$F$61,6,FALSE),"")</f>
        <v>1</v>
      </c>
      <c r="BL220">
        <v>0</v>
      </c>
      <c r="BM220">
        <v>0</v>
      </c>
      <c r="BN220">
        <v>1.8867924528301886E-2</v>
      </c>
      <c r="BO220">
        <v>0</v>
      </c>
      <c r="BP220">
        <v>0</v>
      </c>
    </row>
    <row r="221" spans="1:68" x14ac:dyDescent="0.35">
      <c r="A221" s="26" t="str">
        <f>Orders!A221</f>
        <v>ORD-00220</v>
      </c>
      <c r="B221" s="33">
        <f>Orders!B221</f>
        <v>45531</v>
      </c>
      <c r="C221" t="str">
        <f>Orders!C221</f>
        <v>CUST-0097</v>
      </c>
      <c r="D221" t="str">
        <f>Orders!D221</f>
        <v>PROD-049</v>
      </c>
      <c r="E221" t="str">
        <f>Orders!E221</f>
        <v>R001</v>
      </c>
      <c r="F221">
        <f>Orders!F221</f>
        <v>2</v>
      </c>
      <c r="G221" s="35">
        <f>Orders!G221</f>
        <v>960</v>
      </c>
      <c r="H221" s="37">
        <f>Orders!H221</f>
        <v>18.600000000000001</v>
      </c>
      <c r="I221" s="39">
        <f>Orders!I221</f>
        <v>1562.88</v>
      </c>
      <c r="J221" t="str">
        <f>Orders!J221</f>
        <v>Completed</v>
      </c>
      <c r="K221" t="str">
        <f>Orders!K221</f>
        <v>Mumbai</v>
      </c>
      <c r="L221" t="str">
        <f>IFERROR(VLOOKUP(D221,Products!$A$2:$F$61,3,FALSE),"")</f>
        <v>Beauty</v>
      </c>
      <c r="M221">
        <f>IFERROR(VLOOKUP(D221,Products!$A$2:$F$61,4,FALSE),"")</f>
        <v>675</v>
      </c>
      <c r="N221" t="str">
        <f>IFERROR(VLOOKUP(E221,Sales_Reps!$A$2:$E$31,3,FALSE),"")</f>
        <v>North</v>
      </c>
      <c r="O221" t="str">
        <f>IFERROR(VLOOKUP(C221,Customers!$A$2:$F$301,5,FALSE),"")</f>
        <v>Retail</v>
      </c>
      <c r="P221">
        <f>IFERROR(VLOOKUP(C221,Customers!$A$2:$F$301,3,FALSE),"")</f>
        <v>65</v>
      </c>
      <c r="Q221" s="41">
        <f t="shared" si="12"/>
        <v>0.296875</v>
      </c>
      <c r="R221" t="str">
        <f>IFERROR(VLOOKUP(C221,Customers!$A$2:$F$301,1,FALSE),"")</f>
        <v>CUST-0097</v>
      </c>
      <c r="S221" s="27" t="b">
        <f>IFERROR(VLOOKUP(D221,Products!$A$2:$F$61,6,FALSE),"")</f>
        <v>1</v>
      </c>
      <c r="BL221">
        <v>0</v>
      </c>
      <c r="BM221">
        <v>0</v>
      </c>
      <c r="BN221">
        <v>1.8867924528301886E-2</v>
      </c>
      <c r="BO221">
        <v>0</v>
      </c>
      <c r="BP221">
        <v>0</v>
      </c>
    </row>
    <row r="222" spans="1:68" x14ac:dyDescent="0.35">
      <c r="A222" s="26" t="str">
        <f>Orders!A222</f>
        <v>ORD-00221</v>
      </c>
      <c r="B222" s="33">
        <f>Orders!B222</f>
        <v>45546</v>
      </c>
      <c r="C222" t="str">
        <f>Orders!C222</f>
        <v>CUST-0026</v>
      </c>
      <c r="D222" t="str">
        <f>Orders!D222</f>
        <v>PROD-047</v>
      </c>
      <c r="E222" t="str">
        <f>Orders!E222</f>
        <v>R018</v>
      </c>
      <c r="F222">
        <f>Orders!F222</f>
        <v>2</v>
      </c>
      <c r="G222" s="35">
        <f>Orders!G222</f>
        <v>3450</v>
      </c>
      <c r="H222" s="37">
        <f>Orders!H222</f>
        <v>3.7</v>
      </c>
      <c r="I222" s="39">
        <f>Orders!I222</f>
        <v>6644.7</v>
      </c>
      <c r="J222" t="str">
        <f>Orders!J222</f>
        <v>Completed</v>
      </c>
      <c r="K222" t="str">
        <f>Orders!K222</f>
        <v>Pune</v>
      </c>
      <c r="L222" t="str">
        <f>IFERROR(VLOOKUP(D222,Products!$A$2:$F$61,3,FALSE),"")</f>
        <v>Beauty</v>
      </c>
      <c r="M222">
        <f>IFERROR(VLOOKUP(D222,Products!$A$2:$F$61,4,FALSE),"")</f>
        <v>2420</v>
      </c>
      <c r="N222" t="str">
        <f>IFERROR(VLOOKUP(E222,Sales_Reps!$A$2:$E$31,3,FALSE),"")</f>
        <v>East</v>
      </c>
      <c r="O222" t="str">
        <f>IFERROR(VLOOKUP(C222,Customers!$A$2:$F$301,5,FALSE),"")</f>
        <v>Retail</v>
      </c>
      <c r="P222">
        <f>IFERROR(VLOOKUP(C222,Customers!$A$2:$F$301,3,FALSE),"")</f>
        <v>62</v>
      </c>
      <c r="Q222" s="41">
        <f t="shared" si="12"/>
        <v>0.29855072463768118</v>
      </c>
      <c r="R222" t="str">
        <f>IFERROR(VLOOKUP(C222,Customers!$A$2:$F$301,1,FALSE),"")</f>
        <v>CUST-0026</v>
      </c>
      <c r="S222" s="27" t="b">
        <f>IFERROR(VLOOKUP(D222,Products!$A$2:$F$61,6,FALSE),"")</f>
        <v>1</v>
      </c>
      <c r="BL222">
        <v>0</v>
      </c>
      <c r="BM222">
        <v>0</v>
      </c>
      <c r="BN222">
        <v>2.3809523809523808E-2</v>
      </c>
      <c r="BO222">
        <v>0</v>
      </c>
      <c r="BP222">
        <v>0</v>
      </c>
    </row>
    <row r="223" spans="1:68" x14ac:dyDescent="0.35">
      <c r="A223" s="26" t="str">
        <f>Orders!A223</f>
        <v>ORD-00222</v>
      </c>
      <c r="B223" s="33">
        <f>Orders!B223</f>
        <v>45608</v>
      </c>
      <c r="C223" t="str">
        <f>Orders!C223</f>
        <v>CUST-0185</v>
      </c>
      <c r="D223" t="str">
        <f>Orders!D223</f>
        <v>PROD-048</v>
      </c>
      <c r="E223" t="str">
        <f>Orders!E223</f>
        <v>R007</v>
      </c>
      <c r="F223">
        <f>Orders!F223</f>
        <v>6</v>
      </c>
      <c r="G223" s="35">
        <f>Orders!G223</f>
        <v>5100</v>
      </c>
      <c r="H223" s="37">
        <f>Orders!H223</f>
        <v>1.2</v>
      </c>
      <c r="I223" s="39">
        <f>Orders!I223</f>
        <v>30232.799999999999</v>
      </c>
      <c r="J223" t="str">
        <f>Orders!J223</f>
        <v>Completed</v>
      </c>
      <c r="K223" t="str">
        <f>Orders!K223</f>
        <v>Hyderabad</v>
      </c>
      <c r="L223" t="str">
        <f>IFERROR(VLOOKUP(D223,Products!$A$2:$F$61,3,FALSE),"")</f>
        <v>Beauty</v>
      </c>
      <c r="M223">
        <f>IFERROR(VLOOKUP(D223,Products!$A$2:$F$61,4,FALSE),"")</f>
        <v>2237</v>
      </c>
      <c r="N223" t="str">
        <f>IFERROR(VLOOKUP(E223,Sales_Reps!$A$2:$E$31,3,FALSE),"")</f>
        <v>North</v>
      </c>
      <c r="O223" t="str">
        <f>IFERROR(VLOOKUP(C223,Customers!$A$2:$F$301,5,FALSE),"")</f>
        <v>SMB</v>
      </c>
      <c r="P223">
        <f>IFERROR(VLOOKUP(C223,Customers!$A$2:$F$301,3,FALSE),"")</f>
        <v>43</v>
      </c>
      <c r="Q223" s="41">
        <f t="shared" si="12"/>
        <v>0.56137254901960787</v>
      </c>
      <c r="R223" t="str">
        <f>IFERROR(VLOOKUP(C223,Customers!$A$2:$F$301,1,FALSE),"")</f>
        <v>CUST-0185</v>
      </c>
      <c r="S223" s="27" t="b">
        <f>IFERROR(VLOOKUP(D223,Products!$A$2:$F$61,6,FALSE),"")</f>
        <v>1</v>
      </c>
      <c r="BL223">
        <v>0</v>
      </c>
      <c r="BM223">
        <v>1</v>
      </c>
      <c r="BN223">
        <v>1.8867924528301886E-2</v>
      </c>
      <c r="BO223">
        <v>0</v>
      </c>
      <c r="BP223">
        <v>0</v>
      </c>
    </row>
    <row r="224" spans="1:68" x14ac:dyDescent="0.35">
      <c r="A224" s="26" t="str">
        <f>Orders!A224</f>
        <v>ORD-00223</v>
      </c>
      <c r="B224" s="33">
        <f>Orders!B224</f>
        <v>45614</v>
      </c>
      <c r="C224" t="str">
        <f>Orders!C224</f>
        <v>CUST-0135</v>
      </c>
      <c r="D224" t="str">
        <f>Orders!D224</f>
        <v>PROD-005</v>
      </c>
      <c r="E224" t="str">
        <f>Orders!E224</f>
        <v>R005</v>
      </c>
      <c r="F224">
        <f>Orders!F224</f>
        <v>9</v>
      </c>
      <c r="G224" s="35">
        <f>Orders!G224</f>
        <v>300</v>
      </c>
      <c r="H224" s="37">
        <f>Orders!H224</f>
        <v>25.4</v>
      </c>
      <c r="I224" s="39">
        <f>Orders!I224</f>
        <v>2014.2</v>
      </c>
      <c r="J224" t="str">
        <f>Orders!J224</f>
        <v>Cancelled</v>
      </c>
      <c r="K224" t="str">
        <f>Orders!K224</f>
        <v>Pune</v>
      </c>
      <c r="L224" t="str">
        <f>IFERROR(VLOOKUP(D224,Products!$A$2:$F$61,3,FALSE),"")</f>
        <v>Electronics</v>
      </c>
      <c r="M224">
        <f>IFERROR(VLOOKUP(D224,Products!$A$2:$F$61,4,FALSE),"")</f>
        <v>128</v>
      </c>
      <c r="N224" t="str">
        <f>IFERROR(VLOOKUP(E224,Sales_Reps!$A$2:$E$31,3,FALSE),"")</f>
        <v>North</v>
      </c>
      <c r="O224" t="str">
        <f>IFERROR(VLOOKUP(C224,Customers!$A$2:$F$301,5,FALSE),"")</f>
        <v>SMB</v>
      </c>
      <c r="P224">
        <f>IFERROR(VLOOKUP(C224,Customers!$A$2:$F$301,3,FALSE),"")</f>
        <v>24</v>
      </c>
      <c r="Q224" s="41">
        <f t="shared" si="12"/>
        <v>0.57333333333333336</v>
      </c>
      <c r="R224" t="str">
        <f>IFERROR(VLOOKUP(C224,Customers!$A$2:$F$301,1,FALSE),"")</f>
        <v>CUST-0135</v>
      </c>
      <c r="S224" s="27" t="b">
        <f>IFERROR(VLOOKUP(D224,Products!$A$2:$F$61,6,FALSE),"")</f>
        <v>1</v>
      </c>
      <c r="BL224">
        <v>0</v>
      </c>
      <c r="BM224">
        <v>0</v>
      </c>
      <c r="BN224">
        <v>2.1276595744680851E-2</v>
      </c>
      <c r="BO224">
        <v>0</v>
      </c>
      <c r="BP224">
        <v>0</v>
      </c>
    </row>
    <row r="225" spans="1:68" x14ac:dyDescent="0.35">
      <c r="A225" s="26" t="str">
        <f>Orders!A225</f>
        <v>ORD-00224</v>
      </c>
      <c r="B225" s="33">
        <f>Orders!B225</f>
        <v>45405</v>
      </c>
      <c r="C225" t="str">
        <f>Orders!C225</f>
        <v>CUST-0010</v>
      </c>
      <c r="D225" t="str">
        <f>Orders!D225</f>
        <v>PROD-046</v>
      </c>
      <c r="E225" t="str">
        <f>Orders!E225</f>
        <v>R020</v>
      </c>
      <c r="F225">
        <f>Orders!F225</f>
        <v>7</v>
      </c>
      <c r="G225" s="35">
        <f>Orders!G225</f>
        <v>4880</v>
      </c>
      <c r="H225" s="37">
        <f>Orders!H225</f>
        <v>16.899999999999999</v>
      </c>
      <c r="I225" s="39">
        <f>Orders!I225</f>
        <v>28386.959999999999</v>
      </c>
      <c r="J225" t="str">
        <f>Orders!J225</f>
        <v>Pending</v>
      </c>
      <c r="K225" t="str">
        <f>Orders!K225</f>
        <v>Mumbai</v>
      </c>
      <c r="L225" t="str">
        <f>IFERROR(VLOOKUP(D225,Products!$A$2:$F$61,3,FALSE),"")</f>
        <v>Beauty</v>
      </c>
      <c r="M225">
        <f>IFERROR(VLOOKUP(D225,Products!$A$2:$F$61,4,FALSE),"")</f>
        <v>2768</v>
      </c>
      <c r="N225" t="str">
        <f>IFERROR(VLOOKUP(E225,Sales_Reps!$A$2:$E$31,3,FALSE),"")</f>
        <v>East</v>
      </c>
      <c r="O225" t="str">
        <f>IFERROR(VLOOKUP(C225,Customers!$A$2:$F$301,5,FALSE),"")</f>
        <v>SMB</v>
      </c>
      <c r="P225">
        <f>IFERROR(VLOOKUP(C225,Customers!$A$2:$F$301,3,FALSE),"")</f>
        <v>61</v>
      </c>
      <c r="Q225" s="41">
        <f t="shared" si="12"/>
        <v>0.43278688524590164</v>
      </c>
      <c r="R225" t="str">
        <f>IFERROR(VLOOKUP(C225,Customers!$A$2:$F$301,1,FALSE),"")</f>
        <v>CUST-0010</v>
      </c>
      <c r="S225" s="27" t="b">
        <f>IFERROR(VLOOKUP(D225,Products!$A$2:$F$61,6,FALSE),"")</f>
        <v>1</v>
      </c>
      <c r="BL225">
        <v>0</v>
      </c>
      <c r="BM225">
        <v>0</v>
      </c>
      <c r="BN225">
        <v>1.8867924528301886E-2</v>
      </c>
      <c r="BO225">
        <v>0</v>
      </c>
      <c r="BP225">
        <v>0</v>
      </c>
    </row>
    <row r="226" spans="1:68" x14ac:dyDescent="0.35">
      <c r="A226" s="26" t="str">
        <f>Orders!A226</f>
        <v>ORD-00225</v>
      </c>
      <c r="B226" s="33">
        <f>Orders!B226</f>
        <v>45504</v>
      </c>
      <c r="C226" t="str">
        <f>Orders!C226</f>
        <v>CUST-0271</v>
      </c>
      <c r="D226" t="str">
        <f>Orders!D226</f>
        <v>PROD-036</v>
      </c>
      <c r="E226" t="str">
        <f>Orders!E226</f>
        <v>R023</v>
      </c>
      <c r="F226">
        <f>Orders!F226</f>
        <v>9</v>
      </c>
      <c r="G226" s="35">
        <f>Orders!G226</f>
        <v>3250</v>
      </c>
      <c r="H226" s="37">
        <f>Orders!H226</f>
        <v>10.8</v>
      </c>
      <c r="I226" s="39">
        <f>Orders!I226</f>
        <v>26091</v>
      </c>
      <c r="J226" t="str">
        <f>Orders!J226</f>
        <v>Cancelled</v>
      </c>
      <c r="K226" t="str">
        <f>Orders!K226</f>
        <v>Bengaluru</v>
      </c>
      <c r="L226" t="str">
        <f>IFERROR(VLOOKUP(D226,Products!$A$2:$F$61,3,FALSE),"")</f>
        <v>Home</v>
      </c>
      <c r="M226">
        <f>IFERROR(VLOOKUP(D226,Products!$A$2:$F$61,4,FALSE),"")</f>
        <v>1556</v>
      </c>
      <c r="N226" t="str">
        <f>IFERROR(VLOOKUP(E226,Sales_Reps!$A$2:$E$31,3,FALSE),"")</f>
        <v>East</v>
      </c>
      <c r="O226" t="str">
        <f>IFERROR(VLOOKUP(C226,Customers!$A$2:$F$301,5,FALSE),"")</f>
        <v>Corporate</v>
      </c>
      <c r="P226">
        <f>IFERROR(VLOOKUP(C226,Customers!$A$2:$F$301,3,FALSE),"")</f>
        <v>41</v>
      </c>
      <c r="Q226" s="41">
        <f t="shared" si="12"/>
        <v>0.52123076923076928</v>
      </c>
      <c r="R226" t="str">
        <f>IFERROR(VLOOKUP(C226,Customers!$A$2:$F$301,1,FALSE),"")</f>
        <v>CUST-0271</v>
      </c>
      <c r="S226" s="27" t="b">
        <f>IFERROR(VLOOKUP(D226,Products!$A$2:$F$61,6,FALSE),"")</f>
        <v>1</v>
      </c>
      <c r="BL226">
        <v>0</v>
      </c>
      <c r="BM226">
        <v>0</v>
      </c>
      <c r="BN226">
        <v>1.8867924528301886E-2</v>
      </c>
      <c r="BO226">
        <v>0</v>
      </c>
      <c r="BP226">
        <v>0</v>
      </c>
    </row>
    <row r="227" spans="1:68" x14ac:dyDescent="0.35">
      <c r="A227" s="26" t="str">
        <f>Orders!A227</f>
        <v>ORD-00226</v>
      </c>
      <c r="B227" s="33">
        <f>Orders!B227</f>
        <v>45298</v>
      </c>
      <c r="C227" t="str">
        <f>Orders!C227</f>
        <v>CUST-0172</v>
      </c>
      <c r="D227" t="str">
        <f>Orders!D227</f>
        <v>PROD-047</v>
      </c>
      <c r="E227" t="str">
        <f>Orders!E227</f>
        <v>R006</v>
      </c>
      <c r="F227">
        <f>Orders!F227</f>
        <v>3</v>
      </c>
      <c r="G227" s="35">
        <f>Orders!G227</f>
        <v>3450</v>
      </c>
      <c r="H227" s="37">
        <f>Orders!H227</f>
        <v>5.4</v>
      </c>
      <c r="I227" s="39">
        <f>Orders!I227</f>
        <v>9791.1</v>
      </c>
      <c r="J227" t="str">
        <f>Orders!J227</f>
        <v>Pending</v>
      </c>
      <c r="K227" t="str">
        <f>Orders!K227</f>
        <v>Pune</v>
      </c>
      <c r="L227" t="str">
        <f>IFERROR(VLOOKUP(D227,Products!$A$2:$F$61,3,FALSE),"")</f>
        <v>Beauty</v>
      </c>
      <c r="M227">
        <f>IFERROR(VLOOKUP(D227,Products!$A$2:$F$61,4,FALSE),"")</f>
        <v>2420</v>
      </c>
      <c r="N227" t="str">
        <f>IFERROR(VLOOKUP(E227,Sales_Reps!$A$2:$E$31,3,FALSE),"")</f>
        <v>North</v>
      </c>
      <c r="O227" t="str">
        <f>IFERROR(VLOOKUP(C227,Customers!$A$2:$F$301,5,FALSE),"")</f>
        <v>Retail</v>
      </c>
      <c r="P227">
        <f>IFERROR(VLOOKUP(C227,Customers!$A$2:$F$301,3,FALSE),"")</f>
        <v>65</v>
      </c>
      <c r="Q227" s="41">
        <f t="shared" si="12"/>
        <v>0.29855072463768118</v>
      </c>
      <c r="R227" t="str">
        <f>IFERROR(VLOOKUP(C227,Customers!$A$2:$F$301,1,FALSE),"")</f>
        <v>CUST-0172</v>
      </c>
      <c r="S227" s="27" t="b">
        <f>IFERROR(VLOOKUP(D227,Products!$A$2:$F$61,6,FALSE),"")</f>
        <v>1</v>
      </c>
      <c r="BL227">
        <v>0</v>
      </c>
      <c r="BM227">
        <v>0</v>
      </c>
      <c r="BN227">
        <v>1.8867924528301886E-2</v>
      </c>
      <c r="BO227">
        <v>0</v>
      </c>
      <c r="BP227">
        <v>0</v>
      </c>
    </row>
    <row r="228" spans="1:68" x14ac:dyDescent="0.35">
      <c r="A228" s="26" t="str">
        <f>Orders!A228</f>
        <v>ORD-00227</v>
      </c>
      <c r="B228" s="33">
        <f>Orders!B228</f>
        <v>45346</v>
      </c>
      <c r="C228" t="str">
        <f>Orders!C228</f>
        <v>CUST-0296</v>
      </c>
      <c r="D228" t="str">
        <f>Orders!D228</f>
        <v>PROD-050</v>
      </c>
      <c r="E228" t="str">
        <f>Orders!E228</f>
        <v>R021</v>
      </c>
      <c r="F228">
        <f>Orders!F228</f>
        <v>5</v>
      </c>
      <c r="G228" s="35">
        <f>Orders!G228</f>
        <v>6080</v>
      </c>
      <c r="H228" s="37">
        <f>Orders!H228</f>
        <v>18</v>
      </c>
      <c r="I228" s="39">
        <f>Orders!I228</f>
        <v>24928</v>
      </c>
      <c r="J228" t="str">
        <f>Orders!J228</f>
        <v>Completed</v>
      </c>
      <c r="K228" t="str">
        <f>Orders!K228</f>
        <v>Delhi</v>
      </c>
      <c r="L228" t="str">
        <f>IFERROR(VLOOKUP(D228,Products!$A$2:$F$61,3,FALSE),"")</f>
        <v>Beauty</v>
      </c>
      <c r="M228">
        <f>IFERROR(VLOOKUP(D228,Products!$A$2:$F$61,4,FALSE),"")</f>
        <v>2617</v>
      </c>
      <c r="N228" t="str">
        <f>IFERROR(VLOOKUP(E228,Sales_Reps!$A$2:$E$31,3,FALSE),"")</f>
        <v>East</v>
      </c>
      <c r="O228" t="str">
        <f>IFERROR(VLOOKUP(C228,Customers!$A$2:$F$301,5,FALSE),"")</f>
        <v>Corporate</v>
      </c>
      <c r="P228">
        <f>IFERROR(VLOOKUP(C228,Customers!$A$2:$F$301,3,FALSE),"")</f>
        <v>47</v>
      </c>
      <c r="Q228" s="41">
        <f t="shared" si="12"/>
        <v>0.56957236842105263</v>
      </c>
      <c r="R228" t="str">
        <f>IFERROR(VLOOKUP(C228,Customers!$A$2:$F$301,1,FALSE),"")</f>
        <v>CUST-0296</v>
      </c>
      <c r="S228" s="27" t="b">
        <f>IFERROR(VLOOKUP(D228,Products!$A$2:$F$61,6,FALSE),"")</f>
        <v>1</v>
      </c>
      <c r="BL228">
        <v>0</v>
      </c>
      <c r="BM228">
        <v>0</v>
      </c>
      <c r="BN228">
        <v>2.1276595744680851E-2</v>
      </c>
      <c r="BO228">
        <v>0</v>
      </c>
      <c r="BP228">
        <v>0</v>
      </c>
    </row>
    <row r="229" spans="1:68" x14ac:dyDescent="0.35">
      <c r="A229" s="26" t="str">
        <f>Orders!A229</f>
        <v>ORD-00228</v>
      </c>
      <c r="B229" s="33">
        <f>Orders!B229</f>
        <v>45487</v>
      </c>
      <c r="C229" t="str">
        <f>Orders!C229</f>
        <v>CUST-0080</v>
      </c>
      <c r="D229" t="str">
        <f>Orders!D229</f>
        <v>PROD-050</v>
      </c>
      <c r="E229" t="str">
        <f>Orders!E229</f>
        <v>R022</v>
      </c>
      <c r="F229">
        <f>Orders!F229</f>
        <v>7</v>
      </c>
      <c r="G229" s="35">
        <f>Orders!G229</f>
        <v>6080</v>
      </c>
      <c r="H229" s="37">
        <f>Orders!H229</f>
        <v>9.1999999999999993</v>
      </c>
      <c r="I229" s="39">
        <f>Orders!I229</f>
        <v>38644.480000000003</v>
      </c>
      <c r="J229" t="str">
        <f>Orders!J229</f>
        <v>Completed</v>
      </c>
      <c r="K229" t="str">
        <f>Orders!K229</f>
        <v>Pune</v>
      </c>
      <c r="L229" t="str">
        <f>IFERROR(VLOOKUP(D229,Products!$A$2:$F$61,3,FALSE),"")</f>
        <v>Beauty</v>
      </c>
      <c r="M229">
        <f>IFERROR(VLOOKUP(D229,Products!$A$2:$F$61,4,FALSE),"")</f>
        <v>2617</v>
      </c>
      <c r="N229" t="str">
        <f>IFERROR(VLOOKUP(E229,Sales_Reps!$A$2:$E$31,3,FALSE),"")</f>
        <v>East</v>
      </c>
      <c r="O229" t="str">
        <f>IFERROR(VLOOKUP(C229,Customers!$A$2:$F$301,5,FALSE),"")</f>
        <v>SMB</v>
      </c>
      <c r="P229">
        <f>IFERROR(VLOOKUP(C229,Customers!$A$2:$F$301,3,FALSE),"")</f>
        <v>30</v>
      </c>
      <c r="Q229" s="41">
        <f t="shared" si="12"/>
        <v>0.56957236842105263</v>
      </c>
      <c r="R229" t="str">
        <f>IFERROR(VLOOKUP(C229,Customers!$A$2:$F$301,1,FALSE),"")</f>
        <v>CUST-0080</v>
      </c>
      <c r="S229" s="27" t="b">
        <f>IFERROR(VLOOKUP(D229,Products!$A$2:$F$61,6,FALSE),"")</f>
        <v>1</v>
      </c>
      <c r="BL229">
        <v>0</v>
      </c>
      <c r="BM229">
        <v>0</v>
      </c>
      <c r="BN229">
        <v>1.8867924528301886E-2</v>
      </c>
      <c r="BO229">
        <v>0</v>
      </c>
      <c r="BP229">
        <v>0</v>
      </c>
    </row>
    <row r="230" spans="1:68" x14ac:dyDescent="0.35">
      <c r="A230" s="26" t="str">
        <f>Orders!A230</f>
        <v>ORD-00229</v>
      </c>
      <c r="B230" s="33">
        <f>Orders!B230</f>
        <v>45585</v>
      </c>
      <c r="C230" t="str">
        <f>Orders!C230</f>
        <v>CUST-0232</v>
      </c>
      <c r="D230" t="str">
        <f>Orders!D230</f>
        <v>PROD-024</v>
      </c>
      <c r="E230" t="str">
        <f>Orders!E230</f>
        <v>R014</v>
      </c>
      <c r="F230">
        <f>Orders!F230</f>
        <v>5</v>
      </c>
      <c r="G230" s="35">
        <f>Orders!G230</f>
        <v>2270</v>
      </c>
      <c r="H230" s="37">
        <f>Orders!H230</f>
        <v>0.4</v>
      </c>
      <c r="I230" s="39">
        <f>Orders!I230</f>
        <v>11304.6</v>
      </c>
      <c r="J230" t="str">
        <f>Orders!J230</f>
        <v>Cancelled</v>
      </c>
      <c r="K230" t="str">
        <f>Orders!K230</f>
        <v>Hyderabad</v>
      </c>
      <c r="L230" t="str">
        <f>IFERROR(VLOOKUP(D230,Products!$A$2:$F$61,3,FALSE),"")</f>
        <v>Grocery</v>
      </c>
      <c r="M230">
        <f>IFERROR(VLOOKUP(D230,Products!$A$2:$F$61,4,FALSE),"")</f>
        <v>1203</v>
      </c>
      <c r="N230" t="str">
        <f>IFERROR(VLOOKUP(E230,Sales_Reps!$A$2:$E$31,3,FALSE),"")</f>
        <v>South</v>
      </c>
      <c r="O230" t="str">
        <f>IFERROR(VLOOKUP(C230,Customers!$A$2:$F$301,5,FALSE),"")</f>
        <v>Retail</v>
      </c>
      <c r="P230">
        <f>IFERROR(VLOOKUP(C230,Customers!$A$2:$F$301,3,FALSE),"")</f>
        <v>38</v>
      </c>
      <c r="Q230" s="41">
        <f t="shared" si="12"/>
        <v>0.47004405286343615</v>
      </c>
      <c r="R230" t="str">
        <f>IFERROR(VLOOKUP(C230,Customers!$A$2:$F$301,1,FALSE),"")</f>
        <v>CUST-0232</v>
      </c>
      <c r="S230" s="27" t="b">
        <f>IFERROR(VLOOKUP(D230,Products!$A$2:$F$61,6,FALSE),"")</f>
        <v>1</v>
      </c>
      <c r="BL230">
        <v>0</v>
      </c>
      <c r="BM230">
        <v>0</v>
      </c>
      <c r="BN230">
        <v>1.9607843137254902E-2</v>
      </c>
      <c r="BO230">
        <v>0</v>
      </c>
      <c r="BP230">
        <v>0</v>
      </c>
    </row>
    <row r="231" spans="1:68" x14ac:dyDescent="0.35">
      <c r="A231" s="26" t="str">
        <f>Orders!A231</f>
        <v>ORD-00230</v>
      </c>
      <c r="B231" s="33">
        <f>Orders!B231</f>
        <v>45373</v>
      </c>
      <c r="C231" t="str">
        <f>Orders!C231</f>
        <v>CUST-0070</v>
      </c>
      <c r="D231" t="str">
        <f>Orders!D231</f>
        <v>PROD-046</v>
      </c>
      <c r="E231" t="str">
        <f>Orders!E231</f>
        <v>R016</v>
      </c>
      <c r="F231">
        <f>Orders!F231</f>
        <v>10</v>
      </c>
      <c r="G231" s="35">
        <f>Orders!G231</f>
        <v>4880</v>
      </c>
      <c r="H231" s="37">
        <f>Orders!H231</f>
        <v>24.5</v>
      </c>
      <c r="I231" s="39">
        <f>Orders!I231</f>
        <v>36844</v>
      </c>
      <c r="J231" t="str">
        <f>Orders!J231</f>
        <v>Refunded</v>
      </c>
      <c r="K231" t="str">
        <f>Orders!K231</f>
        <v>Mumbai</v>
      </c>
      <c r="L231" t="str">
        <f>IFERROR(VLOOKUP(D231,Products!$A$2:$F$61,3,FALSE),"")</f>
        <v>Beauty</v>
      </c>
      <c r="M231">
        <f>IFERROR(VLOOKUP(D231,Products!$A$2:$F$61,4,FALSE),"")</f>
        <v>2768</v>
      </c>
      <c r="N231" t="str">
        <f>IFERROR(VLOOKUP(E231,Sales_Reps!$A$2:$E$31,3,FALSE),"")</f>
        <v>South</v>
      </c>
      <c r="O231" t="str">
        <f>IFERROR(VLOOKUP(C231,Customers!$A$2:$F$301,5,FALSE),"")</f>
        <v>Retail</v>
      </c>
      <c r="P231">
        <f>IFERROR(VLOOKUP(C231,Customers!$A$2:$F$301,3,FALSE),"")</f>
        <v>42</v>
      </c>
      <c r="Q231" s="41">
        <f t="shared" si="12"/>
        <v>0.43278688524590164</v>
      </c>
      <c r="R231" t="str">
        <f>IFERROR(VLOOKUP(C231,Customers!$A$2:$F$301,1,FALSE),"")</f>
        <v>CUST-0070</v>
      </c>
      <c r="S231" s="27" t="b">
        <f>IFERROR(VLOOKUP(D231,Products!$A$2:$F$61,6,FALSE),"")</f>
        <v>1</v>
      </c>
      <c r="BL231">
        <v>0</v>
      </c>
      <c r="BM231">
        <v>0</v>
      </c>
      <c r="BN231">
        <v>1.8867924528301886E-2</v>
      </c>
      <c r="BO231">
        <v>0</v>
      </c>
      <c r="BP231">
        <v>0</v>
      </c>
    </row>
    <row r="232" spans="1:68" x14ac:dyDescent="0.35">
      <c r="A232" s="26" t="str">
        <f>Orders!A232</f>
        <v>ORD-00231</v>
      </c>
      <c r="B232" s="33">
        <f>Orders!B232</f>
        <v>45293</v>
      </c>
      <c r="C232" t="str">
        <f>Orders!C232</f>
        <v>CUST-0142</v>
      </c>
      <c r="D232" t="str">
        <f>Orders!D232</f>
        <v>PROD-023</v>
      </c>
      <c r="E232" t="str">
        <f>Orders!E232</f>
        <v>R002</v>
      </c>
      <c r="F232">
        <f>Orders!F232</f>
        <v>2</v>
      </c>
      <c r="G232" s="35">
        <f>Orders!G232</f>
        <v>2380</v>
      </c>
      <c r="H232" s="37">
        <f>Orders!H232</f>
        <v>2.2999999999999998</v>
      </c>
      <c r="I232" s="39">
        <f>Orders!I232</f>
        <v>4650.5200000000004</v>
      </c>
      <c r="J232" t="str">
        <f>Orders!J232</f>
        <v>Completed</v>
      </c>
      <c r="K232" t="str">
        <f>Orders!K232</f>
        <v>Chennai</v>
      </c>
      <c r="L232" t="str">
        <f>IFERROR(VLOOKUP(D232,Products!$A$2:$F$61,3,FALSE),"")</f>
        <v>Grocery</v>
      </c>
      <c r="M232">
        <f>IFERROR(VLOOKUP(D232,Products!$A$2:$F$61,4,FALSE),"")</f>
        <v>1182</v>
      </c>
      <c r="N232" t="str">
        <f>IFERROR(VLOOKUP(E232,Sales_Reps!$A$2:$E$31,3,FALSE),"")</f>
        <v>North</v>
      </c>
      <c r="O232" t="str">
        <f>IFERROR(VLOOKUP(C232,Customers!$A$2:$F$301,5,FALSE),"")</f>
        <v>Corporate</v>
      </c>
      <c r="P232">
        <f>IFERROR(VLOOKUP(C232,Customers!$A$2:$F$301,3,FALSE),"")</f>
        <v>55</v>
      </c>
      <c r="Q232" s="41">
        <f t="shared" si="12"/>
        <v>0.50336134453781511</v>
      </c>
      <c r="R232" t="str">
        <f>IFERROR(VLOOKUP(C232,Customers!$A$2:$F$301,1,FALSE),"")</f>
        <v>CUST-0142</v>
      </c>
      <c r="S232" s="27" t="b">
        <f>IFERROR(VLOOKUP(D232,Products!$A$2:$F$61,6,FALSE),"")</f>
        <v>1</v>
      </c>
      <c r="BL232">
        <v>0</v>
      </c>
      <c r="BM232">
        <v>0</v>
      </c>
      <c r="BN232">
        <v>1.8867924528301886E-2</v>
      </c>
      <c r="BO232">
        <v>0</v>
      </c>
      <c r="BP232">
        <v>0</v>
      </c>
    </row>
    <row r="233" spans="1:68" x14ac:dyDescent="0.35">
      <c r="A233" s="26" t="str">
        <f>Orders!A233</f>
        <v>ORD-00232</v>
      </c>
      <c r="B233" s="33">
        <f>Orders!B233</f>
        <v>45498</v>
      </c>
      <c r="C233" t="str">
        <f>Orders!C233</f>
        <v>CUST-0161</v>
      </c>
      <c r="D233" t="str">
        <f>Orders!D233</f>
        <v>PROD-054</v>
      </c>
      <c r="E233" t="str">
        <f>Orders!E233</f>
        <v>R025</v>
      </c>
      <c r="F233">
        <f>Orders!F233</f>
        <v>1</v>
      </c>
      <c r="G233" s="35">
        <f>Orders!G233</f>
        <v>1010</v>
      </c>
      <c r="H233" s="37">
        <f>Orders!H233</f>
        <v>29.9</v>
      </c>
      <c r="I233" s="39">
        <f>Orders!I233</f>
        <v>708.01</v>
      </c>
      <c r="J233" t="str">
        <f>Orders!J233</f>
        <v>Completed</v>
      </c>
      <c r="K233" t="str">
        <f>Orders!K233</f>
        <v>Chennai</v>
      </c>
      <c r="L233" t="str">
        <f>IFERROR(VLOOKUP(D233,Products!$A$2:$F$61,3,FALSE),"")</f>
        <v>Sports</v>
      </c>
      <c r="M233">
        <f>IFERROR(VLOOKUP(D233,Products!$A$2:$F$61,4,FALSE),"")</f>
        <v>516</v>
      </c>
      <c r="N233" t="str">
        <f>IFERROR(VLOOKUP(E233,Sales_Reps!$A$2:$E$31,3,FALSE),"")</f>
        <v>West</v>
      </c>
      <c r="O233" t="str">
        <f>IFERROR(VLOOKUP(C233,Customers!$A$2:$F$301,5,FALSE),"")</f>
        <v>Retail</v>
      </c>
      <c r="P233">
        <f>IFERROR(VLOOKUP(C233,Customers!$A$2:$F$301,3,FALSE),"")</f>
        <v>38</v>
      </c>
      <c r="Q233" s="41">
        <f t="shared" si="12"/>
        <v>0.4891089108910891</v>
      </c>
      <c r="R233" t="str">
        <f>IFERROR(VLOOKUP(C233,Customers!$A$2:$F$301,1,FALSE),"")</f>
        <v>CUST-0161</v>
      </c>
      <c r="S233" s="27" t="b">
        <f>IFERROR(VLOOKUP(D233,Products!$A$2:$F$61,6,FALSE),"")</f>
        <v>1</v>
      </c>
      <c r="BL233">
        <v>0</v>
      </c>
      <c r="BM233">
        <v>0</v>
      </c>
      <c r="BN233">
        <v>1.9607843137254902E-2</v>
      </c>
      <c r="BO233">
        <v>0</v>
      </c>
      <c r="BP233">
        <v>0</v>
      </c>
    </row>
    <row r="234" spans="1:68" x14ac:dyDescent="0.35">
      <c r="A234" s="26" t="str">
        <f>Orders!A234</f>
        <v>ORD-00233</v>
      </c>
      <c r="B234" s="33">
        <f>Orders!B234</f>
        <v>45643</v>
      </c>
      <c r="C234" t="str">
        <f>Orders!C234</f>
        <v>CUST-0020</v>
      </c>
      <c r="D234" t="str">
        <f>Orders!D234</f>
        <v>PROD-056</v>
      </c>
      <c r="E234" t="str">
        <f>Orders!E234</f>
        <v>R029</v>
      </c>
      <c r="F234">
        <f>Orders!F234</f>
        <v>7</v>
      </c>
      <c r="G234" s="35">
        <f>Orders!G234</f>
        <v>6940</v>
      </c>
      <c r="H234" s="37">
        <f>Orders!H234</f>
        <v>25.8</v>
      </c>
      <c r="I234" s="39">
        <f>Orders!I234</f>
        <v>36046.36</v>
      </c>
      <c r="J234" t="str">
        <f>Orders!J234</f>
        <v>Completed</v>
      </c>
      <c r="K234" t="str">
        <f>Orders!K234</f>
        <v>Hyderabad</v>
      </c>
      <c r="L234" t="str">
        <f>IFERROR(VLOOKUP(D234,Products!$A$2:$F$61,3,FALSE),"")</f>
        <v>Sports</v>
      </c>
      <c r="M234">
        <f>IFERROR(VLOOKUP(D234,Products!$A$2:$F$61,4,FALSE),"")</f>
        <v>2827</v>
      </c>
      <c r="N234" t="str">
        <f>IFERROR(VLOOKUP(E234,Sales_Reps!$A$2:$E$31,3,FALSE),"")</f>
        <v>West</v>
      </c>
      <c r="O234" t="str">
        <f>IFERROR(VLOOKUP(C234,Customers!$A$2:$F$301,5,FALSE),"")</f>
        <v>Retail</v>
      </c>
      <c r="P234">
        <f>IFERROR(VLOOKUP(C234,Customers!$A$2:$F$301,3,FALSE),"")</f>
        <v>46</v>
      </c>
      <c r="Q234" s="41">
        <f t="shared" si="12"/>
        <v>0.5926512968299712</v>
      </c>
      <c r="R234" t="str">
        <f>IFERROR(VLOOKUP(C234,Customers!$A$2:$F$301,1,FALSE),"")</f>
        <v>CUST-0020</v>
      </c>
      <c r="S234" s="27" t="b">
        <f>IFERROR(VLOOKUP(D234,Products!$A$2:$F$61,6,FALSE),"")</f>
        <v>1</v>
      </c>
      <c r="BL234">
        <v>0</v>
      </c>
      <c r="BM234">
        <v>0</v>
      </c>
      <c r="BN234">
        <v>1.8518518518518517E-2</v>
      </c>
      <c r="BO234">
        <v>0</v>
      </c>
      <c r="BP234">
        <v>0</v>
      </c>
    </row>
    <row r="235" spans="1:68" x14ac:dyDescent="0.35">
      <c r="A235" s="26" t="str">
        <f>Orders!A235</f>
        <v>ORD-00234</v>
      </c>
      <c r="B235" s="33">
        <f>Orders!B235</f>
        <v>45542</v>
      </c>
      <c r="C235" t="str">
        <f>Orders!C235</f>
        <v>CUST-0173</v>
      </c>
      <c r="D235" t="str">
        <f>Orders!D235</f>
        <v>PROD-042</v>
      </c>
      <c r="E235" t="str">
        <f>Orders!E235</f>
        <v>R024</v>
      </c>
      <c r="F235">
        <f>Orders!F235</f>
        <v>6</v>
      </c>
      <c r="G235" s="35">
        <f>Orders!G235</f>
        <v>2290</v>
      </c>
      <c r="H235" s="37">
        <f>Orders!H235</f>
        <v>25.9</v>
      </c>
      <c r="I235" s="39">
        <f>Orders!I235</f>
        <v>10181.34</v>
      </c>
      <c r="J235" t="str">
        <f>Orders!J235</f>
        <v>Pending</v>
      </c>
      <c r="K235" t="str">
        <f>Orders!K235</f>
        <v>Mumbai</v>
      </c>
      <c r="L235" t="str">
        <f>IFERROR(VLOOKUP(D235,Products!$A$2:$F$61,3,FALSE),"")</f>
        <v>Beauty</v>
      </c>
      <c r="M235">
        <f>IFERROR(VLOOKUP(D235,Products!$A$2:$F$61,4,FALSE),"")</f>
        <v>1219</v>
      </c>
      <c r="N235" t="str">
        <f>IFERROR(VLOOKUP(E235,Sales_Reps!$A$2:$E$31,3,FALSE),"")</f>
        <v>West</v>
      </c>
      <c r="O235" t="str">
        <f>IFERROR(VLOOKUP(C235,Customers!$A$2:$F$301,5,FALSE),"")</f>
        <v>Retail</v>
      </c>
      <c r="P235">
        <f>IFERROR(VLOOKUP(C235,Customers!$A$2:$F$301,3,FALSE),"")</f>
        <v>65</v>
      </c>
      <c r="Q235" s="41">
        <f t="shared" si="12"/>
        <v>0.46768558951965067</v>
      </c>
      <c r="R235" t="str">
        <f>IFERROR(VLOOKUP(C235,Customers!$A$2:$F$301,1,FALSE),"")</f>
        <v>CUST-0173</v>
      </c>
      <c r="S235" s="27" t="b">
        <f>IFERROR(VLOOKUP(D235,Products!$A$2:$F$61,6,FALSE),"")</f>
        <v>1</v>
      </c>
      <c r="BL235">
        <v>0</v>
      </c>
      <c r="BM235">
        <v>0</v>
      </c>
      <c r="BN235">
        <v>2.1276595744680851E-2</v>
      </c>
      <c r="BO235">
        <v>0</v>
      </c>
      <c r="BP235">
        <v>0</v>
      </c>
    </row>
    <row r="236" spans="1:68" x14ac:dyDescent="0.35">
      <c r="A236" s="26" t="str">
        <f>Orders!A236</f>
        <v>ORD-00235</v>
      </c>
      <c r="B236" s="33">
        <f>Orders!B236</f>
        <v>45508</v>
      </c>
      <c r="C236" t="str">
        <f>Orders!C236</f>
        <v>CUST-0280</v>
      </c>
      <c r="D236" t="str">
        <f>Orders!D236</f>
        <v>PROD-032</v>
      </c>
      <c r="E236" t="str">
        <f>Orders!E236</f>
        <v>R014</v>
      </c>
      <c r="F236">
        <f>Orders!F236</f>
        <v>2</v>
      </c>
      <c r="G236" s="35">
        <f>Orders!G236</f>
        <v>370</v>
      </c>
      <c r="H236" s="37">
        <f>Orders!H236</f>
        <v>3.9</v>
      </c>
      <c r="I236" s="39">
        <f>Orders!I236</f>
        <v>711.14</v>
      </c>
      <c r="J236" t="str">
        <f>Orders!J236</f>
        <v>Completed</v>
      </c>
      <c r="K236" t="str">
        <f>Orders!K236</f>
        <v>Delhi</v>
      </c>
      <c r="L236" t="str">
        <f>IFERROR(VLOOKUP(D236,Products!$A$2:$F$61,3,FALSE),"")</f>
        <v>Home</v>
      </c>
      <c r="M236">
        <f>IFERROR(VLOOKUP(D236,Products!$A$2:$F$61,4,FALSE),"")</f>
        <v>288</v>
      </c>
      <c r="N236" t="str">
        <f>IFERROR(VLOOKUP(E236,Sales_Reps!$A$2:$E$31,3,FALSE),"")</f>
        <v>South</v>
      </c>
      <c r="O236" t="str">
        <f>IFERROR(VLOOKUP(C236,Customers!$A$2:$F$301,5,FALSE),"")</f>
        <v>SMB</v>
      </c>
      <c r="P236">
        <f>IFERROR(VLOOKUP(C236,Customers!$A$2:$F$301,3,FALSE),"")</f>
        <v>27</v>
      </c>
      <c r="Q236" s="41">
        <f t="shared" si="12"/>
        <v>0.22162162162162163</v>
      </c>
      <c r="R236" t="str">
        <f>IFERROR(VLOOKUP(C236,Customers!$A$2:$F$301,1,FALSE),"")</f>
        <v>CUST-0280</v>
      </c>
      <c r="S236" s="27" t="b">
        <f>IFERROR(VLOOKUP(D236,Products!$A$2:$F$61,6,FALSE),"")</f>
        <v>1</v>
      </c>
      <c r="BL236">
        <v>0</v>
      </c>
      <c r="BM236">
        <v>0</v>
      </c>
      <c r="BN236">
        <v>1.8867924528301886E-2</v>
      </c>
      <c r="BO236">
        <v>0</v>
      </c>
      <c r="BP236">
        <v>0</v>
      </c>
    </row>
    <row r="237" spans="1:68" x14ac:dyDescent="0.35">
      <c r="A237" s="26" t="str">
        <f>Orders!A237</f>
        <v>ORD-00236</v>
      </c>
      <c r="B237" s="33">
        <f>Orders!B237</f>
        <v>45353</v>
      </c>
      <c r="C237" t="str">
        <f>Orders!C237</f>
        <v>CUST-0073</v>
      </c>
      <c r="D237" t="str">
        <f>Orders!D237</f>
        <v>PROD-022</v>
      </c>
      <c r="E237" t="str">
        <f>Orders!E237</f>
        <v>R020</v>
      </c>
      <c r="F237">
        <f>Orders!F237</f>
        <v>1</v>
      </c>
      <c r="G237" s="35">
        <f>Orders!G237</f>
        <v>2270</v>
      </c>
      <c r="H237" s="37">
        <f>Orders!H237</f>
        <v>25.3</v>
      </c>
      <c r="I237" s="39">
        <f>Orders!I237</f>
        <v>1695.69</v>
      </c>
      <c r="J237" t="str">
        <f>Orders!J237</f>
        <v>Completed</v>
      </c>
      <c r="K237" t="str">
        <f>Orders!K237</f>
        <v>Pune</v>
      </c>
      <c r="L237" t="str">
        <f>IFERROR(VLOOKUP(D237,Products!$A$2:$F$61,3,FALSE),"")</f>
        <v>Grocery</v>
      </c>
      <c r="M237">
        <f>IFERROR(VLOOKUP(D237,Products!$A$2:$F$61,4,FALSE),"")</f>
        <v>1412</v>
      </c>
      <c r="N237" t="str">
        <f>IFERROR(VLOOKUP(E237,Sales_Reps!$A$2:$E$31,3,FALSE),"")</f>
        <v>East</v>
      </c>
      <c r="O237" t="str">
        <f>IFERROR(VLOOKUP(C237,Customers!$A$2:$F$301,5,FALSE),"")</f>
        <v>Corporate</v>
      </c>
      <c r="P237">
        <f>IFERROR(VLOOKUP(C237,Customers!$A$2:$F$301,3,FALSE),"")</f>
        <v>40</v>
      </c>
      <c r="Q237" s="41">
        <f t="shared" si="12"/>
        <v>0.37797356828193834</v>
      </c>
      <c r="R237" t="str">
        <f>IFERROR(VLOOKUP(C237,Customers!$A$2:$F$301,1,FALSE),"")</f>
        <v>CUST-0073</v>
      </c>
      <c r="S237" s="27" t="b">
        <f>IFERROR(VLOOKUP(D237,Products!$A$2:$F$61,6,FALSE),"")</f>
        <v>1</v>
      </c>
      <c r="BL237">
        <v>0</v>
      </c>
      <c r="BM237">
        <v>0</v>
      </c>
      <c r="BN237">
        <v>1.9607843137254902E-2</v>
      </c>
      <c r="BO237">
        <v>0</v>
      </c>
      <c r="BP237">
        <v>0</v>
      </c>
    </row>
    <row r="238" spans="1:68" x14ac:dyDescent="0.35">
      <c r="A238" s="26" t="str">
        <f>Orders!A238</f>
        <v>ORD-00237</v>
      </c>
      <c r="B238" s="33">
        <f>Orders!B238</f>
        <v>45344</v>
      </c>
      <c r="C238" t="str">
        <f>Orders!C238</f>
        <v>CUST-0242</v>
      </c>
      <c r="D238" t="str">
        <f>Orders!D238</f>
        <v>PROD-050</v>
      </c>
      <c r="E238" t="str">
        <f>Orders!E238</f>
        <v>R002</v>
      </c>
      <c r="F238">
        <f>Orders!F238</f>
        <v>4</v>
      </c>
      <c r="G238" s="35">
        <f>Orders!G238</f>
        <v>6080</v>
      </c>
      <c r="H238" s="37">
        <f>Orders!H238</f>
        <v>28.8</v>
      </c>
      <c r="I238" s="39">
        <f>Orders!I238</f>
        <v>17315.84</v>
      </c>
      <c r="J238" t="str">
        <f>Orders!J238</f>
        <v>Pending</v>
      </c>
      <c r="K238" t="str">
        <f>Orders!K238</f>
        <v>Chennai</v>
      </c>
      <c r="L238" t="str">
        <f>IFERROR(VLOOKUP(D238,Products!$A$2:$F$61,3,FALSE),"")</f>
        <v>Beauty</v>
      </c>
      <c r="M238">
        <f>IFERROR(VLOOKUP(D238,Products!$A$2:$F$61,4,FALSE),"")</f>
        <v>2617</v>
      </c>
      <c r="N238" t="str">
        <f>IFERROR(VLOOKUP(E238,Sales_Reps!$A$2:$E$31,3,FALSE),"")</f>
        <v>North</v>
      </c>
      <c r="O238" t="str">
        <f>IFERROR(VLOOKUP(C238,Customers!$A$2:$F$301,5,FALSE),"")</f>
        <v>SMB</v>
      </c>
      <c r="P238">
        <f>IFERROR(VLOOKUP(C238,Customers!$A$2:$F$301,3,FALSE),"")</f>
        <v>59</v>
      </c>
      <c r="Q238" s="41">
        <f t="shared" si="12"/>
        <v>0.56957236842105263</v>
      </c>
      <c r="R238" t="str">
        <f>IFERROR(VLOOKUP(C238,Customers!$A$2:$F$301,1,FALSE),"")</f>
        <v>CUST-0242</v>
      </c>
      <c r="S238" s="27" t="b">
        <f>IFERROR(VLOOKUP(D238,Products!$A$2:$F$61,6,FALSE),"")</f>
        <v>1</v>
      </c>
      <c r="BL238">
        <v>0</v>
      </c>
      <c r="BM238">
        <v>0</v>
      </c>
      <c r="BN238">
        <v>1.8518518518518517E-2</v>
      </c>
      <c r="BO238">
        <v>0</v>
      </c>
      <c r="BP238">
        <v>0</v>
      </c>
    </row>
    <row r="239" spans="1:68" x14ac:dyDescent="0.35">
      <c r="A239" s="26" t="str">
        <f>Orders!A239</f>
        <v>ORD-00238</v>
      </c>
      <c r="B239" s="33">
        <f>Orders!B239</f>
        <v>45389</v>
      </c>
      <c r="C239" t="str">
        <f>Orders!C239</f>
        <v>CUST-0234</v>
      </c>
      <c r="D239" t="str">
        <f>Orders!D239</f>
        <v>PROD-001</v>
      </c>
      <c r="E239" t="str">
        <f>Orders!E239</f>
        <v>R018</v>
      </c>
      <c r="F239">
        <f>Orders!F239</f>
        <v>2</v>
      </c>
      <c r="G239" s="35">
        <f>Orders!G239</f>
        <v>5330</v>
      </c>
      <c r="H239" s="37">
        <f>Orders!H239</f>
        <v>23.8</v>
      </c>
      <c r="I239" s="39">
        <f>Orders!I239</f>
        <v>8122.92</v>
      </c>
      <c r="J239" t="str">
        <f>Orders!J239</f>
        <v>Pending</v>
      </c>
      <c r="K239" t="str">
        <f>Orders!K239</f>
        <v>Bengaluru</v>
      </c>
      <c r="L239" t="str">
        <f>IFERROR(VLOOKUP(D239,Products!$A$2:$F$61,3,FALSE),"")</f>
        <v>Electronics</v>
      </c>
      <c r="M239">
        <f>IFERROR(VLOOKUP(D239,Products!$A$2:$F$61,4,FALSE),"")</f>
        <v>2405</v>
      </c>
      <c r="N239" t="str">
        <f>IFERROR(VLOOKUP(E239,Sales_Reps!$A$2:$E$31,3,FALSE),"")</f>
        <v>East</v>
      </c>
      <c r="O239" t="str">
        <f>IFERROR(VLOOKUP(C239,Customers!$A$2:$F$301,5,FALSE),"")</f>
        <v>Retail</v>
      </c>
      <c r="P239">
        <f>IFERROR(VLOOKUP(C239,Customers!$A$2:$F$301,3,FALSE),"")</f>
        <v>34</v>
      </c>
      <c r="Q239" s="41">
        <f t="shared" si="12"/>
        <v>0.54878048780487809</v>
      </c>
      <c r="R239" t="str">
        <f>IFERROR(VLOOKUP(C239,Customers!$A$2:$F$301,1,FALSE),"")</f>
        <v>CUST-0234</v>
      </c>
      <c r="S239" s="27" t="b">
        <f>IFERROR(VLOOKUP(D239,Products!$A$2:$F$61,6,FALSE),"")</f>
        <v>1</v>
      </c>
      <c r="BL239">
        <v>0</v>
      </c>
      <c r="BM239">
        <v>0</v>
      </c>
      <c r="BN239">
        <v>2.3809523809523808E-2</v>
      </c>
      <c r="BO239">
        <v>0</v>
      </c>
      <c r="BP239">
        <v>0</v>
      </c>
    </row>
    <row r="240" spans="1:68" x14ac:dyDescent="0.35">
      <c r="A240" s="26" t="str">
        <f>Orders!A240</f>
        <v>ORD-00239</v>
      </c>
      <c r="B240" s="33">
        <f>Orders!B240</f>
        <v>45344</v>
      </c>
      <c r="C240" t="str">
        <f>Orders!C240</f>
        <v>CUST-0085</v>
      </c>
      <c r="D240" t="str">
        <f>Orders!D240</f>
        <v>PROD-026</v>
      </c>
      <c r="E240" t="str">
        <f>Orders!E240</f>
        <v>R024</v>
      </c>
      <c r="F240">
        <f>Orders!F240</f>
        <v>2</v>
      </c>
      <c r="G240" s="35">
        <f>Orders!G240</f>
        <v>4070</v>
      </c>
      <c r="H240" s="37">
        <f>Orders!H240</f>
        <v>4.3</v>
      </c>
      <c r="I240" s="39">
        <f>Orders!I240</f>
        <v>7789.98</v>
      </c>
      <c r="J240" t="str">
        <f>Orders!J240</f>
        <v>Completed</v>
      </c>
      <c r="K240" t="str">
        <f>Orders!K240</f>
        <v>Chennai</v>
      </c>
      <c r="L240" t="str">
        <f>IFERROR(VLOOKUP(D240,Products!$A$2:$F$61,3,FALSE),"")</f>
        <v>Grocery</v>
      </c>
      <c r="M240">
        <f>IFERROR(VLOOKUP(D240,Products!$A$2:$F$61,4,FALSE),"")</f>
        <v>2027</v>
      </c>
      <c r="N240" t="str">
        <f>IFERROR(VLOOKUP(E240,Sales_Reps!$A$2:$E$31,3,FALSE),"")</f>
        <v>West</v>
      </c>
      <c r="O240" t="str">
        <f>IFERROR(VLOOKUP(C240,Customers!$A$2:$F$301,5,FALSE),"")</f>
        <v>Retail</v>
      </c>
      <c r="P240">
        <f>IFERROR(VLOOKUP(C240,Customers!$A$2:$F$301,3,FALSE),"")</f>
        <v>26</v>
      </c>
      <c r="Q240" s="41">
        <f t="shared" si="12"/>
        <v>0.50196560196560192</v>
      </c>
      <c r="R240" t="str">
        <f>IFERROR(VLOOKUP(C240,Customers!$A$2:$F$301,1,FALSE),"")</f>
        <v>CUST-0085</v>
      </c>
      <c r="S240" s="27" t="b">
        <f>IFERROR(VLOOKUP(D240,Products!$A$2:$F$61,6,FALSE),"")</f>
        <v>1</v>
      </c>
      <c r="BL240">
        <v>0</v>
      </c>
      <c r="BM240">
        <v>0</v>
      </c>
      <c r="BN240">
        <v>1.8518518518518517E-2</v>
      </c>
      <c r="BO240">
        <v>0</v>
      </c>
      <c r="BP240">
        <v>0</v>
      </c>
    </row>
    <row r="241" spans="1:68" x14ac:dyDescent="0.35">
      <c r="A241" s="26" t="str">
        <f>Orders!A241</f>
        <v>ORD-00240</v>
      </c>
      <c r="B241" s="33">
        <f>Orders!B241</f>
        <v>45480</v>
      </c>
      <c r="C241" t="str">
        <f>Orders!C241</f>
        <v>CUST-0228</v>
      </c>
      <c r="D241" t="str">
        <f>Orders!D241</f>
        <v>PROD-005</v>
      </c>
      <c r="E241" t="str">
        <f>Orders!E241</f>
        <v>R004</v>
      </c>
      <c r="F241">
        <f>Orders!F241</f>
        <v>6</v>
      </c>
      <c r="G241" s="35">
        <f>Orders!G241</f>
        <v>300</v>
      </c>
      <c r="H241" s="37">
        <f>Orders!H241</f>
        <v>17.399999999999999</v>
      </c>
      <c r="I241" s="39">
        <f>Orders!I241</f>
        <v>1486.8</v>
      </c>
      <c r="J241" t="str">
        <f>Orders!J241</f>
        <v>Cancelled</v>
      </c>
      <c r="K241" t="str">
        <f>Orders!K241</f>
        <v>Pune</v>
      </c>
      <c r="L241" t="str">
        <f>IFERROR(VLOOKUP(D241,Products!$A$2:$F$61,3,FALSE),"")</f>
        <v>Electronics</v>
      </c>
      <c r="M241">
        <f>IFERROR(VLOOKUP(D241,Products!$A$2:$F$61,4,FALSE),"")</f>
        <v>128</v>
      </c>
      <c r="N241" t="str">
        <f>IFERROR(VLOOKUP(E241,Sales_Reps!$A$2:$E$31,3,FALSE),"")</f>
        <v>North</v>
      </c>
      <c r="O241" t="str">
        <f>IFERROR(VLOOKUP(C241,Customers!$A$2:$F$301,5,FALSE),"")</f>
        <v>Corporate</v>
      </c>
      <c r="P241">
        <f>IFERROR(VLOOKUP(C241,Customers!$A$2:$F$301,3,FALSE),"")</f>
        <v>37</v>
      </c>
      <c r="Q241" s="41">
        <f t="shared" si="12"/>
        <v>0.57333333333333336</v>
      </c>
      <c r="R241" t="str">
        <f>IFERROR(VLOOKUP(C241,Customers!$A$2:$F$301,1,FALSE),"")</f>
        <v>CUST-0228</v>
      </c>
      <c r="S241" s="27" t="b">
        <f>IFERROR(VLOOKUP(D241,Products!$A$2:$F$61,6,FALSE),"")</f>
        <v>1</v>
      </c>
      <c r="BL241">
        <v>0</v>
      </c>
      <c r="BM241">
        <v>0</v>
      </c>
      <c r="BN241">
        <v>1.8867924528301886E-2</v>
      </c>
      <c r="BO241">
        <v>0</v>
      </c>
      <c r="BP241">
        <v>0</v>
      </c>
    </row>
    <row r="242" spans="1:68" x14ac:dyDescent="0.35">
      <c r="A242" s="26" t="str">
        <f>Orders!A242</f>
        <v>ORD-00241</v>
      </c>
      <c r="B242" s="33">
        <f>Orders!B242</f>
        <v>45488</v>
      </c>
      <c r="C242" t="str">
        <f>Orders!C242</f>
        <v>CUST-0147</v>
      </c>
      <c r="D242" t="str">
        <f>Orders!D242</f>
        <v>PROD-046</v>
      </c>
      <c r="E242" t="str">
        <f>Orders!E242</f>
        <v>R014</v>
      </c>
      <c r="F242">
        <f>Orders!F242</f>
        <v>1</v>
      </c>
      <c r="G242" s="35">
        <f>Orders!G242</f>
        <v>4880</v>
      </c>
      <c r="H242" s="37">
        <f>Orders!H242</f>
        <v>17.5</v>
      </c>
      <c r="I242" s="39">
        <f>Orders!I242</f>
        <v>4026</v>
      </c>
      <c r="J242" t="str">
        <f>Orders!J242</f>
        <v>Completed</v>
      </c>
      <c r="K242" t="str">
        <f>Orders!K242</f>
        <v>Pune</v>
      </c>
      <c r="L242" t="str">
        <f>IFERROR(VLOOKUP(D242,Products!$A$2:$F$61,3,FALSE),"")</f>
        <v>Beauty</v>
      </c>
      <c r="M242">
        <f>IFERROR(VLOOKUP(D242,Products!$A$2:$F$61,4,FALSE),"")</f>
        <v>2768</v>
      </c>
      <c r="N242" t="str">
        <f>IFERROR(VLOOKUP(E242,Sales_Reps!$A$2:$E$31,3,FALSE),"")</f>
        <v>South</v>
      </c>
      <c r="O242" t="str">
        <f>IFERROR(VLOOKUP(C242,Customers!$A$2:$F$301,5,FALSE),"")</f>
        <v>Retail</v>
      </c>
      <c r="P242">
        <f>IFERROR(VLOOKUP(C242,Customers!$A$2:$F$301,3,FALSE),"")</f>
        <v>56</v>
      </c>
      <c r="Q242" s="41">
        <f t="shared" si="12"/>
        <v>0.43278688524590164</v>
      </c>
      <c r="R242" t="str">
        <f>IFERROR(VLOOKUP(C242,Customers!$A$2:$F$301,1,FALSE),"")</f>
        <v>CUST-0147</v>
      </c>
      <c r="S242" s="27" t="b">
        <f>IFERROR(VLOOKUP(D242,Products!$A$2:$F$61,6,FALSE),"")</f>
        <v>1</v>
      </c>
      <c r="BL242">
        <v>0</v>
      </c>
      <c r="BM242">
        <v>0</v>
      </c>
      <c r="BN242">
        <v>1.8867924528301886E-2</v>
      </c>
      <c r="BO242">
        <v>0</v>
      </c>
      <c r="BP242">
        <v>0</v>
      </c>
    </row>
    <row r="243" spans="1:68" x14ac:dyDescent="0.35">
      <c r="A243" s="26" t="str">
        <f>Orders!A243</f>
        <v>ORD-00242</v>
      </c>
      <c r="B243" s="33">
        <f>Orders!B243</f>
        <v>45326</v>
      </c>
      <c r="C243" t="str">
        <f>Orders!C243</f>
        <v>CUST-0171</v>
      </c>
      <c r="D243" t="str">
        <f>Orders!D243</f>
        <v>PROD-055</v>
      </c>
      <c r="E243" t="str">
        <f>Orders!E243</f>
        <v>R027</v>
      </c>
      <c r="F243">
        <f>Orders!F243</f>
        <v>3</v>
      </c>
      <c r="G243" s="35">
        <f>Orders!G243</f>
        <v>2860</v>
      </c>
      <c r="H243" s="37">
        <f>Orders!H243</f>
        <v>20.100000000000001</v>
      </c>
      <c r="I243" s="39">
        <f>Orders!I243</f>
        <v>6855.42</v>
      </c>
      <c r="J243" t="str">
        <f>Orders!J243</f>
        <v>Completed</v>
      </c>
      <c r="K243" t="str">
        <f>Orders!K243</f>
        <v>Chennai</v>
      </c>
      <c r="L243" t="str">
        <f>IFERROR(VLOOKUP(D243,Products!$A$2:$F$61,3,FALSE),"")</f>
        <v>Sports</v>
      </c>
      <c r="M243">
        <f>IFERROR(VLOOKUP(D243,Products!$A$2:$F$61,4,FALSE),"")</f>
        <v>2028</v>
      </c>
      <c r="N243" t="str">
        <f>IFERROR(VLOOKUP(E243,Sales_Reps!$A$2:$E$31,3,FALSE),"")</f>
        <v>West</v>
      </c>
      <c r="O243" t="str">
        <f>IFERROR(VLOOKUP(C243,Customers!$A$2:$F$301,5,FALSE),"")</f>
        <v>Corporate</v>
      </c>
      <c r="P243">
        <f>IFERROR(VLOOKUP(C243,Customers!$A$2:$F$301,3,FALSE),"")</f>
        <v>30</v>
      </c>
      <c r="Q243" s="41">
        <f t="shared" si="12"/>
        <v>0.29090909090909089</v>
      </c>
      <c r="R243" t="str">
        <f>IFERROR(VLOOKUP(C243,Customers!$A$2:$F$301,1,FALSE),"")</f>
        <v>CUST-0171</v>
      </c>
      <c r="S243" s="27" t="b">
        <f>IFERROR(VLOOKUP(D243,Products!$A$2:$F$61,6,FALSE),"")</f>
        <v>1</v>
      </c>
      <c r="BL243">
        <v>0</v>
      </c>
      <c r="BM243">
        <v>0</v>
      </c>
      <c r="BN243">
        <v>1.8867924528301886E-2</v>
      </c>
      <c r="BO243">
        <v>0</v>
      </c>
      <c r="BP243">
        <v>0</v>
      </c>
    </row>
    <row r="244" spans="1:68" x14ac:dyDescent="0.35">
      <c r="A244" s="26" t="str">
        <f>Orders!A244</f>
        <v>ORD-00243</v>
      </c>
      <c r="B244" s="33">
        <f>Orders!B244</f>
        <v>45627</v>
      </c>
      <c r="C244" t="str">
        <f>Orders!C244</f>
        <v>CUST-0051</v>
      </c>
      <c r="D244" t="str">
        <f>Orders!D244</f>
        <v>PROD-041</v>
      </c>
      <c r="E244" t="str">
        <f>Orders!E244</f>
        <v>R002</v>
      </c>
      <c r="F244">
        <f>Orders!F244</f>
        <v>3</v>
      </c>
      <c r="G244" s="35">
        <f>Orders!G244</f>
        <v>1540</v>
      </c>
      <c r="H244" s="37">
        <f>Orders!H244</f>
        <v>20.9</v>
      </c>
      <c r="I244" s="39">
        <f>Orders!I244</f>
        <v>3654.42</v>
      </c>
      <c r="J244" t="str">
        <f>Orders!J244</f>
        <v>Completed</v>
      </c>
      <c r="K244" t="str">
        <f>Orders!K244</f>
        <v>Pune</v>
      </c>
      <c r="L244" t="str">
        <f>IFERROR(VLOOKUP(D244,Products!$A$2:$F$61,3,FALSE),"")</f>
        <v>Beauty</v>
      </c>
      <c r="M244">
        <f>IFERROR(VLOOKUP(D244,Products!$A$2:$F$61,4,FALSE),"")</f>
        <v>647</v>
      </c>
      <c r="N244" t="str">
        <f>IFERROR(VLOOKUP(E244,Sales_Reps!$A$2:$E$31,3,FALSE),"")</f>
        <v>North</v>
      </c>
      <c r="O244" t="str">
        <f>IFERROR(VLOOKUP(C244,Customers!$A$2:$F$301,5,FALSE),"")</f>
        <v>SMB</v>
      </c>
      <c r="P244">
        <f>IFERROR(VLOOKUP(C244,Customers!$A$2:$F$301,3,FALSE),"")</f>
        <v>54</v>
      </c>
      <c r="Q244" s="41">
        <f t="shared" si="12"/>
        <v>0.57987012987012987</v>
      </c>
      <c r="R244" t="str">
        <f>IFERROR(VLOOKUP(C244,Customers!$A$2:$F$301,1,FALSE),"")</f>
        <v>CUST-0051</v>
      </c>
      <c r="S244" s="27" t="b">
        <f>IFERROR(VLOOKUP(D244,Products!$A$2:$F$61,6,FALSE),"")</f>
        <v>0</v>
      </c>
      <c r="BL244">
        <v>0</v>
      </c>
      <c r="BM244">
        <v>0</v>
      </c>
      <c r="BN244">
        <v>1.8867924528301886E-2</v>
      </c>
      <c r="BO244">
        <v>0</v>
      </c>
      <c r="BP244">
        <v>1</v>
      </c>
    </row>
    <row r="245" spans="1:68" x14ac:dyDescent="0.35">
      <c r="A245" s="26" t="str">
        <f>Orders!A245</f>
        <v>ORD-00244</v>
      </c>
      <c r="B245" s="33">
        <f>Orders!B245</f>
        <v>45576</v>
      </c>
      <c r="C245" t="str">
        <f>Orders!C245</f>
        <v>CUST-0285</v>
      </c>
      <c r="D245" t="str">
        <f>Orders!D245</f>
        <v>PROD-010</v>
      </c>
      <c r="E245" t="str">
        <f>Orders!E245</f>
        <v>R010</v>
      </c>
      <c r="F245">
        <f>Orders!F245</f>
        <v>10</v>
      </c>
      <c r="G245" s="35">
        <f>Orders!G245</f>
        <v>2640</v>
      </c>
      <c r="H245" s="37">
        <f>Orders!H245</f>
        <v>11.2</v>
      </c>
      <c r="I245" s="39">
        <f>Orders!I245</f>
        <v>23443.200000000001</v>
      </c>
      <c r="J245" t="str">
        <f>Orders!J245</f>
        <v>Pending</v>
      </c>
      <c r="K245" t="str">
        <f>Orders!K245</f>
        <v>Hyderabad</v>
      </c>
      <c r="L245" t="str">
        <f>IFERROR(VLOOKUP(D245,Products!$A$2:$F$61,3,FALSE),"")</f>
        <v>Electronics</v>
      </c>
      <c r="M245">
        <f>IFERROR(VLOOKUP(D245,Products!$A$2:$F$61,4,FALSE),"")</f>
        <v>1149</v>
      </c>
      <c r="N245" t="str">
        <f>IFERROR(VLOOKUP(E245,Sales_Reps!$A$2:$E$31,3,FALSE),"")</f>
        <v>South</v>
      </c>
      <c r="O245" t="str">
        <f>IFERROR(VLOOKUP(C245,Customers!$A$2:$F$301,5,FALSE),"")</f>
        <v>Retail</v>
      </c>
      <c r="P245">
        <f>IFERROR(VLOOKUP(C245,Customers!$A$2:$F$301,3,FALSE),"")</f>
        <v>22</v>
      </c>
      <c r="Q245" s="41">
        <f t="shared" si="12"/>
        <v>0.56477272727272732</v>
      </c>
      <c r="R245" t="str">
        <f>IFERROR(VLOOKUP(C245,Customers!$A$2:$F$301,1,FALSE),"")</f>
        <v>CUST-0285</v>
      </c>
      <c r="S245" s="27" t="b">
        <f>IFERROR(VLOOKUP(D245,Products!$A$2:$F$61,6,FALSE),"")</f>
        <v>1</v>
      </c>
      <c r="BL245">
        <v>0</v>
      </c>
      <c r="BM245">
        <v>0</v>
      </c>
      <c r="BN245">
        <v>2.1276595744680851E-2</v>
      </c>
      <c r="BO245">
        <v>0</v>
      </c>
      <c r="BP245">
        <v>0</v>
      </c>
    </row>
    <row r="246" spans="1:68" x14ac:dyDescent="0.35">
      <c r="A246" s="26" t="str">
        <f>Orders!A246</f>
        <v>ORD-00245</v>
      </c>
      <c r="B246" s="33">
        <f>Orders!B246</f>
        <v>45317</v>
      </c>
      <c r="C246" t="str">
        <f>Orders!C246</f>
        <v>CUST-0114</v>
      </c>
      <c r="D246" t="str">
        <f>Orders!D246</f>
        <v>PROD-012</v>
      </c>
      <c r="E246" t="str">
        <f>Orders!E246</f>
        <v>R013</v>
      </c>
      <c r="F246">
        <f>Orders!F246</f>
        <v>1</v>
      </c>
      <c r="G246" s="35">
        <f>Orders!G246</f>
        <v>3160</v>
      </c>
      <c r="H246" s="37">
        <f>Orders!H246</f>
        <v>11.5</v>
      </c>
      <c r="I246" s="39">
        <f>Orders!I246</f>
        <v>2796.6</v>
      </c>
      <c r="J246" t="str">
        <f>Orders!J246</f>
        <v>Completed</v>
      </c>
      <c r="K246" t="str">
        <f>Orders!K246</f>
        <v>Bengaluru</v>
      </c>
      <c r="L246" t="str">
        <f>IFERROR(VLOOKUP(D246,Products!$A$2:$F$61,3,FALSE),"")</f>
        <v>Apparel</v>
      </c>
      <c r="M246">
        <f>IFERROR(VLOOKUP(D246,Products!$A$2:$F$61,4,FALSE),"")</f>
        <v>1886</v>
      </c>
      <c r="N246" t="str">
        <f>IFERROR(VLOOKUP(E246,Sales_Reps!$A$2:$E$31,3,FALSE),"")</f>
        <v>South</v>
      </c>
      <c r="O246" t="str">
        <f>IFERROR(VLOOKUP(C246,Customers!$A$2:$F$301,5,FALSE),"")</f>
        <v>Corporate</v>
      </c>
      <c r="P246">
        <f>IFERROR(VLOOKUP(C246,Customers!$A$2:$F$301,3,FALSE),"")</f>
        <v>42</v>
      </c>
      <c r="Q246" s="41">
        <f t="shared" si="12"/>
        <v>0.4031645569620253</v>
      </c>
      <c r="R246" t="str">
        <f>IFERROR(VLOOKUP(C246,Customers!$A$2:$F$301,1,FALSE),"")</f>
        <v>CUST-0114</v>
      </c>
      <c r="S246" s="27" t="b">
        <f>IFERROR(VLOOKUP(D246,Products!$A$2:$F$61,6,FALSE),"")</f>
        <v>1</v>
      </c>
      <c r="BL246">
        <v>0</v>
      </c>
      <c r="BM246">
        <v>0</v>
      </c>
      <c r="BN246">
        <v>1.9607843137254902E-2</v>
      </c>
      <c r="BO246">
        <v>0</v>
      </c>
      <c r="BP246">
        <v>0</v>
      </c>
    </row>
    <row r="247" spans="1:68" x14ac:dyDescent="0.35">
      <c r="A247" s="26" t="str">
        <f>Orders!A247</f>
        <v>ORD-00246</v>
      </c>
      <c r="B247" s="33">
        <f>Orders!B247</f>
        <v>45650</v>
      </c>
      <c r="C247" t="str">
        <f>Orders!C247</f>
        <v>CUST-0295</v>
      </c>
      <c r="D247" t="str">
        <f>Orders!D247</f>
        <v>PROD-040</v>
      </c>
      <c r="E247" t="str">
        <f>Orders!E247</f>
        <v>R007</v>
      </c>
      <c r="F247">
        <f>Orders!F247</f>
        <v>4</v>
      </c>
      <c r="G247" s="35">
        <f>Orders!G247</f>
        <v>1080</v>
      </c>
      <c r="H247" s="37">
        <f>Orders!H247</f>
        <v>20.7</v>
      </c>
      <c r="I247" s="39">
        <f>Orders!I247</f>
        <v>3425.76</v>
      </c>
      <c r="J247" t="str">
        <f>Orders!J247</f>
        <v>Pending</v>
      </c>
      <c r="K247" t="str">
        <f>Orders!K247</f>
        <v>Delhi</v>
      </c>
      <c r="L247" t="str">
        <f>IFERROR(VLOOKUP(D247,Products!$A$2:$F$61,3,FALSE),"")</f>
        <v>Home</v>
      </c>
      <c r="M247">
        <f>IFERROR(VLOOKUP(D247,Products!$A$2:$F$61,4,FALSE),"")</f>
        <v>519</v>
      </c>
      <c r="N247" t="str">
        <f>IFERROR(VLOOKUP(E247,Sales_Reps!$A$2:$E$31,3,FALSE),"")</f>
        <v>North</v>
      </c>
      <c r="O247" t="str">
        <f>IFERROR(VLOOKUP(C247,Customers!$A$2:$F$301,5,FALSE),"")</f>
        <v>SMB</v>
      </c>
      <c r="P247">
        <f>IFERROR(VLOOKUP(C247,Customers!$A$2:$F$301,3,FALSE),"")</f>
        <v>48</v>
      </c>
      <c r="Q247" s="41">
        <f t="shared" si="12"/>
        <v>0.51944444444444449</v>
      </c>
      <c r="R247" t="str">
        <f>IFERROR(VLOOKUP(C247,Customers!$A$2:$F$301,1,FALSE),"")</f>
        <v>CUST-0295</v>
      </c>
      <c r="S247" s="27" t="b">
        <f>IFERROR(VLOOKUP(D247,Products!$A$2:$F$61,6,FALSE),"")</f>
        <v>1</v>
      </c>
      <c r="BL247">
        <v>0</v>
      </c>
      <c r="BM247">
        <v>0</v>
      </c>
      <c r="BN247">
        <v>2.3809523809523808E-2</v>
      </c>
      <c r="BO247">
        <v>0</v>
      </c>
      <c r="BP247">
        <v>0</v>
      </c>
    </row>
    <row r="248" spans="1:68" x14ac:dyDescent="0.35">
      <c r="A248" s="26" t="str">
        <f>Orders!A248</f>
        <v>ORD-00247</v>
      </c>
      <c r="B248" s="33">
        <f>Orders!B248</f>
        <v>45585</v>
      </c>
      <c r="C248" t="str">
        <f>Orders!C248</f>
        <v>CUST-0218</v>
      </c>
      <c r="D248" t="str">
        <f>Orders!D248</f>
        <v>PROD-054</v>
      </c>
      <c r="E248" t="str">
        <f>Orders!E248</f>
        <v>R013</v>
      </c>
      <c r="F248">
        <f>Orders!F248</f>
        <v>4</v>
      </c>
      <c r="G248" s="35">
        <f>Orders!G248</f>
        <v>1010</v>
      </c>
      <c r="H248" s="37">
        <f>Orders!H248</f>
        <v>29.5</v>
      </c>
      <c r="I248" s="39">
        <f>Orders!I248</f>
        <v>2848.2</v>
      </c>
      <c r="J248" t="str">
        <f>Orders!J248</f>
        <v>Pending</v>
      </c>
      <c r="K248" t="str">
        <f>Orders!K248</f>
        <v>Mumbai</v>
      </c>
      <c r="L248" t="str">
        <f>IFERROR(VLOOKUP(D248,Products!$A$2:$F$61,3,FALSE),"")</f>
        <v>Sports</v>
      </c>
      <c r="M248">
        <f>IFERROR(VLOOKUP(D248,Products!$A$2:$F$61,4,FALSE),"")</f>
        <v>516</v>
      </c>
      <c r="N248" t="str">
        <f>IFERROR(VLOOKUP(E248,Sales_Reps!$A$2:$E$31,3,FALSE),"")</f>
        <v>South</v>
      </c>
      <c r="O248" t="str">
        <f>IFERROR(VLOOKUP(C248,Customers!$A$2:$F$301,5,FALSE),"")</f>
        <v>Retail</v>
      </c>
      <c r="P248">
        <f>IFERROR(VLOOKUP(C248,Customers!$A$2:$F$301,3,FALSE),"")</f>
        <v>39</v>
      </c>
      <c r="Q248" s="41">
        <f t="shared" si="12"/>
        <v>0.4891089108910891</v>
      </c>
      <c r="R248" t="str">
        <f>IFERROR(VLOOKUP(C248,Customers!$A$2:$F$301,1,FALSE),"")</f>
        <v>CUST-0218</v>
      </c>
      <c r="S248" s="27" t="b">
        <f>IFERROR(VLOOKUP(D248,Products!$A$2:$F$61,6,FALSE),"")</f>
        <v>1</v>
      </c>
      <c r="BL248">
        <v>0</v>
      </c>
      <c r="BM248">
        <v>0</v>
      </c>
      <c r="BN248">
        <v>1.8867924528301886E-2</v>
      </c>
      <c r="BO248">
        <v>0</v>
      </c>
      <c r="BP248">
        <v>0</v>
      </c>
    </row>
    <row r="249" spans="1:68" x14ac:dyDescent="0.35">
      <c r="A249" s="26" t="str">
        <f>Orders!A249</f>
        <v>ORD-00248</v>
      </c>
      <c r="B249" s="33">
        <f>Orders!B249</f>
        <v>45545</v>
      </c>
      <c r="C249" t="str">
        <f>Orders!C249</f>
        <v>CUST-0090</v>
      </c>
      <c r="D249" t="str">
        <f>Orders!D249</f>
        <v>PROD-002</v>
      </c>
      <c r="E249" t="str">
        <f>Orders!E249</f>
        <v>R027</v>
      </c>
      <c r="F249">
        <f>Orders!F249</f>
        <v>7</v>
      </c>
      <c r="G249" s="35">
        <f>Orders!G249</f>
        <v>2600</v>
      </c>
      <c r="H249" s="37">
        <f>Orders!H249</f>
        <v>6.6</v>
      </c>
      <c r="I249" s="39">
        <f>Orders!I249</f>
        <v>16998.8</v>
      </c>
      <c r="J249" t="str">
        <f>Orders!J249</f>
        <v>Completed</v>
      </c>
      <c r="K249" t="str">
        <f>Orders!K249</f>
        <v>Bengaluru</v>
      </c>
      <c r="L249" t="str">
        <f>IFERROR(VLOOKUP(D249,Products!$A$2:$F$61,3,FALSE),"")</f>
        <v>Electronics</v>
      </c>
      <c r="M249">
        <f>IFERROR(VLOOKUP(D249,Products!$A$2:$F$61,4,FALSE),"")</f>
        <v>1052</v>
      </c>
      <c r="N249" t="str">
        <f>IFERROR(VLOOKUP(E249,Sales_Reps!$A$2:$E$31,3,FALSE),"")</f>
        <v>West</v>
      </c>
      <c r="O249" t="str">
        <f>IFERROR(VLOOKUP(C249,Customers!$A$2:$F$301,5,FALSE),"")</f>
        <v>Corporate</v>
      </c>
      <c r="P249">
        <f>IFERROR(VLOOKUP(C249,Customers!$A$2:$F$301,3,FALSE),"")</f>
        <v>26</v>
      </c>
      <c r="Q249" s="41">
        <f t="shared" si="12"/>
        <v>0.5953846153846154</v>
      </c>
      <c r="R249" t="str">
        <f>IFERROR(VLOOKUP(C249,Customers!$A$2:$F$301,1,FALSE),"")</f>
        <v>CUST-0090</v>
      </c>
      <c r="S249" s="27" t="b">
        <f>IFERROR(VLOOKUP(D249,Products!$A$2:$F$61,6,FALSE),"")</f>
        <v>1</v>
      </c>
      <c r="BL249">
        <v>0</v>
      </c>
      <c r="BM249">
        <v>0</v>
      </c>
      <c r="BN249">
        <v>1.8867924528301886E-2</v>
      </c>
      <c r="BO249">
        <v>0</v>
      </c>
      <c r="BP249">
        <v>0</v>
      </c>
    </row>
    <row r="250" spans="1:68" x14ac:dyDescent="0.35">
      <c r="A250" s="26" t="str">
        <f>Orders!A250</f>
        <v>ORD-00249</v>
      </c>
      <c r="B250" s="33">
        <f>Orders!B250</f>
        <v>45395</v>
      </c>
      <c r="C250" t="str">
        <f>Orders!C250</f>
        <v>CUST-0194</v>
      </c>
      <c r="D250" t="str">
        <f>Orders!D250</f>
        <v>PROD-017</v>
      </c>
      <c r="E250" t="str">
        <f>Orders!E250</f>
        <v>R009</v>
      </c>
      <c r="F250">
        <f>Orders!F250</f>
        <v>4</v>
      </c>
      <c r="G250" s="35">
        <f>Orders!G250</f>
        <v>2510</v>
      </c>
      <c r="H250" s="37">
        <f>Orders!H250</f>
        <v>1</v>
      </c>
      <c r="I250" s="39">
        <f>Orders!I250</f>
        <v>9939.6</v>
      </c>
      <c r="J250" t="str">
        <f>Orders!J250</f>
        <v>Completed</v>
      </c>
      <c r="K250" t="str">
        <f>Orders!K250</f>
        <v>Delhi</v>
      </c>
      <c r="L250" t="str">
        <f>IFERROR(VLOOKUP(D250,Products!$A$2:$F$61,3,FALSE),"")</f>
        <v>Apparel</v>
      </c>
      <c r="M250">
        <f>IFERROR(VLOOKUP(D250,Products!$A$2:$F$61,4,FALSE),"")</f>
        <v>1075</v>
      </c>
      <c r="N250" t="str">
        <f>IFERROR(VLOOKUP(E250,Sales_Reps!$A$2:$E$31,3,FALSE),"")</f>
        <v>South</v>
      </c>
      <c r="O250" t="str">
        <f>IFERROR(VLOOKUP(C250,Customers!$A$2:$F$301,5,FALSE),"")</f>
        <v>SMB</v>
      </c>
      <c r="P250">
        <f>IFERROR(VLOOKUP(C250,Customers!$A$2:$F$301,3,FALSE),"")</f>
        <v>55</v>
      </c>
      <c r="Q250" s="41">
        <f t="shared" si="12"/>
        <v>0.57171314741035861</v>
      </c>
      <c r="R250" t="str">
        <f>IFERROR(VLOOKUP(C250,Customers!$A$2:$F$301,1,FALSE),"")</f>
        <v>CUST-0194</v>
      </c>
      <c r="S250" s="27" t="b">
        <f>IFERROR(VLOOKUP(D250,Products!$A$2:$F$61,6,FALSE),"")</f>
        <v>0</v>
      </c>
      <c r="BL250">
        <v>0</v>
      </c>
      <c r="BM250">
        <v>1</v>
      </c>
      <c r="BN250">
        <v>1.8518518518518517E-2</v>
      </c>
      <c r="BO250">
        <v>0</v>
      </c>
      <c r="BP250">
        <v>1</v>
      </c>
    </row>
    <row r="251" spans="1:68" x14ac:dyDescent="0.35">
      <c r="A251" s="26" t="str">
        <f>Orders!A251</f>
        <v>ORD-00250</v>
      </c>
      <c r="B251" s="33">
        <f>Orders!B251</f>
        <v>45636</v>
      </c>
      <c r="C251" t="str">
        <f>Orders!C251</f>
        <v>CUST-0231</v>
      </c>
      <c r="D251" t="str">
        <f>Orders!D251</f>
        <v>PROD-026</v>
      </c>
      <c r="E251" t="str">
        <f>Orders!E251</f>
        <v>R022</v>
      </c>
      <c r="F251">
        <f>Orders!F251</f>
        <v>9</v>
      </c>
      <c r="G251" s="35">
        <f>Orders!G251</f>
        <v>4070</v>
      </c>
      <c r="H251" s="37">
        <f>Orders!H251</f>
        <v>6.7</v>
      </c>
      <c r="I251" s="39">
        <f>Orders!I251</f>
        <v>34175.79</v>
      </c>
      <c r="J251" t="str">
        <f>Orders!J251</f>
        <v>Cancelled</v>
      </c>
      <c r="K251" t="str">
        <f>Orders!K251</f>
        <v>Chennai</v>
      </c>
      <c r="L251" t="str">
        <f>IFERROR(VLOOKUP(D251,Products!$A$2:$F$61,3,FALSE),"")</f>
        <v>Grocery</v>
      </c>
      <c r="M251">
        <f>IFERROR(VLOOKUP(D251,Products!$A$2:$F$61,4,FALSE),"")</f>
        <v>2027</v>
      </c>
      <c r="N251" t="str">
        <f>IFERROR(VLOOKUP(E251,Sales_Reps!$A$2:$E$31,3,FALSE),"")</f>
        <v>East</v>
      </c>
      <c r="O251" t="str">
        <f>IFERROR(VLOOKUP(C251,Customers!$A$2:$F$301,5,FALSE),"")</f>
        <v>Retail</v>
      </c>
      <c r="P251">
        <f>IFERROR(VLOOKUP(C251,Customers!$A$2:$F$301,3,FALSE),"")</f>
        <v>61</v>
      </c>
      <c r="Q251" s="41">
        <f t="shared" si="12"/>
        <v>0.50196560196560192</v>
      </c>
      <c r="R251" t="str">
        <f>IFERROR(VLOOKUP(C251,Customers!$A$2:$F$301,1,FALSE),"")</f>
        <v>CUST-0231</v>
      </c>
      <c r="S251" s="27" t="b">
        <f>IFERROR(VLOOKUP(D251,Products!$A$2:$F$61,6,FALSE),"")</f>
        <v>1</v>
      </c>
      <c r="BL251">
        <v>0</v>
      </c>
      <c r="BM251">
        <v>0</v>
      </c>
      <c r="BN251">
        <v>2.3809523809523808E-2</v>
      </c>
      <c r="BO251">
        <v>0</v>
      </c>
      <c r="BP251">
        <v>0</v>
      </c>
    </row>
    <row r="252" spans="1:68" x14ac:dyDescent="0.35">
      <c r="A252" s="26" t="str">
        <f>Orders!A252</f>
        <v>ORD-00251</v>
      </c>
      <c r="B252" s="33">
        <f>Orders!B252</f>
        <v>45612</v>
      </c>
      <c r="C252" t="str">
        <f>Orders!C252</f>
        <v>CUST-0055</v>
      </c>
      <c r="D252" t="str">
        <f>Orders!D252</f>
        <v>PROD-020</v>
      </c>
      <c r="E252" t="str">
        <f>Orders!E252</f>
        <v>R010</v>
      </c>
      <c r="F252">
        <f>Orders!F252</f>
        <v>6</v>
      </c>
      <c r="G252" s="35">
        <f>Orders!G252</f>
        <v>820</v>
      </c>
      <c r="H252" s="37">
        <f>Orders!H252</f>
        <v>14</v>
      </c>
      <c r="I252" s="39">
        <f>Orders!I252</f>
        <v>4231.2</v>
      </c>
      <c r="J252" t="str">
        <f>Orders!J252</f>
        <v>Completed</v>
      </c>
      <c r="K252" t="str">
        <f>Orders!K252</f>
        <v>Bengaluru</v>
      </c>
      <c r="L252" t="str">
        <f>IFERROR(VLOOKUP(D252,Products!$A$2:$F$61,3,FALSE),"")</f>
        <v>Apparel</v>
      </c>
      <c r="M252">
        <f>IFERROR(VLOOKUP(D252,Products!$A$2:$F$61,4,FALSE),"")</f>
        <v>391</v>
      </c>
      <c r="N252" t="str">
        <f>IFERROR(VLOOKUP(E252,Sales_Reps!$A$2:$E$31,3,FALSE),"")</f>
        <v>South</v>
      </c>
      <c r="O252" t="str">
        <f>IFERROR(VLOOKUP(C252,Customers!$A$2:$F$301,5,FALSE),"")</f>
        <v>Retail</v>
      </c>
      <c r="P252">
        <f>IFERROR(VLOOKUP(C252,Customers!$A$2:$F$301,3,FALSE),"")</f>
        <v>34</v>
      </c>
      <c r="Q252" s="41">
        <f t="shared" si="12"/>
        <v>0.52317073170731709</v>
      </c>
      <c r="R252" t="str">
        <f>IFERROR(VLOOKUP(C252,Customers!$A$2:$F$301,1,FALSE),"")</f>
        <v>CUST-0055</v>
      </c>
      <c r="S252" s="27" t="b">
        <f>IFERROR(VLOOKUP(D252,Products!$A$2:$F$61,6,FALSE),"")</f>
        <v>1</v>
      </c>
      <c r="BL252">
        <v>0</v>
      </c>
      <c r="BM252">
        <v>0</v>
      </c>
      <c r="BN252">
        <v>1.8518518518518517E-2</v>
      </c>
      <c r="BO252">
        <v>0</v>
      </c>
      <c r="BP252">
        <v>0</v>
      </c>
    </row>
    <row r="253" spans="1:68" x14ac:dyDescent="0.35">
      <c r="A253" s="26" t="str">
        <f>Orders!A253</f>
        <v>ORD-00252</v>
      </c>
      <c r="B253" s="33">
        <f>Orders!B253</f>
        <v>45495</v>
      </c>
      <c r="C253" t="str">
        <f>Orders!C253</f>
        <v>CUST-0262</v>
      </c>
      <c r="D253" t="str">
        <f>Orders!D253</f>
        <v>PROD-030</v>
      </c>
      <c r="E253" t="str">
        <f>Orders!E253</f>
        <v>R005</v>
      </c>
      <c r="F253">
        <f>Orders!F253</f>
        <v>2</v>
      </c>
      <c r="G253" s="35">
        <f>Orders!G253</f>
        <v>970</v>
      </c>
      <c r="H253" s="37">
        <f>Orders!H253</f>
        <v>23.8</v>
      </c>
      <c r="I253" s="39">
        <f>Orders!I253</f>
        <v>1478.28</v>
      </c>
      <c r="J253" t="str">
        <f>Orders!J253</f>
        <v>Completed</v>
      </c>
      <c r="K253" t="str">
        <f>Orders!K253</f>
        <v>Mumbai</v>
      </c>
      <c r="L253" t="str">
        <f>IFERROR(VLOOKUP(D253,Products!$A$2:$F$61,3,FALSE),"")</f>
        <v>Grocery</v>
      </c>
      <c r="M253">
        <f>IFERROR(VLOOKUP(D253,Products!$A$2:$F$61,4,FALSE),"")</f>
        <v>434</v>
      </c>
      <c r="N253" t="str">
        <f>IFERROR(VLOOKUP(E253,Sales_Reps!$A$2:$E$31,3,FALSE),"")</f>
        <v>North</v>
      </c>
      <c r="O253" t="str">
        <f>IFERROR(VLOOKUP(C253,Customers!$A$2:$F$301,5,FALSE),"")</f>
        <v>Retail</v>
      </c>
      <c r="P253">
        <f>IFERROR(VLOOKUP(C253,Customers!$A$2:$F$301,3,FALSE),"")</f>
        <v>52</v>
      </c>
      <c r="Q253" s="41">
        <f t="shared" si="12"/>
        <v>0.5525773195876289</v>
      </c>
      <c r="R253" t="str">
        <f>IFERROR(VLOOKUP(C253,Customers!$A$2:$F$301,1,FALSE),"")</f>
        <v>CUST-0262</v>
      </c>
      <c r="S253" s="27" t="b">
        <f>IFERROR(VLOOKUP(D253,Products!$A$2:$F$61,6,FALSE),"")</f>
        <v>1</v>
      </c>
      <c r="BL253">
        <v>0</v>
      </c>
      <c r="BM253">
        <v>0</v>
      </c>
      <c r="BN253">
        <v>2.1276595744680851E-2</v>
      </c>
      <c r="BO253">
        <v>0</v>
      </c>
      <c r="BP253">
        <v>0</v>
      </c>
    </row>
    <row r="254" spans="1:68" x14ac:dyDescent="0.35">
      <c r="A254" s="26" t="str">
        <f>Orders!A254</f>
        <v>ORD-00253</v>
      </c>
      <c r="B254" s="33">
        <f>Orders!B254</f>
        <v>45337</v>
      </c>
      <c r="C254" t="str">
        <f>Orders!C254</f>
        <v>CUST-0155</v>
      </c>
      <c r="D254" t="str">
        <f>Orders!D254</f>
        <v>PROD-026</v>
      </c>
      <c r="E254" t="str">
        <f>Orders!E254</f>
        <v>R012</v>
      </c>
      <c r="F254">
        <f>Orders!F254</f>
        <v>4</v>
      </c>
      <c r="G254" s="35">
        <f>Orders!G254</f>
        <v>4070</v>
      </c>
      <c r="H254" s="37">
        <f>Orders!H254</f>
        <v>19</v>
      </c>
      <c r="I254" s="39">
        <f>Orders!I254</f>
        <v>13186.8</v>
      </c>
      <c r="J254" t="str">
        <f>Orders!J254</f>
        <v>Pending</v>
      </c>
      <c r="K254" t="str">
        <f>Orders!K254</f>
        <v>Pune</v>
      </c>
      <c r="L254" t="str">
        <f>IFERROR(VLOOKUP(D254,Products!$A$2:$F$61,3,FALSE),"")</f>
        <v>Grocery</v>
      </c>
      <c r="M254">
        <f>IFERROR(VLOOKUP(D254,Products!$A$2:$F$61,4,FALSE),"")</f>
        <v>2027</v>
      </c>
      <c r="N254" t="str">
        <f>IFERROR(VLOOKUP(E254,Sales_Reps!$A$2:$E$31,3,FALSE),"")</f>
        <v>South</v>
      </c>
      <c r="O254" t="str">
        <f>IFERROR(VLOOKUP(C254,Customers!$A$2:$F$301,5,FALSE),"")</f>
        <v>Corporate</v>
      </c>
      <c r="P254">
        <f>IFERROR(VLOOKUP(C254,Customers!$A$2:$F$301,3,FALSE),"")</f>
        <v>40</v>
      </c>
      <c r="Q254" s="41">
        <f t="shared" si="12"/>
        <v>0.50196560196560192</v>
      </c>
      <c r="R254" t="str">
        <f>IFERROR(VLOOKUP(C254,Customers!$A$2:$F$301,1,FALSE),"")</f>
        <v>CUST-0155</v>
      </c>
      <c r="S254" s="27" t="b">
        <f>IFERROR(VLOOKUP(D254,Products!$A$2:$F$61,6,FALSE),"")</f>
        <v>1</v>
      </c>
      <c r="BL254">
        <v>0</v>
      </c>
      <c r="BM254">
        <v>0</v>
      </c>
      <c r="BN254">
        <v>2.3809523809523808E-2</v>
      </c>
      <c r="BO254">
        <v>0</v>
      </c>
      <c r="BP254">
        <v>0</v>
      </c>
    </row>
    <row r="255" spans="1:68" x14ac:dyDescent="0.35">
      <c r="A255" s="26" t="str">
        <f>Orders!A255</f>
        <v>ORD-00254</v>
      </c>
      <c r="B255" s="33">
        <f>Orders!B255</f>
        <v>45333</v>
      </c>
      <c r="C255" t="str">
        <f>Orders!C255</f>
        <v>CUST-0169</v>
      </c>
      <c r="D255" t="str">
        <f>Orders!D255</f>
        <v>PROD-047</v>
      </c>
      <c r="E255" t="str">
        <f>Orders!E255</f>
        <v>R017</v>
      </c>
      <c r="F255">
        <f>Orders!F255</f>
        <v>3</v>
      </c>
      <c r="G255" s="35">
        <f>Orders!G255</f>
        <v>3450</v>
      </c>
      <c r="H255" s="37">
        <f>Orders!H255</f>
        <v>4.4000000000000004</v>
      </c>
      <c r="I255" s="39">
        <f>Orders!I255</f>
        <v>9894.6</v>
      </c>
      <c r="J255" t="str">
        <f>Orders!J255</f>
        <v>Cancelled</v>
      </c>
      <c r="K255" t="str">
        <f>Orders!K255</f>
        <v>Bengaluru</v>
      </c>
      <c r="L255" t="str">
        <f>IFERROR(VLOOKUP(D255,Products!$A$2:$F$61,3,FALSE),"")</f>
        <v>Beauty</v>
      </c>
      <c r="M255">
        <f>IFERROR(VLOOKUP(D255,Products!$A$2:$F$61,4,FALSE),"")</f>
        <v>2420</v>
      </c>
      <c r="N255" t="str">
        <f>IFERROR(VLOOKUP(E255,Sales_Reps!$A$2:$E$31,3,FALSE),"")</f>
        <v>East</v>
      </c>
      <c r="O255" t="str">
        <f>IFERROR(VLOOKUP(C255,Customers!$A$2:$F$301,5,FALSE),"")</f>
        <v>SMB</v>
      </c>
      <c r="P255">
        <f>IFERROR(VLOOKUP(C255,Customers!$A$2:$F$301,3,FALSE),"")</f>
        <v>42</v>
      </c>
      <c r="Q255" s="41">
        <f t="shared" si="12"/>
        <v>0.29855072463768118</v>
      </c>
      <c r="R255" t="str">
        <f>IFERROR(VLOOKUP(C255,Customers!$A$2:$F$301,1,FALSE),"")</f>
        <v>CUST-0169</v>
      </c>
      <c r="S255" s="27" t="b">
        <f>IFERROR(VLOOKUP(D255,Products!$A$2:$F$61,6,FALSE),"")</f>
        <v>1</v>
      </c>
      <c r="BL255">
        <v>0</v>
      </c>
      <c r="BM255">
        <v>0</v>
      </c>
      <c r="BN255">
        <v>2.1276595744680851E-2</v>
      </c>
      <c r="BO255">
        <v>0</v>
      </c>
      <c r="BP255">
        <v>0</v>
      </c>
    </row>
    <row r="256" spans="1:68" x14ac:dyDescent="0.35">
      <c r="A256" s="26" t="str">
        <f>Orders!A256</f>
        <v>ORD-00255</v>
      </c>
      <c r="B256" s="33">
        <f>Orders!B256</f>
        <v>45511</v>
      </c>
      <c r="C256" t="str">
        <f>Orders!C256</f>
        <v>CUST-0208</v>
      </c>
      <c r="D256" t="str">
        <f>Orders!D256</f>
        <v>PROD-027</v>
      </c>
      <c r="E256" t="str">
        <f>Orders!E256</f>
        <v>R010</v>
      </c>
      <c r="F256">
        <f>Orders!F256</f>
        <v>5</v>
      </c>
      <c r="G256" s="35">
        <f>Orders!G256</f>
        <v>3780</v>
      </c>
      <c r="H256" s="37">
        <f>Orders!H256</f>
        <v>13.5</v>
      </c>
      <c r="I256" s="39">
        <f>Orders!I256</f>
        <v>16348.5</v>
      </c>
      <c r="J256" t="str">
        <f>Orders!J256</f>
        <v>Completed</v>
      </c>
      <c r="K256" t="str">
        <f>Orders!K256</f>
        <v>Mumbai</v>
      </c>
      <c r="L256" t="str">
        <f>IFERROR(VLOOKUP(D256,Products!$A$2:$F$61,3,FALSE),"")</f>
        <v>Grocery</v>
      </c>
      <c r="M256">
        <f>IFERROR(VLOOKUP(D256,Products!$A$2:$F$61,4,FALSE),"")</f>
        <v>2436</v>
      </c>
      <c r="N256" t="str">
        <f>IFERROR(VLOOKUP(E256,Sales_Reps!$A$2:$E$31,3,FALSE),"")</f>
        <v>South</v>
      </c>
      <c r="O256" t="str">
        <f>IFERROR(VLOOKUP(C256,Customers!$A$2:$F$301,5,FALSE),"")</f>
        <v>Retail</v>
      </c>
      <c r="P256">
        <f>IFERROR(VLOOKUP(C256,Customers!$A$2:$F$301,3,FALSE),"")</f>
        <v>49</v>
      </c>
      <c r="Q256" s="41">
        <f t="shared" si="12"/>
        <v>0.35555555555555557</v>
      </c>
      <c r="R256" t="str">
        <f>IFERROR(VLOOKUP(C256,Customers!$A$2:$F$301,1,FALSE),"")</f>
        <v>CUST-0208</v>
      </c>
      <c r="S256" s="27" t="b">
        <f>IFERROR(VLOOKUP(D256,Products!$A$2:$F$61,6,FALSE),"")</f>
        <v>1</v>
      </c>
      <c r="BL256">
        <v>0</v>
      </c>
      <c r="BM256">
        <v>0</v>
      </c>
      <c r="BN256">
        <v>1.8867924528301886E-2</v>
      </c>
      <c r="BO256">
        <v>0</v>
      </c>
      <c r="BP256">
        <v>0</v>
      </c>
    </row>
    <row r="257" spans="1:68" x14ac:dyDescent="0.35">
      <c r="A257" s="26" t="str">
        <f>Orders!A257</f>
        <v>ORD-00256</v>
      </c>
      <c r="B257" s="33">
        <f>Orders!B257</f>
        <v>45595</v>
      </c>
      <c r="C257" t="str">
        <f>Orders!C257</f>
        <v>CUST-0249</v>
      </c>
      <c r="D257" t="str">
        <f>Orders!D257</f>
        <v>PROD-057</v>
      </c>
      <c r="E257" t="str">
        <f>Orders!E257</f>
        <v>R004</v>
      </c>
      <c r="F257">
        <f>Orders!F257</f>
        <v>1</v>
      </c>
      <c r="G257" s="35">
        <f>Orders!G257</f>
        <v>960</v>
      </c>
      <c r="H257" s="37">
        <f>Orders!H257</f>
        <v>29.2</v>
      </c>
      <c r="I257" s="39">
        <f>Orders!I257</f>
        <v>679.68</v>
      </c>
      <c r="J257" t="str">
        <f>Orders!J257</f>
        <v>Completed</v>
      </c>
      <c r="K257" t="str">
        <f>Orders!K257</f>
        <v>Mumbai</v>
      </c>
      <c r="L257" t="str">
        <f>IFERROR(VLOOKUP(D257,Products!$A$2:$F$61,3,FALSE),"")</f>
        <v>Sports</v>
      </c>
      <c r="M257">
        <f>IFERROR(VLOOKUP(D257,Products!$A$2:$F$61,4,FALSE),"")</f>
        <v>705</v>
      </c>
      <c r="N257" t="str">
        <f>IFERROR(VLOOKUP(E257,Sales_Reps!$A$2:$E$31,3,FALSE),"")</f>
        <v>North</v>
      </c>
      <c r="O257" t="str">
        <f>IFERROR(VLOOKUP(C257,Customers!$A$2:$F$301,5,FALSE),"")</f>
        <v>Retail</v>
      </c>
      <c r="P257">
        <f>IFERROR(VLOOKUP(C257,Customers!$A$2:$F$301,3,FALSE),"")</f>
        <v>44</v>
      </c>
      <c r="Q257" s="41">
        <f t="shared" si="12"/>
        <v>0.265625</v>
      </c>
      <c r="R257" t="str">
        <f>IFERROR(VLOOKUP(C257,Customers!$A$2:$F$301,1,FALSE),"")</f>
        <v>CUST-0249</v>
      </c>
      <c r="S257" s="27" t="b">
        <f>IFERROR(VLOOKUP(D257,Products!$A$2:$F$61,6,FALSE),"")</f>
        <v>1</v>
      </c>
      <c r="BL257">
        <v>0</v>
      </c>
      <c r="BM257">
        <v>0</v>
      </c>
      <c r="BN257">
        <v>1.9607843137254902E-2</v>
      </c>
      <c r="BO257">
        <v>0</v>
      </c>
      <c r="BP257">
        <v>0</v>
      </c>
    </row>
    <row r="258" spans="1:68" x14ac:dyDescent="0.35">
      <c r="A258" s="26" t="str">
        <f>Orders!A258</f>
        <v>ORD-00257</v>
      </c>
      <c r="B258" s="33">
        <f>Orders!B258</f>
        <v>45321</v>
      </c>
      <c r="C258" t="str">
        <f>Orders!C258</f>
        <v>CUST-0151</v>
      </c>
      <c r="D258" t="str">
        <f>Orders!D258</f>
        <v>PROD-003</v>
      </c>
      <c r="E258" t="str">
        <f>Orders!E258</f>
        <v>R022</v>
      </c>
      <c r="F258">
        <f>Orders!F258</f>
        <v>10</v>
      </c>
      <c r="G258" s="35">
        <f>Orders!G258</f>
        <v>3570</v>
      </c>
      <c r="H258" s="37">
        <f>Orders!H258</f>
        <v>10.7</v>
      </c>
      <c r="I258" s="39">
        <f>Orders!I258</f>
        <v>31880.1</v>
      </c>
      <c r="J258" t="str">
        <f>Orders!J258</f>
        <v>Completed</v>
      </c>
      <c r="K258" t="str">
        <f>Orders!K258</f>
        <v>Mumbai</v>
      </c>
      <c r="L258" t="str">
        <f>IFERROR(VLOOKUP(D258,Products!$A$2:$F$61,3,FALSE),"")</f>
        <v>Electronics</v>
      </c>
      <c r="M258">
        <f>IFERROR(VLOOKUP(D258,Products!$A$2:$F$61,4,FALSE),"")</f>
        <v>1665</v>
      </c>
      <c r="N258" t="str">
        <f>IFERROR(VLOOKUP(E258,Sales_Reps!$A$2:$E$31,3,FALSE),"")</f>
        <v>East</v>
      </c>
      <c r="O258" t="str">
        <f>IFERROR(VLOOKUP(C258,Customers!$A$2:$F$301,5,FALSE),"")</f>
        <v>Retail</v>
      </c>
      <c r="P258">
        <f>IFERROR(VLOOKUP(C258,Customers!$A$2:$F$301,3,FALSE),"")</f>
        <v>53</v>
      </c>
      <c r="Q258" s="41">
        <f t="shared" ref="Q258:Q321" si="13">IFERROR((G258-M258)/G258,0)</f>
        <v>0.53361344537815125</v>
      </c>
      <c r="R258" t="str">
        <f>IFERROR(VLOOKUP(C258,Customers!$A$2:$F$301,1,FALSE),"")</f>
        <v>CUST-0151</v>
      </c>
      <c r="S258" s="27" t="b">
        <f>IFERROR(VLOOKUP(D258,Products!$A$2:$F$61,6,FALSE),"")</f>
        <v>1</v>
      </c>
      <c r="BL258">
        <v>0</v>
      </c>
      <c r="BM258">
        <v>0</v>
      </c>
      <c r="BN258">
        <v>1.8518518518518517E-2</v>
      </c>
      <c r="BO258">
        <v>0</v>
      </c>
      <c r="BP258">
        <v>0</v>
      </c>
    </row>
    <row r="259" spans="1:68" x14ac:dyDescent="0.35">
      <c r="A259" s="26" t="str">
        <f>Orders!A259</f>
        <v>ORD-00258</v>
      </c>
      <c r="B259" s="33">
        <f>Orders!B259</f>
        <v>45511</v>
      </c>
      <c r="C259" t="str">
        <f>Orders!C259</f>
        <v>CUST-0115</v>
      </c>
      <c r="D259" t="str">
        <f>Orders!D259</f>
        <v>PROD-003</v>
      </c>
      <c r="E259" t="str">
        <f>Orders!E259</f>
        <v>R024</v>
      </c>
      <c r="F259">
        <f>Orders!F259</f>
        <v>7</v>
      </c>
      <c r="G259" s="35">
        <f>Orders!G259</f>
        <v>3570</v>
      </c>
      <c r="H259" s="37">
        <f>Orders!H259</f>
        <v>12.2</v>
      </c>
      <c r="I259" s="39">
        <f>Orders!I259</f>
        <v>21941.22</v>
      </c>
      <c r="J259" t="str">
        <f>Orders!J259</f>
        <v>Completed</v>
      </c>
      <c r="K259" t="str">
        <f>Orders!K259</f>
        <v>Mumbai</v>
      </c>
      <c r="L259" t="str">
        <f>IFERROR(VLOOKUP(D259,Products!$A$2:$F$61,3,FALSE),"")</f>
        <v>Electronics</v>
      </c>
      <c r="M259">
        <f>IFERROR(VLOOKUP(D259,Products!$A$2:$F$61,4,FALSE),"")</f>
        <v>1665</v>
      </c>
      <c r="N259" t="str">
        <f>IFERROR(VLOOKUP(E259,Sales_Reps!$A$2:$E$31,3,FALSE),"")</f>
        <v>West</v>
      </c>
      <c r="O259" t="str">
        <f>IFERROR(VLOOKUP(C259,Customers!$A$2:$F$301,5,FALSE),"")</f>
        <v>SMB</v>
      </c>
      <c r="P259">
        <f>IFERROR(VLOOKUP(C259,Customers!$A$2:$F$301,3,FALSE),"")</f>
        <v>65</v>
      </c>
      <c r="Q259" s="41">
        <f t="shared" si="13"/>
        <v>0.53361344537815125</v>
      </c>
      <c r="R259" t="str">
        <f>IFERROR(VLOOKUP(C259,Customers!$A$2:$F$301,1,FALSE),"")</f>
        <v>CUST-0115</v>
      </c>
      <c r="S259" s="27" t="b">
        <f>IFERROR(VLOOKUP(D259,Products!$A$2:$F$61,6,FALSE),"")</f>
        <v>1</v>
      </c>
      <c r="BL259">
        <v>0</v>
      </c>
      <c r="BM259">
        <v>0</v>
      </c>
      <c r="BN259">
        <v>1.8867924528301886E-2</v>
      </c>
      <c r="BO259">
        <v>0</v>
      </c>
      <c r="BP259">
        <v>0</v>
      </c>
    </row>
    <row r="260" spans="1:68" x14ac:dyDescent="0.35">
      <c r="A260" s="26" t="str">
        <f>Orders!A260</f>
        <v>ORD-00259</v>
      </c>
      <c r="B260" s="33">
        <f>Orders!B260</f>
        <v>45575</v>
      </c>
      <c r="C260" t="str">
        <f>Orders!C260</f>
        <v>CUST-0041</v>
      </c>
      <c r="D260" t="str">
        <f>Orders!D260</f>
        <v>PROD-040</v>
      </c>
      <c r="E260" t="str">
        <f>Orders!E260</f>
        <v>R014</v>
      </c>
      <c r="F260">
        <f>Orders!F260</f>
        <v>6</v>
      </c>
      <c r="G260" s="35">
        <f>Orders!G260</f>
        <v>1080</v>
      </c>
      <c r="H260" s="37">
        <f>Orders!H260</f>
        <v>19.8</v>
      </c>
      <c r="I260" s="39">
        <f>Orders!I260</f>
        <v>5196.96</v>
      </c>
      <c r="J260" t="str">
        <f>Orders!J260</f>
        <v>Completed</v>
      </c>
      <c r="K260" t="str">
        <f>Orders!K260</f>
        <v>Bengaluru</v>
      </c>
      <c r="L260" t="str">
        <f>IFERROR(VLOOKUP(D260,Products!$A$2:$F$61,3,FALSE),"")</f>
        <v>Home</v>
      </c>
      <c r="M260">
        <f>IFERROR(VLOOKUP(D260,Products!$A$2:$F$61,4,FALSE),"")</f>
        <v>519</v>
      </c>
      <c r="N260" t="str">
        <f>IFERROR(VLOOKUP(E260,Sales_Reps!$A$2:$E$31,3,FALSE),"")</f>
        <v>South</v>
      </c>
      <c r="O260" t="str">
        <f>IFERROR(VLOOKUP(C260,Customers!$A$2:$F$301,5,FALSE),"")</f>
        <v>SMB</v>
      </c>
      <c r="P260">
        <f>IFERROR(VLOOKUP(C260,Customers!$A$2:$F$301,3,FALSE),"")</f>
        <v>26</v>
      </c>
      <c r="Q260" s="41">
        <f t="shared" si="13"/>
        <v>0.51944444444444449</v>
      </c>
      <c r="R260" t="str">
        <f>IFERROR(VLOOKUP(C260,Customers!$A$2:$F$301,1,FALSE),"")</f>
        <v>CUST-0041</v>
      </c>
      <c r="S260" s="27" t="b">
        <f>IFERROR(VLOOKUP(D260,Products!$A$2:$F$61,6,FALSE),"")</f>
        <v>1</v>
      </c>
      <c r="BL260">
        <v>0</v>
      </c>
      <c r="BM260">
        <v>0</v>
      </c>
      <c r="BN260">
        <v>1.8518518518518517E-2</v>
      </c>
      <c r="BO260">
        <v>0</v>
      </c>
      <c r="BP260">
        <v>0</v>
      </c>
    </row>
    <row r="261" spans="1:68" x14ac:dyDescent="0.35">
      <c r="A261" s="26" t="str">
        <f>Orders!A261</f>
        <v>ORD-00260</v>
      </c>
      <c r="B261" s="33">
        <f>Orders!B261</f>
        <v>45649</v>
      </c>
      <c r="C261" t="str">
        <f>Orders!C261</f>
        <v>CUST-0101</v>
      </c>
      <c r="D261" t="str">
        <f>Orders!D261</f>
        <v>PROD-011</v>
      </c>
      <c r="E261" t="str">
        <f>Orders!E261</f>
        <v>R010</v>
      </c>
      <c r="F261">
        <f>Orders!F261</f>
        <v>8</v>
      </c>
      <c r="G261" s="35">
        <f>Orders!G261</f>
        <v>3450</v>
      </c>
      <c r="H261" s="37">
        <f>Orders!H261</f>
        <v>19</v>
      </c>
      <c r="I261" s="39">
        <f>Orders!I261</f>
        <v>22356</v>
      </c>
      <c r="J261" t="str">
        <f>Orders!J261</f>
        <v>Completed</v>
      </c>
      <c r="K261" t="str">
        <f>Orders!K261</f>
        <v>Hyderabad</v>
      </c>
      <c r="L261" t="str">
        <f>IFERROR(VLOOKUP(D261,Products!$A$2:$F$61,3,FALSE),"")</f>
        <v>Apparel</v>
      </c>
      <c r="M261">
        <f>IFERROR(VLOOKUP(D261,Products!$A$2:$F$61,4,FALSE),"")</f>
        <v>1748</v>
      </c>
      <c r="N261" t="str">
        <f>IFERROR(VLOOKUP(E261,Sales_Reps!$A$2:$E$31,3,FALSE),"")</f>
        <v>South</v>
      </c>
      <c r="O261" t="str">
        <f>IFERROR(VLOOKUP(C261,Customers!$A$2:$F$301,5,FALSE),"")</f>
        <v>SMB</v>
      </c>
      <c r="P261">
        <f>IFERROR(VLOOKUP(C261,Customers!$A$2:$F$301,3,FALSE),"")</f>
        <v>40</v>
      </c>
      <c r="Q261" s="41">
        <f t="shared" si="13"/>
        <v>0.49333333333333335</v>
      </c>
      <c r="R261" t="str">
        <f>IFERROR(VLOOKUP(C261,Customers!$A$2:$F$301,1,FALSE),"")</f>
        <v>CUST-0101</v>
      </c>
      <c r="S261" s="27" t="b">
        <f>IFERROR(VLOOKUP(D261,Products!$A$2:$F$61,6,FALSE),"")</f>
        <v>1</v>
      </c>
      <c r="BL261">
        <v>0</v>
      </c>
      <c r="BM261">
        <v>0</v>
      </c>
      <c r="BN261">
        <v>2.1276595744680851E-2</v>
      </c>
      <c r="BO261">
        <v>0</v>
      </c>
      <c r="BP261">
        <v>0</v>
      </c>
    </row>
    <row r="262" spans="1:68" x14ac:dyDescent="0.35">
      <c r="A262" s="26" t="str">
        <f>Orders!A262</f>
        <v>ORD-00261</v>
      </c>
      <c r="B262" s="33">
        <f>Orders!B262</f>
        <v>45371</v>
      </c>
      <c r="C262" t="str">
        <f>Orders!C262</f>
        <v>CUST-0198</v>
      </c>
      <c r="D262" t="str">
        <f>Orders!D262</f>
        <v>PROD-008</v>
      </c>
      <c r="E262" t="str">
        <f>Orders!E262</f>
        <v>R023</v>
      </c>
      <c r="F262">
        <f>Orders!F262</f>
        <v>4</v>
      </c>
      <c r="G262" s="35">
        <f>Orders!G262</f>
        <v>2660</v>
      </c>
      <c r="H262" s="37">
        <f>Orders!H262</f>
        <v>18.8</v>
      </c>
      <c r="I262" s="39">
        <f>Orders!I262</f>
        <v>8639.68</v>
      </c>
      <c r="J262" t="str">
        <f>Orders!J262</f>
        <v>Pending</v>
      </c>
      <c r="K262" t="str">
        <f>Orders!K262</f>
        <v>Chennai</v>
      </c>
      <c r="L262" t="str">
        <f>IFERROR(VLOOKUP(D262,Products!$A$2:$F$61,3,FALSE),"")</f>
        <v>Electronics</v>
      </c>
      <c r="M262">
        <f>IFERROR(VLOOKUP(D262,Products!$A$2:$F$61,4,FALSE),"")</f>
        <v>1259</v>
      </c>
      <c r="N262" t="str">
        <f>IFERROR(VLOOKUP(E262,Sales_Reps!$A$2:$E$31,3,FALSE),"")</f>
        <v>East</v>
      </c>
      <c r="O262" t="str">
        <f>IFERROR(VLOOKUP(C262,Customers!$A$2:$F$301,5,FALSE),"")</f>
        <v>Corporate</v>
      </c>
      <c r="P262">
        <f>IFERROR(VLOOKUP(C262,Customers!$A$2:$F$301,3,FALSE),"")</f>
        <v>22</v>
      </c>
      <c r="Q262" s="41">
        <f t="shared" si="13"/>
        <v>0.52669172932330832</v>
      </c>
      <c r="R262" t="str">
        <f>IFERROR(VLOOKUP(C262,Customers!$A$2:$F$301,1,FALSE),"")</f>
        <v>CUST-0198</v>
      </c>
      <c r="S262" s="27" t="b">
        <f>IFERROR(VLOOKUP(D262,Products!$A$2:$F$61,6,FALSE),"")</f>
        <v>0</v>
      </c>
      <c r="BL262">
        <v>0</v>
      </c>
      <c r="BM262">
        <v>0</v>
      </c>
      <c r="BN262">
        <v>2.3809523809523808E-2</v>
      </c>
      <c r="BO262">
        <v>0</v>
      </c>
      <c r="BP262">
        <v>1</v>
      </c>
    </row>
    <row r="263" spans="1:68" x14ac:dyDescent="0.35">
      <c r="A263" s="26" t="str">
        <f>Orders!A263</f>
        <v>ORD-00262</v>
      </c>
      <c r="B263" s="33">
        <f>Orders!B263</f>
        <v>45522</v>
      </c>
      <c r="C263" t="str">
        <f>Orders!C263</f>
        <v>CUST-0200</v>
      </c>
      <c r="D263" t="str">
        <f>Orders!D263</f>
        <v>PROD-058</v>
      </c>
      <c r="E263" t="str">
        <f>Orders!E263</f>
        <v>R009</v>
      </c>
      <c r="F263">
        <f>Orders!F263</f>
        <v>4</v>
      </c>
      <c r="G263" s="35">
        <f>Orders!G263</f>
        <v>2400</v>
      </c>
      <c r="H263" s="37">
        <f>Orders!H263</f>
        <v>5.6</v>
      </c>
      <c r="I263" s="39">
        <f>Orders!I263</f>
        <v>9062.4</v>
      </c>
      <c r="J263" t="str">
        <f>Orders!J263</f>
        <v>Completed</v>
      </c>
      <c r="K263" t="str">
        <f>Orders!K263</f>
        <v>Hyderabad</v>
      </c>
      <c r="L263" t="str">
        <f>IFERROR(VLOOKUP(D263,Products!$A$2:$F$61,3,FALSE),"")</f>
        <v>Sports</v>
      </c>
      <c r="M263">
        <f>IFERROR(VLOOKUP(D263,Products!$A$2:$F$61,4,FALSE),"")</f>
        <v>974</v>
      </c>
      <c r="N263" t="str">
        <f>IFERROR(VLOOKUP(E263,Sales_Reps!$A$2:$E$31,3,FALSE),"")</f>
        <v>South</v>
      </c>
      <c r="O263" t="str">
        <f>IFERROR(VLOOKUP(C263,Customers!$A$2:$F$301,5,FALSE),"")</f>
        <v>Corporate</v>
      </c>
      <c r="P263">
        <f>IFERROR(VLOOKUP(C263,Customers!$A$2:$F$301,3,FALSE),"")</f>
        <v>46</v>
      </c>
      <c r="Q263" s="41">
        <f t="shared" si="13"/>
        <v>0.59416666666666662</v>
      </c>
      <c r="R263" t="str">
        <f>IFERROR(VLOOKUP(C263,Customers!$A$2:$F$301,1,FALSE),"")</f>
        <v>CUST-0200</v>
      </c>
      <c r="S263" s="27" t="b">
        <f>IFERROR(VLOOKUP(D263,Products!$A$2:$F$61,6,FALSE),"")</f>
        <v>1</v>
      </c>
      <c r="BL263">
        <v>0</v>
      </c>
      <c r="BM263">
        <v>0</v>
      </c>
      <c r="BN263">
        <v>1.8518518518518517E-2</v>
      </c>
      <c r="BO263">
        <v>0</v>
      </c>
      <c r="BP263">
        <v>0</v>
      </c>
    </row>
    <row r="264" spans="1:68" x14ac:dyDescent="0.35">
      <c r="A264" s="26" t="str">
        <f>Orders!A264</f>
        <v>ORD-00263</v>
      </c>
      <c r="B264" s="33">
        <f>Orders!B264</f>
        <v>45513</v>
      </c>
      <c r="C264" t="str">
        <f>Orders!C264</f>
        <v>CUST-0110</v>
      </c>
      <c r="D264" t="str">
        <f>Orders!D264</f>
        <v>PROD-002</v>
      </c>
      <c r="E264" t="str">
        <f>Orders!E264</f>
        <v>R003</v>
      </c>
      <c r="F264">
        <f>Orders!F264</f>
        <v>10</v>
      </c>
      <c r="G264" s="35">
        <f>Orders!G264</f>
        <v>2600</v>
      </c>
      <c r="H264" s="37">
        <f>Orders!H264</f>
        <v>24.7</v>
      </c>
      <c r="I264" s="39">
        <f>Orders!I264</f>
        <v>19578</v>
      </c>
      <c r="J264" t="str">
        <f>Orders!J264</f>
        <v>Completed</v>
      </c>
      <c r="K264" t="str">
        <f>Orders!K264</f>
        <v>Pune</v>
      </c>
      <c r="L264" t="str">
        <f>IFERROR(VLOOKUP(D264,Products!$A$2:$F$61,3,FALSE),"")</f>
        <v>Electronics</v>
      </c>
      <c r="M264">
        <f>IFERROR(VLOOKUP(D264,Products!$A$2:$F$61,4,FALSE),"")</f>
        <v>1052</v>
      </c>
      <c r="N264" t="str">
        <f>IFERROR(VLOOKUP(E264,Sales_Reps!$A$2:$E$31,3,FALSE),"")</f>
        <v>North</v>
      </c>
      <c r="O264" t="str">
        <f>IFERROR(VLOOKUP(C264,Customers!$A$2:$F$301,5,FALSE),"")</f>
        <v>Corporate</v>
      </c>
      <c r="P264">
        <f>IFERROR(VLOOKUP(C264,Customers!$A$2:$F$301,3,FALSE),"")</f>
        <v>31</v>
      </c>
      <c r="Q264" s="41">
        <f t="shared" si="13"/>
        <v>0.5953846153846154</v>
      </c>
      <c r="R264" t="str">
        <f>IFERROR(VLOOKUP(C264,Customers!$A$2:$F$301,1,FALSE),"")</f>
        <v>CUST-0110</v>
      </c>
      <c r="S264" s="27" t="b">
        <f>IFERROR(VLOOKUP(D264,Products!$A$2:$F$61,6,FALSE),"")</f>
        <v>1</v>
      </c>
      <c r="BL264">
        <v>0</v>
      </c>
      <c r="BM264">
        <v>0</v>
      </c>
      <c r="BN264">
        <v>1.8518518518518517E-2</v>
      </c>
      <c r="BO264">
        <v>0</v>
      </c>
      <c r="BP264">
        <v>0</v>
      </c>
    </row>
    <row r="265" spans="1:68" x14ac:dyDescent="0.35">
      <c r="A265" s="26" t="str">
        <f>Orders!A265</f>
        <v>ORD-00264</v>
      </c>
      <c r="B265" s="33">
        <f>Orders!B265</f>
        <v>45513</v>
      </c>
      <c r="C265" t="str">
        <f>Orders!C265</f>
        <v>CUST-0134</v>
      </c>
      <c r="D265" t="str">
        <f>Orders!D265</f>
        <v>PROD-025</v>
      </c>
      <c r="E265" t="str">
        <f>Orders!E265</f>
        <v>R004</v>
      </c>
      <c r="F265">
        <f>Orders!F265</f>
        <v>3</v>
      </c>
      <c r="G265" s="35">
        <f>Orders!G265</f>
        <v>4060</v>
      </c>
      <c r="H265" s="37">
        <f>Orders!H265</f>
        <v>6.9</v>
      </c>
      <c r="I265" s="39">
        <f>Orders!I265</f>
        <v>11339.58</v>
      </c>
      <c r="J265" t="str">
        <f>Orders!J265</f>
        <v>Completed</v>
      </c>
      <c r="K265" t="str">
        <f>Orders!K265</f>
        <v>Delhi</v>
      </c>
      <c r="L265" t="str">
        <f>IFERROR(VLOOKUP(D265,Products!$A$2:$F$61,3,FALSE),"")</f>
        <v>Grocery</v>
      </c>
      <c r="M265">
        <f>IFERROR(VLOOKUP(D265,Products!$A$2:$F$61,4,FALSE),"")</f>
        <v>2911</v>
      </c>
      <c r="N265" t="str">
        <f>IFERROR(VLOOKUP(E265,Sales_Reps!$A$2:$E$31,3,FALSE),"")</f>
        <v>North</v>
      </c>
      <c r="O265" t="str">
        <f>IFERROR(VLOOKUP(C265,Customers!$A$2:$F$301,5,FALSE),"")</f>
        <v>Retail</v>
      </c>
      <c r="P265">
        <f>IFERROR(VLOOKUP(C265,Customers!$A$2:$F$301,3,FALSE),"")</f>
        <v>40</v>
      </c>
      <c r="Q265" s="41">
        <f t="shared" si="13"/>
        <v>0.28300492610837441</v>
      </c>
      <c r="R265" t="str">
        <f>IFERROR(VLOOKUP(C265,Customers!$A$2:$F$301,1,FALSE),"")</f>
        <v>CUST-0134</v>
      </c>
      <c r="S265" s="27" t="b">
        <f>IFERROR(VLOOKUP(D265,Products!$A$2:$F$61,6,FALSE),"")</f>
        <v>1</v>
      </c>
      <c r="BL265">
        <v>0</v>
      </c>
      <c r="BM265">
        <v>0</v>
      </c>
      <c r="BN265">
        <v>1.8867924528301886E-2</v>
      </c>
      <c r="BO265">
        <v>0</v>
      </c>
      <c r="BP265">
        <v>0</v>
      </c>
    </row>
    <row r="266" spans="1:68" x14ac:dyDescent="0.35">
      <c r="A266" s="26" t="str">
        <f>Orders!A266</f>
        <v>ORD-00265</v>
      </c>
      <c r="B266" s="33">
        <f>Orders!B266</f>
        <v>45465</v>
      </c>
      <c r="C266" t="str">
        <f>Orders!C266</f>
        <v>CUST-0141</v>
      </c>
      <c r="D266" t="str">
        <f>Orders!D266</f>
        <v>PROD-038</v>
      </c>
      <c r="E266" t="str">
        <f>Orders!E266</f>
        <v>R023</v>
      </c>
      <c r="F266">
        <f>Orders!F266</f>
        <v>6</v>
      </c>
      <c r="G266" s="35">
        <f>Orders!G266</f>
        <v>5490</v>
      </c>
      <c r="H266" s="37">
        <f>Orders!H266</f>
        <v>8.4</v>
      </c>
      <c r="I266" s="39">
        <f>Orders!I266</f>
        <v>30173.040000000001</v>
      </c>
      <c r="J266" t="str">
        <f>Orders!J266</f>
        <v>Completed</v>
      </c>
      <c r="K266" t="str">
        <f>Orders!K266</f>
        <v>Hyderabad</v>
      </c>
      <c r="L266" t="str">
        <f>IFERROR(VLOOKUP(D266,Products!$A$2:$F$61,3,FALSE),"")</f>
        <v>Home</v>
      </c>
      <c r="M266">
        <f>IFERROR(VLOOKUP(D266,Products!$A$2:$F$61,4,FALSE),"")</f>
        <v>2549</v>
      </c>
      <c r="N266" t="str">
        <f>IFERROR(VLOOKUP(E266,Sales_Reps!$A$2:$E$31,3,FALSE),"")</f>
        <v>East</v>
      </c>
      <c r="O266" t="str">
        <f>IFERROR(VLOOKUP(C266,Customers!$A$2:$F$301,5,FALSE),"")</f>
        <v>Corporate</v>
      </c>
      <c r="P266">
        <f>IFERROR(VLOOKUP(C266,Customers!$A$2:$F$301,3,FALSE),"")</f>
        <v>22</v>
      </c>
      <c r="Q266" s="41">
        <f t="shared" si="13"/>
        <v>0.53570127504553733</v>
      </c>
      <c r="R266" t="str">
        <f>IFERROR(VLOOKUP(C266,Customers!$A$2:$F$301,1,FALSE),"")</f>
        <v>CUST-0141</v>
      </c>
      <c r="S266" s="27" t="b">
        <f>IFERROR(VLOOKUP(D266,Products!$A$2:$F$61,6,FALSE),"")</f>
        <v>1</v>
      </c>
      <c r="BL266">
        <v>0</v>
      </c>
      <c r="BM266">
        <v>1</v>
      </c>
      <c r="BN266">
        <v>1.8867924528301886E-2</v>
      </c>
      <c r="BO266">
        <v>0</v>
      </c>
      <c r="BP266">
        <v>0</v>
      </c>
    </row>
    <row r="267" spans="1:68" x14ac:dyDescent="0.35">
      <c r="A267" s="26" t="str">
        <f>Orders!A267</f>
        <v>ORD-00266</v>
      </c>
      <c r="B267" s="33">
        <f>Orders!B267</f>
        <v>45407</v>
      </c>
      <c r="C267" t="str">
        <f>Orders!C267</f>
        <v>CUST-0163</v>
      </c>
      <c r="D267" t="str">
        <f>Orders!D267</f>
        <v>PROD-032</v>
      </c>
      <c r="E267" t="str">
        <f>Orders!E267</f>
        <v>R018</v>
      </c>
      <c r="F267">
        <f>Orders!F267</f>
        <v>6</v>
      </c>
      <c r="G267" s="35">
        <f>Orders!G267</f>
        <v>370</v>
      </c>
      <c r="H267" s="37">
        <f>Orders!H267</f>
        <v>15.1</v>
      </c>
      <c r="I267" s="39">
        <f>Orders!I267</f>
        <v>1884.78</v>
      </c>
      <c r="J267" t="str">
        <f>Orders!J267</f>
        <v>Completed</v>
      </c>
      <c r="K267" t="str">
        <f>Orders!K267</f>
        <v>Pune</v>
      </c>
      <c r="L267" t="str">
        <f>IFERROR(VLOOKUP(D267,Products!$A$2:$F$61,3,FALSE),"")</f>
        <v>Home</v>
      </c>
      <c r="M267">
        <f>IFERROR(VLOOKUP(D267,Products!$A$2:$F$61,4,FALSE),"")</f>
        <v>288</v>
      </c>
      <c r="N267" t="str">
        <f>IFERROR(VLOOKUP(E267,Sales_Reps!$A$2:$E$31,3,FALSE),"")</f>
        <v>East</v>
      </c>
      <c r="O267" t="str">
        <f>IFERROR(VLOOKUP(C267,Customers!$A$2:$F$301,5,FALSE),"")</f>
        <v>Retail</v>
      </c>
      <c r="P267">
        <f>IFERROR(VLOOKUP(C267,Customers!$A$2:$F$301,3,FALSE),"")</f>
        <v>49</v>
      </c>
      <c r="Q267" s="41">
        <f t="shared" si="13"/>
        <v>0.22162162162162163</v>
      </c>
      <c r="R267" t="str">
        <f>IFERROR(VLOOKUP(C267,Customers!$A$2:$F$301,1,FALSE),"")</f>
        <v>CUST-0163</v>
      </c>
      <c r="S267" s="27" t="b">
        <f>IFERROR(VLOOKUP(D267,Products!$A$2:$F$61,6,FALSE),"")</f>
        <v>1</v>
      </c>
      <c r="BL267">
        <v>0</v>
      </c>
      <c r="BM267">
        <v>0</v>
      </c>
      <c r="BN267">
        <v>1.8867924528301886E-2</v>
      </c>
      <c r="BO267">
        <v>0</v>
      </c>
      <c r="BP267">
        <v>0</v>
      </c>
    </row>
    <row r="268" spans="1:68" x14ac:dyDescent="0.35">
      <c r="A268" s="26" t="str">
        <f>Orders!A268</f>
        <v>ORD-00267</v>
      </c>
      <c r="B268" s="33">
        <f>Orders!B268</f>
        <v>45405</v>
      </c>
      <c r="C268" t="str">
        <f>Orders!C268</f>
        <v>CUST-0181</v>
      </c>
      <c r="D268" t="str">
        <f>Orders!D268</f>
        <v>PROD-016</v>
      </c>
      <c r="E268" t="str">
        <f>Orders!E268</f>
        <v>R023</v>
      </c>
      <c r="F268">
        <f>Orders!F268</f>
        <v>5</v>
      </c>
      <c r="G268" s="35">
        <f>Orders!G268</f>
        <v>620</v>
      </c>
      <c r="H268" s="37">
        <f>Orders!H268</f>
        <v>13.1</v>
      </c>
      <c r="I268" s="39">
        <f>Orders!I268</f>
        <v>2693.9</v>
      </c>
      <c r="J268" t="str">
        <f>Orders!J268</f>
        <v>Cancelled</v>
      </c>
      <c r="K268" t="str">
        <f>Orders!K268</f>
        <v>Delhi</v>
      </c>
      <c r="L268" t="str">
        <f>IFERROR(VLOOKUP(D268,Products!$A$2:$F$61,3,FALSE),"")</f>
        <v>Apparel</v>
      </c>
      <c r="M268">
        <f>IFERROR(VLOOKUP(D268,Products!$A$2:$F$61,4,FALSE),"")</f>
        <v>396</v>
      </c>
      <c r="N268" t="str">
        <f>IFERROR(VLOOKUP(E268,Sales_Reps!$A$2:$E$31,3,FALSE),"")</f>
        <v>East</v>
      </c>
      <c r="O268" t="str">
        <f>IFERROR(VLOOKUP(C268,Customers!$A$2:$F$301,5,FALSE),"")</f>
        <v>SMB</v>
      </c>
      <c r="P268">
        <f>IFERROR(VLOOKUP(C268,Customers!$A$2:$F$301,3,FALSE),"")</f>
        <v>38</v>
      </c>
      <c r="Q268" s="41">
        <f t="shared" si="13"/>
        <v>0.36129032258064514</v>
      </c>
      <c r="R268" t="str">
        <f>IFERROR(VLOOKUP(C268,Customers!$A$2:$F$301,1,FALSE),"")</f>
        <v>CUST-0181</v>
      </c>
      <c r="S268" s="27" t="b">
        <f>IFERROR(VLOOKUP(D268,Products!$A$2:$F$61,6,FALSE),"")</f>
        <v>1</v>
      </c>
      <c r="BL268">
        <v>0</v>
      </c>
      <c r="BM268">
        <v>0</v>
      </c>
      <c r="BN268">
        <v>1.9607843137254902E-2</v>
      </c>
      <c r="BO268">
        <v>0</v>
      </c>
      <c r="BP268">
        <v>0</v>
      </c>
    </row>
    <row r="269" spans="1:68" x14ac:dyDescent="0.35">
      <c r="A269" s="26" t="str">
        <f>Orders!A269</f>
        <v>ORD-00268</v>
      </c>
      <c r="B269" s="33">
        <f>Orders!B269</f>
        <v>45332</v>
      </c>
      <c r="C269" t="str">
        <f>Orders!C269</f>
        <v>CUST-0133</v>
      </c>
      <c r="D269" t="str">
        <f>Orders!D269</f>
        <v>PROD-036</v>
      </c>
      <c r="E269" t="str">
        <f>Orders!E269</f>
        <v>R029</v>
      </c>
      <c r="F269">
        <f>Orders!F269</f>
        <v>9</v>
      </c>
      <c r="G269" s="35">
        <f>Orders!G269</f>
        <v>3250</v>
      </c>
      <c r="H269" s="37">
        <f>Orders!H269</f>
        <v>16.5</v>
      </c>
      <c r="I269" s="39">
        <f>Orders!I269</f>
        <v>24423.75</v>
      </c>
      <c r="J269" t="str">
        <f>Orders!J269</f>
        <v>Completed</v>
      </c>
      <c r="K269" t="str">
        <f>Orders!K269</f>
        <v>Chennai</v>
      </c>
      <c r="L269" t="str">
        <f>IFERROR(VLOOKUP(D269,Products!$A$2:$F$61,3,FALSE),"")</f>
        <v>Home</v>
      </c>
      <c r="M269">
        <f>IFERROR(VLOOKUP(D269,Products!$A$2:$F$61,4,FALSE),"")</f>
        <v>1556</v>
      </c>
      <c r="N269" t="str">
        <f>IFERROR(VLOOKUP(E269,Sales_Reps!$A$2:$E$31,3,FALSE),"")</f>
        <v>West</v>
      </c>
      <c r="O269" t="str">
        <f>IFERROR(VLOOKUP(C269,Customers!$A$2:$F$301,5,FALSE),"")</f>
        <v>Retail</v>
      </c>
      <c r="P269">
        <f>IFERROR(VLOOKUP(C269,Customers!$A$2:$F$301,3,FALSE),"")</f>
        <v>26</v>
      </c>
      <c r="Q269" s="41">
        <f t="shared" si="13"/>
        <v>0.52123076923076928</v>
      </c>
      <c r="R269" t="str">
        <f>IFERROR(VLOOKUP(C269,Customers!$A$2:$F$301,1,FALSE),"")</f>
        <v>CUST-0133</v>
      </c>
      <c r="S269" s="27" t="b">
        <f>IFERROR(VLOOKUP(D269,Products!$A$2:$F$61,6,FALSE),"")</f>
        <v>1</v>
      </c>
      <c r="BL269">
        <v>0.5</v>
      </c>
      <c r="BM269">
        <v>0</v>
      </c>
      <c r="BN269">
        <v>1.8867924528301886E-2</v>
      </c>
      <c r="BO269">
        <v>0</v>
      </c>
      <c r="BP269">
        <v>0</v>
      </c>
    </row>
    <row r="270" spans="1:68" x14ac:dyDescent="0.35">
      <c r="A270" s="26" t="str">
        <f>Orders!A270</f>
        <v>ORD-00269</v>
      </c>
      <c r="B270" s="33">
        <f>Orders!B270</f>
        <v>45299</v>
      </c>
      <c r="C270" t="str">
        <f>Orders!C270</f>
        <v>CUST-0095</v>
      </c>
      <c r="D270" t="str">
        <f>Orders!D270</f>
        <v>PROD-050</v>
      </c>
      <c r="E270" t="str">
        <f>Orders!E270</f>
        <v>R011</v>
      </c>
      <c r="F270">
        <f>Orders!F270</f>
        <v>1</v>
      </c>
      <c r="G270" s="35">
        <f>Orders!G270</f>
        <v>6080</v>
      </c>
      <c r="H270" s="37">
        <f>Orders!H270</f>
        <v>0.1</v>
      </c>
      <c r="I270" s="39">
        <f>Orders!I270</f>
        <v>6073.92</v>
      </c>
      <c r="J270" t="str">
        <f>Orders!J270</f>
        <v>Completed</v>
      </c>
      <c r="K270" t="str">
        <f>Orders!K270</f>
        <v>Mumbai</v>
      </c>
      <c r="L270" t="str">
        <f>IFERROR(VLOOKUP(D270,Products!$A$2:$F$61,3,FALSE),"")</f>
        <v>Beauty</v>
      </c>
      <c r="M270">
        <f>IFERROR(VLOOKUP(D270,Products!$A$2:$F$61,4,FALSE),"")</f>
        <v>2617</v>
      </c>
      <c r="N270" t="str">
        <f>IFERROR(VLOOKUP(E270,Sales_Reps!$A$2:$E$31,3,FALSE),"")</f>
        <v>South</v>
      </c>
      <c r="O270" t="str">
        <f>IFERROR(VLOOKUP(C270,Customers!$A$2:$F$301,5,FALSE),"")</f>
        <v>SMB</v>
      </c>
      <c r="P270">
        <f>IFERROR(VLOOKUP(C270,Customers!$A$2:$F$301,3,FALSE),"")</f>
        <v>54</v>
      </c>
      <c r="Q270" s="41">
        <f t="shared" si="13"/>
        <v>0.56957236842105263</v>
      </c>
      <c r="R270" t="str">
        <f>IFERROR(VLOOKUP(C270,Customers!$A$2:$F$301,1,FALSE),"")</f>
        <v>CUST-0095</v>
      </c>
      <c r="S270" s="27" t="b">
        <f>IFERROR(VLOOKUP(D270,Products!$A$2:$F$61,6,FALSE),"")</f>
        <v>1</v>
      </c>
      <c r="BL270">
        <v>0</v>
      </c>
      <c r="BM270">
        <v>0</v>
      </c>
      <c r="BN270">
        <v>1.8867924528301886E-2</v>
      </c>
      <c r="BO270">
        <v>0</v>
      </c>
      <c r="BP270">
        <v>0</v>
      </c>
    </row>
    <row r="271" spans="1:68" x14ac:dyDescent="0.35">
      <c r="A271" s="26" t="str">
        <f>Orders!A271</f>
        <v>ORD-00270</v>
      </c>
      <c r="B271" s="33">
        <f>Orders!B271</f>
        <v>45386</v>
      </c>
      <c r="C271" t="str">
        <f>Orders!C271</f>
        <v>CUST-0171</v>
      </c>
      <c r="D271" t="str">
        <f>Orders!D271</f>
        <v>PROD-013</v>
      </c>
      <c r="E271" t="str">
        <f>Orders!E271</f>
        <v>R014</v>
      </c>
      <c r="F271">
        <f>Orders!F271</f>
        <v>8</v>
      </c>
      <c r="G271" s="35">
        <f>Orders!G271</f>
        <v>3640</v>
      </c>
      <c r="H271" s="37">
        <f>Orders!H271</f>
        <v>13.5</v>
      </c>
      <c r="I271" s="39">
        <f>Orders!I271</f>
        <v>25188.799999999999</v>
      </c>
      <c r="J271" t="str">
        <f>Orders!J271</f>
        <v>Completed</v>
      </c>
      <c r="K271" t="str">
        <f>Orders!K271</f>
        <v>Chennai</v>
      </c>
      <c r="L271" t="str">
        <f>IFERROR(VLOOKUP(D271,Products!$A$2:$F$61,3,FALSE),"")</f>
        <v>Apparel</v>
      </c>
      <c r="M271">
        <f>IFERROR(VLOOKUP(D271,Products!$A$2:$F$61,4,FALSE),"")</f>
        <v>2611</v>
      </c>
      <c r="N271" t="str">
        <f>IFERROR(VLOOKUP(E271,Sales_Reps!$A$2:$E$31,3,FALSE),"")</f>
        <v>South</v>
      </c>
      <c r="O271" t="str">
        <f>IFERROR(VLOOKUP(C271,Customers!$A$2:$F$301,5,FALSE),"")</f>
        <v>Corporate</v>
      </c>
      <c r="P271">
        <f>IFERROR(VLOOKUP(C271,Customers!$A$2:$F$301,3,FALSE),"")</f>
        <v>30</v>
      </c>
      <c r="Q271" s="41">
        <f t="shared" si="13"/>
        <v>0.28269230769230769</v>
      </c>
      <c r="R271" t="str">
        <f>IFERROR(VLOOKUP(C271,Customers!$A$2:$F$301,1,FALSE),"")</f>
        <v>CUST-0171</v>
      </c>
      <c r="S271" s="27" t="b">
        <f>IFERROR(VLOOKUP(D271,Products!$A$2:$F$61,6,FALSE),"")</f>
        <v>1</v>
      </c>
      <c r="BL271">
        <v>0</v>
      </c>
      <c r="BM271">
        <v>0</v>
      </c>
      <c r="BN271">
        <v>2.1276595744680851E-2</v>
      </c>
      <c r="BO271">
        <v>0</v>
      </c>
      <c r="BP271">
        <v>0</v>
      </c>
    </row>
    <row r="272" spans="1:68" x14ac:dyDescent="0.35">
      <c r="A272" s="26" t="str">
        <f>Orders!A272</f>
        <v>ORD-00271</v>
      </c>
      <c r="B272" s="33">
        <f>Orders!B272</f>
        <v>45472</v>
      </c>
      <c r="C272" t="str">
        <f>Orders!C272</f>
        <v>CUST-0238</v>
      </c>
      <c r="D272" t="str">
        <f>Orders!D272</f>
        <v>PROD-012</v>
      </c>
      <c r="E272" t="str">
        <f>Orders!E272</f>
        <v>R005</v>
      </c>
      <c r="F272">
        <f>Orders!F272</f>
        <v>9</v>
      </c>
      <c r="G272" s="35">
        <f>Orders!G272</f>
        <v>3160</v>
      </c>
      <c r="H272" s="37">
        <f>Orders!H272</f>
        <v>29.7</v>
      </c>
      <c r="I272" s="39">
        <f>Orders!I272</f>
        <v>19993.32</v>
      </c>
      <c r="J272" t="str">
        <f>Orders!J272</f>
        <v>Completed</v>
      </c>
      <c r="K272" t="str">
        <f>Orders!K272</f>
        <v>Delhi</v>
      </c>
      <c r="L272" t="str">
        <f>IFERROR(VLOOKUP(D272,Products!$A$2:$F$61,3,FALSE),"")</f>
        <v>Apparel</v>
      </c>
      <c r="M272">
        <f>IFERROR(VLOOKUP(D272,Products!$A$2:$F$61,4,FALSE),"")</f>
        <v>1886</v>
      </c>
      <c r="N272" t="str">
        <f>IFERROR(VLOOKUP(E272,Sales_Reps!$A$2:$E$31,3,FALSE),"")</f>
        <v>North</v>
      </c>
      <c r="O272" t="str">
        <f>IFERROR(VLOOKUP(C272,Customers!$A$2:$F$301,5,FALSE),"")</f>
        <v>Retail</v>
      </c>
      <c r="P272">
        <f>IFERROR(VLOOKUP(C272,Customers!$A$2:$F$301,3,FALSE),"")</f>
        <v>49</v>
      </c>
      <c r="Q272" s="41">
        <f t="shared" si="13"/>
        <v>0.4031645569620253</v>
      </c>
      <c r="R272" t="str">
        <f>IFERROR(VLOOKUP(C272,Customers!$A$2:$F$301,1,FALSE),"")</f>
        <v>CUST-0238</v>
      </c>
      <c r="S272" s="27" t="b">
        <f>IFERROR(VLOOKUP(D272,Products!$A$2:$F$61,6,FALSE),"")</f>
        <v>1</v>
      </c>
      <c r="BL272">
        <v>0</v>
      </c>
      <c r="BM272">
        <v>0</v>
      </c>
      <c r="BN272">
        <v>2.1276595744680851E-2</v>
      </c>
      <c r="BO272">
        <v>0</v>
      </c>
      <c r="BP272">
        <v>0</v>
      </c>
    </row>
    <row r="273" spans="1:68" x14ac:dyDescent="0.35">
      <c r="A273" s="26" t="str">
        <f>Orders!A273</f>
        <v>ORD-00272</v>
      </c>
      <c r="B273" s="33">
        <f>Orders!B273</f>
        <v>45428</v>
      </c>
      <c r="C273" t="str">
        <f>Orders!C273</f>
        <v>CUST-0185</v>
      </c>
      <c r="D273" t="str">
        <f>Orders!D273</f>
        <v>PROD-004</v>
      </c>
      <c r="E273" t="str">
        <f>Orders!E273</f>
        <v>R007</v>
      </c>
      <c r="F273">
        <f>Orders!F273</f>
        <v>2</v>
      </c>
      <c r="G273" s="35">
        <f>Orders!G273</f>
        <v>3870</v>
      </c>
      <c r="H273" s="37">
        <f>Orders!H273</f>
        <v>18.100000000000001</v>
      </c>
      <c r="I273" s="39">
        <f>Orders!I273</f>
        <v>6339.06</v>
      </c>
      <c r="J273" t="str">
        <f>Orders!J273</f>
        <v>Cancelled</v>
      </c>
      <c r="K273" t="str">
        <f>Orders!K273</f>
        <v>Hyderabad</v>
      </c>
      <c r="L273" t="str">
        <f>IFERROR(VLOOKUP(D273,Products!$A$2:$F$61,3,FALSE),"")</f>
        <v>Electronics</v>
      </c>
      <c r="M273">
        <f>IFERROR(VLOOKUP(D273,Products!$A$2:$F$61,4,FALSE),"")</f>
        <v>1559</v>
      </c>
      <c r="N273" t="str">
        <f>IFERROR(VLOOKUP(E273,Sales_Reps!$A$2:$E$31,3,FALSE),"")</f>
        <v>North</v>
      </c>
      <c r="O273" t="str">
        <f>IFERROR(VLOOKUP(C273,Customers!$A$2:$F$301,5,FALSE),"")</f>
        <v>SMB</v>
      </c>
      <c r="P273">
        <f>IFERROR(VLOOKUP(C273,Customers!$A$2:$F$301,3,FALSE),"")</f>
        <v>43</v>
      </c>
      <c r="Q273" s="41">
        <f t="shared" si="13"/>
        <v>0.59715762273901807</v>
      </c>
      <c r="R273" t="str">
        <f>IFERROR(VLOOKUP(C273,Customers!$A$2:$F$301,1,FALSE),"")</f>
        <v>CUST-0185</v>
      </c>
      <c r="S273" s="27" t="b">
        <f>IFERROR(VLOOKUP(D273,Products!$A$2:$F$61,6,FALSE),"")</f>
        <v>1</v>
      </c>
      <c r="BL273">
        <v>0</v>
      </c>
      <c r="BM273">
        <v>0</v>
      </c>
      <c r="BN273">
        <v>1.8518518518518517E-2</v>
      </c>
      <c r="BO273">
        <v>0</v>
      </c>
      <c r="BP273">
        <v>0</v>
      </c>
    </row>
    <row r="274" spans="1:68" x14ac:dyDescent="0.35">
      <c r="A274" s="26" t="str">
        <f>Orders!A274</f>
        <v>ORD-00273</v>
      </c>
      <c r="B274" s="33">
        <f>Orders!B274</f>
        <v>45430</v>
      </c>
      <c r="C274" t="str">
        <f>Orders!C274</f>
        <v>CUST-0167</v>
      </c>
      <c r="D274" t="str">
        <f>Orders!D274</f>
        <v>PROD-037</v>
      </c>
      <c r="E274" t="str">
        <f>Orders!E274</f>
        <v>R030</v>
      </c>
      <c r="F274">
        <f>Orders!F274</f>
        <v>3</v>
      </c>
      <c r="G274" s="35">
        <f>Orders!G274</f>
        <v>660</v>
      </c>
      <c r="H274" s="37">
        <f>Orders!H274</f>
        <v>9.1999999999999993</v>
      </c>
      <c r="I274" s="39">
        <f>Orders!I274</f>
        <v>1797.84</v>
      </c>
      <c r="J274" t="str">
        <f>Orders!J274</f>
        <v>Completed</v>
      </c>
      <c r="K274" t="str">
        <f>Orders!K274</f>
        <v>Delhi</v>
      </c>
      <c r="L274" t="str">
        <f>IFERROR(VLOOKUP(D274,Products!$A$2:$F$61,3,FALSE),"")</f>
        <v>Home</v>
      </c>
      <c r="M274">
        <f>IFERROR(VLOOKUP(D274,Products!$A$2:$F$61,4,FALSE),"")</f>
        <v>329</v>
      </c>
      <c r="N274" t="str">
        <f>IFERROR(VLOOKUP(E274,Sales_Reps!$A$2:$E$31,3,FALSE),"")</f>
        <v>West</v>
      </c>
      <c r="O274" t="str">
        <f>IFERROR(VLOOKUP(C274,Customers!$A$2:$F$301,5,FALSE),"")</f>
        <v>Retail</v>
      </c>
      <c r="P274">
        <f>IFERROR(VLOOKUP(C274,Customers!$A$2:$F$301,3,FALSE),"")</f>
        <v>43</v>
      </c>
      <c r="Q274" s="41">
        <f t="shared" si="13"/>
        <v>0.50151515151515147</v>
      </c>
      <c r="R274" t="str">
        <f>IFERROR(VLOOKUP(C274,Customers!$A$2:$F$301,1,FALSE),"")</f>
        <v>CUST-0167</v>
      </c>
      <c r="S274" s="27" t="b">
        <f>IFERROR(VLOOKUP(D274,Products!$A$2:$F$61,6,FALSE),"")</f>
        <v>1</v>
      </c>
      <c r="BL274">
        <v>0</v>
      </c>
      <c r="BM274">
        <v>0</v>
      </c>
      <c r="BN274">
        <v>1.9607843137254902E-2</v>
      </c>
      <c r="BO274">
        <v>0</v>
      </c>
      <c r="BP274">
        <v>0</v>
      </c>
    </row>
    <row r="275" spans="1:68" x14ac:dyDescent="0.35">
      <c r="A275" s="26" t="str">
        <f>Orders!A275</f>
        <v>ORD-00274</v>
      </c>
      <c r="B275" s="33">
        <f>Orders!B275</f>
        <v>45418</v>
      </c>
      <c r="C275" t="str">
        <f>Orders!C275</f>
        <v>CUST-0224</v>
      </c>
      <c r="D275" t="str">
        <f>Orders!D275</f>
        <v>PROD-025</v>
      </c>
      <c r="E275" t="str">
        <f>Orders!E275</f>
        <v>R013</v>
      </c>
      <c r="F275">
        <f>Orders!F275</f>
        <v>4</v>
      </c>
      <c r="G275" s="35">
        <f>Orders!G275</f>
        <v>4060</v>
      </c>
      <c r="H275" s="37">
        <f>Orders!H275</f>
        <v>28</v>
      </c>
      <c r="I275" s="39">
        <f>Orders!I275</f>
        <v>11692.8</v>
      </c>
      <c r="J275" t="str">
        <f>Orders!J275</f>
        <v>Completed</v>
      </c>
      <c r="K275" t="str">
        <f>Orders!K275</f>
        <v>Chennai</v>
      </c>
      <c r="L275" t="str">
        <f>IFERROR(VLOOKUP(D275,Products!$A$2:$F$61,3,FALSE),"")</f>
        <v>Grocery</v>
      </c>
      <c r="M275">
        <f>IFERROR(VLOOKUP(D275,Products!$A$2:$F$61,4,FALSE),"")</f>
        <v>2911</v>
      </c>
      <c r="N275" t="str">
        <f>IFERROR(VLOOKUP(E275,Sales_Reps!$A$2:$E$31,3,FALSE),"")</f>
        <v>South</v>
      </c>
      <c r="O275" t="str">
        <f>IFERROR(VLOOKUP(C275,Customers!$A$2:$F$301,5,FALSE),"")</f>
        <v>Corporate</v>
      </c>
      <c r="P275">
        <f>IFERROR(VLOOKUP(C275,Customers!$A$2:$F$301,3,FALSE),"")</f>
        <v>24</v>
      </c>
      <c r="Q275" s="41">
        <f t="shared" si="13"/>
        <v>0.28300492610837441</v>
      </c>
      <c r="R275" t="str">
        <f>IFERROR(VLOOKUP(C275,Customers!$A$2:$F$301,1,FALSE),"")</f>
        <v>CUST-0224</v>
      </c>
      <c r="S275" s="27" t="b">
        <f>IFERROR(VLOOKUP(D275,Products!$A$2:$F$61,6,FALSE),"")</f>
        <v>1</v>
      </c>
      <c r="BL275">
        <v>0</v>
      </c>
      <c r="BM275">
        <v>0</v>
      </c>
      <c r="BN275">
        <v>2.1276595744680851E-2</v>
      </c>
      <c r="BO275">
        <v>0</v>
      </c>
      <c r="BP275">
        <v>0</v>
      </c>
    </row>
    <row r="276" spans="1:68" x14ac:dyDescent="0.35">
      <c r="A276" s="26" t="str">
        <f>Orders!A276</f>
        <v>ORD-00275</v>
      </c>
      <c r="B276" s="33">
        <f>Orders!B276</f>
        <v>45360</v>
      </c>
      <c r="C276" t="str">
        <f>Orders!C276</f>
        <v>CUST-0181</v>
      </c>
      <c r="D276" t="str">
        <f>Orders!D276</f>
        <v>PROD-034</v>
      </c>
      <c r="E276" t="str">
        <f>Orders!E276</f>
        <v>R016</v>
      </c>
      <c r="F276">
        <f>Orders!F276</f>
        <v>2</v>
      </c>
      <c r="G276" s="35">
        <f>Orders!G276</f>
        <v>5080</v>
      </c>
      <c r="H276" s="37">
        <f>Orders!H276</f>
        <v>7.7</v>
      </c>
      <c r="I276" s="39">
        <f>Orders!I276</f>
        <v>9377.68</v>
      </c>
      <c r="J276" t="str">
        <f>Orders!J276</f>
        <v>Refunded</v>
      </c>
      <c r="K276" t="str">
        <f>Orders!K276</f>
        <v>Delhi</v>
      </c>
      <c r="L276" t="str">
        <f>IFERROR(VLOOKUP(D276,Products!$A$2:$F$61,3,FALSE),"")</f>
        <v>Home</v>
      </c>
      <c r="M276">
        <f>IFERROR(VLOOKUP(D276,Products!$A$2:$F$61,4,FALSE),"")</f>
        <v>2459</v>
      </c>
      <c r="N276" t="str">
        <f>IFERROR(VLOOKUP(E276,Sales_Reps!$A$2:$E$31,3,FALSE),"")</f>
        <v>South</v>
      </c>
      <c r="O276" t="str">
        <f>IFERROR(VLOOKUP(C276,Customers!$A$2:$F$301,5,FALSE),"")</f>
        <v>SMB</v>
      </c>
      <c r="P276">
        <f>IFERROR(VLOOKUP(C276,Customers!$A$2:$F$301,3,FALSE),"")</f>
        <v>38</v>
      </c>
      <c r="Q276" s="41">
        <f t="shared" si="13"/>
        <v>0.51594488188976373</v>
      </c>
      <c r="R276" t="str">
        <f>IFERROR(VLOOKUP(C276,Customers!$A$2:$F$301,1,FALSE),"")</f>
        <v>CUST-0181</v>
      </c>
      <c r="S276" s="27" t="b">
        <f>IFERROR(VLOOKUP(D276,Products!$A$2:$F$61,6,FALSE),"")</f>
        <v>1</v>
      </c>
      <c r="BL276">
        <v>0</v>
      </c>
      <c r="BM276">
        <v>0</v>
      </c>
      <c r="BN276">
        <v>1.8518518518518517E-2</v>
      </c>
      <c r="BO276">
        <v>0</v>
      </c>
      <c r="BP276">
        <v>0</v>
      </c>
    </row>
    <row r="277" spans="1:68" x14ac:dyDescent="0.35">
      <c r="A277" s="26" t="str">
        <f>Orders!A277</f>
        <v>ORD-00276</v>
      </c>
      <c r="B277" s="33">
        <f>Orders!B277</f>
        <v>45296</v>
      </c>
      <c r="C277" t="str">
        <f>Orders!C277</f>
        <v>CUST-0020</v>
      </c>
      <c r="D277" t="str">
        <f>Orders!D277</f>
        <v>PROD-003</v>
      </c>
      <c r="E277" t="str">
        <f>Orders!E277</f>
        <v>R005</v>
      </c>
      <c r="F277">
        <f>Orders!F277</f>
        <v>3</v>
      </c>
      <c r="G277" s="35">
        <f>Orders!G277</f>
        <v>3570</v>
      </c>
      <c r="H277" s="37">
        <f>Orders!H277</f>
        <v>9.5</v>
      </c>
      <c r="I277" s="39">
        <f>Orders!I277</f>
        <v>9692.5499999999993</v>
      </c>
      <c r="J277" t="str">
        <f>Orders!J277</f>
        <v>Completed</v>
      </c>
      <c r="K277" t="str">
        <f>Orders!K277</f>
        <v>Hyderabad</v>
      </c>
      <c r="L277" t="str">
        <f>IFERROR(VLOOKUP(D277,Products!$A$2:$F$61,3,FALSE),"")</f>
        <v>Electronics</v>
      </c>
      <c r="M277">
        <f>IFERROR(VLOOKUP(D277,Products!$A$2:$F$61,4,FALSE),"")</f>
        <v>1665</v>
      </c>
      <c r="N277" t="str">
        <f>IFERROR(VLOOKUP(E277,Sales_Reps!$A$2:$E$31,3,FALSE),"")</f>
        <v>North</v>
      </c>
      <c r="O277" t="str">
        <f>IFERROR(VLOOKUP(C277,Customers!$A$2:$F$301,5,FALSE),"")</f>
        <v>Retail</v>
      </c>
      <c r="P277">
        <f>IFERROR(VLOOKUP(C277,Customers!$A$2:$F$301,3,FALSE),"")</f>
        <v>46</v>
      </c>
      <c r="Q277" s="41">
        <f t="shared" si="13"/>
        <v>0.53361344537815125</v>
      </c>
      <c r="R277" t="str">
        <f>IFERROR(VLOOKUP(C277,Customers!$A$2:$F$301,1,FALSE),"")</f>
        <v>CUST-0020</v>
      </c>
      <c r="S277" s="27" t="b">
        <f>IFERROR(VLOOKUP(D277,Products!$A$2:$F$61,6,FALSE),"")</f>
        <v>1</v>
      </c>
      <c r="BL277">
        <v>0</v>
      </c>
      <c r="BM277">
        <v>0</v>
      </c>
      <c r="BN277">
        <v>1.8867924528301886E-2</v>
      </c>
      <c r="BO277">
        <v>0</v>
      </c>
      <c r="BP277">
        <v>0</v>
      </c>
    </row>
    <row r="278" spans="1:68" x14ac:dyDescent="0.35">
      <c r="A278" s="26" t="str">
        <f>Orders!A278</f>
        <v>ORD-00277</v>
      </c>
      <c r="B278" s="33">
        <f>Orders!B278</f>
        <v>45460</v>
      </c>
      <c r="C278" t="str">
        <f>Orders!C278</f>
        <v>CUST-0183</v>
      </c>
      <c r="D278" t="str">
        <f>Orders!D278</f>
        <v>PROD-016</v>
      </c>
      <c r="E278" t="str">
        <f>Orders!E278</f>
        <v>R020</v>
      </c>
      <c r="F278">
        <f>Orders!F278</f>
        <v>2</v>
      </c>
      <c r="G278" s="35">
        <f>Orders!G278</f>
        <v>620</v>
      </c>
      <c r="H278" s="37">
        <f>Orders!H278</f>
        <v>29.5</v>
      </c>
      <c r="I278" s="39">
        <f>Orders!I278</f>
        <v>874.2</v>
      </c>
      <c r="J278" t="str">
        <f>Orders!J278</f>
        <v>Completed</v>
      </c>
      <c r="K278" t="str">
        <f>Orders!K278</f>
        <v>Mumbai</v>
      </c>
      <c r="L278" t="str">
        <f>IFERROR(VLOOKUP(D278,Products!$A$2:$F$61,3,FALSE),"")</f>
        <v>Apparel</v>
      </c>
      <c r="M278">
        <f>IFERROR(VLOOKUP(D278,Products!$A$2:$F$61,4,FALSE),"")</f>
        <v>396</v>
      </c>
      <c r="N278" t="str">
        <f>IFERROR(VLOOKUP(E278,Sales_Reps!$A$2:$E$31,3,FALSE),"")</f>
        <v>East</v>
      </c>
      <c r="O278" t="str">
        <f>IFERROR(VLOOKUP(C278,Customers!$A$2:$F$301,5,FALSE),"")</f>
        <v>SMB</v>
      </c>
      <c r="P278">
        <f>IFERROR(VLOOKUP(C278,Customers!$A$2:$F$301,3,FALSE),"")</f>
        <v>27</v>
      </c>
      <c r="Q278" s="41">
        <f t="shared" si="13"/>
        <v>0.36129032258064514</v>
      </c>
      <c r="R278" t="str">
        <f>IFERROR(VLOOKUP(C278,Customers!$A$2:$F$301,1,FALSE),"")</f>
        <v>CUST-0183</v>
      </c>
      <c r="S278" s="27" t="b">
        <f>IFERROR(VLOOKUP(D278,Products!$A$2:$F$61,6,FALSE),"")</f>
        <v>1</v>
      </c>
      <c r="BL278">
        <v>0</v>
      </c>
      <c r="BM278">
        <v>0</v>
      </c>
      <c r="BN278">
        <v>1.8867924528301886E-2</v>
      </c>
      <c r="BO278">
        <v>0</v>
      </c>
      <c r="BP278">
        <v>0</v>
      </c>
    </row>
    <row r="279" spans="1:68" x14ac:dyDescent="0.35">
      <c r="A279" s="26" t="str">
        <f>Orders!A279</f>
        <v>ORD-00278</v>
      </c>
      <c r="B279" s="33">
        <f>Orders!B279</f>
        <v>45638</v>
      </c>
      <c r="C279" t="str">
        <f>Orders!C279</f>
        <v>CUST-0028</v>
      </c>
      <c r="D279" t="str">
        <f>Orders!D279</f>
        <v>PROD-011</v>
      </c>
      <c r="E279" t="str">
        <f>Orders!E279</f>
        <v>R013</v>
      </c>
      <c r="F279">
        <f>Orders!F279</f>
        <v>3</v>
      </c>
      <c r="G279" s="35">
        <f>Orders!G279</f>
        <v>3450</v>
      </c>
      <c r="H279" s="37">
        <f>Orders!H279</f>
        <v>3</v>
      </c>
      <c r="I279" s="39">
        <f>Orders!I279</f>
        <v>10039.5</v>
      </c>
      <c r="J279" t="str">
        <f>Orders!J279</f>
        <v>Completed</v>
      </c>
      <c r="K279" t="str">
        <f>Orders!K279</f>
        <v>Bengaluru</v>
      </c>
      <c r="L279" t="str">
        <f>IFERROR(VLOOKUP(D279,Products!$A$2:$F$61,3,FALSE),"")</f>
        <v>Apparel</v>
      </c>
      <c r="M279">
        <f>IFERROR(VLOOKUP(D279,Products!$A$2:$F$61,4,FALSE),"")</f>
        <v>1748</v>
      </c>
      <c r="N279" t="str">
        <f>IFERROR(VLOOKUP(E279,Sales_Reps!$A$2:$E$31,3,FALSE),"")</f>
        <v>South</v>
      </c>
      <c r="O279" t="str">
        <f>IFERROR(VLOOKUP(C279,Customers!$A$2:$F$301,5,FALSE),"")</f>
        <v>Retail</v>
      </c>
      <c r="P279">
        <f>IFERROR(VLOOKUP(C279,Customers!$A$2:$F$301,3,FALSE),"")</f>
        <v>59</v>
      </c>
      <c r="Q279" s="41">
        <f t="shared" si="13"/>
        <v>0.49333333333333335</v>
      </c>
      <c r="R279" t="str">
        <f>IFERROR(VLOOKUP(C279,Customers!$A$2:$F$301,1,FALSE),"")</f>
        <v>CUST-0028</v>
      </c>
      <c r="S279" s="27" t="b">
        <f>IFERROR(VLOOKUP(D279,Products!$A$2:$F$61,6,FALSE),"")</f>
        <v>1</v>
      </c>
      <c r="BL279">
        <v>0</v>
      </c>
      <c r="BM279">
        <v>0</v>
      </c>
      <c r="BN279">
        <v>1.9607843137254902E-2</v>
      </c>
      <c r="BO279">
        <v>0</v>
      </c>
      <c r="BP279">
        <v>0</v>
      </c>
    </row>
    <row r="280" spans="1:68" x14ac:dyDescent="0.35">
      <c r="A280" s="26" t="str">
        <f>Orders!A280</f>
        <v>ORD-00279</v>
      </c>
      <c r="B280" s="33">
        <f>Orders!B280</f>
        <v>45408</v>
      </c>
      <c r="C280" t="str">
        <f>Orders!C280</f>
        <v>CUST-0121</v>
      </c>
      <c r="D280" t="str">
        <f>Orders!D280</f>
        <v>PROD-048</v>
      </c>
      <c r="E280" t="str">
        <f>Orders!E280</f>
        <v>R006</v>
      </c>
      <c r="F280">
        <f>Orders!F280</f>
        <v>7</v>
      </c>
      <c r="G280" s="35">
        <f>Orders!G280</f>
        <v>5100</v>
      </c>
      <c r="H280" s="37">
        <f>Orders!H280</f>
        <v>4.3</v>
      </c>
      <c r="I280" s="39">
        <f>Orders!I280</f>
        <v>34164.9</v>
      </c>
      <c r="J280" t="str">
        <f>Orders!J280</f>
        <v>Completed</v>
      </c>
      <c r="K280" t="str">
        <f>Orders!K280</f>
        <v>Delhi</v>
      </c>
      <c r="L280" t="str">
        <f>IFERROR(VLOOKUP(D280,Products!$A$2:$F$61,3,FALSE),"")</f>
        <v>Beauty</v>
      </c>
      <c r="M280">
        <f>IFERROR(VLOOKUP(D280,Products!$A$2:$F$61,4,FALSE),"")</f>
        <v>2237</v>
      </c>
      <c r="N280" t="str">
        <f>IFERROR(VLOOKUP(E280,Sales_Reps!$A$2:$E$31,3,FALSE),"")</f>
        <v>North</v>
      </c>
      <c r="O280" t="str">
        <f>IFERROR(VLOOKUP(C280,Customers!$A$2:$F$301,5,FALSE),"")</f>
        <v>SMB</v>
      </c>
      <c r="P280">
        <f>IFERROR(VLOOKUP(C280,Customers!$A$2:$F$301,3,FALSE),"")</f>
        <v>55</v>
      </c>
      <c r="Q280" s="41">
        <f t="shared" si="13"/>
        <v>0.56137254901960787</v>
      </c>
      <c r="R280" t="str">
        <f>IFERROR(VLOOKUP(C280,Customers!$A$2:$F$301,1,FALSE),"")</f>
        <v>CUST-0121</v>
      </c>
      <c r="S280" s="27" t="b">
        <f>IFERROR(VLOOKUP(D280,Products!$A$2:$F$61,6,FALSE),"")</f>
        <v>1</v>
      </c>
      <c r="BL280">
        <v>0</v>
      </c>
      <c r="BM280">
        <v>0</v>
      </c>
      <c r="BN280">
        <v>1.8518518518518517E-2</v>
      </c>
      <c r="BO280">
        <v>0</v>
      </c>
      <c r="BP280">
        <v>0</v>
      </c>
    </row>
    <row r="281" spans="1:68" x14ac:dyDescent="0.35">
      <c r="A281" s="26" t="str">
        <f>Orders!A281</f>
        <v>ORD-00280</v>
      </c>
      <c r="B281" s="33">
        <f>Orders!B281</f>
        <v>45541</v>
      </c>
      <c r="C281" t="str">
        <f>Orders!C281</f>
        <v>CUST-0192</v>
      </c>
      <c r="D281" t="str">
        <f>Orders!D281</f>
        <v>PROD-004</v>
      </c>
      <c r="E281" t="str">
        <f>Orders!E281</f>
        <v>R003</v>
      </c>
      <c r="F281">
        <f>Orders!F281</f>
        <v>9</v>
      </c>
      <c r="G281" s="35">
        <f>Orders!G281</f>
        <v>3870</v>
      </c>
      <c r="H281" s="37">
        <f>Orders!H281</f>
        <v>4.8</v>
      </c>
      <c r="I281" s="39">
        <f>Orders!I281</f>
        <v>33158.160000000003</v>
      </c>
      <c r="J281" t="str">
        <f>Orders!J281</f>
        <v>Completed</v>
      </c>
      <c r="K281" t="str">
        <f>Orders!K281</f>
        <v>Bengaluru</v>
      </c>
      <c r="L281" t="str">
        <f>IFERROR(VLOOKUP(D281,Products!$A$2:$F$61,3,FALSE),"")</f>
        <v>Electronics</v>
      </c>
      <c r="M281">
        <f>IFERROR(VLOOKUP(D281,Products!$A$2:$F$61,4,FALSE),"")</f>
        <v>1559</v>
      </c>
      <c r="N281" t="str">
        <f>IFERROR(VLOOKUP(E281,Sales_Reps!$A$2:$E$31,3,FALSE),"")</f>
        <v>North</v>
      </c>
      <c r="O281" t="str">
        <f>IFERROR(VLOOKUP(C281,Customers!$A$2:$F$301,5,FALSE),"")</f>
        <v>Retail</v>
      </c>
      <c r="P281">
        <f>IFERROR(VLOOKUP(C281,Customers!$A$2:$F$301,3,FALSE),"")</f>
        <v>55</v>
      </c>
      <c r="Q281" s="41">
        <f t="shared" si="13"/>
        <v>0.59715762273901807</v>
      </c>
      <c r="R281" t="str">
        <f>IFERROR(VLOOKUP(C281,Customers!$A$2:$F$301,1,FALSE),"")</f>
        <v>CUST-0192</v>
      </c>
      <c r="S281" s="27" t="b">
        <f>IFERROR(VLOOKUP(D281,Products!$A$2:$F$61,6,FALSE),"")</f>
        <v>1</v>
      </c>
      <c r="BL281">
        <v>0</v>
      </c>
      <c r="BM281">
        <v>0</v>
      </c>
      <c r="BN281">
        <v>2.3809523809523808E-2</v>
      </c>
      <c r="BO281">
        <v>0</v>
      </c>
      <c r="BP281">
        <v>0</v>
      </c>
    </row>
    <row r="282" spans="1:68" x14ac:dyDescent="0.35">
      <c r="A282" s="26" t="str">
        <f>Orders!A282</f>
        <v>ORD-00281</v>
      </c>
      <c r="B282" s="33">
        <f>Orders!B282</f>
        <v>45633</v>
      </c>
      <c r="C282" t="str">
        <f>Orders!C282</f>
        <v>CUST-0155</v>
      </c>
      <c r="D282" t="str">
        <f>Orders!D282</f>
        <v>PROD-009</v>
      </c>
      <c r="E282" t="str">
        <f>Orders!E282</f>
        <v>R029</v>
      </c>
      <c r="F282">
        <f>Orders!F282</f>
        <v>5</v>
      </c>
      <c r="G282" s="35">
        <f>Orders!G282</f>
        <v>1220</v>
      </c>
      <c r="H282" s="37">
        <f>Orders!H282</f>
        <v>4</v>
      </c>
      <c r="I282" s="39">
        <f>Orders!I282</f>
        <v>5856</v>
      </c>
      <c r="J282" t="str">
        <f>Orders!J282</f>
        <v>Cancelled</v>
      </c>
      <c r="K282" t="str">
        <f>Orders!K282</f>
        <v>Pune</v>
      </c>
      <c r="L282" t="str">
        <f>IFERROR(VLOOKUP(D282,Products!$A$2:$F$61,3,FALSE),"")</f>
        <v>Electronics</v>
      </c>
      <c r="M282">
        <f>IFERROR(VLOOKUP(D282,Products!$A$2:$F$61,4,FALSE),"")</f>
        <v>517</v>
      </c>
      <c r="N282" t="str">
        <f>IFERROR(VLOOKUP(E282,Sales_Reps!$A$2:$E$31,3,FALSE),"")</f>
        <v>West</v>
      </c>
      <c r="O282" t="str">
        <f>IFERROR(VLOOKUP(C282,Customers!$A$2:$F$301,5,FALSE),"")</f>
        <v>Corporate</v>
      </c>
      <c r="P282">
        <f>IFERROR(VLOOKUP(C282,Customers!$A$2:$F$301,3,FALSE),"")</f>
        <v>40</v>
      </c>
      <c r="Q282" s="41">
        <f t="shared" si="13"/>
        <v>0.57622950819672136</v>
      </c>
      <c r="R282" t="str">
        <f>IFERROR(VLOOKUP(C282,Customers!$A$2:$F$301,1,FALSE),"")</f>
        <v>CUST-0155</v>
      </c>
      <c r="S282" s="27" t="b">
        <f>IFERROR(VLOOKUP(D282,Products!$A$2:$F$61,6,FALSE),"")</f>
        <v>1</v>
      </c>
      <c r="BL282">
        <v>0</v>
      </c>
      <c r="BM282">
        <v>0</v>
      </c>
      <c r="BN282">
        <v>2.1276595744680851E-2</v>
      </c>
      <c r="BO282">
        <v>0</v>
      </c>
      <c r="BP282">
        <v>0</v>
      </c>
    </row>
    <row r="283" spans="1:68" x14ac:dyDescent="0.35">
      <c r="A283" s="26" t="str">
        <f>Orders!A283</f>
        <v>ORD-00282</v>
      </c>
      <c r="B283" s="33">
        <f>Orders!B283</f>
        <v>45338</v>
      </c>
      <c r="C283" t="str">
        <f>Orders!C283</f>
        <v>CUST-0159</v>
      </c>
      <c r="D283" t="str">
        <f>Orders!D283</f>
        <v>PROD-038</v>
      </c>
      <c r="E283" t="str">
        <f>Orders!E283</f>
        <v>R023</v>
      </c>
      <c r="F283">
        <f>Orders!F283</f>
        <v>5</v>
      </c>
      <c r="G283" s="35">
        <f>Orders!G283</f>
        <v>5490</v>
      </c>
      <c r="H283" s="37">
        <f>Orders!H283</f>
        <v>19.8</v>
      </c>
      <c r="I283" s="39">
        <f>Orders!I283</f>
        <v>22014.9</v>
      </c>
      <c r="J283" t="str">
        <f>Orders!J283</f>
        <v>Completed</v>
      </c>
      <c r="K283" t="str">
        <f>Orders!K283</f>
        <v>Hyderabad</v>
      </c>
      <c r="L283" t="str">
        <f>IFERROR(VLOOKUP(D283,Products!$A$2:$F$61,3,FALSE),"")</f>
        <v>Home</v>
      </c>
      <c r="M283">
        <f>IFERROR(VLOOKUP(D283,Products!$A$2:$F$61,4,FALSE),"")</f>
        <v>2549</v>
      </c>
      <c r="N283" t="str">
        <f>IFERROR(VLOOKUP(E283,Sales_Reps!$A$2:$E$31,3,FALSE),"")</f>
        <v>East</v>
      </c>
      <c r="O283" t="str">
        <f>IFERROR(VLOOKUP(C283,Customers!$A$2:$F$301,5,FALSE),"")</f>
        <v>Retail</v>
      </c>
      <c r="P283">
        <f>IFERROR(VLOOKUP(C283,Customers!$A$2:$F$301,3,FALSE),"")</f>
        <v>32</v>
      </c>
      <c r="Q283" s="41">
        <f t="shared" si="13"/>
        <v>0.53570127504553733</v>
      </c>
      <c r="R283" t="str">
        <f>IFERROR(VLOOKUP(C283,Customers!$A$2:$F$301,1,FALSE),"")</f>
        <v>CUST-0159</v>
      </c>
      <c r="S283" s="27" t="b">
        <f>IFERROR(VLOOKUP(D283,Products!$A$2:$F$61,6,FALSE),"")</f>
        <v>1</v>
      </c>
      <c r="BL283">
        <v>0</v>
      </c>
      <c r="BM283">
        <v>0</v>
      </c>
      <c r="BN283">
        <v>1.9607843137254902E-2</v>
      </c>
      <c r="BO283">
        <v>0</v>
      </c>
      <c r="BP283">
        <v>0</v>
      </c>
    </row>
    <row r="284" spans="1:68" x14ac:dyDescent="0.35">
      <c r="A284" s="26" t="str">
        <f>Orders!A284</f>
        <v>ORD-00283</v>
      </c>
      <c r="B284" s="33">
        <f>Orders!B284</f>
        <v>45529</v>
      </c>
      <c r="C284" t="str">
        <f>Orders!C284</f>
        <v>CUST-0025</v>
      </c>
      <c r="D284" t="str">
        <f>Orders!D284</f>
        <v>PROD-044</v>
      </c>
      <c r="E284" t="str">
        <f>Orders!E284</f>
        <v>R001</v>
      </c>
      <c r="F284">
        <f>Orders!F284</f>
        <v>1</v>
      </c>
      <c r="G284" s="35">
        <f>Orders!G284</f>
        <v>1650</v>
      </c>
      <c r="H284" s="37">
        <f>Orders!H284</f>
        <v>26.2</v>
      </c>
      <c r="I284" s="39">
        <f>Orders!I284</f>
        <v>1217.7</v>
      </c>
      <c r="J284" t="str">
        <f>Orders!J284</f>
        <v>Completed</v>
      </c>
      <c r="K284" t="str">
        <f>Orders!K284</f>
        <v>Bengaluru</v>
      </c>
      <c r="L284" t="str">
        <f>IFERROR(VLOOKUP(D284,Products!$A$2:$F$61,3,FALSE),"")</f>
        <v>Beauty</v>
      </c>
      <c r="M284">
        <f>IFERROR(VLOOKUP(D284,Products!$A$2:$F$61,4,FALSE),"")</f>
        <v>1222</v>
      </c>
      <c r="N284" t="str">
        <f>IFERROR(VLOOKUP(E284,Sales_Reps!$A$2:$E$31,3,FALSE),"")</f>
        <v>North</v>
      </c>
      <c r="O284" t="str">
        <f>IFERROR(VLOOKUP(C284,Customers!$A$2:$F$301,5,FALSE),"")</f>
        <v>Retail</v>
      </c>
      <c r="P284">
        <f>IFERROR(VLOOKUP(C284,Customers!$A$2:$F$301,3,FALSE),"")</f>
        <v>23</v>
      </c>
      <c r="Q284" s="41">
        <f t="shared" si="13"/>
        <v>0.2593939393939394</v>
      </c>
      <c r="R284" t="str">
        <f>IFERROR(VLOOKUP(C284,Customers!$A$2:$F$301,1,FALSE),"")</f>
        <v>CUST-0025</v>
      </c>
      <c r="S284" s="27" t="b">
        <f>IFERROR(VLOOKUP(D284,Products!$A$2:$F$61,6,FALSE),"")</f>
        <v>1</v>
      </c>
      <c r="BL284">
        <v>0</v>
      </c>
      <c r="BM284">
        <v>0</v>
      </c>
      <c r="BN284">
        <v>2.3809523809523808E-2</v>
      </c>
      <c r="BO284">
        <v>0</v>
      </c>
      <c r="BP284">
        <v>0</v>
      </c>
    </row>
    <row r="285" spans="1:68" x14ac:dyDescent="0.35">
      <c r="A285" s="26" t="str">
        <f>Orders!A285</f>
        <v>ORD-00284</v>
      </c>
      <c r="B285" s="33">
        <f>Orders!B285</f>
        <v>45460</v>
      </c>
      <c r="C285" t="str">
        <f>Orders!C285</f>
        <v>CUST-0297</v>
      </c>
      <c r="D285" t="str">
        <f>Orders!D285</f>
        <v>PROD-008</v>
      </c>
      <c r="E285" t="str">
        <f>Orders!E285</f>
        <v>R003</v>
      </c>
      <c r="F285">
        <f>Orders!F285</f>
        <v>1</v>
      </c>
      <c r="G285" s="35">
        <f>Orders!G285</f>
        <v>2660</v>
      </c>
      <c r="H285" s="37">
        <f>Orders!H285</f>
        <v>21</v>
      </c>
      <c r="I285" s="39">
        <f>Orders!I285</f>
        <v>2101.4</v>
      </c>
      <c r="J285" t="str">
        <f>Orders!J285</f>
        <v>Completed</v>
      </c>
      <c r="K285" t="str">
        <f>Orders!K285</f>
        <v>Hyderabad</v>
      </c>
      <c r="L285" t="str">
        <f>IFERROR(VLOOKUP(D285,Products!$A$2:$F$61,3,FALSE),"")</f>
        <v>Electronics</v>
      </c>
      <c r="M285">
        <f>IFERROR(VLOOKUP(D285,Products!$A$2:$F$61,4,FALSE),"")</f>
        <v>1259</v>
      </c>
      <c r="N285" t="str">
        <f>IFERROR(VLOOKUP(E285,Sales_Reps!$A$2:$E$31,3,FALSE),"")</f>
        <v>North</v>
      </c>
      <c r="O285" t="str">
        <f>IFERROR(VLOOKUP(C285,Customers!$A$2:$F$301,5,FALSE),"")</f>
        <v>Retail</v>
      </c>
      <c r="P285">
        <f>IFERROR(VLOOKUP(C285,Customers!$A$2:$F$301,3,FALSE),"")</f>
        <v>50</v>
      </c>
      <c r="Q285" s="41">
        <f t="shared" si="13"/>
        <v>0.52669172932330832</v>
      </c>
      <c r="R285" t="str">
        <f>IFERROR(VLOOKUP(C285,Customers!$A$2:$F$301,1,FALSE),"")</f>
        <v>CUST-0297</v>
      </c>
      <c r="S285" s="27" t="b">
        <f>IFERROR(VLOOKUP(D285,Products!$A$2:$F$61,6,FALSE),"")</f>
        <v>0</v>
      </c>
      <c r="BL285">
        <v>0</v>
      </c>
      <c r="BM285">
        <v>0</v>
      </c>
      <c r="BN285">
        <v>1.9607843137254902E-2</v>
      </c>
      <c r="BO285">
        <v>0</v>
      </c>
      <c r="BP285">
        <v>1</v>
      </c>
    </row>
    <row r="286" spans="1:68" x14ac:dyDescent="0.35">
      <c r="A286" s="26" t="str">
        <f>Orders!A286</f>
        <v>ORD-00285</v>
      </c>
      <c r="B286" s="33">
        <f>Orders!B286</f>
        <v>45375</v>
      </c>
      <c r="C286" t="str">
        <f>Orders!C286</f>
        <v>CUST-0108</v>
      </c>
      <c r="D286" t="str">
        <f>Orders!D286</f>
        <v>PROD-029</v>
      </c>
      <c r="E286" t="str">
        <f>Orders!E286</f>
        <v>R003</v>
      </c>
      <c r="F286">
        <f>Orders!F286</f>
        <v>6</v>
      </c>
      <c r="G286" s="35">
        <f>Orders!G286</f>
        <v>2210</v>
      </c>
      <c r="H286" s="37">
        <f>Orders!H286</f>
        <v>9.8000000000000007</v>
      </c>
      <c r="I286" s="39">
        <f>Orders!I286</f>
        <v>11960.52</v>
      </c>
      <c r="J286" t="str">
        <f>Orders!J286</f>
        <v>Pending</v>
      </c>
      <c r="K286" t="str">
        <f>Orders!K286</f>
        <v>Bengaluru</v>
      </c>
      <c r="L286" t="str">
        <f>IFERROR(VLOOKUP(D286,Products!$A$2:$F$61,3,FALSE),"")</f>
        <v>Grocery</v>
      </c>
      <c r="M286">
        <f>IFERROR(VLOOKUP(D286,Products!$A$2:$F$61,4,FALSE),"")</f>
        <v>1010</v>
      </c>
      <c r="N286" t="str">
        <f>IFERROR(VLOOKUP(E286,Sales_Reps!$A$2:$E$31,3,FALSE),"")</f>
        <v>North</v>
      </c>
      <c r="O286" t="str">
        <f>IFERROR(VLOOKUP(C286,Customers!$A$2:$F$301,5,FALSE),"")</f>
        <v>Corporate</v>
      </c>
      <c r="P286">
        <f>IFERROR(VLOOKUP(C286,Customers!$A$2:$F$301,3,FALSE),"")</f>
        <v>59</v>
      </c>
      <c r="Q286" s="41">
        <f t="shared" si="13"/>
        <v>0.54298642533936647</v>
      </c>
      <c r="R286" t="str">
        <f>IFERROR(VLOOKUP(C286,Customers!$A$2:$F$301,1,FALSE),"")</f>
        <v>CUST-0108</v>
      </c>
      <c r="S286" s="27" t="b">
        <f>IFERROR(VLOOKUP(D286,Products!$A$2:$F$61,6,FALSE),"")</f>
        <v>1</v>
      </c>
      <c r="BL286">
        <v>0</v>
      </c>
      <c r="BM286">
        <v>0</v>
      </c>
      <c r="BN286">
        <v>1.9607843137254902E-2</v>
      </c>
      <c r="BO286">
        <v>0</v>
      </c>
      <c r="BP286">
        <v>0</v>
      </c>
    </row>
    <row r="287" spans="1:68" x14ac:dyDescent="0.35">
      <c r="A287" s="26" t="str">
        <f>Orders!A287</f>
        <v>ORD-00286</v>
      </c>
      <c r="B287" s="33">
        <f>Orders!B287</f>
        <v>45310</v>
      </c>
      <c r="C287" t="str">
        <f>Orders!C287</f>
        <v>CUST-0121</v>
      </c>
      <c r="D287" t="str">
        <f>Orders!D287</f>
        <v>PROD-002</v>
      </c>
      <c r="E287" t="str">
        <f>Orders!E287</f>
        <v>R001</v>
      </c>
      <c r="F287">
        <f>Orders!F287</f>
        <v>9</v>
      </c>
      <c r="G287" s="35">
        <f>Orders!G287</f>
        <v>2600</v>
      </c>
      <c r="H287" s="37">
        <f>Orders!H287</f>
        <v>15.7</v>
      </c>
      <c r="I287" s="39">
        <f>Orders!I287</f>
        <v>19726.2</v>
      </c>
      <c r="J287" t="str">
        <f>Orders!J287</f>
        <v>Completed</v>
      </c>
      <c r="K287" t="str">
        <f>Orders!K287</f>
        <v>Delhi</v>
      </c>
      <c r="L287" t="str">
        <f>IFERROR(VLOOKUP(D287,Products!$A$2:$F$61,3,FALSE),"")</f>
        <v>Electronics</v>
      </c>
      <c r="M287">
        <f>IFERROR(VLOOKUP(D287,Products!$A$2:$F$61,4,FALSE),"")</f>
        <v>1052</v>
      </c>
      <c r="N287" t="str">
        <f>IFERROR(VLOOKUP(E287,Sales_Reps!$A$2:$E$31,3,FALSE),"")</f>
        <v>North</v>
      </c>
      <c r="O287" t="str">
        <f>IFERROR(VLOOKUP(C287,Customers!$A$2:$F$301,5,FALSE),"")</f>
        <v>SMB</v>
      </c>
      <c r="P287">
        <f>IFERROR(VLOOKUP(C287,Customers!$A$2:$F$301,3,FALSE),"")</f>
        <v>55</v>
      </c>
      <c r="Q287" s="41">
        <f t="shared" si="13"/>
        <v>0.5953846153846154</v>
      </c>
      <c r="R287" t="str">
        <f>IFERROR(VLOOKUP(C287,Customers!$A$2:$F$301,1,FALSE),"")</f>
        <v>CUST-0121</v>
      </c>
      <c r="S287" s="27" t="b">
        <f>IFERROR(VLOOKUP(D287,Products!$A$2:$F$61,6,FALSE),"")</f>
        <v>1</v>
      </c>
      <c r="BL287">
        <v>0</v>
      </c>
      <c r="BM287">
        <v>0</v>
      </c>
      <c r="BN287">
        <v>2.3809523809523808E-2</v>
      </c>
      <c r="BO287">
        <v>0</v>
      </c>
      <c r="BP287">
        <v>0</v>
      </c>
    </row>
    <row r="288" spans="1:68" x14ac:dyDescent="0.35">
      <c r="A288" s="26" t="str">
        <f>Orders!A288</f>
        <v>ORD-00287</v>
      </c>
      <c r="B288" s="33">
        <f>Orders!B288</f>
        <v>45314</v>
      </c>
      <c r="C288" t="str">
        <f>Orders!C288</f>
        <v>CUST-0160</v>
      </c>
      <c r="D288" t="str">
        <f>Orders!D288</f>
        <v>PROD-045</v>
      </c>
      <c r="E288" t="str">
        <f>Orders!E288</f>
        <v>R025</v>
      </c>
      <c r="F288">
        <f>Orders!F288</f>
        <v>3</v>
      </c>
      <c r="G288" s="35">
        <f>Orders!G288</f>
        <v>3020</v>
      </c>
      <c r="H288" s="37">
        <f>Orders!H288</f>
        <v>22.6</v>
      </c>
      <c r="I288" s="39">
        <f>Orders!I288</f>
        <v>7012.44</v>
      </c>
      <c r="J288" t="str">
        <f>Orders!J288</f>
        <v>Completed</v>
      </c>
      <c r="K288" t="str">
        <f>Orders!K288</f>
        <v>Hyderabad</v>
      </c>
      <c r="L288" t="str">
        <f>IFERROR(VLOOKUP(D288,Products!$A$2:$F$61,3,FALSE),"")</f>
        <v>Beauty</v>
      </c>
      <c r="M288">
        <f>IFERROR(VLOOKUP(D288,Products!$A$2:$F$61,4,FALSE),"")</f>
        <v>1626</v>
      </c>
      <c r="N288" t="str">
        <f>IFERROR(VLOOKUP(E288,Sales_Reps!$A$2:$E$31,3,FALSE),"")</f>
        <v>West</v>
      </c>
      <c r="O288" t="str">
        <f>IFERROR(VLOOKUP(C288,Customers!$A$2:$F$301,5,FALSE),"")</f>
        <v>Retail</v>
      </c>
      <c r="P288">
        <f>IFERROR(VLOOKUP(C288,Customers!$A$2:$F$301,3,FALSE),"")</f>
        <v>27</v>
      </c>
      <c r="Q288" s="41">
        <f t="shared" si="13"/>
        <v>0.46158940397350995</v>
      </c>
      <c r="R288" t="str">
        <f>IFERROR(VLOOKUP(C288,Customers!$A$2:$F$301,1,FALSE),"")</f>
        <v>CUST-0160</v>
      </c>
      <c r="S288" s="27" t="b">
        <f>IFERROR(VLOOKUP(D288,Products!$A$2:$F$61,6,FALSE),"")</f>
        <v>1</v>
      </c>
      <c r="BL288">
        <v>0</v>
      </c>
      <c r="BM288">
        <v>0</v>
      </c>
      <c r="BN288">
        <v>1.8867924528301886E-2</v>
      </c>
      <c r="BO288">
        <v>0</v>
      </c>
      <c r="BP288">
        <v>0</v>
      </c>
    </row>
    <row r="289" spans="1:68" x14ac:dyDescent="0.35">
      <c r="A289" s="26" t="str">
        <f>Orders!A289</f>
        <v>ORD-00288</v>
      </c>
      <c r="B289" s="33">
        <f>Orders!B289</f>
        <v>45459</v>
      </c>
      <c r="C289" t="str">
        <f>Orders!C289</f>
        <v>CUST-0230</v>
      </c>
      <c r="D289" t="str">
        <f>Orders!D289</f>
        <v>PROD-032</v>
      </c>
      <c r="E289" t="str">
        <f>Orders!E289</f>
        <v>R005</v>
      </c>
      <c r="F289">
        <f>Orders!F289</f>
        <v>6</v>
      </c>
      <c r="G289" s="35">
        <f>Orders!G289</f>
        <v>370</v>
      </c>
      <c r="H289" s="37">
        <f>Orders!H289</f>
        <v>12.4</v>
      </c>
      <c r="I289" s="39">
        <f>Orders!I289</f>
        <v>1944.72</v>
      </c>
      <c r="J289" t="str">
        <f>Orders!J289</f>
        <v>Completed</v>
      </c>
      <c r="K289" t="str">
        <f>Orders!K289</f>
        <v>Pune</v>
      </c>
      <c r="L289" t="str">
        <f>IFERROR(VLOOKUP(D289,Products!$A$2:$F$61,3,FALSE),"")</f>
        <v>Home</v>
      </c>
      <c r="M289">
        <f>IFERROR(VLOOKUP(D289,Products!$A$2:$F$61,4,FALSE),"")</f>
        <v>288</v>
      </c>
      <c r="N289" t="str">
        <f>IFERROR(VLOOKUP(E289,Sales_Reps!$A$2:$E$31,3,FALSE),"")</f>
        <v>North</v>
      </c>
      <c r="O289" t="str">
        <f>IFERROR(VLOOKUP(C289,Customers!$A$2:$F$301,5,FALSE),"")</f>
        <v>Corporate</v>
      </c>
      <c r="P289">
        <f>IFERROR(VLOOKUP(C289,Customers!$A$2:$F$301,3,FALSE),"")</f>
        <v>33</v>
      </c>
      <c r="Q289" s="41">
        <f t="shared" si="13"/>
        <v>0.22162162162162163</v>
      </c>
      <c r="R289" t="str">
        <f>IFERROR(VLOOKUP(C289,Customers!$A$2:$F$301,1,FALSE),"")</f>
        <v>CUST-0230</v>
      </c>
      <c r="S289" s="27" t="b">
        <f>IFERROR(VLOOKUP(D289,Products!$A$2:$F$61,6,FALSE),"")</f>
        <v>1</v>
      </c>
      <c r="BL289">
        <v>0</v>
      </c>
      <c r="BM289">
        <v>0</v>
      </c>
      <c r="BN289">
        <v>1.9607843137254902E-2</v>
      </c>
      <c r="BO289">
        <v>0</v>
      </c>
      <c r="BP289">
        <v>0</v>
      </c>
    </row>
    <row r="290" spans="1:68" x14ac:dyDescent="0.35">
      <c r="A290" s="26" t="str">
        <f>Orders!A290</f>
        <v>ORD-00289</v>
      </c>
      <c r="B290" s="33">
        <f>Orders!B290</f>
        <v>45312</v>
      </c>
      <c r="C290" t="str">
        <f>Orders!C290</f>
        <v>CUST-0151</v>
      </c>
      <c r="D290" t="str">
        <f>Orders!D290</f>
        <v>PROD-001</v>
      </c>
      <c r="E290" t="str">
        <f>Orders!E290</f>
        <v>R006</v>
      </c>
      <c r="F290">
        <f>Orders!F290</f>
        <v>8</v>
      </c>
      <c r="G290" s="35">
        <f>Orders!G290</f>
        <v>5330</v>
      </c>
      <c r="H290" s="37">
        <f>Orders!H290</f>
        <v>16.2</v>
      </c>
      <c r="I290" s="39">
        <f>Orders!I290</f>
        <v>35732.32</v>
      </c>
      <c r="J290" t="str">
        <f>Orders!J290</f>
        <v>Completed</v>
      </c>
      <c r="K290" t="str">
        <f>Orders!K290</f>
        <v>Mumbai</v>
      </c>
      <c r="L290" t="str">
        <f>IFERROR(VLOOKUP(D290,Products!$A$2:$F$61,3,FALSE),"")</f>
        <v>Electronics</v>
      </c>
      <c r="M290">
        <f>IFERROR(VLOOKUP(D290,Products!$A$2:$F$61,4,FALSE),"")</f>
        <v>2405</v>
      </c>
      <c r="N290" t="str">
        <f>IFERROR(VLOOKUP(E290,Sales_Reps!$A$2:$E$31,3,FALSE),"")</f>
        <v>North</v>
      </c>
      <c r="O290" t="str">
        <f>IFERROR(VLOOKUP(C290,Customers!$A$2:$F$301,5,FALSE),"")</f>
        <v>Retail</v>
      </c>
      <c r="P290">
        <f>IFERROR(VLOOKUP(C290,Customers!$A$2:$F$301,3,FALSE),"")</f>
        <v>53</v>
      </c>
      <c r="Q290" s="41">
        <f t="shared" si="13"/>
        <v>0.54878048780487809</v>
      </c>
      <c r="R290" t="str">
        <f>IFERROR(VLOOKUP(C290,Customers!$A$2:$F$301,1,FALSE),"")</f>
        <v>CUST-0151</v>
      </c>
      <c r="S290" s="27" t="b">
        <f>IFERROR(VLOOKUP(D290,Products!$A$2:$F$61,6,FALSE),"")</f>
        <v>1</v>
      </c>
      <c r="BL290">
        <v>0</v>
      </c>
      <c r="BM290">
        <v>0</v>
      </c>
      <c r="BN290">
        <v>1.8518518518518517E-2</v>
      </c>
      <c r="BO290">
        <v>0</v>
      </c>
      <c r="BP290">
        <v>0</v>
      </c>
    </row>
    <row r="291" spans="1:68" x14ac:dyDescent="0.35">
      <c r="A291" s="26" t="str">
        <f>Orders!A291</f>
        <v>ORD-00290</v>
      </c>
      <c r="B291" s="33">
        <f>Orders!B291</f>
        <v>45500</v>
      </c>
      <c r="C291" t="str">
        <f>Orders!C291</f>
        <v>CUST-0222</v>
      </c>
      <c r="D291" t="str">
        <f>Orders!D291</f>
        <v>PROD-018</v>
      </c>
      <c r="E291" t="str">
        <f>Orders!E291</f>
        <v>R030</v>
      </c>
      <c r="F291">
        <f>Orders!F291</f>
        <v>4</v>
      </c>
      <c r="G291" s="35">
        <f>Orders!G291</f>
        <v>3560</v>
      </c>
      <c r="H291" s="37">
        <f>Orders!H291</f>
        <v>10.5</v>
      </c>
      <c r="I291" s="39">
        <f>Orders!I291</f>
        <v>12744.8</v>
      </c>
      <c r="J291" t="str">
        <f>Orders!J291</f>
        <v>Completed</v>
      </c>
      <c r="K291" t="str">
        <f>Orders!K291</f>
        <v>Chennai</v>
      </c>
      <c r="L291" t="str">
        <f>IFERROR(VLOOKUP(D291,Products!$A$2:$F$61,3,FALSE),"")</f>
        <v>Apparel</v>
      </c>
      <c r="M291">
        <f>IFERROR(VLOOKUP(D291,Products!$A$2:$F$61,4,FALSE),"")</f>
        <v>2629</v>
      </c>
      <c r="N291" t="str">
        <f>IFERROR(VLOOKUP(E291,Sales_Reps!$A$2:$E$31,3,FALSE),"")</f>
        <v>West</v>
      </c>
      <c r="O291" t="str">
        <f>IFERROR(VLOOKUP(C291,Customers!$A$2:$F$301,5,FALSE),"")</f>
        <v>Retail</v>
      </c>
      <c r="P291">
        <f>IFERROR(VLOOKUP(C291,Customers!$A$2:$F$301,3,FALSE),"")</f>
        <v>37</v>
      </c>
      <c r="Q291" s="41">
        <f t="shared" si="13"/>
        <v>0.26151685393258428</v>
      </c>
      <c r="R291" t="str">
        <f>IFERROR(VLOOKUP(C291,Customers!$A$2:$F$301,1,FALSE),"")</f>
        <v>CUST-0222</v>
      </c>
      <c r="S291" s="27" t="b">
        <f>IFERROR(VLOOKUP(D291,Products!$A$2:$F$61,6,FALSE),"")</f>
        <v>1</v>
      </c>
      <c r="BL291">
        <v>0</v>
      </c>
      <c r="BM291">
        <v>0</v>
      </c>
      <c r="BN291">
        <v>2.3809523809523808E-2</v>
      </c>
      <c r="BO291">
        <v>0</v>
      </c>
      <c r="BP291">
        <v>0</v>
      </c>
    </row>
    <row r="292" spans="1:68" x14ac:dyDescent="0.35">
      <c r="A292" s="26" t="str">
        <f>Orders!A292</f>
        <v>ORD-00291</v>
      </c>
      <c r="B292" s="33">
        <f>Orders!B292</f>
        <v>45389</v>
      </c>
      <c r="C292" t="str">
        <f>Orders!C292</f>
        <v>CUST-0055</v>
      </c>
      <c r="D292" t="str">
        <f>Orders!D292</f>
        <v>PROD-054</v>
      </c>
      <c r="E292" t="str">
        <f>Orders!E292</f>
        <v>R030</v>
      </c>
      <c r="F292">
        <f>Orders!F292</f>
        <v>10</v>
      </c>
      <c r="G292" s="35">
        <f>Orders!G292</f>
        <v>1010</v>
      </c>
      <c r="H292" s="37">
        <f>Orders!H292</f>
        <v>10.8</v>
      </c>
      <c r="I292" s="39">
        <f>Orders!I292</f>
        <v>9009.2000000000007</v>
      </c>
      <c r="J292" t="str">
        <f>Orders!J292</f>
        <v>Completed</v>
      </c>
      <c r="K292" t="str">
        <f>Orders!K292</f>
        <v>Bengaluru</v>
      </c>
      <c r="L292" t="str">
        <f>IFERROR(VLOOKUP(D292,Products!$A$2:$F$61,3,FALSE),"")</f>
        <v>Sports</v>
      </c>
      <c r="M292">
        <f>IFERROR(VLOOKUP(D292,Products!$A$2:$F$61,4,FALSE),"")</f>
        <v>516</v>
      </c>
      <c r="N292" t="str">
        <f>IFERROR(VLOOKUP(E292,Sales_Reps!$A$2:$E$31,3,FALSE),"")</f>
        <v>West</v>
      </c>
      <c r="O292" t="str">
        <f>IFERROR(VLOOKUP(C292,Customers!$A$2:$F$301,5,FALSE),"")</f>
        <v>Retail</v>
      </c>
      <c r="P292">
        <f>IFERROR(VLOOKUP(C292,Customers!$A$2:$F$301,3,FALSE),"")</f>
        <v>34</v>
      </c>
      <c r="Q292" s="41">
        <f t="shared" si="13"/>
        <v>0.4891089108910891</v>
      </c>
      <c r="R292" t="str">
        <f>IFERROR(VLOOKUP(C292,Customers!$A$2:$F$301,1,FALSE),"")</f>
        <v>CUST-0055</v>
      </c>
      <c r="S292" s="27" t="b">
        <f>IFERROR(VLOOKUP(D292,Products!$A$2:$F$61,6,FALSE),"")</f>
        <v>1</v>
      </c>
      <c r="BL292">
        <v>0</v>
      </c>
      <c r="BM292">
        <v>0</v>
      </c>
      <c r="BN292">
        <v>1.8867924528301886E-2</v>
      </c>
      <c r="BO292">
        <v>0</v>
      </c>
      <c r="BP292">
        <v>0</v>
      </c>
    </row>
    <row r="293" spans="1:68" x14ac:dyDescent="0.35">
      <c r="A293" s="26" t="str">
        <f>Orders!A293</f>
        <v>ORD-00292</v>
      </c>
      <c r="B293" s="33">
        <f>Orders!B293</f>
        <v>45619</v>
      </c>
      <c r="C293" t="str">
        <f>Orders!C293</f>
        <v>CUST-0011</v>
      </c>
      <c r="D293" t="str">
        <f>Orders!D293</f>
        <v>PROD-056</v>
      </c>
      <c r="E293" t="str">
        <f>Orders!E293</f>
        <v>R006</v>
      </c>
      <c r="F293">
        <f>Orders!F293</f>
        <v>8</v>
      </c>
      <c r="G293" s="35">
        <f>Orders!G293</f>
        <v>6940</v>
      </c>
      <c r="H293" s="37">
        <f>Orders!H293</f>
        <v>3.2</v>
      </c>
      <c r="I293" s="39">
        <f>Orders!I293</f>
        <v>53743.360000000001</v>
      </c>
      <c r="J293" t="str">
        <f>Orders!J293</f>
        <v>Cancelled</v>
      </c>
      <c r="K293" t="str">
        <f>Orders!K293</f>
        <v>Chennai</v>
      </c>
      <c r="L293" t="str">
        <f>IFERROR(VLOOKUP(D293,Products!$A$2:$F$61,3,FALSE),"")</f>
        <v>Sports</v>
      </c>
      <c r="M293">
        <f>IFERROR(VLOOKUP(D293,Products!$A$2:$F$61,4,FALSE),"")</f>
        <v>2827</v>
      </c>
      <c r="N293" t="str">
        <f>IFERROR(VLOOKUP(E293,Sales_Reps!$A$2:$E$31,3,FALSE),"")</f>
        <v>North</v>
      </c>
      <c r="O293" t="str">
        <f>IFERROR(VLOOKUP(C293,Customers!$A$2:$F$301,5,FALSE),"")</f>
        <v>Corporate</v>
      </c>
      <c r="P293">
        <f>IFERROR(VLOOKUP(C293,Customers!$A$2:$F$301,3,FALSE),"")</f>
        <v>41</v>
      </c>
      <c r="Q293" s="41">
        <f t="shared" si="13"/>
        <v>0.5926512968299712</v>
      </c>
      <c r="R293" t="str">
        <f>IFERROR(VLOOKUP(C293,Customers!$A$2:$F$301,1,FALSE),"")</f>
        <v>CUST-0011</v>
      </c>
      <c r="S293" s="27" t="b">
        <f>IFERROR(VLOOKUP(D293,Products!$A$2:$F$61,6,FALSE),"")</f>
        <v>1</v>
      </c>
      <c r="BL293">
        <v>0</v>
      </c>
      <c r="BM293">
        <v>0</v>
      </c>
      <c r="BN293">
        <v>2.1276595744680851E-2</v>
      </c>
      <c r="BO293">
        <v>0</v>
      </c>
      <c r="BP293">
        <v>0</v>
      </c>
    </row>
    <row r="294" spans="1:68" x14ac:dyDescent="0.35">
      <c r="A294" s="26" t="str">
        <f>Orders!A294</f>
        <v>ORD-00335</v>
      </c>
      <c r="B294" s="33">
        <f>Orders!B294</f>
        <v>45617</v>
      </c>
      <c r="C294" t="str">
        <f>Orders!C294</f>
        <v>CUST-0020</v>
      </c>
      <c r="D294" t="str">
        <f>Orders!D294</f>
        <v>PROD-012</v>
      </c>
      <c r="E294" t="str">
        <f>Orders!E294</f>
        <v>R015</v>
      </c>
      <c r="F294">
        <f>Orders!F294</f>
        <v>7</v>
      </c>
      <c r="G294" s="35">
        <f>Orders!G294</f>
        <v>3160</v>
      </c>
      <c r="H294" s="37">
        <f>Orders!H294</f>
        <v>3.6</v>
      </c>
      <c r="I294" s="39">
        <f>Orders!I294</f>
        <v>21323.68</v>
      </c>
      <c r="J294" t="str">
        <f>Orders!J294</f>
        <v>Completed</v>
      </c>
      <c r="K294" t="str">
        <f>Orders!K294</f>
        <v>Hyderabad</v>
      </c>
      <c r="L294" t="str">
        <f>IFERROR(VLOOKUP(D294,Products!$A$2:$F$61,3,FALSE),"")</f>
        <v>Apparel</v>
      </c>
      <c r="M294">
        <f>IFERROR(VLOOKUP(D294,Products!$A$2:$F$61,4,FALSE),"")</f>
        <v>1886</v>
      </c>
      <c r="N294" t="str">
        <f>IFERROR(VLOOKUP(E294,Sales_Reps!$A$2:$E$31,3,FALSE),"")</f>
        <v>South</v>
      </c>
      <c r="O294" t="str">
        <f>IFERROR(VLOOKUP(C294,Customers!$A$2:$F$301,5,FALSE),"")</f>
        <v>Retail</v>
      </c>
      <c r="P294">
        <f>IFERROR(VLOOKUP(C294,Customers!$A$2:$F$301,3,FALSE),"")</f>
        <v>46</v>
      </c>
      <c r="Q294" s="41">
        <f t="shared" si="13"/>
        <v>0.4031645569620253</v>
      </c>
      <c r="R294" t="str">
        <f>IFERROR(VLOOKUP(C294,Customers!$A$2:$F$301,1,FALSE),"")</f>
        <v>CUST-0020</v>
      </c>
      <c r="S294" s="27" t="b">
        <f>IFERROR(VLOOKUP(D294,Products!$A$2:$F$61,6,FALSE),"")</f>
        <v>1</v>
      </c>
      <c r="BL294">
        <v>0.5</v>
      </c>
      <c r="BM294">
        <v>0</v>
      </c>
      <c r="BN294">
        <v>2.1276595744680851E-2</v>
      </c>
      <c r="BO294">
        <v>0</v>
      </c>
      <c r="BP294">
        <v>0</v>
      </c>
    </row>
    <row r="295" spans="1:68" x14ac:dyDescent="0.35">
      <c r="A295" s="26" t="str">
        <f>Orders!A295</f>
        <v>ORD-00294</v>
      </c>
      <c r="B295" s="33">
        <f>Orders!B295</f>
        <v>45640</v>
      </c>
      <c r="C295" t="str">
        <f>Orders!C295</f>
        <v>CUST-0163</v>
      </c>
      <c r="D295" t="str">
        <f>Orders!D295</f>
        <v>PROD-028</v>
      </c>
      <c r="E295" t="str">
        <f>Orders!E295</f>
        <v>R008</v>
      </c>
      <c r="F295">
        <f>Orders!F295</f>
        <v>2</v>
      </c>
      <c r="G295" s="35">
        <f>Orders!G295</f>
        <v>3660</v>
      </c>
      <c r="H295" s="37">
        <f>Orders!H295</f>
        <v>30</v>
      </c>
      <c r="I295" s="39">
        <f>Orders!I295</f>
        <v>5124</v>
      </c>
      <c r="J295" t="str">
        <f>Orders!J295</f>
        <v>Pending</v>
      </c>
      <c r="K295" t="str">
        <f>Orders!K295</f>
        <v>Pune</v>
      </c>
      <c r="L295" t="str">
        <f>IFERROR(VLOOKUP(D295,Products!$A$2:$F$61,3,FALSE),"")</f>
        <v>Grocery</v>
      </c>
      <c r="M295">
        <f>IFERROR(VLOOKUP(D295,Products!$A$2:$F$61,4,FALSE),"")</f>
        <v>2214</v>
      </c>
      <c r="N295" t="str">
        <f>IFERROR(VLOOKUP(E295,Sales_Reps!$A$2:$E$31,3,FALSE),"")</f>
        <v>North</v>
      </c>
      <c r="O295" t="str">
        <f>IFERROR(VLOOKUP(C295,Customers!$A$2:$F$301,5,FALSE),"")</f>
        <v>Retail</v>
      </c>
      <c r="P295">
        <f>IFERROR(VLOOKUP(C295,Customers!$A$2:$F$301,3,FALSE),"")</f>
        <v>49</v>
      </c>
      <c r="Q295" s="41">
        <f t="shared" si="13"/>
        <v>0.39508196721311473</v>
      </c>
      <c r="R295" t="str">
        <f>IFERROR(VLOOKUP(C295,Customers!$A$2:$F$301,1,FALSE),"")</f>
        <v>CUST-0163</v>
      </c>
      <c r="S295" s="27" t="b">
        <f>IFERROR(VLOOKUP(D295,Products!$A$2:$F$61,6,FALSE),"")</f>
        <v>0</v>
      </c>
      <c r="BL295">
        <v>0</v>
      </c>
      <c r="BM295">
        <v>0</v>
      </c>
      <c r="BN295">
        <v>2.3809523809523808E-2</v>
      </c>
      <c r="BO295">
        <v>0</v>
      </c>
      <c r="BP295">
        <v>1</v>
      </c>
    </row>
    <row r="296" spans="1:68" x14ac:dyDescent="0.35">
      <c r="A296" s="26" t="str">
        <f>Orders!A296</f>
        <v>ORD-00295</v>
      </c>
      <c r="B296" s="33">
        <f>Orders!B296</f>
        <v>45401</v>
      </c>
      <c r="C296" t="str">
        <f>Orders!C296</f>
        <v>CUST-0081</v>
      </c>
      <c r="D296" t="str">
        <f>Orders!D296</f>
        <v>PROD-024</v>
      </c>
      <c r="E296" t="str">
        <f>Orders!E296</f>
        <v>R005</v>
      </c>
      <c r="F296">
        <f>Orders!F296</f>
        <v>1</v>
      </c>
      <c r="G296" s="35">
        <f>Orders!G296</f>
        <v>2270</v>
      </c>
      <c r="H296" s="37">
        <f>Orders!H296</f>
        <v>4.8</v>
      </c>
      <c r="I296" s="39">
        <f>Orders!I296</f>
        <v>2161.04</v>
      </c>
      <c r="J296" t="str">
        <f>Orders!J296</f>
        <v>Cancelled</v>
      </c>
      <c r="K296" t="str">
        <f>Orders!K296</f>
        <v>Mumbai</v>
      </c>
      <c r="L296" t="str">
        <f>IFERROR(VLOOKUP(D296,Products!$A$2:$F$61,3,FALSE),"")</f>
        <v>Grocery</v>
      </c>
      <c r="M296">
        <f>IFERROR(VLOOKUP(D296,Products!$A$2:$F$61,4,FALSE),"")</f>
        <v>1203</v>
      </c>
      <c r="N296" t="str">
        <f>IFERROR(VLOOKUP(E296,Sales_Reps!$A$2:$E$31,3,FALSE),"")</f>
        <v>North</v>
      </c>
      <c r="O296" t="str">
        <f>IFERROR(VLOOKUP(C296,Customers!$A$2:$F$301,5,FALSE),"")</f>
        <v>Retail</v>
      </c>
      <c r="P296">
        <f>IFERROR(VLOOKUP(C296,Customers!$A$2:$F$301,3,FALSE),"")</f>
        <v>25</v>
      </c>
      <c r="Q296" s="41">
        <f t="shared" si="13"/>
        <v>0.47004405286343615</v>
      </c>
      <c r="R296" t="str">
        <f>IFERROR(VLOOKUP(C296,Customers!$A$2:$F$301,1,FALSE),"")</f>
        <v>CUST-0081</v>
      </c>
      <c r="S296" s="27" t="b">
        <f>IFERROR(VLOOKUP(D296,Products!$A$2:$F$61,6,FALSE),"")</f>
        <v>1</v>
      </c>
      <c r="BL296">
        <v>0</v>
      </c>
      <c r="BM296">
        <v>0</v>
      </c>
      <c r="BN296">
        <v>2.3809523809523808E-2</v>
      </c>
      <c r="BO296">
        <v>0</v>
      </c>
      <c r="BP296">
        <v>0</v>
      </c>
    </row>
    <row r="297" spans="1:68" x14ac:dyDescent="0.35">
      <c r="A297" s="26" t="str">
        <f>Orders!A297</f>
        <v>ORD-00296</v>
      </c>
      <c r="B297" s="33">
        <f>Orders!B297</f>
        <v>45405</v>
      </c>
      <c r="C297" t="str">
        <f>Orders!C297</f>
        <v>CUST-0053</v>
      </c>
      <c r="D297" t="str">
        <f>Orders!D297</f>
        <v>PROD-059</v>
      </c>
      <c r="E297" t="str">
        <f>Orders!E297</f>
        <v>R025</v>
      </c>
      <c r="F297">
        <f>Orders!F297</f>
        <v>8</v>
      </c>
      <c r="G297" s="35">
        <f>Orders!G297</f>
        <v>3780</v>
      </c>
      <c r="H297" s="37">
        <f>Orders!H297</f>
        <v>13</v>
      </c>
      <c r="I297" s="39">
        <f>Orders!I297</f>
        <v>26308.799999999999</v>
      </c>
      <c r="J297" t="str">
        <f>Orders!J297</f>
        <v>Completed</v>
      </c>
      <c r="K297" t="str">
        <f>Orders!K297</f>
        <v>Delhi</v>
      </c>
      <c r="L297" t="str">
        <f>IFERROR(VLOOKUP(D297,Products!$A$2:$F$61,3,FALSE),"")</f>
        <v>Sports</v>
      </c>
      <c r="M297">
        <f>IFERROR(VLOOKUP(D297,Products!$A$2:$F$61,4,FALSE),"")</f>
        <v>1860</v>
      </c>
      <c r="N297" t="str">
        <f>IFERROR(VLOOKUP(E297,Sales_Reps!$A$2:$E$31,3,FALSE),"")</f>
        <v>West</v>
      </c>
      <c r="O297" t="str">
        <f>IFERROR(VLOOKUP(C297,Customers!$A$2:$F$301,5,FALSE),"")</f>
        <v>Retail</v>
      </c>
      <c r="P297">
        <f>IFERROR(VLOOKUP(C297,Customers!$A$2:$F$301,3,FALSE),"")</f>
        <v>53</v>
      </c>
      <c r="Q297" s="41">
        <f t="shared" si="13"/>
        <v>0.50793650793650791</v>
      </c>
      <c r="R297" t="str">
        <f>IFERROR(VLOOKUP(C297,Customers!$A$2:$F$301,1,FALSE),"")</f>
        <v>CUST-0053</v>
      </c>
      <c r="S297" s="27" t="b">
        <f>IFERROR(VLOOKUP(D297,Products!$A$2:$F$61,6,FALSE),"")</f>
        <v>1</v>
      </c>
      <c r="BL297">
        <v>0</v>
      </c>
      <c r="BM297">
        <v>0</v>
      </c>
      <c r="BN297">
        <v>2.3809523809523808E-2</v>
      </c>
      <c r="BO297">
        <v>0</v>
      </c>
      <c r="BP297">
        <v>0</v>
      </c>
    </row>
    <row r="298" spans="1:68" x14ac:dyDescent="0.35">
      <c r="A298" s="26" t="str">
        <f>Orders!A298</f>
        <v>ORD-01770</v>
      </c>
      <c r="B298" s="33">
        <f>Orders!B298</f>
        <v>45537</v>
      </c>
      <c r="C298" t="str">
        <f>Orders!C298</f>
        <v>CUST-0115</v>
      </c>
      <c r="D298" t="str">
        <f>Orders!D298</f>
        <v>PROD-013</v>
      </c>
      <c r="E298" t="str">
        <f>Orders!E298</f>
        <v>R012</v>
      </c>
      <c r="F298">
        <f>Orders!F298</f>
        <v>1</v>
      </c>
      <c r="G298" s="35">
        <f>Orders!G298</f>
        <v>3640</v>
      </c>
      <c r="H298" s="37">
        <f>Orders!H298</f>
        <v>15.3</v>
      </c>
      <c r="I298" s="39">
        <f>Orders!I298</f>
        <v>3083.08</v>
      </c>
      <c r="J298" t="str">
        <f>Orders!J298</f>
        <v>Pending</v>
      </c>
      <c r="K298" t="str">
        <f>Orders!K298</f>
        <v>Mumbai</v>
      </c>
      <c r="L298" t="str">
        <f>IFERROR(VLOOKUP(D298,Products!$A$2:$F$61,3,FALSE),"")</f>
        <v>Apparel</v>
      </c>
      <c r="M298">
        <f>IFERROR(VLOOKUP(D298,Products!$A$2:$F$61,4,FALSE),"")</f>
        <v>2611</v>
      </c>
      <c r="N298" t="str">
        <f>IFERROR(VLOOKUP(E298,Sales_Reps!$A$2:$E$31,3,FALSE),"")</f>
        <v>South</v>
      </c>
      <c r="O298" t="str">
        <f>IFERROR(VLOOKUP(C298,Customers!$A$2:$F$301,5,FALSE),"")</f>
        <v>SMB</v>
      </c>
      <c r="P298">
        <f>IFERROR(VLOOKUP(C298,Customers!$A$2:$F$301,3,FALSE),"")</f>
        <v>65</v>
      </c>
      <c r="Q298" s="41">
        <f t="shared" si="13"/>
        <v>0.28269230769230769</v>
      </c>
      <c r="R298" t="str">
        <f>IFERROR(VLOOKUP(C298,Customers!$A$2:$F$301,1,FALSE),"")</f>
        <v>CUST-0115</v>
      </c>
      <c r="S298" s="27" t="b">
        <f>IFERROR(VLOOKUP(D298,Products!$A$2:$F$61,6,FALSE),"")</f>
        <v>1</v>
      </c>
      <c r="BL298">
        <v>0.5</v>
      </c>
      <c r="BM298">
        <v>0</v>
      </c>
      <c r="BN298">
        <v>1.9607843137254902E-2</v>
      </c>
      <c r="BO298">
        <v>0</v>
      </c>
      <c r="BP298">
        <v>0</v>
      </c>
    </row>
    <row r="299" spans="1:68" x14ac:dyDescent="0.35">
      <c r="A299" s="26" t="str">
        <f>Orders!A299</f>
        <v>ORD-00298</v>
      </c>
      <c r="B299" s="33">
        <f>Orders!B299</f>
        <v>45475</v>
      </c>
      <c r="C299" t="str">
        <f>Orders!C299</f>
        <v>CUST-0166</v>
      </c>
      <c r="D299" t="str">
        <f>Orders!D299</f>
        <v>PROD-009</v>
      </c>
      <c r="E299" t="str">
        <f>Orders!E299</f>
        <v>R009</v>
      </c>
      <c r="F299">
        <f>Orders!F299</f>
        <v>8</v>
      </c>
      <c r="G299" s="35">
        <f>Orders!G299</f>
        <v>1220</v>
      </c>
      <c r="H299" s="37">
        <f>Orders!H299</f>
        <v>28.2</v>
      </c>
      <c r="I299" s="39">
        <f>Orders!I299</f>
        <v>7007.68</v>
      </c>
      <c r="J299" t="str">
        <f>Orders!J299</f>
        <v>Completed</v>
      </c>
      <c r="K299" t="str">
        <f>Orders!K299</f>
        <v>Hyderabad</v>
      </c>
      <c r="L299" t="str">
        <f>IFERROR(VLOOKUP(D299,Products!$A$2:$F$61,3,FALSE),"")</f>
        <v>Electronics</v>
      </c>
      <c r="M299">
        <f>IFERROR(VLOOKUP(D299,Products!$A$2:$F$61,4,FALSE),"")</f>
        <v>517</v>
      </c>
      <c r="N299" t="str">
        <f>IFERROR(VLOOKUP(E299,Sales_Reps!$A$2:$E$31,3,FALSE),"")</f>
        <v>South</v>
      </c>
      <c r="O299" t="str">
        <f>IFERROR(VLOOKUP(C299,Customers!$A$2:$F$301,5,FALSE),"")</f>
        <v>Retail</v>
      </c>
      <c r="P299">
        <f>IFERROR(VLOOKUP(C299,Customers!$A$2:$F$301,3,FALSE),"")</f>
        <v>31</v>
      </c>
      <c r="Q299" s="41">
        <f t="shared" si="13"/>
        <v>0.57622950819672136</v>
      </c>
      <c r="R299" t="str">
        <f>IFERROR(VLOOKUP(C299,Customers!$A$2:$F$301,1,FALSE),"")</f>
        <v>CUST-0166</v>
      </c>
      <c r="S299" s="27" t="b">
        <f>IFERROR(VLOOKUP(D299,Products!$A$2:$F$61,6,FALSE),"")</f>
        <v>1</v>
      </c>
      <c r="BL299">
        <v>0</v>
      </c>
      <c r="BM299">
        <v>0</v>
      </c>
      <c r="BN299">
        <v>2.3809523809523808E-2</v>
      </c>
      <c r="BO299">
        <v>0</v>
      </c>
      <c r="BP299">
        <v>0</v>
      </c>
    </row>
    <row r="300" spans="1:68" x14ac:dyDescent="0.35">
      <c r="A300" s="26" t="str">
        <f>Orders!A300</f>
        <v>ORD-00299</v>
      </c>
      <c r="B300" s="33">
        <f>Orders!B300</f>
        <v>45624</v>
      </c>
      <c r="C300" t="str">
        <f>Orders!C300</f>
        <v>CUST-0263</v>
      </c>
      <c r="D300" t="str">
        <f>Orders!D300</f>
        <v>PROD-017</v>
      </c>
      <c r="E300" t="str">
        <f>Orders!E300</f>
        <v>R030</v>
      </c>
      <c r="F300">
        <f>Orders!F300</f>
        <v>3</v>
      </c>
      <c r="G300" s="35">
        <f>Orders!G300</f>
        <v>2510</v>
      </c>
      <c r="H300" s="37">
        <f>Orders!H300</f>
        <v>17.399999999999999</v>
      </c>
      <c r="I300" s="39">
        <f>Orders!I300</f>
        <v>6219.78</v>
      </c>
      <c r="J300" t="str">
        <f>Orders!J300</f>
        <v>Completed</v>
      </c>
      <c r="K300" t="str">
        <f>Orders!K300</f>
        <v>Mumbai</v>
      </c>
      <c r="L300" t="str">
        <f>IFERROR(VLOOKUP(D300,Products!$A$2:$F$61,3,FALSE),"")</f>
        <v>Apparel</v>
      </c>
      <c r="M300">
        <f>IFERROR(VLOOKUP(D300,Products!$A$2:$F$61,4,FALSE),"")</f>
        <v>1075</v>
      </c>
      <c r="N300" t="str">
        <f>IFERROR(VLOOKUP(E300,Sales_Reps!$A$2:$E$31,3,FALSE),"")</f>
        <v>West</v>
      </c>
      <c r="O300" t="str">
        <f>IFERROR(VLOOKUP(C300,Customers!$A$2:$F$301,5,FALSE),"")</f>
        <v>Retail</v>
      </c>
      <c r="P300">
        <f>IFERROR(VLOOKUP(C300,Customers!$A$2:$F$301,3,FALSE),"")</f>
        <v>40</v>
      </c>
      <c r="Q300" s="41">
        <f t="shared" si="13"/>
        <v>0.57171314741035861</v>
      </c>
      <c r="R300" t="str">
        <f>IFERROR(VLOOKUP(C300,Customers!$A$2:$F$301,1,FALSE),"")</f>
        <v>CUST-0263</v>
      </c>
      <c r="S300" s="27" t="b">
        <f>IFERROR(VLOOKUP(D300,Products!$A$2:$F$61,6,FALSE),"")</f>
        <v>0</v>
      </c>
      <c r="BL300">
        <v>0</v>
      </c>
      <c r="BM300">
        <v>0</v>
      </c>
      <c r="BN300">
        <v>1.8518518518518517E-2</v>
      </c>
      <c r="BO300">
        <v>0</v>
      </c>
      <c r="BP300">
        <v>1</v>
      </c>
    </row>
    <row r="301" spans="1:68" x14ac:dyDescent="0.35">
      <c r="A301" s="26" t="str">
        <f>Orders!A301</f>
        <v>ORD-00300</v>
      </c>
      <c r="B301" s="33">
        <f>Orders!B301</f>
        <v>45635</v>
      </c>
      <c r="C301" t="str">
        <f>Orders!C301</f>
        <v>CUST-0010</v>
      </c>
      <c r="D301" t="str">
        <f>Orders!D301</f>
        <v>PROD-040</v>
      </c>
      <c r="E301" t="str">
        <f>Orders!E301</f>
        <v>R004</v>
      </c>
      <c r="F301">
        <f>Orders!F301</f>
        <v>1</v>
      </c>
      <c r="G301" s="35">
        <f>Orders!G301</f>
        <v>1080</v>
      </c>
      <c r="H301" s="37">
        <f>Orders!H301</f>
        <v>13.9</v>
      </c>
      <c r="I301" s="39">
        <f>Orders!I301</f>
        <v>929.88</v>
      </c>
      <c r="J301" t="str">
        <f>Orders!J301</f>
        <v>Completed</v>
      </c>
      <c r="K301" t="str">
        <f>Orders!K301</f>
        <v>Mumbai</v>
      </c>
      <c r="L301" t="str">
        <f>IFERROR(VLOOKUP(D301,Products!$A$2:$F$61,3,FALSE),"")</f>
        <v>Home</v>
      </c>
      <c r="M301">
        <f>IFERROR(VLOOKUP(D301,Products!$A$2:$F$61,4,FALSE),"")</f>
        <v>519</v>
      </c>
      <c r="N301" t="str">
        <f>IFERROR(VLOOKUP(E301,Sales_Reps!$A$2:$E$31,3,FALSE),"")</f>
        <v>North</v>
      </c>
      <c r="O301" t="str">
        <f>IFERROR(VLOOKUP(C301,Customers!$A$2:$F$301,5,FALSE),"")</f>
        <v>SMB</v>
      </c>
      <c r="P301">
        <f>IFERROR(VLOOKUP(C301,Customers!$A$2:$F$301,3,FALSE),"")</f>
        <v>61</v>
      </c>
      <c r="Q301" s="41">
        <f t="shared" si="13"/>
        <v>0.51944444444444449</v>
      </c>
      <c r="R301" t="str">
        <f>IFERROR(VLOOKUP(C301,Customers!$A$2:$F$301,1,FALSE),"")</f>
        <v>CUST-0010</v>
      </c>
      <c r="S301" s="27" t="b">
        <f>IFERROR(VLOOKUP(D301,Products!$A$2:$F$61,6,FALSE),"")</f>
        <v>1</v>
      </c>
      <c r="BL301">
        <v>0</v>
      </c>
      <c r="BM301">
        <v>0</v>
      </c>
      <c r="BN301">
        <v>1.8518518518518517E-2</v>
      </c>
      <c r="BO301">
        <v>0</v>
      </c>
      <c r="BP301">
        <v>0</v>
      </c>
    </row>
    <row r="302" spans="1:68" x14ac:dyDescent="0.35">
      <c r="A302" s="26" t="str">
        <f>Orders!A302</f>
        <v>ORD-00301</v>
      </c>
      <c r="B302" s="33">
        <f>Orders!B302</f>
        <v>45395</v>
      </c>
      <c r="C302" t="str">
        <f>Orders!C302</f>
        <v>CUST-0036</v>
      </c>
      <c r="D302" t="str">
        <f>Orders!D302</f>
        <v>PROD-033</v>
      </c>
      <c r="E302" t="str">
        <f>Orders!E302</f>
        <v>R016</v>
      </c>
      <c r="F302">
        <f>Orders!F302</f>
        <v>7</v>
      </c>
      <c r="G302" s="35">
        <f>Orders!G302</f>
        <v>2030</v>
      </c>
      <c r="H302" s="37">
        <f>Orders!H302</f>
        <v>29.2</v>
      </c>
      <c r="I302" s="39">
        <f>Orders!I302</f>
        <v>10060.68</v>
      </c>
      <c r="J302" t="str">
        <f>Orders!J302</f>
        <v>Completed</v>
      </c>
      <c r="K302" t="str">
        <f>Orders!K302</f>
        <v>Mumbai</v>
      </c>
      <c r="L302" t="str">
        <f>IFERROR(VLOOKUP(D302,Products!$A$2:$F$61,3,FALSE),"")</f>
        <v>Home</v>
      </c>
      <c r="M302">
        <f>IFERROR(VLOOKUP(D302,Products!$A$2:$F$61,4,FALSE),"")</f>
        <v>1143</v>
      </c>
      <c r="N302" t="str">
        <f>IFERROR(VLOOKUP(E302,Sales_Reps!$A$2:$E$31,3,FALSE),"")</f>
        <v>South</v>
      </c>
      <c r="O302" t="str">
        <f>IFERROR(VLOOKUP(C302,Customers!$A$2:$F$301,5,FALSE),"")</f>
        <v>Retail</v>
      </c>
      <c r="P302">
        <f>IFERROR(VLOOKUP(C302,Customers!$A$2:$F$301,3,FALSE),"")</f>
        <v>35</v>
      </c>
      <c r="Q302" s="41">
        <f t="shared" si="13"/>
        <v>0.43694581280788175</v>
      </c>
      <c r="R302" t="str">
        <f>IFERROR(VLOOKUP(C302,Customers!$A$2:$F$301,1,FALSE),"")</f>
        <v>CUST-0036</v>
      </c>
      <c r="S302" s="27" t="b">
        <f>IFERROR(VLOOKUP(D302,Products!$A$2:$F$61,6,FALSE),"")</f>
        <v>1</v>
      </c>
      <c r="BL302">
        <v>0</v>
      </c>
      <c r="BO302">
        <v>0</v>
      </c>
      <c r="BP302">
        <v>0</v>
      </c>
    </row>
    <row r="303" spans="1:68" x14ac:dyDescent="0.35">
      <c r="A303" s="26" t="str">
        <f>Orders!A303</f>
        <v>ORD-00302</v>
      </c>
      <c r="B303" s="33">
        <f>Orders!B303</f>
        <v>45415</v>
      </c>
      <c r="C303" t="str">
        <f>Orders!C303</f>
        <v>CUST-0259</v>
      </c>
      <c r="D303" t="str">
        <f>Orders!D303</f>
        <v>PROD-059</v>
      </c>
      <c r="E303" t="str">
        <f>Orders!E303</f>
        <v>R020</v>
      </c>
      <c r="F303">
        <f>Orders!F303</f>
        <v>6</v>
      </c>
      <c r="G303" s="35">
        <f>Orders!G303</f>
        <v>3780</v>
      </c>
      <c r="H303" s="37">
        <f>Orders!H303</f>
        <v>20.9</v>
      </c>
      <c r="I303" s="39">
        <f>Orders!I303</f>
        <v>17939.88</v>
      </c>
      <c r="J303" t="str">
        <f>Orders!J303</f>
        <v>Refunded</v>
      </c>
      <c r="K303" t="str">
        <f>Orders!K303</f>
        <v>Mumbai</v>
      </c>
      <c r="L303" t="str">
        <f>IFERROR(VLOOKUP(D303,Products!$A$2:$F$61,3,FALSE),"")</f>
        <v>Sports</v>
      </c>
      <c r="M303">
        <f>IFERROR(VLOOKUP(D303,Products!$A$2:$F$61,4,FALSE),"")</f>
        <v>1860</v>
      </c>
      <c r="N303" t="str">
        <f>IFERROR(VLOOKUP(E303,Sales_Reps!$A$2:$E$31,3,FALSE),"")</f>
        <v>East</v>
      </c>
      <c r="O303" t="str">
        <f>IFERROR(VLOOKUP(C303,Customers!$A$2:$F$301,5,FALSE),"")</f>
        <v>Retail</v>
      </c>
      <c r="P303">
        <f>IFERROR(VLOOKUP(C303,Customers!$A$2:$F$301,3,FALSE),"")</f>
        <v>34</v>
      </c>
      <c r="Q303" s="41">
        <f t="shared" si="13"/>
        <v>0.50793650793650791</v>
      </c>
      <c r="R303" t="str">
        <f>IFERROR(VLOOKUP(C303,Customers!$A$2:$F$301,1,FALSE),"")</f>
        <v>CUST-0259</v>
      </c>
      <c r="S303" s="27" t="b">
        <f>IFERROR(VLOOKUP(D303,Products!$A$2:$F$61,6,FALSE),"")</f>
        <v>1</v>
      </c>
      <c r="BL303">
        <v>0</v>
      </c>
      <c r="BO303">
        <v>0</v>
      </c>
      <c r="BP303">
        <v>0</v>
      </c>
    </row>
    <row r="304" spans="1:68" x14ac:dyDescent="0.35">
      <c r="A304" s="26" t="str">
        <f>Orders!A304</f>
        <v>ORD-00303</v>
      </c>
      <c r="B304" s="33">
        <f>Orders!B304</f>
        <v>45653</v>
      </c>
      <c r="C304" t="str">
        <f>Orders!C304</f>
        <v>CUST-0247</v>
      </c>
      <c r="D304" t="str">
        <f>Orders!D304</f>
        <v>PROD-012</v>
      </c>
      <c r="E304" t="str">
        <f>Orders!E304</f>
        <v>R016</v>
      </c>
      <c r="F304">
        <f>Orders!F304</f>
        <v>1</v>
      </c>
      <c r="G304" s="35">
        <f>Orders!G304</f>
        <v>3160</v>
      </c>
      <c r="H304" s="37">
        <f>Orders!H304</f>
        <v>10.7</v>
      </c>
      <c r="I304" s="39">
        <f>Orders!I304</f>
        <v>2821.88</v>
      </c>
      <c r="J304" t="str">
        <f>Orders!J304</f>
        <v>Completed</v>
      </c>
      <c r="K304" t="str">
        <f>Orders!K304</f>
        <v>Pune</v>
      </c>
      <c r="L304" t="str">
        <f>IFERROR(VLOOKUP(D304,Products!$A$2:$F$61,3,FALSE),"")</f>
        <v>Apparel</v>
      </c>
      <c r="M304">
        <f>IFERROR(VLOOKUP(D304,Products!$A$2:$F$61,4,FALSE),"")</f>
        <v>1886</v>
      </c>
      <c r="N304" t="str">
        <f>IFERROR(VLOOKUP(E304,Sales_Reps!$A$2:$E$31,3,FALSE),"")</f>
        <v>South</v>
      </c>
      <c r="O304" t="str">
        <f>IFERROR(VLOOKUP(C304,Customers!$A$2:$F$301,5,FALSE),"")</f>
        <v>SMB</v>
      </c>
      <c r="P304">
        <f>IFERROR(VLOOKUP(C304,Customers!$A$2:$F$301,3,FALSE),"")</f>
        <v>35</v>
      </c>
      <c r="Q304" s="41">
        <f t="shared" si="13"/>
        <v>0.4031645569620253</v>
      </c>
      <c r="R304" t="str">
        <f>IFERROR(VLOOKUP(C304,Customers!$A$2:$F$301,1,FALSE),"")</f>
        <v>CUST-0247</v>
      </c>
      <c r="S304" s="27" t="b">
        <f>IFERROR(VLOOKUP(D304,Products!$A$2:$F$61,6,FALSE),"")</f>
        <v>1</v>
      </c>
      <c r="BL304">
        <v>0</v>
      </c>
      <c r="BO304">
        <v>0</v>
      </c>
      <c r="BP304">
        <v>0</v>
      </c>
    </row>
    <row r="305" spans="1:68" x14ac:dyDescent="0.35">
      <c r="A305" s="26" t="str">
        <f>Orders!A305</f>
        <v>ORD-00881</v>
      </c>
      <c r="B305" s="33">
        <f>Orders!B305</f>
        <v>45564</v>
      </c>
      <c r="C305" t="str">
        <f>Orders!C305</f>
        <v>CUST-0191</v>
      </c>
      <c r="D305" t="str">
        <f>Orders!D305</f>
        <v>PROD-046</v>
      </c>
      <c r="E305" t="str">
        <f>Orders!E305</f>
        <v>R010</v>
      </c>
      <c r="F305">
        <f>Orders!F305</f>
        <v>5</v>
      </c>
      <c r="G305" s="35">
        <f>Orders!G305</f>
        <v>4880</v>
      </c>
      <c r="H305" s="37">
        <f>Orders!H305</f>
        <v>11.4</v>
      </c>
      <c r="I305" s="39">
        <f>Orders!I305</f>
        <v>21618.400000000001</v>
      </c>
      <c r="J305" t="str">
        <f>Orders!J305</f>
        <v>Completed</v>
      </c>
      <c r="K305" t="str">
        <f>Orders!K305</f>
        <v>Hyderabad</v>
      </c>
      <c r="L305" t="str">
        <f>IFERROR(VLOOKUP(D305,Products!$A$2:$F$61,3,FALSE),"")</f>
        <v>Beauty</v>
      </c>
      <c r="M305">
        <f>IFERROR(VLOOKUP(D305,Products!$A$2:$F$61,4,FALSE),"")</f>
        <v>2768</v>
      </c>
      <c r="N305" t="str">
        <f>IFERROR(VLOOKUP(E305,Sales_Reps!$A$2:$E$31,3,FALSE),"")</f>
        <v>South</v>
      </c>
      <c r="O305" t="str">
        <f>IFERROR(VLOOKUP(C305,Customers!$A$2:$F$301,5,FALSE),"")</f>
        <v>SMB</v>
      </c>
      <c r="P305">
        <f>IFERROR(VLOOKUP(C305,Customers!$A$2:$F$301,3,FALSE),"")</f>
        <v>43</v>
      </c>
      <c r="Q305" s="41">
        <f t="shared" si="13"/>
        <v>0.43278688524590164</v>
      </c>
      <c r="R305" t="str">
        <f>IFERROR(VLOOKUP(C305,Customers!$A$2:$F$301,1,FALSE),"")</f>
        <v>CUST-0191</v>
      </c>
      <c r="S305" s="27" t="b">
        <f>IFERROR(VLOOKUP(D305,Products!$A$2:$F$61,6,FALSE),"")</f>
        <v>1</v>
      </c>
      <c r="BL305">
        <v>0.5</v>
      </c>
      <c r="BO305">
        <v>0</v>
      </c>
      <c r="BP305">
        <v>0</v>
      </c>
    </row>
    <row r="306" spans="1:68" x14ac:dyDescent="0.35">
      <c r="A306" s="26" t="str">
        <f>Orders!A306</f>
        <v>ORD-00305</v>
      </c>
      <c r="B306" s="33">
        <f>Orders!B306</f>
        <v>45633</v>
      </c>
      <c r="C306" t="str">
        <f>Orders!C306</f>
        <v>CUST-0167</v>
      </c>
      <c r="D306" t="str">
        <f>Orders!D306</f>
        <v>PROD-031</v>
      </c>
      <c r="E306" t="str">
        <f>Orders!E306</f>
        <v>R009</v>
      </c>
      <c r="F306">
        <f>Orders!F306</f>
        <v>9</v>
      </c>
      <c r="G306" s="35">
        <f>Orders!G306</f>
        <v>3730</v>
      </c>
      <c r="H306" s="37">
        <f>Orders!H306</f>
        <v>10</v>
      </c>
      <c r="I306" s="39">
        <f>Orders!I306</f>
        <v>30213</v>
      </c>
      <c r="J306" t="str">
        <f>Orders!J306</f>
        <v>Completed</v>
      </c>
      <c r="K306" t="str">
        <f>Orders!K306</f>
        <v>Delhi</v>
      </c>
      <c r="L306" t="str">
        <f>IFERROR(VLOOKUP(D306,Products!$A$2:$F$61,3,FALSE),"")</f>
        <v>Home</v>
      </c>
      <c r="M306">
        <f>IFERROR(VLOOKUP(D306,Products!$A$2:$F$61,4,FALSE),"")</f>
        <v>2135</v>
      </c>
      <c r="N306" t="str">
        <f>IFERROR(VLOOKUP(E306,Sales_Reps!$A$2:$E$31,3,FALSE),"")</f>
        <v>South</v>
      </c>
      <c r="O306" t="str">
        <f>IFERROR(VLOOKUP(C306,Customers!$A$2:$F$301,5,FALSE),"")</f>
        <v>Retail</v>
      </c>
      <c r="P306">
        <f>IFERROR(VLOOKUP(C306,Customers!$A$2:$F$301,3,FALSE),"")</f>
        <v>43</v>
      </c>
      <c r="Q306" s="41">
        <f t="shared" si="13"/>
        <v>0.42761394101876676</v>
      </c>
      <c r="R306" t="str">
        <f>IFERROR(VLOOKUP(C306,Customers!$A$2:$F$301,1,FALSE),"")</f>
        <v>CUST-0167</v>
      </c>
      <c r="S306" s="27" t="b">
        <f>IFERROR(VLOOKUP(D306,Products!$A$2:$F$61,6,FALSE),"")</f>
        <v>1</v>
      </c>
      <c r="BL306">
        <v>0</v>
      </c>
      <c r="BO306">
        <v>0</v>
      </c>
      <c r="BP306">
        <v>0</v>
      </c>
    </row>
    <row r="307" spans="1:68" x14ac:dyDescent="0.35">
      <c r="A307" s="26" t="str">
        <f>Orders!A307</f>
        <v>ORD-00306</v>
      </c>
      <c r="B307" s="33">
        <f>Orders!B307</f>
        <v>45309</v>
      </c>
      <c r="C307" t="str">
        <f>Orders!C307</f>
        <v>CUST-0196</v>
      </c>
      <c r="D307" t="str">
        <f>Orders!D307</f>
        <v>PROD-034</v>
      </c>
      <c r="E307" t="str">
        <f>Orders!E307</f>
        <v>R004</v>
      </c>
      <c r="F307">
        <f>Orders!F307</f>
        <v>5</v>
      </c>
      <c r="G307" s="35">
        <f>Orders!G307</f>
        <v>5080</v>
      </c>
      <c r="H307" s="37">
        <f>Orders!H307</f>
        <v>15.3</v>
      </c>
      <c r="I307" s="39">
        <f>Orders!I307</f>
        <v>21513.8</v>
      </c>
      <c r="J307" t="str">
        <f>Orders!J307</f>
        <v>Completed</v>
      </c>
      <c r="K307" t="str">
        <f>Orders!K307</f>
        <v>Chennai</v>
      </c>
      <c r="L307" t="str">
        <f>IFERROR(VLOOKUP(D307,Products!$A$2:$F$61,3,FALSE),"")</f>
        <v>Home</v>
      </c>
      <c r="M307">
        <f>IFERROR(VLOOKUP(D307,Products!$A$2:$F$61,4,FALSE),"")</f>
        <v>2459</v>
      </c>
      <c r="N307" t="str">
        <f>IFERROR(VLOOKUP(E307,Sales_Reps!$A$2:$E$31,3,FALSE),"")</f>
        <v>North</v>
      </c>
      <c r="O307" t="str">
        <f>IFERROR(VLOOKUP(C307,Customers!$A$2:$F$301,5,FALSE),"")</f>
        <v>Retail</v>
      </c>
      <c r="P307">
        <f>IFERROR(VLOOKUP(C307,Customers!$A$2:$F$301,3,FALSE),"")</f>
        <v>26</v>
      </c>
      <c r="Q307" s="41">
        <f t="shared" si="13"/>
        <v>0.51594488188976373</v>
      </c>
      <c r="R307" t="str">
        <f>IFERROR(VLOOKUP(C307,Customers!$A$2:$F$301,1,FALSE),"")</f>
        <v>CUST-0196</v>
      </c>
      <c r="S307" s="27" t="b">
        <f>IFERROR(VLOOKUP(D307,Products!$A$2:$F$61,6,FALSE),"")</f>
        <v>1</v>
      </c>
      <c r="BL307">
        <v>0</v>
      </c>
      <c r="BO307">
        <v>0</v>
      </c>
      <c r="BP307">
        <v>0</v>
      </c>
    </row>
    <row r="308" spans="1:68" x14ac:dyDescent="0.35">
      <c r="A308" s="26" t="str">
        <f>Orders!A308</f>
        <v>ORD-00307</v>
      </c>
      <c r="B308" s="33">
        <f>Orders!B308</f>
        <v>45403</v>
      </c>
      <c r="C308" t="str">
        <f>Orders!C308</f>
        <v>CUST-0182</v>
      </c>
      <c r="D308" t="str">
        <f>Orders!D308</f>
        <v>PROD-042</v>
      </c>
      <c r="E308" t="str">
        <f>Orders!E308</f>
        <v>R013</v>
      </c>
      <c r="F308">
        <f>Orders!F308</f>
        <v>9</v>
      </c>
      <c r="G308" s="35">
        <f>Orders!G308</f>
        <v>2290</v>
      </c>
      <c r="H308" s="37">
        <f>Orders!H308</f>
        <v>3.3</v>
      </c>
      <c r="I308" s="39">
        <f>Orders!I308</f>
        <v>19929.87</v>
      </c>
      <c r="J308" t="str">
        <f>Orders!J308</f>
        <v>Pending</v>
      </c>
      <c r="K308" t="str">
        <f>Orders!K308</f>
        <v>Mumbai</v>
      </c>
      <c r="L308" t="str">
        <f>IFERROR(VLOOKUP(D308,Products!$A$2:$F$61,3,FALSE),"")</f>
        <v>Beauty</v>
      </c>
      <c r="M308">
        <f>IFERROR(VLOOKUP(D308,Products!$A$2:$F$61,4,FALSE),"")</f>
        <v>1219</v>
      </c>
      <c r="N308" t="str">
        <f>IFERROR(VLOOKUP(E308,Sales_Reps!$A$2:$E$31,3,FALSE),"")</f>
        <v>South</v>
      </c>
      <c r="O308" t="str">
        <f>IFERROR(VLOOKUP(C308,Customers!$A$2:$F$301,5,FALSE),"")</f>
        <v>Retail</v>
      </c>
      <c r="P308">
        <f>IFERROR(VLOOKUP(C308,Customers!$A$2:$F$301,3,FALSE),"")</f>
        <v>54</v>
      </c>
      <c r="Q308" s="41">
        <f t="shared" si="13"/>
        <v>0.46768558951965067</v>
      </c>
      <c r="R308" t="str">
        <f>IFERROR(VLOOKUP(C308,Customers!$A$2:$F$301,1,FALSE),"")</f>
        <v>CUST-0182</v>
      </c>
      <c r="S308" s="27" t="b">
        <f>IFERROR(VLOOKUP(D308,Products!$A$2:$F$61,6,FALSE),"")</f>
        <v>1</v>
      </c>
      <c r="BL308">
        <v>0</v>
      </c>
      <c r="BO308">
        <v>0</v>
      </c>
      <c r="BP308">
        <v>0</v>
      </c>
    </row>
    <row r="309" spans="1:68" x14ac:dyDescent="0.35">
      <c r="A309" s="26" t="str">
        <f>Orders!A309</f>
        <v>ORD-00308</v>
      </c>
      <c r="B309" s="33">
        <f>Orders!B309</f>
        <v>45554</v>
      </c>
      <c r="C309" t="str">
        <f>Orders!C309</f>
        <v>CUST-0246</v>
      </c>
      <c r="D309" t="str">
        <f>Orders!D309</f>
        <v>PROD-008</v>
      </c>
      <c r="E309" t="str">
        <f>Orders!E309</f>
        <v>R010</v>
      </c>
      <c r="F309">
        <f>Orders!F309</f>
        <v>5</v>
      </c>
      <c r="G309" s="35">
        <f>Orders!G309</f>
        <v>2660</v>
      </c>
      <c r="H309" s="37">
        <f>Orders!H309</f>
        <v>8.3000000000000007</v>
      </c>
      <c r="I309" s="39">
        <f>Orders!I309</f>
        <v>12196.1</v>
      </c>
      <c r="J309" t="str">
        <f>Orders!J309</f>
        <v>Completed</v>
      </c>
      <c r="K309" t="str">
        <f>Orders!K309</f>
        <v>Delhi</v>
      </c>
      <c r="L309" t="str">
        <f>IFERROR(VLOOKUP(D309,Products!$A$2:$F$61,3,FALSE),"")</f>
        <v>Electronics</v>
      </c>
      <c r="M309">
        <f>IFERROR(VLOOKUP(D309,Products!$A$2:$F$61,4,FALSE),"")</f>
        <v>1259</v>
      </c>
      <c r="N309" t="str">
        <f>IFERROR(VLOOKUP(E309,Sales_Reps!$A$2:$E$31,3,FALSE),"")</f>
        <v>South</v>
      </c>
      <c r="O309" t="str">
        <f>IFERROR(VLOOKUP(C309,Customers!$A$2:$F$301,5,FALSE),"")</f>
        <v>SMB</v>
      </c>
      <c r="P309">
        <f>IFERROR(VLOOKUP(C309,Customers!$A$2:$F$301,3,FALSE),"")</f>
        <v>29</v>
      </c>
      <c r="Q309" s="41">
        <f t="shared" si="13"/>
        <v>0.52669172932330832</v>
      </c>
      <c r="R309" t="str">
        <f>IFERROR(VLOOKUP(C309,Customers!$A$2:$F$301,1,FALSE),"")</f>
        <v>CUST-0246</v>
      </c>
      <c r="S309" s="27" t="b">
        <f>IFERROR(VLOOKUP(D309,Products!$A$2:$F$61,6,FALSE),"")</f>
        <v>0</v>
      </c>
      <c r="BL309">
        <v>0</v>
      </c>
      <c r="BO309">
        <v>0</v>
      </c>
      <c r="BP309">
        <v>1</v>
      </c>
    </row>
    <row r="310" spans="1:68" x14ac:dyDescent="0.35">
      <c r="A310" s="26" t="str">
        <f>Orders!A310</f>
        <v>ORD-00309</v>
      </c>
      <c r="B310" s="33">
        <f>Orders!B310</f>
        <v>45529</v>
      </c>
      <c r="C310" t="str">
        <f>Orders!C310</f>
        <v>CUST-0132</v>
      </c>
      <c r="D310" t="str">
        <f>Orders!D310</f>
        <v>PROD-027</v>
      </c>
      <c r="E310" t="str">
        <f>Orders!E310</f>
        <v>R025</v>
      </c>
      <c r="F310">
        <f>Orders!F310</f>
        <v>6</v>
      </c>
      <c r="G310" s="35">
        <f>Orders!G310</f>
        <v>3780</v>
      </c>
      <c r="H310" s="37">
        <f>Orders!H310</f>
        <v>28.3</v>
      </c>
      <c r="I310" s="39">
        <f>Orders!I310</f>
        <v>16261.56</v>
      </c>
      <c r="J310" t="str">
        <f>Orders!J310</f>
        <v>Completed</v>
      </c>
      <c r="K310" t="str">
        <f>Orders!K310</f>
        <v>Delhi</v>
      </c>
      <c r="L310" t="str">
        <f>IFERROR(VLOOKUP(D310,Products!$A$2:$F$61,3,FALSE),"")</f>
        <v>Grocery</v>
      </c>
      <c r="M310">
        <f>IFERROR(VLOOKUP(D310,Products!$A$2:$F$61,4,FALSE),"")</f>
        <v>2436</v>
      </c>
      <c r="N310" t="str">
        <f>IFERROR(VLOOKUP(E310,Sales_Reps!$A$2:$E$31,3,FALSE),"")</f>
        <v>West</v>
      </c>
      <c r="O310" t="str">
        <f>IFERROR(VLOOKUP(C310,Customers!$A$2:$F$301,5,FALSE),"")</f>
        <v>Retail</v>
      </c>
      <c r="P310">
        <f>IFERROR(VLOOKUP(C310,Customers!$A$2:$F$301,3,FALSE),"")</f>
        <v>41</v>
      </c>
      <c r="Q310" s="41">
        <f t="shared" si="13"/>
        <v>0.35555555555555557</v>
      </c>
      <c r="R310" t="str">
        <f>IFERROR(VLOOKUP(C310,Customers!$A$2:$F$301,1,FALSE),"")</f>
        <v>CUST-0132</v>
      </c>
      <c r="S310" s="27" t="b">
        <f>IFERROR(VLOOKUP(D310,Products!$A$2:$F$61,6,FALSE),"")</f>
        <v>1</v>
      </c>
      <c r="BL310">
        <v>0</v>
      </c>
      <c r="BO310">
        <v>0</v>
      </c>
      <c r="BP310">
        <v>0</v>
      </c>
    </row>
    <row r="311" spans="1:68" x14ac:dyDescent="0.35">
      <c r="A311" s="26" t="str">
        <f>Orders!A311</f>
        <v>ORD-00310</v>
      </c>
      <c r="B311" s="33">
        <f>Orders!B311</f>
        <v>45300</v>
      </c>
      <c r="C311" t="str">
        <f>Orders!C311</f>
        <v>CUST-0153</v>
      </c>
      <c r="D311" t="str">
        <f>Orders!D311</f>
        <v>PROD-021</v>
      </c>
      <c r="E311" t="str">
        <f>Orders!E311</f>
        <v>R028</v>
      </c>
      <c r="F311">
        <f>Orders!F311</f>
        <v>5</v>
      </c>
      <c r="G311" s="35">
        <f>Orders!G311</f>
        <v>2760</v>
      </c>
      <c r="H311" s="37">
        <f>Orders!H311</f>
        <v>4.9000000000000004</v>
      </c>
      <c r="I311" s="39">
        <f>Orders!I311</f>
        <v>13123.8</v>
      </c>
      <c r="J311" t="str">
        <f>Orders!J311</f>
        <v>Completed</v>
      </c>
      <c r="K311" t="str">
        <f>Orders!K311</f>
        <v>Mumbai</v>
      </c>
      <c r="L311" t="str">
        <f>IFERROR(VLOOKUP(D311,Products!$A$2:$F$61,3,FALSE),"")</f>
        <v>Grocery</v>
      </c>
      <c r="M311">
        <f>IFERROR(VLOOKUP(D311,Products!$A$2:$F$61,4,FALSE),"")</f>
        <v>1435</v>
      </c>
      <c r="N311" t="str">
        <f>IFERROR(VLOOKUP(E311,Sales_Reps!$A$2:$E$31,3,FALSE),"")</f>
        <v>West</v>
      </c>
      <c r="O311" t="str">
        <f>IFERROR(VLOOKUP(C311,Customers!$A$2:$F$301,5,FALSE),"")</f>
        <v>Retail</v>
      </c>
      <c r="P311">
        <f>IFERROR(VLOOKUP(C311,Customers!$A$2:$F$301,3,FALSE),"")</f>
        <v>35</v>
      </c>
      <c r="Q311" s="41">
        <f t="shared" si="13"/>
        <v>0.48007246376811596</v>
      </c>
      <c r="R311" t="str">
        <f>IFERROR(VLOOKUP(C311,Customers!$A$2:$F$301,1,FALSE),"")</f>
        <v>CUST-0153</v>
      </c>
      <c r="S311" s="27" t="b">
        <f>IFERROR(VLOOKUP(D311,Products!$A$2:$F$61,6,FALSE),"")</f>
        <v>1</v>
      </c>
      <c r="BL311">
        <v>0</v>
      </c>
      <c r="BO311">
        <v>0</v>
      </c>
      <c r="BP311">
        <v>0</v>
      </c>
    </row>
    <row r="312" spans="1:68" x14ac:dyDescent="0.35">
      <c r="A312" s="26" t="str">
        <f>Orders!A312</f>
        <v>ORD-00311</v>
      </c>
      <c r="B312" s="33">
        <f>Orders!B312</f>
        <v>45368</v>
      </c>
      <c r="C312" t="str">
        <f>Orders!C312</f>
        <v>CUST-0139</v>
      </c>
      <c r="D312" t="str">
        <f>Orders!D312</f>
        <v>PROD-041</v>
      </c>
      <c r="E312" t="str">
        <f>Orders!E312</f>
        <v>R006</v>
      </c>
      <c r="F312">
        <f>Orders!F312</f>
        <v>8</v>
      </c>
      <c r="G312" s="35">
        <f>Orders!G312</f>
        <v>1540</v>
      </c>
      <c r="H312" s="37">
        <f>Orders!H312</f>
        <v>29.4</v>
      </c>
      <c r="I312" s="39">
        <f>Orders!I312</f>
        <v>8697.92</v>
      </c>
      <c r="J312" t="str">
        <f>Orders!J312</f>
        <v>Cancelled</v>
      </c>
      <c r="K312" t="str">
        <f>Orders!K312</f>
        <v>Hyderabad</v>
      </c>
      <c r="L312" t="str">
        <f>IFERROR(VLOOKUP(D312,Products!$A$2:$F$61,3,FALSE),"")</f>
        <v>Beauty</v>
      </c>
      <c r="M312">
        <f>IFERROR(VLOOKUP(D312,Products!$A$2:$F$61,4,FALSE),"")</f>
        <v>647</v>
      </c>
      <c r="N312" t="str">
        <f>IFERROR(VLOOKUP(E312,Sales_Reps!$A$2:$E$31,3,FALSE),"")</f>
        <v>North</v>
      </c>
      <c r="O312" t="str">
        <f>IFERROR(VLOOKUP(C312,Customers!$A$2:$F$301,5,FALSE),"")</f>
        <v>SMB</v>
      </c>
      <c r="P312">
        <f>IFERROR(VLOOKUP(C312,Customers!$A$2:$F$301,3,FALSE),"")</f>
        <v>65</v>
      </c>
      <c r="Q312" s="41">
        <f t="shared" si="13"/>
        <v>0.57987012987012987</v>
      </c>
      <c r="R312" t="str">
        <f>IFERROR(VLOOKUP(C312,Customers!$A$2:$F$301,1,FALSE),"")</f>
        <v>CUST-0139</v>
      </c>
      <c r="S312" s="27" t="b">
        <f>IFERROR(VLOOKUP(D312,Products!$A$2:$F$61,6,FALSE),"")</f>
        <v>0</v>
      </c>
      <c r="BL312">
        <v>0</v>
      </c>
      <c r="BO312">
        <v>0</v>
      </c>
      <c r="BP312">
        <v>1</v>
      </c>
    </row>
    <row r="313" spans="1:68" x14ac:dyDescent="0.35">
      <c r="A313" s="26" t="str">
        <f>Orders!A313</f>
        <v>ORD-00312</v>
      </c>
      <c r="B313" s="33">
        <f>Orders!B313</f>
        <v>45374</v>
      </c>
      <c r="C313" t="str">
        <f>Orders!C313</f>
        <v>CUST-0256</v>
      </c>
      <c r="D313" t="str">
        <f>Orders!D313</f>
        <v>PROD-046</v>
      </c>
      <c r="E313" t="str">
        <f>Orders!E313</f>
        <v>R022</v>
      </c>
      <c r="F313">
        <f>Orders!F313</f>
        <v>1</v>
      </c>
      <c r="G313" s="35">
        <f>Orders!G313</f>
        <v>4880</v>
      </c>
      <c r="H313" s="37">
        <f>Orders!H313</f>
        <v>18.100000000000001</v>
      </c>
      <c r="I313" s="39">
        <f>Orders!I313</f>
        <v>3996.72</v>
      </c>
      <c r="J313" t="str">
        <f>Orders!J313</f>
        <v>Completed</v>
      </c>
      <c r="K313" t="str">
        <f>Orders!K313</f>
        <v>Hyderabad</v>
      </c>
      <c r="L313" t="str">
        <f>IFERROR(VLOOKUP(D313,Products!$A$2:$F$61,3,FALSE),"")</f>
        <v>Beauty</v>
      </c>
      <c r="M313">
        <f>IFERROR(VLOOKUP(D313,Products!$A$2:$F$61,4,FALSE),"")</f>
        <v>2768</v>
      </c>
      <c r="N313" t="str">
        <f>IFERROR(VLOOKUP(E313,Sales_Reps!$A$2:$E$31,3,FALSE),"")</f>
        <v>East</v>
      </c>
      <c r="O313" t="str">
        <f>IFERROR(VLOOKUP(C313,Customers!$A$2:$F$301,5,FALSE),"")</f>
        <v>Retail</v>
      </c>
      <c r="P313">
        <f>IFERROR(VLOOKUP(C313,Customers!$A$2:$F$301,3,FALSE),"")</f>
        <v>28</v>
      </c>
      <c r="Q313" s="41">
        <f t="shared" si="13"/>
        <v>0.43278688524590164</v>
      </c>
      <c r="R313" t="str">
        <f>IFERROR(VLOOKUP(C313,Customers!$A$2:$F$301,1,FALSE),"")</f>
        <v>CUST-0256</v>
      </c>
      <c r="S313" s="27" t="b">
        <f>IFERROR(VLOOKUP(D313,Products!$A$2:$F$61,6,FALSE),"")</f>
        <v>1</v>
      </c>
      <c r="BL313">
        <v>0</v>
      </c>
      <c r="BO313">
        <v>0</v>
      </c>
      <c r="BP313">
        <v>0</v>
      </c>
    </row>
    <row r="314" spans="1:68" x14ac:dyDescent="0.35">
      <c r="A314" s="26" t="str">
        <f>Orders!A314</f>
        <v>ORD-00313</v>
      </c>
      <c r="B314" s="33">
        <f>Orders!B314</f>
        <v>45592</v>
      </c>
      <c r="C314" t="str">
        <f>Orders!C314</f>
        <v>CUST-0027</v>
      </c>
      <c r="D314" t="str">
        <f>Orders!D314</f>
        <v>PROD-024</v>
      </c>
      <c r="E314" t="str">
        <f>Orders!E314</f>
        <v>R015</v>
      </c>
      <c r="F314">
        <f>Orders!F314</f>
        <v>8</v>
      </c>
      <c r="G314" s="35">
        <f>Orders!G314</f>
        <v>2270</v>
      </c>
      <c r="H314" s="37">
        <f>Orders!H314</f>
        <v>19.8</v>
      </c>
      <c r="I314" s="39">
        <f>Orders!I314</f>
        <v>14564.32</v>
      </c>
      <c r="J314" t="str">
        <f>Orders!J314</f>
        <v>Pending</v>
      </c>
      <c r="K314" t="str">
        <f>Orders!K314</f>
        <v>Hyderabad</v>
      </c>
      <c r="L314" t="str">
        <f>IFERROR(VLOOKUP(D314,Products!$A$2:$F$61,3,FALSE),"")</f>
        <v>Grocery</v>
      </c>
      <c r="M314">
        <f>IFERROR(VLOOKUP(D314,Products!$A$2:$F$61,4,FALSE),"")</f>
        <v>1203</v>
      </c>
      <c r="N314" t="str">
        <f>IFERROR(VLOOKUP(E314,Sales_Reps!$A$2:$E$31,3,FALSE),"")</f>
        <v>South</v>
      </c>
      <c r="O314" t="str">
        <f>IFERROR(VLOOKUP(C314,Customers!$A$2:$F$301,5,FALSE),"")</f>
        <v>Corporate</v>
      </c>
      <c r="P314">
        <f>IFERROR(VLOOKUP(C314,Customers!$A$2:$F$301,3,FALSE),"")</f>
        <v>52</v>
      </c>
      <c r="Q314" s="41">
        <f t="shared" si="13"/>
        <v>0.47004405286343615</v>
      </c>
      <c r="R314" t="str">
        <f>IFERROR(VLOOKUP(C314,Customers!$A$2:$F$301,1,FALSE),"")</f>
        <v>CUST-0027</v>
      </c>
      <c r="S314" s="27" t="b">
        <f>IFERROR(VLOOKUP(D314,Products!$A$2:$F$61,6,FALSE),"")</f>
        <v>1</v>
      </c>
      <c r="BL314">
        <v>0</v>
      </c>
      <c r="BO314">
        <v>0</v>
      </c>
      <c r="BP314">
        <v>0</v>
      </c>
    </row>
    <row r="315" spans="1:68" x14ac:dyDescent="0.35">
      <c r="A315" s="26" t="str">
        <f>Orders!A315</f>
        <v>ORD-00314</v>
      </c>
      <c r="B315" s="33">
        <f>Orders!B315</f>
        <v>45508</v>
      </c>
      <c r="C315" t="str">
        <f>Orders!C315</f>
        <v>CUST-0151</v>
      </c>
      <c r="D315" t="str">
        <f>Orders!D315</f>
        <v>PROD-019</v>
      </c>
      <c r="E315" t="str">
        <f>Orders!E315</f>
        <v>R010</v>
      </c>
      <c r="F315">
        <f>Orders!F315</f>
        <v>10</v>
      </c>
      <c r="G315" s="35">
        <f>Orders!G315</f>
        <v>2480</v>
      </c>
      <c r="H315" s="37">
        <f>Orders!H315</f>
        <v>24.4</v>
      </c>
      <c r="I315" s="39">
        <f>Orders!I315</f>
        <v>18748.8</v>
      </c>
      <c r="J315" t="str">
        <f>Orders!J315</f>
        <v>Pending</v>
      </c>
      <c r="K315" t="str">
        <f>Orders!K315</f>
        <v>Mumbai</v>
      </c>
      <c r="L315" t="str">
        <f>IFERROR(VLOOKUP(D315,Products!$A$2:$F$61,3,FALSE),"")</f>
        <v>Apparel</v>
      </c>
      <c r="M315">
        <f>IFERROR(VLOOKUP(D315,Products!$A$2:$F$61,4,FALSE),"")</f>
        <v>1173</v>
      </c>
      <c r="N315" t="str">
        <f>IFERROR(VLOOKUP(E315,Sales_Reps!$A$2:$E$31,3,FALSE),"")</f>
        <v>South</v>
      </c>
      <c r="O315" t="str">
        <f>IFERROR(VLOOKUP(C315,Customers!$A$2:$F$301,5,FALSE),"")</f>
        <v>Retail</v>
      </c>
      <c r="P315">
        <f>IFERROR(VLOOKUP(C315,Customers!$A$2:$F$301,3,FALSE),"")</f>
        <v>53</v>
      </c>
      <c r="Q315" s="41">
        <f t="shared" si="13"/>
        <v>0.52701612903225803</v>
      </c>
      <c r="R315" t="str">
        <f>IFERROR(VLOOKUP(C315,Customers!$A$2:$F$301,1,FALSE),"")</f>
        <v>CUST-0151</v>
      </c>
      <c r="S315" s="27" t="b">
        <f>IFERROR(VLOOKUP(D315,Products!$A$2:$F$61,6,FALSE),"")</f>
        <v>1</v>
      </c>
      <c r="BL315">
        <v>0</v>
      </c>
      <c r="BO315">
        <v>0</v>
      </c>
      <c r="BP315">
        <v>0</v>
      </c>
    </row>
    <row r="316" spans="1:68" x14ac:dyDescent="0.35">
      <c r="A316" s="26" t="str">
        <f>Orders!A316</f>
        <v>ORD-00315</v>
      </c>
      <c r="B316" s="33">
        <f>Orders!B316</f>
        <v>45481</v>
      </c>
      <c r="C316" t="str">
        <f>Orders!C316</f>
        <v>CUST-0204</v>
      </c>
      <c r="D316" t="str">
        <f>Orders!D316</f>
        <v>PROD-045</v>
      </c>
      <c r="E316" t="str">
        <f>Orders!E316</f>
        <v>R014</v>
      </c>
      <c r="F316">
        <f>Orders!F316</f>
        <v>8</v>
      </c>
      <c r="G316" s="35">
        <f>Orders!G316</f>
        <v>3020</v>
      </c>
      <c r="H316" s="37">
        <f>Orders!H316</f>
        <v>15.2</v>
      </c>
      <c r="I316" s="39">
        <f>Orders!I316</f>
        <v>20487.68</v>
      </c>
      <c r="J316" t="str">
        <f>Orders!J316</f>
        <v>Pending</v>
      </c>
      <c r="K316" t="str">
        <f>Orders!K316</f>
        <v>Hyderabad</v>
      </c>
      <c r="L316" t="str">
        <f>IFERROR(VLOOKUP(D316,Products!$A$2:$F$61,3,FALSE),"")</f>
        <v>Beauty</v>
      </c>
      <c r="M316">
        <f>IFERROR(VLOOKUP(D316,Products!$A$2:$F$61,4,FALSE),"")</f>
        <v>1626</v>
      </c>
      <c r="N316" t="str">
        <f>IFERROR(VLOOKUP(E316,Sales_Reps!$A$2:$E$31,3,FALSE),"")</f>
        <v>South</v>
      </c>
      <c r="O316" t="str">
        <f>IFERROR(VLOOKUP(C316,Customers!$A$2:$F$301,5,FALSE),"")</f>
        <v>Retail</v>
      </c>
      <c r="P316">
        <f>IFERROR(VLOOKUP(C316,Customers!$A$2:$F$301,3,FALSE),"")</f>
        <v>60</v>
      </c>
      <c r="Q316" s="41">
        <f t="shared" si="13"/>
        <v>0.46158940397350995</v>
      </c>
      <c r="R316" t="str">
        <f>IFERROR(VLOOKUP(C316,Customers!$A$2:$F$301,1,FALSE),"")</f>
        <v>CUST-0204</v>
      </c>
      <c r="S316" s="27" t="b">
        <f>IFERROR(VLOOKUP(D316,Products!$A$2:$F$61,6,FALSE),"")</f>
        <v>1</v>
      </c>
      <c r="BL316">
        <v>0</v>
      </c>
      <c r="BO316">
        <v>0</v>
      </c>
      <c r="BP316">
        <v>0</v>
      </c>
    </row>
    <row r="317" spans="1:68" x14ac:dyDescent="0.35">
      <c r="A317" s="26" t="str">
        <f>Orders!A317</f>
        <v>ORD-00316</v>
      </c>
      <c r="B317" s="33">
        <f>Orders!B317</f>
        <v>45517</v>
      </c>
      <c r="C317" t="str">
        <f>Orders!C317</f>
        <v>CUST-0084</v>
      </c>
      <c r="D317" t="str">
        <f>Orders!D317</f>
        <v>PROD-041</v>
      </c>
      <c r="E317" t="str">
        <f>Orders!E317</f>
        <v>R019</v>
      </c>
      <c r="F317">
        <f>Orders!F317</f>
        <v>10</v>
      </c>
      <c r="G317" s="35">
        <f>Orders!G317</f>
        <v>1540</v>
      </c>
      <c r="H317" s="37">
        <f>Orders!H317</f>
        <v>0.6</v>
      </c>
      <c r="I317" s="39">
        <f>Orders!I317</f>
        <v>15307.6</v>
      </c>
      <c r="J317" t="str">
        <f>Orders!J317</f>
        <v>Completed</v>
      </c>
      <c r="K317" t="str">
        <f>Orders!K317</f>
        <v>Chennai</v>
      </c>
      <c r="L317" t="str">
        <f>IFERROR(VLOOKUP(D317,Products!$A$2:$F$61,3,FALSE),"")</f>
        <v>Beauty</v>
      </c>
      <c r="M317">
        <f>IFERROR(VLOOKUP(D317,Products!$A$2:$F$61,4,FALSE),"")</f>
        <v>647</v>
      </c>
      <c r="N317" t="str">
        <f>IFERROR(VLOOKUP(E317,Sales_Reps!$A$2:$E$31,3,FALSE),"")</f>
        <v>East</v>
      </c>
      <c r="O317" t="str">
        <f>IFERROR(VLOOKUP(C317,Customers!$A$2:$F$301,5,FALSE),"")</f>
        <v>Retail</v>
      </c>
      <c r="P317">
        <f>IFERROR(VLOOKUP(C317,Customers!$A$2:$F$301,3,FALSE),"")</f>
        <v>28</v>
      </c>
      <c r="Q317" s="41">
        <f t="shared" si="13"/>
        <v>0.57987012987012987</v>
      </c>
      <c r="R317" t="str">
        <f>IFERROR(VLOOKUP(C317,Customers!$A$2:$F$301,1,FALSE),"")</f>
        <v>CUST-0084</v>
      </c>
      <c r="S317" s="27" t="b">
        <f>IFERROR(VLOOKUP(D317,Products!$A$2:$F$61,6,FALSE),"")</f>
        <v>0</v>
      </c>
      <c r="BL317">
        <v>0</v>
      </c>
      <c r="BO317">
        <v>0</v>
      </c>
      <c r="BP317">
        <v>1</v>
      </c>
    </row>
    <row r="318" spans="1:68" x14ac:dyDescent="0.35">
      <c r="A318" s="26" t="str">
        <f>Orders!A318</f>
        <v>ORD-00317</v>
      </c>
      <c r="B318" s="33">
        <f>Orders!B318</f>
        <v>45632</v>
      </c>
      <c r="C318" t="str">
        <f>Orders!C318</f>
        <v>CUST-0048</v>
      </c>
      <c r="D318" t="str">
        <f>Orders!D318</f>
        <v>PROD-012</v>
      </c>
      <c r="E318" t="str">
        <f>Orders!E318</f>
        <v>R001</v>
      </c>
      <c r="F318">
        <f>Orders!F318</f>
        <v>7</v>
      </c>
      <c r="G318" s="35">
        <f>Orders!G318</f>
        <v>3160</v>
      </c>
      <c r="H318" s="37">
        <f>Orders!H318</f>
        <v>8.9</v>
      </c>
      <c r="I318" s="39">
        <f>Orders!I318</f>
        <v>20151.32</v>
      </c>
      <c r="J318" t="str">
        <f>Orders!J318</f>
        <v>Completed</v>
      </c>
      <c r="K318" t="str">
        <f>Orders!K318</f>
        <v>Delhi</v>
      </c>
      <c r="L318" t="str">
        <f>IFERROR(VLOOKUP(D318,Products!$A$2:$F$61,3,FALSE),"")</f>
        <v>Apparel</v>
      </c>
      <c r="M318">
        <f>IFERROR(VLOOKUP(D318,Products!$A$2:$F$61,4,FALSE),"")</f>
        <v>1886</v>
      </c>
      <c r="N318" t="str">
        <f>IFERROR(VLOOKUP(E318,Sales_Reps!$A$2:$E$31,3,FALSE),"")</f>
        <v>North</v>
      </c>
      <c r="O318" t="str">
        <f>IFERROR(VLOOKUP(C318,Customers!$A$2:$F$301,5,FALSE),"")</f>
        <v>Retail</v>
      </c>
      <c r="P318">
        <f>IFERROR(VLOOKUP(C318,Customers!$A$2:$F$301,3,FALSE),"")</f>
        <v>59</v>
      </c>
      <c r="Q318" s="41">
        <f t="shared" si="13"/>
        <v>0.4031645569620253</v>
      </c>
      <c r="R318" t="str">
        <f>IFERROR(VLOOKUP(C318,Customers!$A$2:$F$301,1,FALSE),"")</f>
        <v>CUST-0048</v>
      </c>
      <c r="S318" s="27" t="b">
        <f>IFERROR(VLOOKUP(D318,Products!$A$2:$F$61,6,FALSE),"")</f>
        <v>1</v>
      </c>
      <c r="BL318">
        <v>0</v>
      </c>
      <c r="BO318">
        <v>0</v>
      </c>
      <c r="BP318">
        <v>0</v>
      </c>
    </row>
    <row r="319" spans="1:68" x14ac:dyDescent="0.35">
      <c r="A319" s="26" t="str">
        <f>Orders!A319</f>
        <v>ORD-00318</v>
      </c>
      <c r="B319" s="33">
        <f>Orders!B319</f>
        <v>45592</v>
      </c>
      <c r="C319" t="str">
        <f>Orders!C319</f>
        <v>CUST-0013</v>
      </c>
      <c r="D319" t="str">
        <f>Orders!D319</f>
        <v>PROD-054</v>
      </c>
      <c r="E319" t="str">
        <f>Orders!E319</f>
        <v>R013</v>
      </c>
      <c r="F319">
        <f>Orders!F319</f>
        <v>6</v>
      </c>
      <c r="G319" s="35">
        <f>Orders!G319</f>
        <v>1010</v>
      </c>
      <c r="H319" s="37">
        <f>Orders!H319</f>
        <v>12.9</v>
      </c>
      <c r="I319" s="39">
        <f>Orders!I319</f>
        <v>5278.26</v>
      </c>
      <c r="J319" t="str">
        <f>Orders!J319</f>
        <v>Completed</v>
      </c>
      <c r="K319" t="str">
        <f>Orders!K319</f>
        <v>Delhi</v>
      </c>
      <c r="L319" t="str">
        <f>IFERROR(VLOOKUP(D319,Products!$A$2:$F$61,3,FALSE),"")</f>
        <v>Sports</v>
      </c>
      <c r="M319">
        <f>IFERROR(VLOOKUP(D319,Products!$A$2:$F$61,4,FALSE),"")</f>
        <v>516</v>
      </c>
      <c r="N319" t="str">
        <f>IFERROR(VLOOKUP(E319,Sales_Reps!$A$2:$E$31,3,FALSE),"")</f>
        <v>South</v>
      </c>
      <c r="O319" t="str">
        <f>IFERROR(VLOOKUP(C319,Customers!$A$2:$F$301,5,FALSE),"")</f>
        <v>Retail</v>
      </c>
      <c r="P319">
        <f>IFERROR(VLOOKUP(C319,Customers!$A$2:$F$301,3,FALSE),"")</f>
        <v>41</v>
      </c>
      <c r="Q319" s="41">
        <f t="shared" si="13"/>
        <v>0.4891089108910891</v>
      </c>
      <c r="R319" t="str">
        <f>IFERROR(VLOOKUP(C319,Customers!$A$2:$F$301,1,FALSE),"")</f>
        <v>CUST-0013</v>
      </c>
      <c r="S319" s="27" t="b">
        <f>IFERROR(VLOOKUP(D319,Products!$A$2:$F$61,6,FALSE),"")</f>
        <v>1</v>
      </c>
      <c r="BL319">
        <v>0</v>
      </c>
      <c r="BO319">
        <v>0</v>
      </c>
      <c r="BP319">
        <v>0</v>
      </c>
    </row>
    <row r="320" spans="1:68" x14ac:dyDescent="0.35">
      <c r="A320" s="26" t="str">
        <f>Orders!A320</f>
        <v>ORD-00319</v>
      </c>
      <c r="B320" s="33">
        <f>Orders!B320</f>
        <v>45450</v>
      </c>
      <c r="C320" t="str">
        <f>Orders!C320</f>
        <v>CUST-0245</v>
      </c>
      <c r="D320" t="str">
        <f>Orders!D320</f>
        <v>PROD-039</v>
      </c>
      <c r="E320" t="str">
        <f>Orders!E320</f>
        <v>R020</v>
      </c>
      <c r="F320">
        <f>Orders!F320</f>
        <v>4</v>
      </c>
      <c r="G320" s="35">
        <f>Orders!G320</f>
        <v>4610</v>
      </c>
      <c r="H320" s="37">
        <f>Orders!H320</f>
        <v>18.2</v>
      </c>
      <c r="I320" s="39">
        <f>Orders!I320</f>
        <v>15083.92</v>
      </c>
      <c r="J320" t="str">
        <f>Orders!J320</f>
        <v>Completed</v>
      </c>
      <c r="K320" t="str">
        <f>Orders!K320</f>
        <v>Hyderabad</v>
      </c>
      <c r="L320" t="str">
        <f>IFERROR(VLOOKUP(D320,Products!$A$2:$F$61,3,FALSE),"")</f>
        <v>Home</v>
      </c>
      <c r="M320">
        <f>IFERROR(VLOOKUP(D320,Products!$A$2:$F$61,4,FALSE),"")</f>
        <v>1850</v>
      </c>
      <c r="N320" t="str">
        <f>IFERROR(VLOOKUP(E320,Sales_Reps!$A$2:$E$31,3,FALSE),"")</f>
        <v>East</v>
      </c>
      <c r="O320" t="str">
        <f>IFERROR(VLOOKUP(C320,Customers!$A$2:$F$301,5,FALSE),"")</f>
        <v>Retail</v>
      </c>
      <c r="P320">
        <f>IFERROR(VLOOKUP(C320,Customers!$A$2:$F$301,3,FALSE),"")</f>
        <v>65</v>
      </c>
      <c r="Q320" s="41">
        <f t="shared" si="13"/>
        <v>0.59869848156182215</v>
      </c>
      <c r="R320" t="str">
        <f>IFERROR(VLOOKUP(C320,Customers!$A$2:$F$301,1,FALSE),"")</f>
        <v>CUST-0245</v>
      </c>
      <c r="S320" s="27" t="b">
        <f>IFERROR(VLOOKUP(D320,Products!$A$2:$F$61,6,FALSE),"")</f>
        <v>1</v>
      </c>
      <c r="BL320">
        <v>0</v>
      </c>
      <c r="BO320">
        <v>0</v>
      </c>
      <c r="BP320">
        <v>0</v>
      </c>
    </row>
    <row r="321" spans="1:68" x14ac:dyDescent="0.35">
      <c r="A321" s="26" t="str">
        <f>Orders!A321</f>
        <v>ORD-00320</v>
      </c>
      <c r="B321" s="33">
        <f>Orders!B321</f>
        <v>45343</v>
      </c>
      <c r="C321" t="str">
        <f>Orders!C321</f>
        <v>CUST-0031</v>
      </c>
      <c r="D321" t="str">
        <f>Orders!D321</f>
        <v>PROD-025</v>
      </c>
      <c r="E321" t="str">
        <f>Orders!E321</f>
        <v>R029</v>
      </c>
      <c r="F321">
        <f>Orders!F321</f>
        <v>6</v>
      </c>
      <c r="G321" s="35">
        <f>Orders!G321</f>
        <v>4060</v>
      </c>
      <c r="H321" s="37">
        <f>Orders!H321</f>
        <v>24.3</v>
      </c>
      <c r="I321" s="39">
        <f>Orders!I321</f>
        <v>18440.52</v>
      </c>
      <c r="J321" t="str">
        <f>Orders!J321</f>
        <v>Completed</v>
      </c>
      <c r="K321" t="str">
        <f>Orders!K321</f>
        <v>Hyderabad</v>
      </c>
      <c r="L321" t="str">
        <f>IFERROR(VLOOKUP(D321,Products!$A$2:$F$61,3,FALSE),"")</f>
        <v>Grocery</v>
      </c>
      <c r="M321">
        <f>IFERROR(VLOOKUP(D321,Products!$A$2:$F$61,4,FALSE),"")</f>
        <v>2911</v>
      </c>
      <c r="N321" t="str">
        <f>IFERROR(VLOOKUP(E321,Sales_Reps!$A$2:$E$31,3,FALSE),"")</f>
        <v>West</v>
      </c>
      <c r="O321" t="str">
        <f>IFERROR(VLOOKUP(C321,Customers!$A$2:$F$301,5,FALSE),"")</f>
        <v>Retail</v>
      </c>
      <c r="P321">
        <f>IFERROR(VLOOKUP(C321,Customers!$A$2:$F$301,3,FALSE),"")</f>
        <v>53</v>
      </c>
      <c r="Q321" s="41">
        <f t="shared" si="13"/>
        <v>0.28300492610837441</v>
      </c>
      <c r="R321" t="str">
        <f>IFERROR(VLOOKUP(C321,Customers!$A$2:$F$301,1,FALSE),"")</f>
        <v>CUST-0031</v>
      </c>
      <c r="S321" s="27" t="b">
        <f>IFERROR(VLOOKUP(D321,Products!$A$2:$F$61,6,FALSE),"")</f>
        <v>1</v>
      </c>
      <c r="BL321">
        <v>0</v>
      </c>
      <c r="BO321">
        <v>0</v>
      </c>
      <c r="BP321">
        <v>0</v>
      </c>
    </row>
    <row r="322" spans="1:68" x14ac:dyDescent="0.35">
      <c r="A322" s="26" t="str">
        <f>Orders!A322</f>
        <v>ORD-00321</v>
      </c>
      <c r="B322" s="33">
        <f>Orders!B322</f>
        <v>45509</v>
      </c>
      <c r="C322" t="str">
        <f>Orders!C322</f>
        <v>CUST-0212</v>
      </c>
      <c r="D322" t="str">
        <f>Orders!D322</f>
        <v>PROD-016</v>
      </c>
      <c r="E322" t="str">
        <f>Orders!E322</f>
        <v>R001</v>
      </c>
      <c r="F322">
        <f>Orders!F322</f>
        <v>5</v>
      </c>
      <c r="G322" s="35">
        <f>Orders!G322</f>
        <v>620</v>
      </c>
      <c r="H322" s="37">
        <f>Orders!H322</f>
        <v>10.7</v>
      </c>
      <c r="I322" s="39">
        <f>Orders!I322</f>
        <v>2768.3</v>
      </c>
      <c r="J322" t="str">
        <f>Orders!J322</f>
        <v>Refunded</v>
      </c>
      <c r="K322" t="str">
        <f>Orders!K322</f>
        <v>Chennai</v>
      </c>
      <c r="L322" t="str">
        <f>IFERROR(VLOOKUP(D322,Products!$A$2:$F$61,3,FALSE),"")</f>
        <v>Apparel</v>
      </c>
      <c r="M322">
        <f>IFERROR(VLOOKUP(D322,Products!$A$2:$F$61,4,FALSE),"")</f>
        <v>396</v>
      </c>
      <c r="N322" t="str">
        <f>IFERROR(VLOOKUP(E322,Sales_Reps!$A$2:$E$31,3,FALSE),"")</f>
        <v>North</v>
      </c>
      <c r="O322" t="str">
        <f>IFERROR(VLOOKUP(C322,Customers!$A$2:$F$301,5,FALSE),"")</f>
        <v>SMB</v>
      </c>
      <c r="P322">
        <f>IFERROR(VLOOKUP(C322,Customers!$A$2:$F$301,3,FALSE),"")</f>
        <v>46</v>
      </c>
      <c r="Q322" s="41">
        <f t="shared" ref="Q322:Q385" si="14">IFERROR((G322-M322)/G322,0)</f>
        <v>0.36129032258064514</v>
      </c>
      <c r="R322" t="str">
        <f>IFERROR(VLOOKUP(C322,Customers!$A$2:$F$301,1,FALSE),"")</f>
        <v>CUST-0212</v>
      </c>
      <c r="S322" s="27" t="b">
        <f>IFERROR(VLOOKUP(D322,Products!$A$2:$F$61,6,FALSE),"")</f>
        <v>1</v>
      </c>
      <c r="BL322">
        <v>0</v>
      </c>
      <c r="BO322">
        <v>0</v>
      </c>
      <c r="BP322">
        <v>0</v>
      </c>
    </row>
    <row r="323" spans="1:68" x14ac:dyDescent="0.35">
      <c r="A323" s="26" t="str">
        <f>Orders!A323</f>
        <v>ORD-00322</v>
      </c>
      <c r="B323" s="33">
        <f>Orders!B323</f>
        <v>45513</v>
      </c>
      <c r="C323" t="str">
        <f>Orders!C323</f>
        <v>CUST-0104</v>
      </c>
      <c r="D323" t="str">
        <f>Orders!D323</f>
        <v>PROD-018</v>
      </c>
      <c r="E323" t="str">
        <f>Orders!E323</f>
        <v>R003</v>
      </c>
      <c r="F323">
        <f>Orders!F323</f>
        <v>3</v>
      </c>
      <c r="G323" s="35">
        <f>Orders!G323</f>
        <v>3560</v>
      </c>
      <c r="H323" s="37">
        <f>Orders!H323</f>
        <v>4.0999999999999996</v>
      </c>
      <c r="I323" s="39">
        <f>Orders!I323</f>
        <v>10242.120000000001</v>
      </c>
      <c r="J323" t="str">
        <f>Orders!J323</f>
        <v>Completed</v>
      </c>
      <c r="K323" t="str">
        <f>Orders!K323</f>
        <v>Hyderabad</v>
      </c>
      <c r="L323" t="str">
        <f>IFERROR(VLOOKUP(D323,Products!$A$2:$F$61,3,FALSE),"")</f>
        <v>Apparel</v>
      </c>
      <c r="M323">
        <f>IFERROR(VLOOKUP(D323,Products!$A$2:$F$61,4,FALSE),"")</f>
        <v>2629</v>
      </c>
      <c r="N323" t="str">
        <f>IFERROR(VLOOKUP(E323,Sales_Reps!$A$2:$E$31,3,FALSE),"")</f>
        <v>North</v>
      </c>
      <c r="O323" t="str">
        <f>IFERROR(VLOOKUP(C323,Customers!$A$2:$F$301,5,FALSE),"")</f>
        <v>Corporate</v>
      </c>
      <c r="P323">
        <f>IFERROR(VLOOKUP(C323,Customers!$A$2:$F$301,3,FALSE),"")</f>
        <v>43</v>
      </c>
      <c r="Q323" s="41">
        <f t="shared" si="14"/>
        <v>0.26151685393258428</v>
      </c>
      <c r="R323" t="str">
        <f>IFERROR(VLOOKUP(C323,Customers!$A$2:$F$301,1,FALSE),"")</f>
        <v>CUST-0104</v>
      </c>
      <c r="S323" s="27" t="b">
        <f>IFERROR(VLOOKUP(D323,Products!$A$2:$F$61,6,FALSE),"")</f>
        <v>1</v>
      </c>
      <c r="BL323">
        <v>0</v>
      </c>
      <c r="BO323">
        <v>0</v>
      </c>
      <c r="BP323">
        <v>0</v>
      </c>
    </row>
    <row r="324" spans="1:68" x14ac:dyDescent="0.35">
      <c r="A324" s="26" t="str">
        <f>Orders!A324</f>
        <v>ORD-00323</v>
      </c>
      <c r="B324" s="33">
        <f>Orders!B324</f>
        <v>45500</v>
      </c>
      <c r="C324" t="str">
        <f>Orders!C324</f>
        <v>CUST-0157</v>
      </c>
      <c r="D324" t="str">
        <f>Orders!D324</f>
        <v>PROD-058</v>
      </c>
      <c r="E324" t="str">
        <f>Orders!E324</f>
        <v>R012</v>
      </c>
      <c r="F324">
        <f>Orders!F324</f>
        <v>2</v>
      </c>
      <c r="G324" s="35">
        <f>Orders!G324</f>
        <v>2400</v>
      </c>
      <c r="H324" s="37">
        <f>Orders!H324</f>
        <v>13</v>
      </c>
      <c r="I324" s="39">
        <f>Orders!I324</f>
        <v>4176</v>
      </c>
      <c r="J324" t="str">
        <f>Orders!J324</f>
        <v>Completed</v>
      </c>
      <c r="K324" t="str">
        <f>Orders!K324</f>
        <v>Pune</v>
      </c>
      <c r="L324" t="str">
        <f>IFERROR(VLOOKUP(D324,Products!$A$2:$F$61,3,FALSE),"")</f>
        <v>Sports</v>
      </c>
      <c r="M324">
        <f>IFERROR(VLOOKUP(D324,Products!$A$2:$F$61,4,FALSE),"")</f>
        <v>974</v>
      </c>
      <c r="N324" t="str">
        <f>IFERROR(VLOOKUP(E324,Sales_Reps!$A$2:$E$31,3,FALSE),"")</f>
        <v>South</v>
      </c>
      <c r="O324" t="str">
        <f>IFERROR(VLOOKUP(C324,Customers!$A$2:$F$301,5,FALSE),"")</f>
        <v>Corporate</v>
      </c>
      <c r="P324">
        <f>IFERROR(VLOOKUP(C324,Customers!$A$2:$F$301,3,FALSE),"")</f>
        <v>52</v>
      </c>
      <c r="Q324" s="41">
        <f t="shared" si="14"/>
        <v>0.59416666666666662</v>
      </c>
      <c r="R324" t="str">
        <f>IFERROR(VLOOKUP(C324,Customers!$A$2:$F$301,1,FALSE),"")</f>
        <v>CUST-0157</v>
      </c>
      <c r="S324" s="27" t="b">
        <f>IFERROR(VLOOKUP(D324,Products!$A$2:$F$61,6,FALSE),"")</f>
        <v>1</v>
      </c>
      <c r="BL324">
        <v>0</v>
      </c>
      <c r="BO324">
        <v>0</v>
      </c>
      <c r="BP324">
        <v>0</v>
      </c>
    </row>
    <row r="325" spans="1:68" x14ac:dyDescent="0.35">
      <c r="A325" s="26" t="str">
        <f>Orders!A325</f>
        <v>ORD-00324</v>
      </c>
      <c r="B325" s="33">
        <f>Orders!B325</f>
        <v>45407</v>
      </c>
      <c r="C325" t="str">
        <f>Orders!C325</f>
        <v>CUST-0004</v>
      </c>
      <c r="D325" t="str">
        <f>Orders!D325</f>
        <v>PROD-056</v>
      </c>
      <c r="E325" t="str">
        <f>Orders!E325</f>
        <v>R006</v>
      </c>
      <c r="F325">
        <f>Orders!F325</f>
        <v>9</v>
      </c>
      <c r="G325" s="35">
        <f>Orders!G325</f>
        <v>6940</v>
      </c>
      <c r="H325" s="37">
        <f>Orders!H325</f>
        <v>26.2</v>
      </c>
      <c r="I325" s="39">
        <f>Orders!I325</f>
        <v>46095.48</v>
      </c>
      <c r="J325" t="str">
        <f>Orders!J325</f>
        <v>Completed</v>
      </c>
      <c r="K325" t="str">
        <f>Orders!K325</f>
        <v>Delhi</v>
      </c>
      <c r="L325" t="str">
        <f>IFERROR(VLOOKUP(D325,Products!$A$2:$F$61,3,FALSE),"")</f>
        <v>Sports</v>
      </c>
      <c r="M325">
        <f>IFERROR(VLOOKUP(D325,Products!$A$2:$F$61,4,FALSE),"")</f>
        <v>2827</v>
      </c>
      <c r="N325" t="str">
        <f>IFERROR(VLOOKUP(E325,Sales_Reps!$A$2:$E$31,3,FALSE),"")</f>
        <v>North</v>
      </c>
      <c r="O325" t="str">
        <f>IFERROR(VLOOKUP(C325,Customers!$A$2:$F$301,5,FALSE),"")</f>
        <v>Retail</v>
      </c>
      <c r="P325">
        <f>IFERROR(VLOOKUP(C325,Customers!$A$2:$F$301,3,FALSE),"")</f>
        <v>53</v>
      </c>
      <c r="Q325" s="41">
        <f t="shared" si="14"/>
        <v>0.5926512968299712</v>
      </c>
      <c r="R325" t="str">
        <f>IFERROR(VLOOKUP(C325,Customers!$A$2:$F$301,1,FALSE),"")</f>
        <v>CUST-0004</v>
      </c>
      <c r="S325" s="27" t="b">
        <f>IFERROR(VLOOKUP(D325,Products!$A$2:$F$61,6,FALSE),"")</f>
        <v>1</v>
      </c>
      <c r="BL325">
        <v>0</v>
      </c>
      <c r="BO325">
        <v>0</v>
      </c>
      <c r="BP325">
        <v>0</v>
      </c>
    </row>
    <row r="326" spans="1:68" x14ac:dyDescent="0.35">
      <c r="A326" s="26" t="str">
        <f>Orders!A326</f>
        <v>ORD-00325</v>
      </c>
      <c r="B326" s="33">
        <f>Orders!B326</f>
        <v>45385</v>
      </c>
      <c r="C326" t="str">
        <f>Orders!C326</f>
        <v>CUST-0003</v>
      </c>
      <c r="D326" t="str">
        <f>Orders!D326</f>
        <v>PROD-023</v>
      </c>
      <c r="E326" t="str">
        <f>Orders!E326</f>
        <v>R025</v>
      </c>
      <c r="F326">
        <f>Orders!F326</f>
        <v>9</v>
      </c>
      <c r="G326" s="35">
        <f>Orders!G326</f>
        <v>2380</v>
      </c>
      <c r="H326" s="37">
        <f>Orders!H326</f>
        <v>22.7</v>
      </c>
      <c r="I326" s="39">
        <f>Orders!I326</f>
        <v>16557.66</v>
      </c>
      <c r="J326" t="str">
        <f>Orders!J326</f>
        <v>Completed</v>
      </c>
      <c r="K326" t="str">
        <f>Orders!K326</f>
        <v>Mumbai</v>
      </c>
      <c r="L326" t="str">
        <f>IFERROR(VLOOKUP(D326,Products!$A$2:$F$61,3,FALSE),"")</f>
        <v>Grocery</v>
      </c>
      <c r="M326">
        <f>IFERROR(VLOOKUP(D326,Products!$A$2:$F$61,4,FALSE),"")</f>
        <v>1182</v>
      </c>
      <c r="N326" t="str">
        <f>IFERROR(VLOOKUP(E326,Sales_Reps!$A$2:$E$31,3,FALSE),"")</f>
        <v>West</v>
      </c>
      <c r="O326" t="str">
        <f>IFERROR(VLOOKUP(C326,Customers!$A$2:$F$301,5,FALSE),"")</f>
        <v>Retail</v>
      </c>
      <c r="P326">
        <f>IFERROR(VLOOKUP(C326,Customers!$A$2:$F$301,3,FALSE),"")</f>
        <v>33</v>
      </c>
      <c r="Q326" s="41">
        <f t="shared" si="14"/>
        <v>0.50336134453781511</v>
      </c>
      <c r="R326" t="str">
        <f>IFERROR(VLOOKUP(C326,Customers!$A$2:$F$301,1,FALSE),"")</f>
        <v>CUST-0003</v>
      </c>
      <c r="S326" s="27" t="b">
        <f>IFERROR(VLOOKUP(D326,Products!$A$2:$F$61,6,FALSE),"")</f>
        <v>1</v>
      </c>
      <c r="BL326">
        <v>0</v>
      </c>
      <c r="BO326">
        <v>0</v>
      </c>
      <c r="BP326">
        <v>0</v>
      </c>
    </row>
    <row r="327" spans="1:68" x14ac:dyDescent="0.35">
      <c r="A327" s="26" t="str">
        <f>Orders!A327</f>
        <v>ORD-00326</v>
      </c>
      <c r="B327" s="33">
        <f>Orders!B327</f>
        <v>45542</v>
      </c>
      <c r="C327" t="str">
        <f>Orders!C327</f>
        <v>CUST-0175</v>
      </c>
      <c r="D327" t="str">
        <f>Orders!D327</f>
        <v>PROD-014</v>
      </c>
      <c r="E327" t="str">
        <f>Orders!E327</f>
        <v>R028</v>
      </c>
      <c r="F327">
        <f>Orders!F327</f>
        <v>6</v>
      </c>
      <c r="G327" s="35">
        <f>Orders!G327</f>
        <v>3620</v>
      </c>
      <c r="H327" s="37">
        <f>Orders!H327</f>
        <v>9.1999999999999993</v>
      </c>
      <c r="I327" s="39">
        <f>Orders!I327</f>
        <v>19721.759999999998</v>
      </c>
      <c r="J327" t="str">
        <f>Orders!J327</f>
        <v>Completed</v>
      </c>
      <c r="K327" t="str">
        <f>Orders!K327</f>
        <v>Delhi</v>
      </c>
      <c r="L327" t="str">
        <f>IFERROR(VLOOKUP(D327,Products!$A$2:$F$61,3,FALSE),"")</f>
        <v>Apparel</v>
      </c>
      <c r="M327">
        <f>IFERROR(VLOOKUP(D327,Products!$A$2:$F$61,4,FALSE),"")</f>
        <v>2509</v>
      </c>
      <c r="N327" t="str">
        <f>IFERROR(VLOOKUP(E327,Sales_Reps!$A$2:$E$31,3,FALSE),"")</f>
        <v>West</v>
      </c>
      <c r="O327" t="str">
        <f>IFERROR(VLOOKUP(C327,Customers!$A$2:$F$301,5,FALSE),"")</f>
        <v>Corporate</v>
      </c>
      <c r="P327">
        <f>IFERROR(VLOOKUP(C327,Customers!$A$2:$F$301,3,FALSE),"")</f>
        <v>55</v>
      </c>
      <c r="Q327" s="41">
        <f t="shared" si="14"/>
        <v>0.3069060773480663</v>
      </c>
      <c r="R327" t="str">
        <f>IFERROR(VLOOKUP(C327,Customers!$A$2:$F$301,1,FALSE),"")</f>
        <v>CUST-0175</v>
      </c>
      <c r="S327" s="27" t="b">
        <f>IFERROR(VLOOKUP(D327,Products!$A$2:$F$61,6,FALSE),"")</f>
        <v>1</v>
      </c>
      <c r="BL327">
        <v>0</v>
      </c>
      <c r="BO327">
        <v>0</v>
      </c>
      <c r="BP327">
        <v>0</v>
      </c>
    </row>
    <row r="328" spans="1:68" x14ac:dyDescent="0.35">
      <c r="A328" s="26" t="str">
        <f>Orders!A328</f>
        <v>ORD-00327</v>
      </c>
      <c r="B328" s="33">
        <f>Orders!B328</f>
        <v>45422</v>
      </c>
      <c r="C328" t="str">
        <f>Orders!C328</f>
        <v>CUST-0104</v>
      </c>
      <c r="D328" t="str">
        <f>Orders!D328</f>
        <v>PROD-050</v>
      </c>
      <c r="E328" t="str">
        <f>Orders!E328</f>
        <v>R004</v>
      </c>
      <c r="F328">
        <f>Orders!F328</f>
        <v>1</v>
      </c>
      <c r="G328" s="35">
        <f>Orders!G328</f>
        <v>6080</v>
      </c>
      <c r="H328" s="37">
        <f>Orders!H328</f>
        <v>29.4</v>
      </c>
      <c r="I328" s="39">
        <f>Orders!I328</f>
        <v>4292.4799999999996</v>
      </c>
      <c r="J328" t="str">
        <f>Orders!J328</f>
        <v>Cancelled</v>
      </c>
      <c r="K328" t="str">
        <f>Orders!K328</f>
        <v>Hyderabad</v>
      </c>
      <c r="L328" t="str">
        <f>IFERROR(VLOOKUP(D328,Products!$A$2:$F$61,3,FALSE),"")</f>
        <v>Beauty</v>
      </c>
      <c r="M328">
        <f>IFERROR(VLOOKUP(D328,Products!$A$2:$F$61,4,FALSE),"")</f>
        <v>2617</v>
      </c>
      <c r="N328" t="str">
        <f>IFERROR(VLOOKUP(E328,Sales_Reps!$A$2:$E$31,3,FALSE),"")</f>
        <v>North</v>
      </c>
      <c r="O328" t="str">
        <f>IFERROR(VLOOKUP(C328,Customers!$A$2:$F$301,5,FALSE),"")</f>
        <v>Corporate</v>
      </c>
      <c r="P328">
        <f>IFERROR(VLOOKUP(C328,Customers!$A$2:$F$301,3,FALSE),"")</f>
        <v>43</v>
      </c>
      <c r="Q328" s="41">
        <f t="shared" si="14"/>
        <v>0.56957236842105263</v>
      </c>
      <c r="R328" t="str">
        <f>IFERROR(VLOOKUP(C328,Customers!$A$2:$F$301,1,FALSE),"")</f>
        <v>CUST-0104</v>
      </c>
      <c r="S328" s="27" t="b">
        <f>IFERROR(VLOOKUP(D328,Products!$A$2:$F$61,6,FALSE),"")</f>
        <v>1</v>
      </c>
      <c r="BL328">
        <v>0</v>
      </c>
      <c r="BO328">
        <v>0</v>
      </c>
      <c r="BP328">
        <v>0</v>
      </c>
    </row>
    <row r="329" spans="1:68" x14ac:dyDescent="0.35">
      <c r="A329" s="26" t="str">
        <f>Orders!A329</f>
        <v>ORD-00328</v>
      </c>
      <c r="B329" s="33">
        <f>Orders!B329</f>
        <v>45343</v>
      </c>
      <c r="C329" t="str">
        <f>Orders!C329</f>
        <v>CUST-0196</v>
      </c>
      <c r="D329" t="str">
        <f>Orders!D329</f>
        <v>PROD-020</v>
      </c>
      <c r="E329" t="str">
        <f>Orders!E329</f>
        <v>R018</v>
      </c>
      <c r="F329">
        <f>Orders!F329</f>
        <v>6</v>
      </c>
      <c r="G329" s="35">
        <f>Orders!G329</f>
        <v>820</v>
      </c>
      <c r="H329" s="37">
        <f>Orders!H329</f>
        <v>29.1</v>
      </c>
      <c r="I329" s="39">
        <f>Orders!I329</f>
        <v>3488.28</v>
      </c>
      <c r="J329" t="str">
        <f>Orders!J329</f>
        <v>Completed</v>
      </c>
      <c r="K329" t="str">
        <f>Orders!K329</f>
        <v>Chennai</v>
      </c>
      <c r="L329" t="str">
        <f>IFERROR(VLOOKUP(D329,Products!$A$2:$F$61,3,FALSE),"")</f>
        <v>Apparel</v>
      </c>
      <c r="M329">
        <f>IFERROR(VLOOKUP(D329,Products!$A$2:$F$61,4,FALSE),"")</f>
        <v>391</v>
      </c>
      <c r="N329" t="str">
        <f>IFERROR(VLOOKUP(E329,Sales_Reps!$A$2:$E$31,3,FALSE),"")</f>
        <v>East</v>
      </c>
      <c r="O329" t="str">
        <f>IFERROR(VLOOKUP(C329,Customers!$A$2:$F$301,5,FALSE),"")</f>
        <v>Retail</v>
      </c>
      <c r="P329">
        <f>IFERROR(VLOOKUP(C329,Customers!$A$2:$F$301,3,FALSE),"")</f>
        <v>26</v>
      </c>
      <c r="Q329" s="41">
        <f t="shared" si="14"/>
        <v>0.52317073170731709</v>
      </c>
      <c r="R329" t="str">
        <f>IFERROR(VLOOKUP(C329,Customers!$A$2:$F$301,1,FALSE),"")</f>
        <v>CUST-0196</v>
      </c>
      <c r="S329" s="27" t="b">
        <f>IFERROR(VLOOKUP(D329,Products!$A$2:$F$61,6,FALSE),"")</f>
        <v>1</v>
      </c>
      <c r="BL329">
        <v>0</v>
      </c>
      <c r="BO329">
        <v>0</v>
      </c>
      <c r="BP329">
        <v>0</v>
      </c>
    </row>
    <row r="330" spans="1:68" x14ac:dyDescent="0.35">
      <c r="A330" s="26" t="str">
        <f>Orders!A330</f>
        <v>ORD-00329</v>
      </c>
      <c r="B330" s="33">
        <f>Orders!B330</f>
        <v>45646</v>
      </c>
      <c r="C330" t="str">
        <f>Orders!C330</f>
        <v>CUST-0299</v>
      </c>
      <c r="D330" t="str">
        <f>Orders!D330</f>
        <v>PROD-045</v>
      </c>
      <c r="E330" t="str">
        <f>Orders!E330</f>
        <v>R024</v>
      </c>
      <c r="F330">
        <f>Orders!F330</f>
        <v>9</v>
      </c>
      <c r="G330" s="35">
        <f>Orders!G330</f>
        <v>3020</v>
      </c>
      <c r="H330" s="37">
        <f>Orders!H330</f>
        <v>7.9</v>
      </c>
      <c r="I330" s="39">
        <f>Orders!I330</f>
        <v>25032.78</v>
      </c>
      <c r="J330" t="str">
        <f>Orders!J330</f>
        <v>Completed</v>
      </c>
      <c r="K330" t="str">
        <f>Orders!K330</f>
        <v>Mumbai</v>
      </c>
      <c r="L330" t="str">
        <f>IFERROR(VLOOKUP(D330,Products!$A$2:$F$61,3,FALSE),"")</f>
        <v>Beauty</v>
      </c>
      <c r="M330">
        <f>IFERROR(VLOOKUP(D330,Products!$A$2:$F$61,4,FALSE),"")</f>
        <v>1626</v>
      </c>
      <c r="N330" t="str">
        <f>IFERROR(VLOOKUP(E330,Sales_Reps!$A$2:$E$31,3,FALSE),"")</f>
        <v>West</v>
      </c>
      <c r="O330" t="str">
        <f>IFERROR(VLOOKUP(C330,Customers!$A$2:$F$301,5,FALSE),"")</f>
        <v>Corporate</v>
      </c>
      <c r="P330">
        <f>IFERROR(VLOOKUP(C330,Customers!$A$2:$F$301,3,FALSE),"")</f>
        <v>51</v>
      </c>
      <c r="Q330" s="41">
        <f t="shared" si="14"/>
        <v>0.46158940397350995</v>
      </c>
      <c r="R330" t="str">
        <f>IFERROR(VLOOKUP(C330,Customers!$A$2:$F$301,1,FALSE),"")</f>
        <v>CUST-0299</v>
      </c>
      <c r="S330" s="27" t="b">
        <f>IFERROR(VLOOKUP(D330,Products!$A$2:$F$61,6,FALSE),"")</f>
        <v>1</v>
      </c>
      <c r="BL330">
        <v>0</v>
      </c>
      <c r="BO330">
        <v>0</v>
      </c>
      <c r="BP330">
        <v>0</v>
      </c>
    </row>
    <row r="331" spans="1:68" x14ac:dyDescent="0.35">
      <c r="A331" s="26" t="str">
        <f>Orders!A331</f>
        <v>ORD-00330</v>
      </c>
      <c r="B331" s="33">
        <f>Orders!B331</f>
        <v>45645</v>
      </c>
      <c r="C331" t="str">
        <f>Orders!C331</f>
        <v>CUST-0066</v>
      </c>
      <c r="D331" t="str">
        <f>Orders!D331</f>
        <v>PROD-004</v>
      </c>
      <c r="E331" t="str">
        <f>Orders!E331</f>
        <v>R029</v>
      </c>
      <c r="F331">
        <f>Orders!F331</f>
        <v>8</v>
      </c>
      <c r="G331" s="35">
        <f>Orders!G331</f>
        <v>3870</v>
      </c>
      <c r="H331" s="37">
        <f>Orders!H331</f>
        <v>11.9</v>
      </c>
      <c r="I331" s="39">
        <f>Orders!I331</f>
        <v>27275.759999999998</v>
      </c>
      <c r="J331" t="str">
        <f>Orders!J331</f>
        <v>Completed</v>
      </c>
      <c r="K331" t="str">
        <f>Orders!K331</f>
        <v>Delhi</v>
      </c>
      <c r="L331" t="str">
        <f>IFERROR(VLOOKUP(D331,Products!$A$2:$F$61,3,FALSE),"")</f>
        <v>Electronics</v>
      </c>
      <c r="M331">
        <f>IFERROR(VLOOKUP(D331,Products!$A$2:$F$61,4,FALSE),"")</f>
        <v>1559</v>
      </c>
      <c r="N331" t="str">
        <f>IFERROR(VLOOKUP(E331,Sales_Reps!$A$2:$E$31,3,FALSE),"")</f>
        <v>West</v>
      </c>
      <c r="O331" t="str">
        <f>IFERROR(VLOOKUP(C331,Customers!$A$2:$F$301,5,FALSE),"")</f>
        <v>Retail</v>
      </c>
      <c r="P331">
        <f>IFERROR(VLOOKUP(C331,Customers!$A$2:$F$301,3,FALSE),"")</f>
        <v>24</v>
      </c>
      <c r="Q331" s="41">
        <f t="shared" si="14"/>
        <v>0.59715762273901807</v>
      </c>
      <c r="R331" t="str">
        <f>IFERROR(VLOOKUP(C331,Customers!$A$2:$F$301,1,FALSE),"")</f>
        <v>CUST-0066</v>
      </c>
      <c r="S331" s="27" t="b">
        <f>IFERROR(VLOOKUP(D331,Products!$A$2:$F$61,6,FALSE),"")</f>
        <v>1</v>
      </c>
      <c r="BL331">
        <v>0</v>
      </c>
      <c r="BO331">
        <v>0</v>
      </c>
      <c r="BP331">
        <v>0</v>
      </c>
    </row>
    <row r="332" spans="1:68" x14ac:dyDescent="0.35">
      <c r="A332" s="26" t="str">
        <f>Orders!A332</f>
        <v>ORD-00331</v>
      </c>
      <c r="B332" s="33">
        <f>Orders!B332</f>
        <v>45528</v>
      </c>
      <c r="C332" t="str">
        <f>Orders!C332</f>
        <v>CUST-0080</v>
      </c>
      <c r="D332" t="str">
        <f>Orders!D332</f>
        <v>PROD-047</v>
      </c>
      <c r="E332" t="str">
        <f>Orders!E332</f>
        <v>R030</v>
      </c>
      <c r="F332">
        <f>Orders!F332</f>
        <v>6</v>
      </c>
      <c r="G332" s="35">
        <f>Orders!G332</f>
        <v>3450</v>
      </c>
      <c r="H332" s="37">
        <f>Orders!H332</f>
        <v>13.9</v>
      </c>
      <c r="I332" s="39">
        <f>Orders!I332</f>
        <v>17822.7</v>
      </c>
      <c r="J332" t="str">
        <f>Orders!J332</f>
        <v>Completed</v>
      </c>
      <c r="K332" t="str">
        <f>Orders!K332</f>
        <v>Pune</v>
      </c>
      <c r="L332" t="str">
        <f>IFERROR(VLOOKUP(D332,Products!$A$2:$F$61,3,FALSE),"")</f>
        <v>Beauty</v>
      </c>
      <c r="M332">
        <f>IFERROR(VLOOKUP(D332,Products!$A$2:$F$61,4,FALSE),"")</f>
        <v>2420</v>
      </c>
      <c r="N332" t="str">
        <f>IFERROR(VLOOKUP(E332,Sales_Reps!$A$2:$E$31,3,FALSE),"")</f>
        <v>West</v>
      </c>
      <c r="O332" t="str">
        <f>IFERROR(VLOOKUP(C332,Customers!$A$2:$F$301,5,FALSE),"")</f>
        <v>SMB</v>
      </c>
      <c r="P332">
        <f>IFERROR(VLOOKUP(C332,Customers!$A$2:$F$301,3,FALSE),"")</f>
        <v>30</v>
      </c>
      <c r="Q332" s="41">
        <f t="shared" si="14"/>
        <v>0.29855072463768118</v>
      </c>
      <c r="R332" t="str">
        <f>IFERROR(VLOOKUP(C332,Customers!$A$2:$F$301,1,FALSE),"")</f>
        <v>CUST-0080</v>
      </c>
      <c r="S332" s="27" t="b">
        <f>IFERROR(VLOOKUP(D332,Products!$A$2:$F$61,6,FALSE),"")</f>
        <v>1</v>
      </c>
      <c r="BL332">
        <v>0</v>
      </c>
      <c r="BO332">
        <v>0</v>
      </c>
      <c r="BP332">
        <v>0</v>
      </c>
    </row>
    <row r="333" spans="1:68" x14ac:dyDescent="0.35">
      <c r="A333" s="26" t="str">
        <f>Orders!A333</f>
        <v>ORD-00332</v>
      </c>
      <c r="B333" s="33">
        <f>Orders!B333</f>
        <v>45655</v>
      </c>
      <c r="C333" t="str">
        <f>Orders!C333</f>
        <v>CUST-0138</v>
      </c>
      <c r="D333" t="str">
        <f>Orders!D333</f>
        <v>PROD-048</v>
      </c>
      <c r="E333" t="str">
        <f>Orders!E333</f>
        <v>R008</v>
      </c>
      <c r="F333">
        <f>Orders!F333</f>
        <v>9</v>
      </c>
      <c r="G333" s="35">
        <f>Orders!G333</f>
        <v>5100</v>
      </c>
      <c r="H333" s="37">
        <f>Orders!H333</f>
        <v>2.1</v>
      </c>
      <c r="I333" s="39">
        <f>Orders!I333</f>
        <v>44936.1</v>
      </c>
      <c r="J333" t="str">
        <f>Orders!J333</f>
        <v>Completed</v>
      </c>
      <c r="K333" t="str">
        <f>Orders!K333</f>
        <v>Chennai</v>
      </c>
      <c r="L333" t="str">
        <f>IFERROR(VLOOKUP(D333,Products!$A$2:$F$61,3,FALSE),"")</f>
        <v>Beauty</v>
      </c>
      <c r="M333">
        <f>IFERROR(VLOOKUP(D333,Products!$A$2:$F$61,4,FALSE),"")</f>
        <v>2237</v>
      </c>
      <c r="N333" t="str">
        <f>IFERROR(VLOOKUP(E333,Sales_Reps!$A$2:$E$31,3,FALSE),"")</f>
        <v>North</v>
      </c>
      <c r="O333" t="str">
        <f>IFERROR(VLOOKUP(C333,Customers!$A$2:$F$301,5,FALSE),"")</f>
        <v>Retail</v>
      </c>
      <c r="P333">
        <f>IFERROR(VLOOKUP(C333,Customers!$A$2:$F$301,3,FALSE),"")</f>
        <v>24</v>
      </c>
      <c r="Q333" s="41">
        <f t="shared" si="14"/>
        <v>0.56137254901960787</v>
      </c>
      <c r="R333" t="str">
        <f>IFERROR(VLOOKUP(C333,Customers!$A$2:$F$301,1,FALSE),"")</f>
        <v>CUST-0138</v>
      </c>
      <c r="S333" s="27" t="b">
        <f>IFERROR(VLOOKUP(D333,Products!$A$2:$F$61,6,FALSE),"")</f>
        <v>1</v>
      </c>
      <c r="BL333">
        <v>0</v>
      </c>
      <c r="BO333">
        <v>0</v>
      </c>
      <c r="BP333">
        <v>0</v>
      </c>
    </row>
    <row r="334" spans="1:68" x14ac:dyDescent="0.35">
      <c r="A334" s="26" t="str">
        <f>Orders!A334</f>
        <v>ORD-00333</v>
      </c>
      <c r="B334" s="33">
        <f>Orders!B334</f>
        <v>45518</v>
      </c>
      <c r="C334" t="str">
        <f>Orders!C334</f>
        <v>CUST-0253</v>
      </c>
      <c r="D334" t="str">
        <f>Orders!D334</f>
        <v>PROD-026</v>
      </c>
      <c r="E334" t="str">
        <f>Orders!E334</f>
        <v>R008</v>
      </c>
      <c r="F334">
        <f>Orders!F334</f>
        <v>2</v>
      </c>
      <c r="G334" s="35">
        <f>Orders!G334</f>
        <v>4070</v>
      </c>
      <c r="H334" s="37">
        <f>Orders!H334</f>
        <v>28.6</v>
      </c>
      <c r="I334" s="39">
        <f>Orders!I334</f>
        <v>5811.96</v>
      </c>
      <c r="J334" t="str">
        <f>Orders!J334</f>
        <v>Completed</v>
      </c>
      <c r="K334" t="str">
        <f>Orders!K334</f>
        <v>Delhi</v>
      </c>
      <c r="L334" t="str">
        <f>IFERROR(VLOOKUP(D334,Products!$A$2:$F$61,3,FALSE),"")</f>
        <v>Grocery</v>
      </c>
      <c r="M334">
        <f>IFERROR(VLOOKUP(D334,Products!$A$2:$F$61,4,FALSE),"")</f>
        <v>2027</v>
      </c>
      <c r="N334" t="str">
        <f>IFERROR(VLOOKUP(E334,Sales_Reps!$A$2:$E$31,3,FALSE),"")</f>
        <v>North</v>
      </c>
      <c r="O334" t="str">
        <f>IFERROR(VLOOKUP(C334,Customers!$A$2:$F$301,5,FALSE),"")</f>
        <v>SMB</v>
      </c>
      <c r="P334">
        <f>IFERROR(VLOOKUP(C334,Customers!$A$2:$F$301,3,FALSE),"")</f>
        <v>53</v>
      </c>
      <c r="Q334" s="41">
        <f t="shared" si="14"/>
        <v>0.50196560196560192</v>
      </c>
      <c r="R334" t="str">
        <f>IFERROR(VLOOKUP(C334,Customers!$A$2:$F$301,1,FALSE),"")</f>
        <v>CUST-0253</v>
      </c>
      <c r="S334" s="27" t="b">
        <f>IFERROR(VLOOKUP(D334,Products!$A$2:$F$61,6,FALSE),"")</f>
        <v>1</v>
      </c>
      <c r="BL334">
        <v>0</v>
      </c>
      <c r="BO334">
        <v>0</v>
      </c>
      <c r="BP334">
        <v>0</v>
      </c>
    </row>
    <row r="335" spans="1:68" x14ac:dyDescent="0.35">
      <c r="A335" s="26" t="str">
        <f>Orders!A335</f>
        <v>ORD-00334</v>
      </c>
      <c r="B335" s="33">
        <f>Orders!B335</f>
        <v>45339</v>
      </c>
      <c r="C335" t="str">
        <f>Orders!C335</f>
        <v>CUST-0247</v>
      </c>
      <c r="D335" t="str">
        <f>Orders!D335</f>
        <v>PROD-001</v>
      </c>
      <c r="E335" t="str">
        <f>Orders!E335</f>
        <v>R007</v>
      </c>
      <c r="F335">
        <f>Orders!F335</f>
        <v>9</v>
      </c>
      <c r="G335" s="35">
        <f>Orders!G335</f>
        <v>5330</v>
      </c>
      <c r="H335" s="37">
        <f>Orders!H335</f>
        <v>6.2</v>
      </c>
      <c r="I335" s="39">
        <f>Orders!I335</f>
        <v>44995.86</v>
      </c>
      <c r="J335" t="str">
        <f>Orders!J335</f>
        <v>Completed</v>
      </c>
      <c r="K335" t="str">
        <f>Orders!K335</f>
        <v>Pune</v>
      </c>
      <c r="L335" t="str">
        <f>IFERROR(VLOOKUP(D335,Products!$A$2:$F$61,3,FALSE),"")</f>
        <v>Electronics</v>
      </c>
      <c r="M335">
        <f>IFERROR(VLOOKUP(D335,Products!$A$2:$F$61,4,FALSE),"")</f>
        <v>2405</v>
      </c>
      <c r="N335" t="str">
        <f>IFERROR(VLOOKUP(E335,Sales_Reps!$A$2:$E$31,3,FALSE),"")</f>
        <v>North</v>
      </c>
      <c r="O335" t="str">
        <f>IFERROR(VLOOKUP(C335,Customers!$A$2:$F$301,5,FALSE),"")</f>
        <v>SMB</v>
      </c>
      <c r="P335">
        <f>IFERROR(VLOOKUP(C335,Customers!$A$2:$F$301,3,FALSE),"")</f>
        <v>35</v>
      </c>
      <c r="Q335" s="41">
        <f t="shared" si="14"/>
        <v>0.54878048780487809</v>
      </c>
      <c r="R335" t="str">
        <f>IFERROR(VLOOKUP(C335,Customers!$A$2:$F$301,1,FALSE),"")</f>
        <v>CUST-0247</v>
      </c>
      <c r="S335" s="27" t="b">
        <f>IFERROR(VLOOKUP(D335,Products!$A$2:$F$61,6,FALSE),"")</f>
        <v>1</v>
      </c>
      <c r="BL335">
        <v>0</v>
      </c>
      <c r="BO335">
        <v>0</v>
      </c>
      <c r="BP335">
        <v>0</v>
      </c>
    </row>
    <row r="336" spans="1:68" x14ac:dyDescent="0.35">
      <c r="A336" s="26" t="str">
        <f>Orders!A336</f>
        <v>ORD-00335</v>
      </c>
      <c r="B336" s="33">
        <f>Orders!B336</f>
        <v>45319</v>
      </c>
      <c r="C336" t="str">
        <f>Orders!C336</f>
        <v>CUST-0269</v>
      </c>
      <c r="D336" t="str">
        <f>Orders!D336</f>
        <v>PROD-024</v>
      </c>
      <c r="E336" t="str">
        <f>Orders!E336</f>
        <v>R020</v>
      </c>
      <c r="F336">
        <f>Orders!F336</f>
        <v>6</v>
      </c>
      <c r="G336" s="35">
        <f>Orders!G336</f>
        <v>2270</v>
      </c>
      <c r="H336" s="37">
        <f>Orders!H336</f>
        <v>23.7</v>
      </c>
      <c r="I336" s="39">
        <f>Orders!I336</f>
        <v>10392.06</v>
      </c>
      <c r="J336" t="str">
        <f>Orders!J336</f>
        <v>Completed</v>
      </c>
      <c r="K336" t="str">
        <f>Orders!K336</f>
        <v>PUNE</v>
      </c>
      <c r="L336" t="str">
        <f>IFERROR(VLOOKUP(D336,Products!$A$2:$F$61,3,FALSE),"")</f>
        <v>Grocery</v>
      </c>
      <c r="M336">
        <f>IFERROR(VLOOKUP(D336,Products!$A$2:$F$61,4,FALSE),"")</f>
        <v>1203</v>
      </c>
      <c r="N336" t="str">
        <f>IFERROR(VLOOKUP(E336,Sales_Reps!$A$2:$E$31,3,FALSE),"")</f>
        <v>East</v>
      </c>
      <c r="O336" t="str">
        <f>IFERROR(VLOOKUP(C336,Customers!$A$2:$F$301,5,FALSE),"")</f>
        <v>Retail</v>
      </c>
      <c r="P336">
        <f>IFERROR(VLOOKUP(C336,Customers!$A$2:$F$301,3,FALSE),"")</f>
        <v>48</v>
      </c>
      <c r="Q336" s="41">
        <f t="shared" si="14"/>
        <v>0.47004405286343615</v>
      </c>
      <c r="R336" t="str">
        <f>IFERROR(VLOOKUP(C336,Customers!$A$2:$F$301,1,FALSE),"")</f>
        <v>CUST-0269</v>
      </c>
      <c r="S336" s="27" t="b">
        <f>IFERROR(VLOOKUP(D336,Products!$A$2:$F$61,6,FALSE),"")</f>
        <v>1</v>
      </c>
      <c r="BL336">
        <v>0.5</v>
      </c>
      <c r="BO336">
        <v>0</v>
      </c>
      <c r="BP336">
        <v>0</v>
      </c>
    </row>
    <row r="337" spans="1:68" x14ac:dyDescent="0.35">
      <c r="A337" s="26" t="str">
        <f>Orders!A337</f>
        <v>ORD-00336</v>
      </c>
      <c r="B337" s="33">
        <f>Orders!B337</f>
        <v>45618</v>
      </c>
      <c r="C337" t="str">
        <f>Orders!C337</f>
        <v>CUST-0008</v>
      </c>
      <c r="D337" t="str">
        <f>Orders!D337</f>
        <v>PROD-017</v>
      </c>
      <c r="E337" t="str">
        <f>Orders!E337</f>
        <v>R024</v>
      </c>
      <c r="F337">
        <f>Orders!F337</f>
        <v>5</v>
      </c>
      <c r="G337" s="35">
        <f>Orders!G337</f>
        <v>2510</v>
      </c>
      <c r="H337" s="37">
        <f>Orders!H337</f>
        <v>25</v>
      </c>
      <c r="I337" s="39">
        <f>Orders!I337</f>
        <v>9412.5</v>
      </c>
      <c r="J337" t="str">
        <f>Orders!J337</f>
        <v>Completed</v>
      </c>
      <c r="K337" t="str">
        <f>Orders!K337</f>
        <v>Pune</v>
      </c>
      <c r="L337" t="str">
        <f>IFERROR(VLOOKUP(D337,Products!$A$2:$F$61,3,FALSE),"")</f>
        <v>Apparel</v>
      </c>
      <c r="M337">
        <f>IFERROR(VLOOKUP(D337,Products!$A$2:$F$61,4,FALSE),"")</f>
        <v>1075</v>
      </c>
      <c r="N337" t="str">
        <f>IFERROR(VLOOKUP(E337,Sales_Reps!$A$2:$E$31,3,FALSE),"")</f>
        <v>West</v>
      </c>
      <c r="O337" t="str">
        <f>IFERROR(VLOOKUP(C337,Customers!$A$2:$F$301,5,FALSE),"")</f>
        <v>SMB</v>
      </c>
      <c r="P337">
        <f>IFERROR(VLOOKUP(C337,Customers!$A$2:$F$301,3,FALSE),"")</f>
        <v>39</v>
      </c>
      <c r="Q337" s="41">
        <f t="shared" si="14"/>
        <v>0.57171314741035861</v>
      </c>
      <c r="R337" t="str">
        <f>IFERROR(VLOOKUP(C337,Customers!$A$2:$F$301,1,FALSE),"")</f>
        <v>CUST-0008</v>
      </c>
      <c r="S337" s="27" t="b">
        <f>IFERROR(VLOOKUP(D337,Products!$A$2:$F$61,6,FALSE),"")</f>
        <v>0</v>
      </c>
      <c r="BL337">
        <v>0</v>
      </c>
      <c r="BO337">
        <v>0</v>
      </c>
      <c r="BP337">
        <v>1</v>
      </c>
    </row>
    <row r="338" spans="1:68" x14ac:dyDescent="0.35">
      <c r="A338" s="26" t="str">
        <f>Orders!A338</f>
        <v>ORD-00337</v>
      </c>
      <c r="B338" s="33">
        <f>Orders!B338</f>
        <v>45335</v>
      </c>
      <c r="C338" t="str">
        <f>Orders!C338</f>
        <v>CUST-0134</v>
      </c>
      <c r="D338" t="str">
        <f>Orders!D338</f>
        <v>PROD-023</v>
      </c>
      <c r="E338" t="str">
        <f>Orders!E338</f>
        <v>R019</v>
      </c>
      <c r="F338">
        <f>Orders!F338</f>
        <v>9</v>
      </c>
      <c r="G338" s="35">
        <f>Orders!G338</f>
        <v>2380</v>
      </c>
      <c r="H338" s="37">
        <f>Orders!H338</f>
        <v>16.8</v>
      </c>
      <c r="I338" s="39">
        <f>Orders!I338</f>
        <v>17821.439999999999</v>
      </c>
      <c r="J338" t="str">
        <f>Orders!J338</f>
        <v>Completed</v>
      </c>
      <c r="K338" t="str">
        <f>Orders!K338</f>
        <v>Delhi</v>
      </c>
      <c r="L338" t="str">
        <f>IFERROR(VLOOKUP(D338,Products!$A$2:$F$61,3,FALSE),"")</f>
        <v>Grocery</v>
      </c>
      <c r="M338">
        <f>IFERROR(VLOOKUP(D338,Products!$A$2:$F$61,4,FALSE),"")</f>
        <v>1182</v>
      </c>
      <c r="N338" t="str">
        <f>IFERROR(VLOOKUP(E338,Sales_Reps!$A$2:$E$31,3,FALSE),"")</f>
        <v>East</v>
      </c>
      <c r="O338" t="str">
        <f>IFERROR(VLOOKUP(C338,Customers!$A$2:$F$301,5,FALSE),"")</f>
        <v>Retail</v>
      </c>
      <c r="P338">
        <f>IFERROR(VLOOKUP(C338,Customers!$A$2:$F$301,3,FALSE),"")</f>
        <v>40</v>
      </c>
      <c r="Q338" s="41">
        <f t="shared" si="14"/>
        <v>0.50336134453781511</v>
      </c>
      <c r="R338" t="str">
        <f>IFERROR(VLOOKUP(C338,Customers!$A$2:$F$301,1,FALSE),"")</f>
        <v>CUST-0134</v>
      </c>
      <c r="S338" s="27" t="b">
        <f>IFERROR(VLOOKUP(D338,Products!$A$2:$F$61,6,FALSE),"")</f>
        <v>1</v>
      </c>
      <c r="BL338">
        <v>0</v>
      </c>
      <c r="BO338">
        <v>0</v>
      </c>
      <c r="BP338">
        <v>0</v>
      </c>
    </row>
    <row r="339" spans="1:68" x14ac:dyDescent="0.35">
      <c r="A339" s="26" t="str">
        <f>Orders!A339</f>
        <v>ORD-00338</v>
      </c>
      <c r="B339" s="33">
        <f>Orders!B339</f>
        <v>45420</v>
      </c>
      <c r="C339" t="str">
        <f>Orders!C339</f>
        <v>CUST-0016</v>
      </c>
      <c r="D339" t="str">
        <f>Orders!D339</f>
        <v>PROD-011</v>
      </c>
      <c r="E339" t="str">
        <f>Orders!E339</f>
        <v>R008</v>
      </c>
      <c r="F339">
        <f>Orders!F339</f>
        <v>1</v>
      </c>
      <c r="G339" s="35">
        <f>Orders!G339</f>
        <v>3450</v>
      </c>
      <c r="H339" s="37">
        <f>Orders!H339</f>
        <v>1.5</v>
      </c>
      <c r="I339" s="39">
        <f>Orders!I339</f>
        <v>3398.25</v>
      </c>
      <c r="J339" t="str">
        <f>Orders!J339</f>
        <v>Refunded</v>
      </c>
      <c r="K339" t="str">
        <f>Orders!K339</f>
        <v>Delhi</v>
      </c>
      <c r="L339" t="str">
        <f>IFERROR(VLOOKUP(D339,Products!$A$2:$F$61,3,FALSE),"")</f>
        <v>Apparel</v>
      </c>
      <c r="M339">
        <f>IFERROR(VLOOKUP(D339,Products!$A$2:$F$61,4,FALSE),"")</f>
        <v>1748</v>
      </c>
      <c r="N339" t="str">
        <f>IFERROR(VLOOKUP(E339,Sales_Reps!$A$2:$E$31,3,FALSE),"")</f>
        <v>North</v>
      </c>
      <c r="O339" t="str">
        <f>IFERROR(VLOOKUP(C339,Customers!$A$2:$F$301,5,FALSE),"")</f>
        <v>SMB</v>
      </c>
      <c r="P339">
        <f>IFERROR(VLOOKUP(C339,Customers!$A$2:$F$301,3,FALSE),"")</f>
        <v>26</v>
      </c>
      <c r="Q339" s="41">
        <f t="shared" si="14"/>
        <v>0.49333333333333335</v>
      </c>
      <c r="R339" t="str">
        <f>IFERROR(VLOOKUP(C339,Customers!$A$2:$F$301,1,FALSE),"")</f>
        <v>CUST-0016</v>
      </c>
      <c r="S339" s="27" t="b">
        <f>IFERROR(VLOOKUP(D339,Products!$A$2:$F$61,6,FALSE),"")</f>
        <v>1</v>
      </c>
      <c r="BL339">
        <v>0</v>
      </c>
      <c r="BO339">
        <v>0</v>
      </c>
      <c r="BP339">
        <v>0</v>
      </c>
    </row>
    <row r="340" spans="1:68" x14ac:dyDescent="0.35">
      <c r="A340" s="26" t="str">
        <f>Orders!A340</f>
        <v>ORD-00339</v>
      </c>
      <c r="B340" s="33">
        <f>Orders!B340</f>
        <v>45295</v>
      </c>
      <c r="C340" t="str">
        <f>Orders!C340</f>
        <v>CUST-0281</v>
      </c>
      <c r="D340" t="str">
        <f>Orders!D340</f>
        <v>PROD-003</v>
      </c>
      <c r="E340" t="str">
        <f>Orders!E340</f>
        <v>R002</v>
      </c>
      <c r="F340">
        <f>Orders!F340</f>
        <v>5</v>
      </c>
      <c r="G340" s="35">
        <f>Orders!G340</f>
        <v>3570</v>
      </c>
      <c r="H340" s="37">
        <f>Orders!H340</f>
        <v>12.8</v>
      </c>
      <c r="I340" s="39">
        <f>Orders!I340</f>
        <v>15565.2</v>
      </c>
      <c r="J340" t="str">
        <f>Orders!J340</f>
        <v>Completed</v>
      </c>
      <c r="K340" t="str">
        <f>Orders!K340</f>
        <v>Bengaluru</v>
      </c>
      <c r="L340" t="str">
        <f>IFERROR(VLOOKUP(D340,Products!$A$2:$F$61,3,FALSE),"")</f>
        <v>Electronics</v>
      </c>
      <c r="M340">
        <f>IFERROR(VLOOKUP(D340,Products!$A$2:$F$61,4,FALSE),"")</f>
        <v>1665</v>
      </c>
      <c r="N340" t="str">
        <f>IFERROR(VLOOKUP(E340,Sales_Reps!$A$2:$E$31,3,FALSE),"")</f>
        <v>North</v>
      </c>
      <c r="O340" t="str">
        <f>IFERROR(VLOOKUP(C340,Customers!$A$2:$F$301,5,FALSE),"")</f>
        <v>Corporate</v>
      </c>
      <c r="P340">
        <f>IFERROR(VLOOKUP(C340,Customers!$A$2:$F$301,3,FALSE),"")</f>
        <v>57</v>
      </c>
      <c r="Q340" s="41">
        <f t="shared" si="14"/>
        <v>0.53361344537815125</v>
      </c>
      <c r="R340" t="str">
        <f>IFERROR(VLOOKUP(C340,Customers!$A$2:$F$301,1,FALSE),"")</f>
        <v>CUST-0281</v>
      </c>
      <c r="S340" s="27" t="b">
        <f>IFERROR(VLOOKUP(D340,Products!$A$2:$F$61,6,FALSE),"")</f>
        <v>1</v>
      </c>
      <c r="BL340">
        <v>0</v>
      </c>
      <c r="BO340">
        <v>0</v>
      </c>
      <c r="BP340">
        <v>0</v>
      </c>
    </row>
    <row r="341" spans="1:68" x14ac:dyDescent="0.35">
      <c r="A341" s="26" t="str">
        <f>Orders!A341</f>
        <v>ORD-00340</v>
      </c>
      <c r="B341" s="33">
        <f>Orders!B341</f>
        <v>45590</v>
      </c>
      <c r="C341" t="str">
        <f>Orders!C341</f>
        <v>CUST-0267</v>
      </c>
      <c r="D341" t="str">
        <f>Orders!D341</f>
        <v>PROD-001</v>
      </c>
      <c r="E341" t="str">
        <f>Orders!E341</f>
        <v>R029</v>
      </c>
      <c r="F341">
        <f>Orders!F341</f>
        <v>3</v>
      </c>
      <c r="G341" s="35">
        <f>Orders!G341</f>
        <v>5330</v>
      </c>
      <c r="H341" s="37">
        <f>Orders!H341</f>
        <v>16.2</v>
      </c>
      <c r="I341" s="39">
        <f>Orders!I341</f>
        <v>13399.62</v>
      </c>
      <c r="J341" t="str">
        <f>Orders!J341</f>
        <v>Completed</v>
      </c>
      <c r="K341" t="str">
        <f>Orders!K341</f>
        <v>Hyderabad</v>
      </c>
      <c r="L341" t="str">
        <f>IFERROR(VLOOKUP(D341,Products!$A$2:$F$61,3,FALSE),"")</f>
        <v>Electronics</v>
      </c>
      <c r="M341">
        <f>IFERROR(VLOOKUP(D341,Products!$A$2:$F$61,4,FALSE),"")</f>
        <v>2405</v>
      </c>
      <c r="N341" t="str">
        <f>IFERROR(VLOOKUP(E341,Sales_Reps!$A$2:$E$31,3,FALSE),"")</f>
        <v>West</v>
      </c>
      <c r="O341" t="str">
        <f>IFERROR(VLOOKUP(C341,Customers!$A$2:$F$301,5,FALSE),"")</f>
        <v>Retail</v>
      </c>
      <c r="P341">
        <f>IFERROR(VLOOKUP(C341,Customers!$A$2:$F$301,3,FALSE),"")</f>
        <v>27</v>
      </c>
      <c r="Q341" s="41">
        <f t="shared" si="14"/>
        <v>0.54878048780487809</v>
      </c>
      <c r="R341" t="str">
        <f>IFERROR(VLOOKUP(C341,Customers!$A$2:$F$301,1,FALSE),"")</f>
        <v>CUST-0267</v>
      </c>
      <c r="S341" s="27" t="b">
        <f>IFERROR(VLOOKUP(D341,Products!$A$2:$F$61,6,FALSE),"")</f>
        <v>1</v>
      </c>
      <c r="BL341">
        <v>0</v>
      </c>
      <c r="BO341">
        <v>0</v>
      </c>
      <c r="BP341">
        <v>0</v>
      </c>
    </row>
    <row r="342" spans="1:68" x14ac:dyDescent="0.35">
      <c r="A342" s="26" t="str">
        <f>Orders!A342</f>
        <v>ORD-00341</v>
      </c>
      <c r="B342" s="33">
        <f>Orders!B342</f>
        <v>45341</v>
      </c>
      <c r="C342" t="str">
        <f>Orders!C342</f>
        <v>CUST-0279</v>
      </c>
      <c r="D342" t="str">
        <f>Orders!D342</f>
        <v>PROD-028</v>
      </c>
      <c r="E342" t="str">
        <f>Orders!E342</f>
        <v>R027</v>
      </c>
      <c r="F342">
        <f>Orders!F342</f>
        <v>3</v>
      </c>
      <c r="G342" s="35">
        <f>Orders!G342</f>
        <v>3660</v>
      </c>
      <c r="H342" s="37">
        <f>Orders!H342</f>
        <v>25.3</v>
      </c>
      <c r="I342" s="39">
        <f>Orders!I342</f>
        <v>8202.06</v>
      </c>
      <c r="J342" t="str">
        <f>Orders!J342</f>
        <v>Completed</v>
      </c>
      <c r="K342" t="str">
        <f>Orders!K342</f>
        <v>Mumbai</v>
      </c>
      <c r="L342" t="str">
        <f>IFERROR(VLOOKUP(D342,Products!$A$2:$F$61,3,FALSE),"")</f>
        <v>Grocery</v>
      </c>
      <c r="M342">
        <f>IFERROR(VLOOKUP(D342,Products!$A$2:$F$61,4,FALSE),"")</f>
        <v>2214</v>
      </c>
      <c r="N342" t="str">
        <f>IFERROR(VLOOKUP(E342,Sales_Reps!$A$2:$E$31,3,FALSE),"")</f>
        <v>West</v>
      </c>
      <c r="O342" t="str">
        <f>IFERROR(VLOOKUP(C342,Customers!$A$2:$F$301,5,FALSE),"")</f>
        <v>Retail</v>
      </c>
      <c r="P342">
        <f>IFERROR(VLOOKUP(C342,Customers!$A$2:$F$301,3,FALSE),"")</f>
        <v>56</v>
      </c>
      <c r="Q342" s="41">
        <f t="shared" si="14"/>
        <v>0.39508196721311473</v>
      </c>
      <c r="R342" t="str">
        <f>IFERROR(VLOOKUP(C342,Customers!$A$2:$F$301,1,FALSE),"")</f>
        <v>CUST-0279</v>
      </c>
      <c r="S342" s="27" t="b">
        <f>IFERROR(VLOOKUP(D342,Products!$A$2:$F$61,6,FALSE),"")</f>
        <v>0</v>
      </c>
      <c r="BL342">
        <v>0</v>
      </c>
      <c r="BO342">
        <v>0</v>
      </c>
      <c r="BP342">
        <v>1</v>
      </c>
    </row>
    <row r="343" spans="1:68" x14ac:dyDescent="0.35">
      <c r="A343" s="26" t="str">
        <f>Orders!A343</f>
        <v>ORD-00342</v>
      </c>
      <c r="B343" s="33">
        <f>Orders!B343</f>
        <v>45600</v>
      </c>
      <c r="C343" t="str">
        <f>Orders!C343</f>
        <v>CUST-0036</v>
      </c>
      <c r="D343" t="str">
        <f>Orders!D343</f>
        <v>PROD-054</v>
      </c>
      <c r="E343" t="str">
        <f>Orders!E343</f>
        <v>R015</v>
      </c>
      <c r="F343">
        <f>Orders!F343</f>
        <v>2</v>
      </c>
      <c r="G343" s="35">
        <f>Orders!G343</f>
        <v>1010</v>
      </c>
      <c r="H343" s="37">
        <f>Orders!H343</f>
        <v>29.2</v>
      </c>
      <c r="I343" s="39">
        <f>Orders!I343</f>
        <v>1430.16</v>
      </c>
      <c r="J343" t="str">
        <f>Orders!J343</f>
        <v>Completed</v>
      </c>
      <c r="K343" t="str">
        <f>Orders!K343</f>
        <v>Mumbai</v>
      </c>
      <c r="L343" t="str">
        <f>IFERROR(VLOOKUP(D343,Products!$A$2:$F$61,3,FALSE),"")</f>
        <v>Sports</v>
      </c>
      <c r="M343">
        <f>IFERROR(VLOOKUP(D343,Products!$A$2:$F$61,4,FALSE),"")</f>
        <v>516</v>
      </c>
      <c r="N343" t="str">
        <f>IFERROR(VLOOKUP(E343,Sales_Reps!$A$2:$E$31,3,FALSE),"")</f>
        <v>South</v>
      </c>
      <c r="O343" t="str">
        <f>IFERROR(VLOOKUP(C343,Customers!$A$2:$F$301,5,FALSE),"")</f>
        <v>Retail</v>
      </c>
      <c r="P343">
        <f>IFERROR(VLOOKUP(C343,Customers!$A$2:$F$301,3,FALSE),"")</f>
        <v>35</v>
      </c>
      <c r="Q343" s="41">
        <f t="shared" si="14"/>
        <v>0.4891089108910891</v>
      </c>
      <c r="R343" t="str">
        <f>IFERROR(VLOOKUP(C343,Customers!$A$2:$F$301,1,FALSE),"")</f>
        <v>CUST-0036</v>
      </c>
      <c r="S343" s="27" t="b">
        <f>IFERROR(VLOOKUP(D343,Products!$A$2:$F$61,6,FALSE),"")</f>
        <v>1</v>
      </c>
      <c r="BL343">
        <v>0</v>
      </c>
      <c r="BO343">
        <v>0</v>
      </c>
      <c r="BP343">
        <v>0</v>
      </c>
    </row>
    <row r="344" spans="1:68" x14ac:dyDescent="0.35">
      <c r="A344" s="26" t="str">
        <f>Orders!A344</f>
        <v>ORD-00343</v>
      </c>
      <c r="B344" s="33">
        <f>Orders!B344</f>
        <v>45506</v>
      </c>
      <c r="C344" t="str">
        <f>Orders!C344</f>
        <v>CUST-0295</v>
      </c>
      <c r="D344" t="str">
        <f>Orders!D344</f>
        <v>PROD-040</v>
      </c>
      <c r="E344" t="str">
        <f>Orders!E344</f>
        <v>R015</v>
      </c>
      <c r="F344">
        <f>Orders!F344</f>
        <v>1</v>
      </c>
      <c r="G344" s="35">
        <f>Orders!G344</f>
        <v>1080</v>
      </c>
      <c r="H344" s="37">
        <f>Orders!H344</f>
        <v>1.8</v>
      </c>
      <c r="I344" s="39">
        <f>Orders!I344</f>
        <v>1060.56</v>
      </c>
      <c r="J344" t="str">
        <f>Orders!J344</f>
        <v>Completed</v>
      </c>
      <c r="K344" t="str">
        <f>Orders!K344</f>
        <v>Delhi</v>
      </c>
      <c r="L344" t="str">
        <f>IFERROR(VLOOKUP(D344,Products!$A$2:$F$61,3,FALSE),"")</f>
        <v>Home</v>
      </c>
      <c r="M344">
        <f>IFERROR(VLOOKUP(D344,Products!$A$2:$F$61,4,FALSE),"")</f>
        <v>519</v>
      </c>
      <c r="N344" t="str">
        <f>IFERROR(VLOOKUP(E344,Sales_Reps!$A$2:$E$31,3,FALSE),"")</f>
        <v>South</v>
      </c>
      <c r="O344" t="str">
        <f>IFERROR(VLOOKUP(C344,Customers!$A$2:$F$301,5,FALSE),"")</f>
        <v>SMB</v>
      </c>
      <c r="P344">
        <f>IFERROR(VLOOKUP(C344,Customers!$A$2:$F$301,3,FALSE),"")</f>
        <v>48</v>
      </c>
      <c r="Q344" s="41">
        <f t="shared" si="14"/>
        <v>0.51944444444444449</v>
      </c>
      <c r="R344" t="str">
        <f>IFERROR(VLOOKUP(C344,Customers!$A$2:$F$301,1,FALSE),"")</f>
        <v>CUST-0295</v>
      </c>
      <c r="S344" s="27" t="b">
        <f>IFERROR(VLOOKUP(D344,Products!$A$2:$F$61,6,FALSE),"")</f>
        <v>1</v>
      </c>
      <c r="BL344">
        <v>0</v>
      </c>
      <c r="BO344">
        <v>0</v>
      </c>
      <c r="BP344">
        <v>0</v>
      </c>
    </row>
    <row r="345" spans="1:68" x14ac:dyDescent="0.35">
      <c r="A345" s="26" t="str">
        <f>Orders!A345</f>
        <v>ORD-00344</v>
      </c>
      <c r="B345" s="33">
        <f>Orders!B345</f>
        <v>45414</v>
      </c>
      <c r="C345" t="str">
        <f>Orders!C345</f>
        <v>CUST-0106</v>
      </c>
      <c r="D345" t="str">
        <f>Orders!D345</f>
        <v>PROD-051</v>
      </c>
      <c r="E345" t="str">
        <f>Orders!E345</f>
        <v>R010</v>
      </c>
      <c r="F345">
        <f>Orders!F345</f>
        <v>8</v>
      </c>
      <c r="G345" s="35">
        <f>Orders!G345</f>
        <v>3450</v>
      </c>
      <c r="H345" s="37">
        <f>Orders!H345</f>
        <v>20.399999999999999</v>
      </c>
      <c r="I345" s="39">
        <f>Orders!I345</f>
        <v>21969.599999999999</v>
      </c>
      <c r="J345" t="str">
        <f>Orders!J345</f>
        <v>Completed</v>
      </c>
      <c r="K345" t="str">
        <f>Orders!K345</f>
        <v>Pune</v>
      </c>
      <c r="L345" t="str">
        <f>IFERROR(VLOOKUP(D345,Products!$A$2:$F$61,3,FALSE),"")</f>
        <v>Sports</v>
      </c>
      <c r="M345">
        <f>IFERROR(VLOOKUP(D345,Products!$A$2:$F$61,4,FALSE),"")</f>
        <v>2467</v>
      </c>
      <c r="N345" t="str">
        <f>IFERROR(VLOOKUP(E345,Sales_Reps!$A$2:$E$31,3,FALSE),"")</f>
        <v>South</v>
      </c>
      <c r="O345" t="str">
        <f>IFERROR(VLOOKUP(C345,Customers!$A$2:$F$301,5,FALSE),"")</f>
        <v>Retail</v>
      </c>
      <c r="P345">
        <f>IFERROR(VLOOKUP(C345,Customers!$A$2:$F$301,3,FALSE),"")</f>
        <v>22</v>
      </c>
      <c r="Q345" s="41">
        <f t="shared" si="14"/>
        <v>0.28492753623188405</v>
      </c>
      <c r="R345" t="str">
        <f>IFERROR(VLOOKUP(C345,Customers!$A$2:$F$301,1,FALSE),"")</f>
        <v>CUST-0106</v>
      </c>
      <c r="S345" s="27" t="b">
        <f>IFERROR(VLOOKUP(D345,Products!$A$2:$F$61,6,FALSE),"")</f>
        <v>1</v>
      </c>
      <c r="BL345">
        <v>0</v>
      </c>
      <c r="BO345">
        <v>0</v>
      </c>
      <c r="BP345">
        <v>0</v>
      </c>
    </row>
    <row r="346" spans="1:68" x14ac:dyDescent="0.35">
      <c r="A346" s="26" t="str">
        <f>Orders!A346</f>
        <v>ORD-00593</v>
      </c>
      <c r="B346" s="33">
        <f>Orders!B346</f>
        <v>45553</v>
      </c>
      <c r="C346" t="str">
        <f>Orders!C346</f>
        <v>CUST-0070</v>
      </c>
      <c r="D346" t="str">
        <f>Orders!D346</f>
        <v>PROD-056</v>
      </c>
      <c r="E346" t="str">
        <f>Orders!E346</f>
        <v>R015</v>
      </c>
      <c r="F346">
        <f>Orders!F346</f>
        <v>8</v>
      </c>
      <c r="G346" s="35">
        <f>Orders!G346</f>
        <v>6940</v>
      </c>
      <c r="H346" s="37">
        <f>Orders!H346</f>
        <v>19.399999999999999</v>
      </c>
      <c r="I346" s="39">
        <f>Orders!I346</f>
        <v>44749.120000000003</v>
      </c>
      <c r="J346" t="str">
        <f>Orders!J346</f>
        <v>Completed</v>
      </c>
      <c r="K346" t="str">
        <f>Orders!K346</f>
        <v>Mumbai</v>
      </c>
      <c r="L346" t="str">
        <f>IFERROR(VLOOKUP(D346,Products!$A$2:$F$61,3,FALSE),"")</f>
        <v>Sports</v>
      </c>
      <c r="M346">
        <f>IFERROR(VLOOKUP(D346,Products!$A$2:$F$61,4,FALSE),"")</f>
        <v>2827</v>
      </c>
      <c r="N346" t="str">
        <f>IFERROR(VLOOKUP(E346,Sales_Reps!$A$2:$E$31,3,FALSE),"")</f>
        <v>South</v>
      </c>
      <c r="O346" t="str">
        <f>IFERROR(VLOOKUP(C346,Customers!$A$2:$F$301,5,FALSE),"")</f>
        <v>Retail</v>
      </c>
      <c r="P346">
        <f>IFERROR(VLOOKUP(C346,Customers!$A$2:$F$301,3,FALSE),"")</f>
        <v>42</v>
      </c>
      <c r="Q346" s="41">
        <f t="shared" si="14"/>
        <v>0.5926512968299712</v>
      </c>
      <c r="R346" t="str">
        <f>IFERROR(VLOOKUP(C346,Customers!$A$2:$F$301,1,FALSE),"")</f>
        <v>CUST-0070</v>
      </c>
      <c r="S346" s="27" t="b">
        <f>IFERROR(VLOOKUP(D346,Products!$A$2:$F$61,6,FALSE),"")</f>
        <v>1</v>
      </c>
      <c r="BL346">
        <v>0.5</v>
      </c>
      <c r="BO346">
        <v>0</v>
      </c>
      <c r="BP346">
        <v>0</v>
      </c>
    </row>
    <row r="347" spans="1:68" x14ac:dyDescent="0.35">
      <c r="A347" s="26" t="str">
        <f>Orders!A347</f>
        <v>ORD-00346</v>
      </c>
      <c r="B347" s="33">
        <f>Orders!B347</f>
        <v>45434</v>
      </c>
      <c r="C347" t="str">
        <f>Orders!C347</f>
        <v>CUST-0062</v>
      </c>
      <c r="D347" t="str">
        <f>Orders!D347</f>
        <v>PROD-041</v>
      </c>
      <c r="E347" t="str">
        <f>Orders!E347</f>
        <v>R003</v>
      </c>
      <c r="F347">
        <f>Orders!F347</f>
        <v>2</v>
      </c>
      <c r="G347" s="35">
        <f>Orders!G347</f>
        <v>1540</v>
      </c>
      <c r="H347" s="37">
        <f>Orders!H347</f>
        <v>9.3000000000000007</v>
      </c>
      <c r="I347" s="39">
        <f>Orders!I347</f>
        <v>2793.56</v>
      </c>
      <c r="J347" t="str">
        <f>Orders!J347</f>
        <v>Completed</v>
      </c>
      <c r="K347" t="str">
        <f>Orders!K347</f>
        <v>Pune</v>
      </c>
      <c r="L347" t="str">
        <f>IFERROR(VLOOKUP(D347,Products!$A$2:$F$61,3,FALSE),"")</f>
        <v>Beauty</v>
      </c>
      <c r="M347">
        <f>IFERROR(VLOOKUP(D347,Products!$A$2:$F$61,4,FALSE),"")</f>
        <v>647</v>
      </c>
      <c r="N347" t="str">
        <f>IFERROR(VLOOKUP(E347,Sales_Reps!$A$2:$E$31,3,FALSE),"")</f>
        <v>North</v>
      </c>
      <c r="O347" t="str">
        <f>IFERROR(VLOOKUP(C347,Customers!$A$2:$F$301,5,FALSE),"")</f>
        <v>Retail</v>
      </c>
      <c r="P347">
        <f>IFERROR(VLOOKUP(C347,Customers!$A$2:$F$301,3,FALSE),"")</f>
        <v>54</v>
      </c>
      <c r="Q347" s="41">
        <f t="shared" si="14"/>
        <v>0.57987012987012987</v>
      </c>
      <c r="R347" t="str">
        <f>IFERROR(VLOOKUP(C347,Customers!$A$2:$F$301,1,FALSE),"")</f>
        <v>CUST-0062</v>
      </c>
      <c r="S347" s="27" t="b">
        <f>IFERROR(VLOOKUP(D347,Products!$A$2:$F$61,6,FALSE),"")</f>
        <v>0</v>
      </c>
      <c r="BL347">
        <v>0</v>
      </c>
      <c r="BO347">
        <v>0</v>
      </c>
      <c r="BP347">
        <v>1</v>
      </c>
    </row>
    <row r="348" spans="1:68" x14ac:dyDescent="0.35">
      <c r="A348" s="26" t="str">
        <f>Orders!A348</f>
        <v>ORD-00347</v>
      </c>
      <c r="B348" s="33">
        <f>Orders!B348</f>
        <v>45446</v>
      </c>
      <c r="C348" t="str">
        <f>Orders!C348</f>
        <v>CUST-0241</v>
      </c>
      <c r="D348" t="str">
        <f>Orders!D348</f>
        <v>PROD-010</v>
      </c>
      <c r="E348" t="str">
        <f>Orders!E348</f>
        <v>R015</v>
      </c>
      <c r="F348">
        <f>Orders!F348</f>
        <v>4</v>
      </c>
      <c r="G348" s="35">
        <f>Orders!G348</f>
        <v>2640</v>
      </c>
      <c r="H348" s="37">
        <f>Orders!H348</f>
        <v>23.2</v>
      </c>
      <c r="I348" s="39">
        <f>Orders!I348</f>
        <v>8110.08</v>
      </c>
      <c r="J348" t="str">
        <f>Orders!J348</f>
        <v>Refunded</v>
      </c>
      <c r="K348" t="str">
        <f>Orders!K348</f>
        <v>Pune</v>
      </c>
      <c r="L348" t="str">
        <f>IFERROR(VLOOKUP(D348,Products!$A$2:$F$61,3,FALSE),"")</f>
        <v>Electronics</v>
      </c>
      <c r="M348">
        <f>IFERROR(VLOOKUP(D348,Products!$A$2:$F$61,4,FALSE),"")</f>
        <v>1149</v>
      </c>
      <c r="N348" t="str">
        <f>IFERROR(VLOOKUP(E348,Sales_Reps!$A$2:$E$31,3,FALSE),"")</f>
        <v>South</v>
      </c>
      <c r="O348" t="str">
        <f>IFERROR(VLOOKUP(C348,Customers!$A$2:$F$301,5,FALSE),"")</f>
        <v>Corporate</v>
      </c>
      <c r="P348">
        <f>IFERROR(VLOOKUP(C348,Customers!$A$2:$F$301,3,FALSE),"")</f>
        <v>47</v>
      </c>
      <c r="Q348" s="41">
        <f t="shared" si="14"/>
        <v>0.56477272727272732</v>
      </c>
      <c r="R348" t="str">
        <f>IFERROR(VLOOKUP(C348,Customers!$A$2:$F$301,1,FALSE),"")</f>
        <v>CUST-0241</v>
      </c>
      <c r="S348" s="27" t="b">
        <f>IFERROR(VLOOKUP(D348,Products!$A$2:$F$61,6,FALSE),"")</f>
        <v>1</v>
      </c>
      <c r="BL348">
        <v>0</v>
      </c>
      <c r="BO348">
        <v>0</v>
      </c>
      <c r="BP348">
        <v>0</v>
      </c>
    </row>
    <row r="349" spans="1:68" x14ac:dyDescent="0.35">
      <c r="A349" s="26" t="str">
        <f>Orders!A349</f>
        <v>ORD-00348</v>
      </c>
      <c r="B349" s="33">
        <f>Orders!B349</f>
        <v>45626</v>
      </c>
      <c r="C349" t="str">
        <f>Orders!C349</f>
        <v>CUST-0001</v>
      </c>
      <c r="D349" t="str">
        <f>Orders!D349</f>
        <v>PROD-052</v>
      </c>
      <c r="E349" t="str">
        <f>Orders!E349</f>
        <v>R024</v>
      </c>
      <c r="F349">
        <f>Orders!F349</f>
        <v>6</v>
      </c>
      <c r="G349" s="35">
        <f>Orders!G349</f>
        <v>5410</v>
      </c>
      <c r="H349" s="37">
        <f>Orders!H349</f>
        <v>29.4</v>
      </c>
      <c r="I349" s="39">
        <f>Orders!I349</f>
        <v>22916.76</v>
      </c>
      <c r="J349" t="str">
        <f>Orders!J349</f>
        <v>Completed</v>
      </c>
      <c r="K349" t="str">
        <f>Orders!K349</f>
        <v>Pune</v>
      </c>
      <c r="L349" t="str">
        <f>IFERROR(VLOOKUP(D349,Products!$A$2:$F$61,3,FALSE),"")</f>
        <v>Sports</v>
      </c>
      <c r="M349">
        <f>IFERROR(VLOOKUP(D349,Products!$A$2:$F$61,4,FALSE),"")</f>
        <v>2265</v>
      </c>
      <c r="N349" t="str">
        <f>IFERROR(VLOOKUP(E349,Sales_Reps!$A$2:$E$31,3,FALSE),"")</f>
        <v>West</v>
      </c>
      <c r="O349" t="str">
        <f>IFERROR(VLOOKUP(C349,Customers!$A$2:$F$301,5,FALSE),"")</f>
        <v>Retail</v>
      </c>
      <c r="P349">
        <f>IFERROR(VLOOKUP(C349,Customers!$A$2:$F$301,3,FALSE),"")</f>
        <v>36</v>
      </c>
      <c r="Q349" s="41">
        <f t="shared" si="14"/>
        <v>0.58133086876155271</v>
      </c>
      <c r="R349" t="str">
        <f>IFERROR(VLOOKUP(C349,Customers!$A$2:$F$301,1,FALSE),"")</f>
        <v>CUST-0001</v>
      </c>
      <c r="S349" s="27" t="b">
        <f>IFERROR(VLOOKUP(D349,Products!$A$2:$F$61,6,FALSE),"")</f>
        <v>1</v>
      </c>
      <c r="BL349">
        <v>0</v>
      </c>
      <c r="BO349">
        <v>0</v>
      </c>
      <c r="BP349">
        <v>0</v>
      </c>
    </row>
    <row r="350" spans="1:68" x14ac:dyDescent="0.35">
      <c r="A350" s="26" t="str">
        <f>Orders!A350</f>
        <v>ORD-00349</v>
      </c>
      <c r="B350" s="33">
        <f>Orders!B350</f>
        <v>45459</v>
      </c>
      <c r="C350" t="str">
        <f>Orders!C350</f>
        <v>CUST-0181</v>
      </c>
      <c r="D350" t="str">
        <f>Orders!D350</f>
        <v>PROD-003</v>
      </c>
      <c r="E350" t="str">
        <f>Orders!E350</f>
        <v>R027</v>
      </c>
      <c r="F350">
        <f>Orders!F350</f>
        <v>1</v>
      </c>
      <c r="G350" s="35">
        <f>Orders!G350</f>
        <v>3570</v>
      </c>
      <c r="H350" s="37">
        <f>Orders!H350</f>
        <v>4.3</v>
      </c>
      <c r="I350" s="39">
        <f>Orders!I350</f>
        <v>3416.49</v>
      </c>
      <c r="J350" t="str">
        <f>Orders!J350</f>
        <v>Completed</v>
      </c>
      <c r="K350" t="str">
        <f>Orders!K350</f>
        <v>Delhi</v>
      </c>
      <c r="L350" t="str">
        <f>IFERROR(VLOOKUP(D350,Products!$A$2:$F$61,3,FALSE),"")</f>
        <v>Electronics</v>
      </c>
      <c r="M350">
        <f>IFERROR(VLOOKUP(D350,Products!$A$2:$F$61,4,FALSE),"")</f>
        <v>1665</v>
      </c>
      <c r="N350" t="str">
        <f>IFERROR(VLOOKUP(E350,Sales_Reps!$A$2:$E$31,3,FALSE),"")</f>
        <v>West</v>
      </c>
      <c r="O350" t="str">
        <f>IFERROR(VLOOKUP(C350,Customers!$A$2:$F$301,5,FALSE),"")</f>
        <v>SMB</v>
      </c>
      <c r="P350">
        <f>IFERROR(VLOOKUP(C350,Customers!$A$2:$F$301,3,FALSE),"")</f>
        <v>38</v>
      </c>
      <c r="Q350" s="41">
        <f t="shared" si="14"/>
        <v>0.53361344537815125</v>
      </c>
      <c r="R350" t="str">
        <f>IFERROR(VLOOKUP(C350,Customers!$A$2:$F$301,1,FALSE),"")</f>
        <v>CUST-0181</v>
      </c>
      <c r="S350" s="27" t="b">
        <f>IFERROR(VLOOKUP(D350,Products!$A$2:$F$61,6,FALSE),"")</f>
        <v>1</v>
      </c>
      <c r="BL350">
        <v>0</v>
      </c>
      <c r="BO350">
        <v>0</v>
      </c>
      <c r="BP350">
        <v>0</v>
      </c>
    </row>
    <row r="351" spans="1:68" x14ac:dyDescent="0.35">
      <c r="A351" s="26" t="str">
        <f>Orders!A351</f>
        <v>ORD-00350</v>
      </c>
      <c r="B351" s="33">
        <f>Orders!B351</f>
        <v>45520</v>
      </c>
      <c r="C351" t="str">
        <f>Orders!C351</f>
        <v>CUST-0044</v>
      </c>
      <c r="D351" t="str">
        <f>Orders!D351</f>
        <v>PROD-032</v>
      </c>
      <c r="E351" t="str">
        <f>Orders!E351</f>
        <v>R028</v>
      </c>
      <c r="F351">
        <f>Orders!F351</f>
        <v>2</v>
      </c>
      <c r="G351" s="35">
        <f>Orders!G351</f>
        <v>370</v>
      </c>
      <c r="H351" s="37">
        <f>Orders!H351</f>
        <v>7.2</v>
      </c>
      <c r="I351" s="39">
        <f>Orders!I351</f>
        <v>686.72</v>
      </c>
      <c r="J351" t="str">
        <f>Orders!J351</f>
        <v>Completed</v>
      </c>
      <c r="K351" t="str">
        <f>Orders!K351</f>
        <v>Hyderabad</v>
      </c>
      <c r="L351" t="str">
        <f>IFERROR(VLOOKUP(D351,Products!$A$2:$F$61,3,FALSE),"")</f>
        <v>Home</v>
      </c>
      <c r="M351">
        <f>IFERROR(VLOOKUP(D351,Products!$A$2:$F$61,4,FALSE),"")</f>
        <v>288</v>
      </c>
      <c r="N351" t="str">
        <f>IFERROR(VLOOKUP(E351,Sales_Reps!$A$2:$E$31,3,FALSE),"")</f>
        <v>West</v>
      </c>
      <c r="O351" t="str">
        <f>IFERROR(VLOOKUP(C351,Customers!$A$2:$F$301,5,FALSE),"")</f>
        <v>SMB</v>
      </c>
      <c r="P351">
        <f>IFERROR(VLOOKUP(C351,Customers!$A$2:$F$301,3,FALSE),"")</f>
        <v>29</v>
      </c>
      <c r="Q351" s="41">
        <f t="shared" si="14"/>
        <v>0.22162162162162163</v>
      </c>
      <c r="R351" t="str">
        <f>IFERROR(VLOOKUP(C351,Customers!$A$2:$F$301,1,FALSE),"")</f>
        <v>CUST-0044</v>
      </c>
      <c r="S351" s="27" t="b">
        <f>IFERROR(VLOOKUP(D351,Products!$A$2:$F$61,6,FALSE),"")</f>
        <v>1</v>
      </c>
      <c r="BL351">
        <v>0</v>
      </c>
      <c r="BO351">
        <v>0</v>
      </c>
      <c r="BP351">
        <v>0</v>
      </c>
    </row>
    <row r="352" spans="1:68" x14ac:dyDescent="0.35">
      <c r="A352" s="26" t="str">
        <f>Orders!A352</f>
        <v>ORD-00351</v>
      </c>
      <c r="B352" s="33">
        <f>Orders!B352</f>
        <v>45314</v>
      </c>
      <c r="C352" t="str">
        <f>Orders!C352</f>
        <v>CUST-0218</v>
      </c>
      <c r="D352" t="str">
        <f>Orders!D352</f>
        <v>PROD-017</v>
      </c>
      <c r="E352" t="str">
        <f>Orders!E352</f>
        <v>R017</v>
      </c>
      <c r="F352">
        <f>Orders!F352</f>
        <v>1</v>
      </c>
      <c r="G352" s="35">
        <f>Orders!G352</f>
        <v>2510</v>
      </c>
      <c r="H352" s="37">
        <f>Orders!H352</f>
        <v>2.4</v>
      </c>
      <c r="I352" s="39">
        <f>Orders!I352</f>
        <v>2449.7600000000002</v>
      </c>
      <c r="J352" t="str">
        <f>Orders!J352</f>
        <v>Completed</v>
      </c>
      <c r="K352" t="str">
        <f>Orders!K352</f>
        <v>Mumbai</v>
      </c>
      <c r="L352" t="str">
        <f>IFERROR(VLOOKUP(D352,Products!$A$2:$F$61,3,FALSE),"")</f>
        <v>Apparel</v>
      </c>
      <c r="M352">
        <f>IFERROR(VLOOKUP(D352,Products!$A$2:$F$61,4,FALSE),"")</f>
        <v>1075</v>
      </c>
      <c r="N352" t="str">
        <f>IFERROR(VLOOKUP(E352,Sales_Reps!$A$2:$E$31,3,FALSE),"")</f>
        <v>East</v>
      </c>
      <c r="O352" t="str">
        <f>IFERROR(VLOOKUP(C352,Customers!$A$2:$F$301,5,FALSE),"")</f>
        <v>Retail</v>
      </c>
      <c r="P352">
        <f>IFERROR(VLOOKUP(C352,Customers!$A$2:$F$301,3,FALSE),"")</f>
        <v>39</v>
      </c>
      <c r="Q352" s="41">
        <f t="shared" si="14"/>
        <v>0.57171314741035861</v>
      </c>
      <c r="R352" t="str">
        <f>IFERROR(VLOOKUP(C352,Customers!$A$2:$F$301,1,FALSE),"")</f>
        <v>CUST-0218</v>
      </c>
      <c r="S352" s="27" t="b">
        <f>IFERROR(VLOOKUP(D352,Products!$A$2:$F$61,6,FALSE),"")</f>
        <v>0</v>
      </c>
      <c r="BL352">
        <v>0</v>
      </c>
      <c r="BO352">
        <v>0</v>
      </c>
      <c r="BP352">
        <v>1</v>
      </c>
    </row>
    <row r="353" spans="1:68" x14ac:dyDescent="0.35">
      <c r="A353" s="26" t="str">
        <f>Orders!A353</f>
        <v>ORD-00352</v>
      </c>
      <c r="B353" s="33">
        <f>Orders!B353</f>
        <v>45480</v>
      </c>
      <c r="C353" t="str">
        <f>Orders!C353</f>
        <v>CUST-0061</v>
      </c>
      <c r="D353" t="str">
        <f>Orders!D353</f>
        <v>PROD-013</v>
      </c>
      <c r="E353" t="str">
        <f>Orders!E353</f>
        <v>R022</v>
      </c>
      <c r="F353">
        <f>Orders!F353</f>
        <v>8</v>
      </c>
      <c r="G353" s="35">
        <f>Orders!G353</f>
        <v>3640</v>
      </c>
      <c r="H353" s="37">
        <f>Orders!H353</f>
        <v>28.7</v>
      </c>
      <c r="I353" s="39">
        <f>Orders!I353</f>
        <v>20762.560000000001</v>
      </c>
      <c r="J353" t="str">
        <f>Orders!J353</f>
        <v>Pending</v>
      </c>
      <c r="K353" t="str">
        <f>Orders!K353</f>
        <v>Hyderabad</v>
      </c>
      <c r="L353" t="str">
        <f>IFERROR(VLOOKUP(D353,Products!$A$2:$F$61,3,FALSE),"")</f>
        <v>Apparel</v>
      </c>
      <c r="M353">
        <f>IFERROR(VLOOKUP(D353,Products!$A$2:$F$61,4,FALSE),"")</f>
        <v>2611</v>
      </c>
      <c r="N353" t="str">
        <f>IFERROR(VLOOKUP(E353,Sales_Reps!$A$2:$E$31,3,FALSE),"")</f>
        <v>East</v>
      </c>
      <c r="O353" t="str">
        <f>IFERROR(VLOOKUP(C353,Customers!$A$2:$F$301,5,FALSE),"")</f>
        <v>Retail</v>
      </c>
      <c r="P353">
        <f>IFERROR(VLOOKUP(C353,Customers!$A$2:$F$301,3,FALSE),"")</f>
        <v>64</v>
      </c>
      <c r="Q353" s="41">
        <f t="shared" si="14"/>
        <v>0.28269230769230769</v>
      </c>
      <c r="R353" t="str">
        <f>IFERROR(VLOOKUP(C353,Customers!$A$2:$F$301,1,FALSE),"")</f>
        <v>CUST-0061</v>
      </c>
      <c r="S353" s="27" t="b">
        <f>IFERROR(VLOOKUP(D353,Products!$A$2:$F$61,6,FALSE),"")</f>
        <v>1</v>
      </c>
      <c r="BL353">
        <v>0</v>
      </c>
      <c r="BO353">
        <v>0</v>
      </c>
      <c r="BP353">
        <v>0</v>
      </c>
    </row>
    <row r="354" spans="1:68" x14ac:dyDescent="0.35">
      <c r="A354" s="26" t="str">
        <f>Orders!A354</f>
        <v>ORD-00353</v>
      </c>
      <c r="B354" s="33">
        <f>Orders!B354</f>
        <v>45520</v>
      </c>
      <c r="C354" t="str">
        <f>Orders!C354</f>
        <v>CUST-0143</v>
      </c>
      <c r="D354" t="str">
        <f>Orders!D354</f>
        <v>PROD-044</v>
      </c>
      <c r="E354" t="str">
        <f>Orders!E354</f>
        <v>R029</v>
      </c>
      <c r="F354">
        <f>Orders!F354</f>
        <v>5</v>
      </c>
      <c r="G354" s="35">
        <f>Orders!G354</f>
        <v>1650</v>
      </c>
      <c r="H354" s="37">
        <f>Orders!H354</f>
        <v>13.4</v>
      </c>
      <c r="I354" s="39">
        <f>Orders!I354</f>
        <v>7144.5</v>
      </c>
      <c r="J354" t="str">
        <f>Orders!J354</f>
        <v>Pending</v>
      </c>
      <c r="K354" t="str">
        <f>Orders!K354</f>
        <v>Chennai</v>
      </c>
      <c r="L354" t="str">
        <f>IFERROR(VLOOKUP(D354,Products!$A$2:$F$61,3,FALSE),"")</f>
        <v>Beauty</v>
      </c>
      <c r="M354">
        <f>IFERROR(VLOOKUP(D354,Products!$A$2:$F$61,4,FALSE),"")</f>
        <v>1222</v>
      </c>
      <c r="N354" t="str">
        <f>IFERROR(VLOOKUP(E354,Sales_Reps!$A$2:$E$31,3,FALSE),"")</f>
        <v>West</v>
      </c>
      <c r="O354" t="str">
        <f>IFERROR(VLOOKUP(C354,Customers!$A$2:$F$301,5,FALSE),"")</f>
        <v>SMB</v>
      </c>
      <c r="P354">
        <f>IFERROR(VLOOKUP(C354,Customers!$A$2:$F$301,3,FALSE),"")</f>
        <v>52</v>
      </c>
      <c r="Q354" s="41">
        <f t="shared" si="14"/>
        <v>0.2593939393939394</v>
      </c>
      <c r="R354" t="str">
        <f>IFERROR(VLOOKUP(C354,Customers!$A$2:$F$301,1,FALSE),"")</f>
        <v>CUST-0143</v>
      </c>
      <c r="S354" s="27" t="b">
        <f>IFERROR(VLOOKUP(D354,Products!$A$2:$F$61,6,FALSE),"")</f>
        <v>1</v>
      </c>
      <c r="BL354">
        <v>0</v>
      </c>
      <c r="BO354">
        <v>0</v>
      </c>
      <c r="BP354">
        <v>0</v>
      </c>
    </row>
    <row r="355" spans="1:68" x14ac:dyDescent="0.35">
      <c r="A355" s="26" t="str">
        <f>Orders!A355</f>
        <v>ORD-00354</v>
      </c>
      <c r="B355" s="33">
        <f>Orders!B355</f>
        <v>45360</v>
      </c>
      <c r="C355" t="str">
        <f>Orders!C355</f>
        <v>CUST-0164</v>
      </c>
      <c r="D355" t="str">
        <f>Orders!D355</f>
        <v>PROD-049</v>
      </c>
      <c r="E355" t="str">
        <f>Orders!E355</f>
        <v>R024</v>
      </c>
      <c r="F355">
        <f>Orders!F355</f>
        <v>9</v>
      </c>
      <c r="G355" s="35">
        <f>Orders!G355</f>
        <v>960</v>
      </c>
      <c r="H355" s="37">
        <f>Orders!H355</f>
        <v>28.6</v>
      </c>
      <c r="I355" s="39">
        <f>Orders!I355</f>
        <v>6168.96</v>
      </c>
      <c r="J355" t="str">
        <f>Orders!J355</f>
        <v>Pending</v>
      </c>
      <c r="K355" t="str">
        <f>Orders!K355</f>
        <v>Chennai</v>
      </c>
      <c r="L355" t="str">
        <f>IFERROR(VLOOKUP(D355,Products!$A$2:$F$61,3,FALSE),"")</f>
        <v>Beauty</v>
      </c>
      <c r="M355">
        <f>IFERROR(VLOOKUP(D355,Products!$A$2:$F$61,4,FALSE),"")</f>
        <v>675</v>
      </c>
      <c r="N355" t="str">
        <f>IFERROR(VLOOKUP(E355,Sales_Reps!$A$2:$E$31,3,FALSE),"")</f>
        <v>West</v>
      </c>
      <c r="O355" t="str">
        <f>IFERROR(VLOOKUP(C355,Customers!$A$2:$F$301,5,FALSE),"")</f>
        <v>Retail</v>
      </c>
      <c r="P355">
        <f>IFERROR(VLOOKUP(C355,Customers!$A$2:$F$301,3,FALSE),"")</f>
        <v>60</v>
      </c>
      <c r="Q355" s="41">
        <f t="shared" si="14"/>
        <v>0.296875</v>
      </c>
      <c r="R355" t="str">
        <f>IFERROR(VLOOKUP(C355,Customers!$A$2:$F$301,1,FALSE),"")</f>
        <v>CUST-0164</v>
      </c>
      <c r="S355" s="27" t="b">
        <f>IFERROR(VLOOKUP(D355,Products!$A$2:$F$61,6,FALSE),"")</f>
        <v>1</v>
      </c>
      <c r="BL355">
        <v>0</v>
      </c>
      <c r="BO355">
        <v>0</v>
      </c>
      <c r="BP355">
        <v>0</v>
      </c>
    </row>
    <row r="356" spans="1:68" x14ac:dyDescent="0.35">
      <c r="A356" s="26" t="str">
        <f>Orders!A356</f>
        <v>ORD-00355</v>
      </c>
      <c r="B356" s="33">
        <f>Orders!B356</f>
        <v>45486</v>
      </c>
      <c r="C356" t="str">
        <f>Orders!C356</f>
        <v>CUST-0152</v>
      </c>
      <c r="D356" t="str">
        <f>Orders!D356</f>
        <v>PROD-027</v>
      </c>
      <c r="E356" t="str">
        <f>Orders!E356</f>
        <v>R021</v>
      </c>
      <c r="F356">
        <f>Orders!F356</f>
        <v>4</v>
      </c>
      <c r="G356" s="35">
        <f>Orders!G356</f>
        <v>3780</v>
      </c>
      <c r="H356" s="37">
        <f>Orders!H356</f>
        <v>25.3</v>
      </c>
      <c r="I356" s="39">
        <f>Orders!I356</f>
        <v>11294.64</v>
      </c>
      <c r="J356" t="str">
        <f>Orders!J356</f>
        <v>Completed</v>
      </c>
      <c r="K356" t="str">
        <f>Orders!K356</f>
        <v>Bengaluru</v>
      </c>
      <c r="L356" t="str">
        <f>IFERROR(VLOOKUP(D356,Products!$A$2:$F$61,3,FALSE),"")</f>
        <v>Grocery</v>
      </c>
      <c r="M356">
        <f>IFERROR(VLOOKUP(D356,Products!$A$2:$F$61,4,FALSE),"")</f>
        <v>2436</v>
      </c>
      <c r="N356" t="str">
        <f>IFERROR(VLOOKUP(E356,Sales_Reps!$A$2:$E$31,3,FALSE),"")</f>
        <v>East</v>
      </c>
      <c r="O356" t="str">
        <f>IFERROR(VLOOKUP(C356,Customers!$A$2:$F$301,5,FALSE),"")</f>
        <v>SMB</v>
      </c>
      <c r="P356">
        <f>IFERROR(VLOOKUP(C356,Customers!$A$2:$F$301,3,FALSE),"")</f>
        <v>64</v>
      </c>
      <c r="Q356" s="41">
        <f t="shared" si="14"/>
        <v>0.35555555555555557</v>
      </c>
      <c r="R356" t="str">
        <f>IFERROR(VLOOKUP(C356,Customers!$A$2:$F$301,1,FALSE),"")</f>
        <v>CUST-0152</v>
      </c>
      <c r="S356" s="27" t="b">
        <f>IFERROR(VLOOKUP(D356,Products!$A$2:$F$61,6,FALSE),"")</f>
        <v>1</v>
      </c>
      <c r="BL356">
        <v>0</v>
      </c>
      <c r="BO356">
        <v>0</v>
      </c>
      <c r="BP356">
        <v>0</v>
      </c>
    </row>
    <row r="357" spans="1:68" x14ac:dyDescent="0.35">
      <c r="A357" s="26" t="str">
        <f>Orders!A357</f>
        <v>ORD-00356</v>
      </c>
      <c r="B357" s="33">
        <f>Orders!B357</f>
        <v>45544</v>
      </c>
      <c r="C357" t="str">
        <f>Orders!C357</f>
        <v>CUST-0143</v>
      </c>
      <c r="D357" t="str">
        <f>Orders!D357</f>
        <v>PROD-044</v>
      </c>
      <c r="E357" t="str">
        <f>Orders!E357</f>
        <v>R014</v>
      </c>
      <c r="F357">
        <f>Orders!F357</f>
        <v>4</v>
      </c>
      <c r="G357" s="35">
        <f>Orders!G357</f>
        <v>1650</v>
      </c>
      <c r="H357" s="37">
        <f>Orders!H357</f>
        <v>13.7</v>
      </c>
      <c r="I357" s="39">
        <f>Orders!I357</f>
        <v>5695.8</v>
      </c>
      <c r="J357" t="str">
        <f>Orders!J357</f>
        <v>Cancelled</v>
      </c>
      <c r="K357" t="str">
        <f>Orders!K357</f>
        <v>Chennai</v>
      </c>
      <c r="L357" t="str">
        <f>IFERROR(VLOOKUP(D357,Products!$A$2:$F$61,3,FALSE),"")</f>
        <v>Beauty</v>
      </c>
      <c r="M357">
        <f>IFERROR(VLOOKUP(D357,Products!$A$2:$F$61,4,FALSE),"")</f>
        <v>1222</v>
      </c>
      <c r="N357" t="str">
        <f>IFERROR(VLOOKUP(E357,Sales_Reps!$A$2:$E$31,3,FALSE),"")</f>
        <v>South</v>
      </c>
      <c r="O357" t="str">
        <f>IFERROR(VLOOKUP(C357,Customers!$A$2:$F$301,5,FALSE),"")</f>
        <v>SMB</v>
      </c>
      <c r="P357">
        <f>IFERROR(VLOOKUP(C357,Customers!$A$2:$F$301,3,FALSE),"")</f>
        <v>52</v>
      </c>
      <c r="Q357" s="41">
        <f t="shared" si="14"/>
        <v>0.2593939393939394</v>
      </c>
      <c r="R357" t="str">
        <f>IFERROR(VLOOKUP(C357,Customers!$A$2:$F$301,1,FALSE),"")</f>
        <v>CUST-0143</v>
      </c>
      <c r="S357" s="27" t="b">
        <f>IFERROR(VLOOKUP(D357,Products!$A$2:$F$61,6,FALSE),"")</f>
        <v>1</v>
      </c>
      <c r="BL357">
        <v>0</v>
      </c>
      <c r="BO357">
        <v>0</v>
      </c>
      <c r="BP357">
        <v>0</v>
      </c>
    </row>
    <row r="358" spans="1:68" x14ac:dyDescent="0.35">
      <c r="A358" s="26" t="str">
        <f>Orders!A358</f>
        <v>ORD-00357</v>
      </c>
      <c r="B358" s="33">
        <f>Orders!B358</f>
        <v>45580</v>
      </c>
      <c r="C358" t="str">
        <f>Orders!C358</f>
        <v>CUST-0232</v>
      </c>
      <c r="D358" t="str">
        <f>Orders!D358</f>
        <v>PROD-014</v>
      </c>
      <c r="E358" t="str">
        <f>Orders!E358</f>
        <v>R012</v>
      </c>
      <c r="F358">
        <f>Orders!F358</f>
        <v>6</v>
      </c>
      <c r="G358" s="35">
        <f>Orders!G358</f>
        <v>3620</v>
      </c>
      <c r="H358" s="37">
        <f>Orders!H358</f>
        <v>21.3</v>
      </c>
      <c r="I358" s="39">
        <f>Orders!I358</f>
        <v>17093.64</v>
      </c>
      <c r="J358" t="str">
        <f>Orders!J358</f>
        <v>Pending</v>
      </c>
      <c r="K358" t="str">
        <f>Orders!K358</f>
        <v>Hyderabad</v>
      </c>
      <c r="L358" t="str">
        <f>IFERROR(VLOOKUP(D358,Products!$A$2:$F$61,3,FALSE),"")</f>
        <v>Apparel</v>
      </c>
      <c r="M358">
        <f>IFERROR(VLOOKUP(D358,Products!$A$2:$F$61,4,FALSE),"")</f>
        <v>2509</v>
      </c>
      <c r="N358" t="str">
        <f>IFERROR(VLOOKUP(E358,Sales_Reps!$A$2:$E$31,3,FALSE),"")</f>
        <v>South</v>
      </c>
      <c r="O358" t="str">
        <f>IFERROR(VLOOKUP(C358,Customers!$A$2:$F$301,5,FALSE),"")</f>
        <v>Retail</v>
      </c>
      <c r="P358">
        <f>IFERROR(VLOOKUP(C358,Customers!$A$2:$F$301,3,FALSE),"")</f>
        <v>38</v>
      </c>
      <c r="Q358" s="41">
        <f t="shared" si="14"/>
        <v>0.3069060773480663</v>
      </c>
      <c r="R358" t="str">
        <f>IFERROR(VLOOKUP(C358,Customers!$A$2:$F$301,1,FALSE),"")</f>
        <v>CUST-0232</v>
      </c>
      <c r="S358" s="27" t="b">
        <f>IFERROR(VLOOKUP(D358,Products!$A$2:$F$61,6,FALSE),"")</f>
        <v>1</v>
      </c>
      <c r="BL358">
        <v>0</v>
      </c>
      <c r="BO358">
        <v>0</v>
      </c>
      <c r="BP358">
        <v>0</v>
      </c>
    </row>
    <row r="359" spans="1:68" x14ac:dyDescent="0.35">
      <c r="A359" s="26" t="str">
        <f>Orders!A359</f>
        <v>ORD-00358</v>
      </c>
      <c r="B359" s="33">
        <f>Orders!B359</f>
        <v>45312</v>
      </c>
      <c r="C359" t="str">
        <f>Orders!C359</f>
        <v>CUST-0067</v>
      </c>
      <c r="D359" t="str">
        <f>Orders!D359</f>
        <v>PROD-022</v>
      </c>
      <c r="E359" t="str">
        <f>Orders!E359</f>
        <v>R030</v>
      </c>
      <c r="F359">
        <f>Orders!F359</f>
        <v>10</v>
      </c>
      <c r="G359" s="35">
        <f>Orders!G359</f>
        <v>2270</v>
      </c>
      <c r="H359" s="37">
        <f>Orders!H359</f>
        <v>17.7</v>
      </c>
      <c r="I359" s="39">
        <f>Orders!I359</f>
        <v>18682.099999999999</v>
      </c>
      <c r="J359" t="str">
        <f>Orders!J359</f>
        <v>Completed</v>
      </c>
      <c r="K359" t="str">
        <f>Orders!K359</f>
        <v>Delhi</v>
      </c>
      <c r="L359" t="str">
        <f>IFERROR(VLOOKUP(D359,Products!$A$2:$F$61,3,FALSE),"")</f>
        <v>Grocery</v>
      </c>
      <c r="M359">
        <f>IFERROR(VLOOKUP(D359,Products!$A$2:$F$61,4,FALSE),"")</f>
        <v>1412</v>
      </c>
      <c r="N359" t="str">
        <f>IFERROR(VLOOKUP(E359,Sales_Reps!$A$2:$E$31,3,FALSE),"")</f>
        <v>West</v>
      </c>
      <c r="O359" t="str">
        <f>IFERROR(VLOOKUP(C359,Customers!$A$2:$F$301,5,FALSE),"")</f>
        <v>SMB</v>
      </c>
      <c r="P359">
        <f>IFERROR(VLOOKUP(C359,Customers!$A$2:$F$301,3,FALSE),"")</f>
        <v>59</v>
      </c>
      <c r="Q359" s="41">
        <f t="shared" si="14"/>
        <v>0.37797356828193834</v>
      </c>
      <c r="R359" t="str">
        <f>IFERROR(VLOOKUP(C359,Customers!$A$2:$F$301,1,FALSE),"")</f>
        <v>CUST-0067</v>
      </c>
      <c r="S359" s="27" t="b">
        <f>IFERROR(VLOOKUP(D359,Products!$A$2:$F$61,6,FALSE),"")</f>
        <v>1</v>
      </c>
      <c r="BL359">
        <v>0</v>
      </c>
      <c r="BO359">
        <v>0</v>
      </c>
      <c r="BP359">
        <v>0</v>
      </c>
    </row>
    <row r="360" spans="1:68" x14ac:dyDescent="0.35">
      <c r="A360" s="26" t="str">
        <f>Orders!A360</f>
        <v>ORD-00359</v>
      </c>
      <c r="B360" s="33">
        <f>Orders!B360</f>
        <v>45447</v>
      </c>
      <c r="C360" t="str">
        <f>Orders!C360</f>
        <v>CUST-0292</v>
      </c>
      <c r="D360" t="str">
        <f>Orders!D360</f>
        <v>PROD-041</v>
      </c>
      <c r="E360" t="str">
        <f>Orders!E360</f>
        <v>R013</v>
      </c>
      <c r="F360">
        <f>Orders!F360</f>
        <v>9</v>
      </c>
      <c r="G360" s="35">
        <f>Orders!G360</f>
        <v>1540</v>
      </c>
      <c r="H360" s="37">
        <f>Orders!H360</f>
        <v>10.7</v>
      </c>
      <c r="I360" s="39">
        <f>Orders!I360</f>
        <v>12376.98</v>
      </c>
      <c r="J360" t="str">
        <f>Orders!J360</f>
        <v>Completed</v>
      </c>
      <c r="K360" t="str">
        <f>Orders!K360</f>
        <v>Bengaluru</v>
      </c>
      <c r="L360" t="str">
        <f>IFERROR(VLOOKUP(D360,Products!$A$2:$F$61,3,FALSE),"")</f>
        <v>Beauty</v>
      </c>
      <c r="M360">
        <f>IFERROR(VLOOKUP(D360,Products!$A$2:$F$61,4,FALSE),"")</f>
        <v>647</v>
      </c>
      <c r="N360" t="str">
        <f>IFERROR(VLOOKUP(E360,Sales_Reps!$A$2:$E$31,3,FALSE),"")</f>
        <v>South</v>
      </c>
      <c r="O360" t="str">
        <f>IFERROR(VLOOKUP(C360,Customers!$A$2:$F$301,5,FALSE),"")</f>
        <v>Retail</v>
      </c>
      <c r="P360">
        <f>IFERROR(VLOOKUP(C360,Customers!$A$2:$F$301,3,FALSE),"")</f>
        <v>32</v>
      </c>
      <c r="Q360" s="41">
        <f t="shared" si="14"/>
        <v>0.57987012987012987</v>
      </c>
      <c r="R360" t="str">
        <f>IFERROR(VLOOKUP(C360,Customers!$A$2:$F$301,1,FALSE),"")</f>
        <v>CUST-0292</v>
      </c>
      <c r="S360" s="27" t="b">
        <f>IFERROR(VLOOKUP(D360,Products!$A$2:$F$61,6,FALSE),"")</f>
        <v>0</v>
      </c>
      <c r="BL360">
        <v>0</v>
      </c>
      <c r="BO360">
        <v>0</v>
      </c>
      <c r="BP360">
        <v>1</v>
      </c>
    </row>
    <row r="361" spans="1:68" x14ac:dyDescent="0.35">
      <c r="A361" s="26" t="str">
        <f>Orders!A361</f>
        <v>ORD-00360</v>
      </c>
      <c r="B361" s="33">
        <f>Orders!B361</f>
        <v>45607</v>
      </c>
      <c r="C361" t="str">
        <f>Orders!C361</f>
        <v>CUST-0118</v>
      </c>
      <c r="D361" t="str">
        <f>Orders!D361</f>
        <v>PROD-055</v>
      </c>
      <c r="E361" t="str">
        <f>Orders!E361</f>
        <v>R021</v>
      </c>
      <c r="F361">
        <f>Orders!F361</f>
        <v>9</v>
      </c>
      <c r="G361" s="35">
        <f>Orders!G361</f>
        <v>2860</v>
      </c>
      <c r="H361" s="37">
        <f>Orders!H361</f>
        <v>12.9</v>
      </c>
      <c r="I361" s="39">
        <f>Orders!I361</f>
        <v>22419.54</v>
      </c>
      <c r="J361" t="str">
        <f>Orders!J361</f>
        <v>Completed</v>
      </c>
      <c r="K361" t="str">
        <f>Orders!K361</f>
        <v>Hyderabad</v>
      </c>
      <c r="L361" t="str">
        <f>IFERROR(VLOOKUP(D361,Products!$A$2:$F$61,3,FALSE),"")</f>
        <v>Sports</v>
      </c>
      <c r="M361">
        <f>IFERROR(VLOOKUP(D361,Products!$A$2:$F$61,4,FALSE),"")</f>
        <v>2028</v>
      </c>
      <c r="N361" t="str">
        <f>IFERROR(VLOOKUP(E361,Sales_Reps!$A$2:$E$31,3,FALSE),"")</f>
        <v>East</v>
      </c>
      <c r="O361" t="str">
        <f>IFERROR(VLOOKUP(C361,Customers!$A$2:$F$301,5,FALSE),"")</f>
        <v>Retail</v>
      </c>
      <c r="P361">
        <f>IFERROR(VLOOKUP(C361,Customers!$A$2:$F$301,3,FALSE),"")</f>
        <v>26</v>
      </c>
      <c r="Q361" s="41">
        <f t="shared" si="14"/>
        <v>0.29090909090909089</v>
      </c>
      <c r="R361" t="str">
        <f>IFERROR(VLOOKUP(C361,Customers!$A$2:$F$301,1,FALSE),"")</f>
        <v>CUST-0118</v>
      </c>
      <c r="S361" s="27" t="b">
        <f>IFERROR(VLOOKUP(D361,Products!$A$2:$F$61,6,FALSE),"")</f>
        <v>1</v>
      </c>
      <c r="BL361">
        <v>0</v>
      </c>
      <c r="BO361">
        <v>0</v>
      </c>
      <c r="BP361">
        <v>0</v>
      </c>
    </row>
    <row r="362" spans="1:68" x14ac:dyDescent="0.35">
      <c r="A362" s="26" t="str">
        <f>Orders!A362</f>
        <v>ORD-00361</v>
      </c>
      <c r="B362" s="33">
        <f>Orders!B362</f>
        <v>45379</v>
      </c>
      <c r="C362" t="str">
        <f>Orders!C362</f>
        <v>CUST-0212</v>
      </c>
      <c r="D362" t="str">
        <f>Orders!D362</f>
        <v>PROD-029</v>
      </c>
      <c r="E362" t="str">
        <f>Orders!E362</f>
        <v>R016</v>
      </c>
      <c r="F362">
        <f>Orders!F362</f>
        <v>5</v>
      </c>
      <c r="G362" s="35">
        <f>Orders!G362</f>
        <v>2210</v>
      </c>
      <c r="H362" s="37">
        <f>Orders!H362</f>
        <v>5.0999999999999996</v>
      </c>
      <c r="I362" s="39">
        <f>Orders!I362</f>
        <v>10486.45</v>
      </c>
      <c r="J362" t="str">
        <f>Orders!J362</f>
        <v>Completed</v>
      </c>
      <c r="K362" t="str">
        <f>Orders!K362</f>
        <v>Chennai</v>
      </c>
      <c r="L362" t="str">
        <f>IFERROR(VLOOKUP(D362,Products!$A$2:$F$61,3,FALSE),"")</f>
        <v>Grocery</v>
      </c>
      <c r="M362">
        <f>IFERROR(VLOOKUP(D362,Products!$A$2:$F$61,4,FALSE),"")</f>
        <v>1010</v>
      </c>
      <c r="N362" t="str">
        <f>IFERROR(VLOOKUP(E362,Sales_Reps!$A$2:$E$31,3,FALSE),"")</f>
        <v>South</v>
      </c>
      <c r="O362" t="str">
        <f>IFERROR(VLOOKUP(C362,Customers!$A$2:$F$301,5,FALSE),"")</f>
        <v>SMB</v>
      </c>
      <c r="P362">
        <f>IFERROR(VLOOKUP(C362,Customers!$A$2:$F$301,3,FALSE),"")</f>
        <v>46</v>
      </c>
      <c r="Q362" s="41">
        <f t="shared" si="14"/>
        <v>0.54298642533936647</v>
      </c>
      <c r="R362" t="str">
        <f>IFERROR(VLOOKUP(C362,Customers!$A$2:$F$301,1,FALSE),"")</f>
        <v>CUST-0212</v>
      </c>
      <c r="S362" s="27" t="b">
        <f>IFERROR(VLOOKUP(D362,Products!$A$2:$F$61,6,FALSE),"")</f>
        <v>1</v>
      </c>
      <c r="BL362">
        <v>0</v>
      </c>
      <c r="BO362">
        <v>0</v>
      </c>
      <c r="BP362">
        <v>0</v>
      </c>
    </row>
    <row r="363" spans="1:68" x14ac:dyDescent="0.35">
      <c r="A363" s="26" t="str">
        <f>Orders!A363</f>
        <v>ORD-00362</v>
      </c>
      <c r="B363" s="33">
        <f>Orders!B363</f>
        <v>45591</v>
      </c>
      <c r="C363" t="str">
        <f>Orders!C363</f>
        <v>CUST-0287</v>
      </c>
      <c r="D363" t="str">
        <f>Orders!D363</f>
        <v>PROD-009</v>
      </c>
      <c r="E363" t="str">
        <f>Orders!E363</f>
        <v>R029</v>
      </c>
      <c r="F363">
        <f>Orders!F363</f>
        <v>1</v>
      </c>
      <c r="G363" s="35">
        <f>Orders!G363</f>
        <v>1220</v>
      </c>
      <c r="H363" s="37">
        <f>Orders!H363</f>
        <v>16.100000000000001</v>
      </c>
      <c r="I363" s="39">
        <f>Orders!I363</f>
        <v>1023.58</v>
      </c>
      <c r="J363" t="str">
        <f>Orders!J363</f>
        <v>Completed</v>
      </c>
      <c r="K363" t="str">
        <f>Orders!K363</f>
        <v>Chennai</v>
      </c>
      <c r="L363" t="str">
        <f>IFERROR(VLOOKUP(D363,Products!$A$2:$F$61,3,FALSE),"")</f>
        <v>Electronics</v>
      </c>
      <c r="M363">
        <f>IFERROR(VLOOKUP(D363,Products!$A$2:$F$61,4,FALSE),"")</f>
        <v>517</v>
      </c>
      <c r="N363" t="str">
        <f>IFERROR(VLOOKUP(E363,Sales_Reps!$A$2:$E$31,3,FALSE),"")</f>
        <v>West</v>
      </c>
      <c r="O363" t="str">
        <f>IFERROR(VLOOKUP(C363,Customers!$A$2:$F$301,5,FALSE),"")</f>
        <v>SMB</v>
      </c>
      <c r="P363">
        <f>IFERROR(VLOOKUP(C363,Customers!$A$2:$F$301,3,FALSE),"")</f>
        <v>53</v>
      </c>
      <c r="Q363" s="41">
        <f t="shared" si="14"/>
        <v>0.57622950819672136</v>
      </c>
      <c r="R363" t="str">
        <f>IFERROR(VLOOKUP(C363,Customers!$A$2:$F$301,1,FALSE),"")</f>
        <v>CUST-0287</v>
      </c>
      <c r="S363" s="27" t="b">
        <f>IFERROR(VLOOKUP(D363,Products!$A$2:$F$61,6,FALSE),"")</f>
        <v>1</v>
      </c>
      <c r="BL363">
        <v>0</v>
      </c>
      <c r="BO363">
        <v>0</v>
      </c>
      <c r="BP363">
        <v>0</v>
      </c>
    </row>
    <row r="364" spans="1:68" x14ac:dyDescent="0.35">
      <c r="A364" s="26" t="str">
        <f>Orders!A364</f>
        <v>ORD-00363</v>
      </c>
      <c r="B364" s="33">
        <f>Orders!B364</f>
        <v>45561</v>
      </c>
      <c r="C364" t="str">
        <f>Orders!C364</f>
        <v>CUST-0030</v>
      </c>
      <c r="D364" t="str">
        <f>Orders!D364</f>
        <v>PROD-003</v>
      </c>
      <c r="E364" t="str">
        <f>Orders!E364</f>
        <v>R006</v>
      </c>
      <c r="F364">
        <f>Orders!F364</f>
        <v>2</v>
      </c>
      <c r="G364" s="35">
        <f>Orders!G364</f>
        <v>3570</v>
      </c>
      <c r="H364" s="37">
        <f>Orders!H364</f>
        <v>1.1000000000000001</v>
      </c>
      <c r="I364" s="39">
        <f>Orders!I364</f>
        <v>7061.46</v>
      </c>
      <c r="J364" t="str">
        <f>Orders!J364</f>
        <v>Completed</v>
      </c>
      <c r="K364" t="str">
        <f>Orders!K364</f>
        <v>Bengaluru</v>
      </c>
      <c r="L364" t="str">
        <f>IFERROR(VLOOKUP(D364,Products!$A$2:$F$61,3,FALSE),"")</f>
        <v>Electronics</v>
      </c>
      <c r="M364">
        <f>IFERROR(VLOOKUP(D364,Products!$A$2:$F$61,4,FALSE),"")</f>
        <v>1665</v>
      </c>
      <c r="N364" t="str">
        <f>IFERROR(VLOOKUP(E364,Sales_Reps!$A$2:$E$31,3,FALSE),"")</f>
        <v>North</v>
      </c>
      <c r="O364" t="str">
        <f>IFERROR(VLOOKUP(C364,Customers!$A$2:$F$301,5,FALSE),"")</f>
        <v>Corporate</v>
      </c>
      <c r="P364">
        <f>IFERROR(VLOOKUP(C364,Customers!$A$2:$F$301,3,FALSE),"")</f>
        <v>43</v>
      </c>
      <c r="Q364" s="41">
        <f t="shared" si="14"/>
        <v>0.53361344537815125</v>
      </c>
      <c r="R364" t="str">
        <f>IFERROR(VLOOKUP(C364,Customers!$A$2:$F$301,1,FALSE),"")</f>
        <v>CUST-0030</v>
      </c>
      <c r="S364" s="27" t="b">
        <f>IFERROR(VLOOKUP(D364,Products!$A$2:$F$61,6,FALSE),"")</f>
        <v>1</v>
      </c>
      <c r="BL364">
        <v>0</v>
      </c>
      <c r="BO364">
        <v>0</v>
      </c>
      <c r="BP364">
        <v>0</v>
      </c>
    </row>
    <row r="365" spans="1:68" x14ac:dyDescent="0.35">
      <c r="A365" s="26" t="str">
        <f>Orders!A365</f>
        <v>ORD-00364</v>
      </c>
      <c r="B365" s="33">
        <f>Orders!B365</f>
        <v>45308</v>
      </c>
      <c r="C365" t="str">
        <f>Orders!C365</f>
        <v>CUST-0270</v>
      </c>
      <c r="D365" t="str">
        <f>Orders!D365</f>
        <v>PROD-011</v>
      </c>
      <c r="E365" t="str">
        <f>Orders!E365</f>
        <v>R016</v>
      </c>
      <c r="F365">
        <f>Orders!F365</f>
        <v>10</v>
      </c>
      <c r="G365" s="35">
        <f>Orders!G365</f>
        <v>3450</v>
      </c>
      <c r="H365" s="37">
        <f>Orders!H365</f>
        <v>12.6</v>
      </c>
      <c r="I365" s="39">
        <f>Orders!I365</f>
        <v>30153</v>
      </c>
      <c r="J365" t="str">
        <f>Orders!J365</f>
        <v>Completed</v>
      </c>
      <c r="K365" t="str">
        <f>Orders!K365</f>
        <v>Bengaluru</v>
      </c>
      <c r="L365" t="str">
        <f>IFERROR(VLOOKUP(D365,Products!$A$2:$F$61,3,FALSE),"")</f>
        <v>Apparel</v>
      </c>
      <c r="M365">
        <f>IFERROR(VLOOKUP(D365,Products!$A$2:$F$61,4,FALSE),"")</f>
        <v>1748</v>
      </c>
      <c r="N365" t="str">
        <f>IFERROR(VLOOKUP(E365,Sales_Reps!$A$2:$E$31,3,FALSE),"")</f>
        <v>South</v>
      </c>
      <c r="O365" t="str">
        <f>IFERROR(VLOOKUP(C365,Customers!$A$2:$F$301,5,FALSE),"")</f>
        <v>Retail</v>
      </c>
      <c r="P365">
        <f>IFERROR(VLOOKUP(C365,Customers!$A$2:$F$301,3,FALSE),"")</f>
        <v>29</v>
      </c>
      <c r="Q365" s="41">
        <f t="shared" si="14"/>
        <v>0.49333333333333335</v>
      </c>
      <c r="R365" t="str">
        <f>IFERROR(VLOOKUP(C365,Customers!$A$2:$F$301,1,FALSE),"")</f>
        <v>CUST-0270</v>
      </c>
      <c r="S365" s="27" t="b">
        <f>IFERROR(VLOOKUP(D365,Products!$A$2:$F$61,6,FALSE),"")</f>
        <v>1</v>
      </c>
      <c r="BL365">
        <v>0</v>
      </c>
      <c r="BO365">
        <v>0</v>
      </c>
      <c r="BP365">
        <v>0</v>
      </c>
    </row>
    <row r="366" spans="1:68" x14ac:dyDescent="0.35">
      <c r="A366" s="26" t="str">
        <f>Orders!A366</f>
        <v>ORD-00365</v>
      </c>
      <c r="B366" s="33">
        <f>Orders!B366</f>
        <v>45563</v>
      </c>
      <c r="C366" t="str">
        <f>Orders!C366</f>
        <v>CUST-0001</v>
      </c>
      <c r="D366" t="str">
        <f>Orders!D366</f>
        <v>PROD-029</v>
      </c>
      <c r="E366" t="str">
        <f>Orders!E366</f>
        <v>R021</v>
      </c>
      <c r="F366">
        <f>Orders!F366</f>
        <v>4</v>
      </c>
      <c r="G366" s="35">
        <f>Orders!G366</f>
        <v>2210</v>
      </c>
      <c r="H366" s="37">
        <f>Orders!H366</f>
        <v>5.4</v>
      </c>
      <c r="I366" s="39">
        <f>Orders!I366</f>
        <v>8362.64</v>
      </c>
      <c r="J366" t="str">
        <f>Orders!J366</f>
        <v>Completed</v>
      </c>
      <c r="K366" t="str">
        <f>Orders!K366</f>
        <v>Pune</v>
      </c>
      <c r="L366" t="str">
        <f>IFERROR(VLOOKUP(D366,Products!$A$2:$F$61,3,FALSE),"")</f>
        <v>Grocery</v>
      </c>
      <c r="M366">
        <f>IFERROR(VLOOKUP(D366,Products!$A$2:$F$61,4,FALSE),"")</f>
        <v>1010</v>
      </c>
      <c r="N366" t="str">
        <f>IFERROR(VLOOKUP(E366,Sales_Reps!$A$2:$E$31,3,FALSE),"")</f>
        <v>East</v>
      </c>
      <c r="O366" t="str">
        <f>IFERROR(VLOOKUP(C366,Customers!$A$2:$F$301,5,FALSE),"")</f>
        <v>Retail</v>
      </c>
      <c r="P366">
        <f>IFERROR(VLOOKUP(C366,Customers!$A$2:$F$301,3,FALSE),"")</f>
        <v>36</v>
      </c>
      <c r="Q366" s="41">
        <f t="shared" si="14"/>
        <v>0.54298642533936647</v>
      </c>
      <c r="R366" t="str">
        <f>IFERROR(VLOOKUP(C366,Customers!$A$2:$F$301,1,FALSE),"")</f>
        <v>CUST-0001</v>
      </c>
      <c r="S366" s="27" t="b">
        <f>IFERROR(VLOOKUP(D366,Products!$A$2:$F$61,6,FALSE),"")</f>
        <v>1</v>
      </c>
      <c r="BL366">
        <v>0</v>
      </c>
      <c r="BO366">
        <v>0</v>
      </c>
      <c r="BP366">
        <v>0</v>
      </c>
    </row>
    <row r="367" spans="1:68" x14ac:dyDescent="0.35">
      <c r="A367" s="26" t="str">
        <f>Orders!A367</f>
        <v>ORD-00366</v>
      </c>
      <c r="B367" s="33">
        <f>Orders!B367</f>
        <v>45476</v>
      </c>
      <c r="C367" t="str">
        <f>Orders!C367</f>
        <v>CUST-0215</v>
      </c>
      <c r="D367" t="str">
        <f>Orders!D367</f>
        <v>PROD-035</v>
      </c>
      <c r="E367" t="str">
        <f>Orders!E367</f>
        <v>R014</v>
      </c>
      <c r="F367">
        <f>Orders!F367</f>
        <v>6</v>
      </c>
      <c r="G367" s="35">
        <f>Orders!G367</f>
        <v>1090</v>
      </c>
      <c r="H367" s="37">
        <f>Orders!H367</f>
        <v>2.9</v>
      </c>
      <c r="I367" s="39">
        <f>Orders!I367</f>
        <v>6350.34</v>
      </c>
      <c r="J367" t="str">
        <f>Orders!J367</f>
        <v>Cancelled</v>
      </c>
      <c r="K367" t="str">
        <f>Orders!K367</f>
        <v>Hyderabad</v>
      </c>
      <c r="L367" t="str">
        <f>IFERROR(VLOOKUP(D367,Products!$A$2:$F$61,3,FALSE),"")</f>
        <v>Home</v>
      </c>
      <c r="M367">
        <f>IFERROR(VLOOKUP(D367,Products!$A$2:$F$61,4,FALSE),"")</f>
        <v>464</v>
      </c>
      <c r="N367" t="str">
        <f>IFERROR(VLOOKUP(E367,Sales_Reps!$A$2:$E$31,3,FALSE),"")</f>
        <v>South</v>
      </c>
      <c r="O367" t="str">
        <f>IFERROR(VLOOKUP(C367,Customers!$A$2:$F$301,5,FALSE),"")</f>
        <v>Retail</v>
      </c>
      <c r="P367">
        <f>IFERROR(VLOOKUP(C367,Customers!$A$2:$F$301,3,FALSE),"")</f>
        <v>52</v>
      </c>
      <c r="Q367" s="41">
        <f t="shared" si="14"/>
        <v>0.57431192660550456</v>
      </c>
      <c r="R367" t="str">
        <f>IFERROR(VLOOKUP(C367,Customers!$A$2:$F$301,1,FALSE),"")</f>
        <v>CUST-0215</v>
      </c>
      <c r="S367" s="27" t="b">
        <f>IFERROR(VLOOKUP(D367,Products!$A$2:$F$61,6,FALSE),"")</f>
        <v>1</v>
      </c>
      <c r="BL367">
        <v>0</v>
      </c>
      <c r="BO367">
        <v>0</v>
      </c>
      <c r="BP367">
        <v>0</v>
      </c>
    </row>
    <row r="368" spans="1:68" x14ac:dyDescent="0.35">
      <c r="A368" s="26" t="str">
        <f>Orders!A368</f>
        <v>ORD-00367</v>
      </c>
      <c r="B368" s="33">
        <f>Orders!B368</f>
        <v>45364</v>
      </c>
      <c r="C368" t="str">
        <f>Orders!C368</f>
        <v>CUST-0225</v>
      </c>
      <c r="D368" t="str">
        <f>Orders!D368</f>
        <v>PROD-041</v>
      </c>
      <c r="E368" t="str">
        <f>Orders!E368</f>
        <v>R017</v>
      </c>
      <c r="F368">
        <f>Orders!F368</f>
        <v>8</v>
      </c>
      <c r="G368" s="35">
        <f>Orders!G368</f>
        <v>1540</v>
      </c>
      <c r="H368" s="37">
        <f>Orders!H368</f>
        <v>17.899999999999999</v>
      </c>
      <c r="I368" s="39">
        <f>Orders!I368</f>
        <v>10114.719999999999</v>
      </c>
      <c r="J368" t="str">
        <f>Orders!J368</f>
        <v>Pending</v>
      </c>
      <c r="K368" t="str">
        <f>Orders!K368</f>
        <v>Chennai</v>
      </c>
      <c r="L368" t="str">
        <f>IFERROR(VLOOKUP(D368,Products!$A$2:$F$61,3,FALSE),"")</f>
        <v>Beauty</v>
      </c>
      <c r="M368">
        <f>IFERROR(VLOOKUP(D368,Products!$A$2:$F$61,4,FALSE),"")</f>
        <v>647</v>
      </c>
      <c r="N368" t="str">
        <f>IFERROR(VLOOKUP(E368,Sales_Reps!$A$2:$E$31,3,FALSE),"")</f>
        <v>East</v>
      </c>
      <c r="O368" t="str">
        <f>IFERROR(VLOOKUP(C368,Customers!$A$2:$F$301,5,FALSE),"")</f>
        <v>SMB</v>
      </c>
      <c r="P368">
        <f>IFERROR(VLOOKUP(C368,Customers!$A$2:$F$301,3,FALSE),"")</f>
        <v>26</v>
      </c>
      <c r="Q368" s="41">
        <f t="shared" si="14"/>
        <v>0.57987012987012987</v>
      </c>
      <c r="R368" t="str">
        <f>IFERROR(VLOOKUP(C368,Customers!$A$2:$F$301,1,FALSE),"")</f>
        <v>CUST-0225</v>
      </c>
      <c r="S368" s="27" t="b">
        <f>IFERROR(VLOOKUP(D368,Products!$A$2:$F$61,6,FALSE),"")</f>
        <v>0</v>
      </c>
      <c r="BL368">
        <v>0</v>
      </c>
      <c r="BO368">
        <v>0</v>
      </c>
      <c r="BP368">
        <v>1</v>
      </c>
    </row>
    <row r="369" spans="1:68" x14ac:dyDescent="0.35">
      <c r="A369" s="26" t="str">
        <f>Orders!A369</f>
        <v>ORD-00368</v>
      </c>
      <c r="B369" s="33">
        <f>Orders!B369</f>
        <v>45371</v>
      </c>
      <c r="C369" t="str">
        <f>Orders!C369</f>
        <v>CUST-0163</v>
      </c>
      <c r="D369" t="str">
        <f>Orders!D369</f>
        <v>PROD-002</v>
      </c>
      <c r="E369" t="str">
        <f>Orders!E369</f>
        <v>R028</v>
      </c>
      <c r="F369">
        <f>Orders!F369</f>
        <v>9</v>
      </c>
      <c r="G369" s="35">
        <f>Orders!G369</f>
        <v>2600</v>
      </c>
      <c r="H369" s="37">
        <f>Orders!H369</f>
        <v>4.0999999999999996</v>
      </c>
      <c r="I369" s="39">
        <f>Orders!I369</f>
        <v>22440.6</v>
      </c>
      <c r="J369" t="str">
        <f>Orders!J369</f>
        <v>Completed</v>
      </c>
      <c r="K369" t="str">
        <f>Orders!K369</f>
        <v>Pune</v>
      </c>
      <c r="L369" t="str">
        <f>IFERROR(VLOOKUP(D369,Products!$A$2:$F$61,3,FALSE),"")</f>
        <v>Electronics</v>
      </c>
      <c r="M369">
        <f>IFERROR(VLOOKUP(D369,Products!$A$2:$F$61,4,FALSE),"")</f>
        <v>1052</v>
      </c>
      <c r="N369" t="str">
        <f>IFERROR(VLOOKUP(E369,Sales_Reps!$A$2:$E$31,3,FALSE),"")</f>
        <v>West</v>
      </c>
      <c r="O369" t="str">
        <f>IFERROR(VLOOKUP(C369,Customers!$A$2:$F$301,5,FALSE),"")</f>
        <v>Retail</v>
      </c>
      <c r="P369">
        <f>IFERROR(VLOOKUP(C369,Customers!$A$2:$F$301,3,FALSE),"")</f>
        <v>49</v>
      </c>
      <c r="Q369" s="41">
        <f t="shared" si="14"/>
        <v>0.5953846153846154</v>
      </c>
      <c r="R369" t="str">
        <f>IFERROR(VLOOKUP(C369,Customers!$A$2:$F$301,1,FALSE),"")</f>
        <v>CUST-0163</v>
      </c>
      <c r="S369" s="27" t="b">
        <f>IFERROR(VLOOKUP(D369,Products!$A$2:$F$61,6,FALSE),"")</f>
        <v>1</v>
      </c>
      <c r="BL369">
        <v>0</v>
      </c>
      <c r="BO369">
        <v>0</v>
      </c>
      <c r="BP369">
        <v>0</v>
      </c>
    </row>
    <row r="370" spans="1:68" x14ac:dyDescent="0.35">
      <c r="A370" s="26" t="str">
        <f>Orders!A370</f>
        <v>ORD-00369</v>
      </c>
      <c r="B370" s="33">
        <f>Orders!B370</f>
        <v>45623</v>
      </c>
      <c r="C370" t="str">
        <f>Orders!C370</f>
        <v>CUST-0196</v>
      </c>
      <c r="D370" t="str">
        <f>Orders!D370</f>
        <v>PROD-060</v>
      </c>
      <c r="E370" t="str">
        <f>Orders!E370</f>
        <v>R007</v>
      </c>
      <c r="F370">
        <f>Orders!F370</f>
        <v>2</v>
      </c>
      <c r="G370" s="35">
        <f>Orders!G370</f>
        <v>190</v>
      </c>
      <c r="H370" s="37">
        <f>Orders!H370</f>
        <v>4.8</v>
      </c>
      <c r="I370" s="39">
        <f>Orders!I370</f>
        <v>361.76</v>
      </c>
      <c r="J370" t="str">
        <f>Orders!J370</f>
        <v>Completed</v>
      </c>
      <c r="K370" t="str">
        <f>Orders!K370</f>
        <v>Chennai</v>
      </c>
      <c r="L370" t="str">
        <f>IFERROR(VLOOKUP(D370,Products!$A$2:$F$61,3,FALSE),"")</f>
        <v>Sports</v>
      </c>
      <c r="M370">
        <f>IFERROR(VLOOKUP(D370,Products!$A$2:$F$61,4,FALSE),"")</f>
        <v>147</v>
      </c>
      <c r="N370" t="str">
        <f>IFERROR(VLOOKUP(E370,Sales_Reps!$A$2:$E$31,3,FALSE),"")</f>
        <v>North</v>
      </c>
      <c r="O370" t="str">
        <f>IFERROR(VLOOKUP(C370,Customers!$A$2:$F$301,5,FALSE),"")</f>
        <v>Retail</v>
      </c>
      <c r="P370">
        <f>IFERROR(VLOOKUP(C370,Customers!$A$2:$F$301,3,FALSE),"")</f>
        <v>26</v>
      </c>
      <c r="Q370" s="41">
        <f t="shared" si="14"/>
        <v>0.22631578947368422</v>
      </c>
      <c r="R370" t="str">
        <f>IFERROR(VLOOKUP(C370,Customers!$A$2:$F$301,1,FALSE),"")</f>
        <v>CUST-0196</v>
      </c>
      <c r="S370" s="27" t="b">
        <f>IFERROR(VLOOKUP(D370,Products!$A$2:$F$61,6,FALSE),"")</f>
        <v>1</v>
      </c>
      <c r="BL370">
        <v>0</v>
      </c>
      <c r="BO370">
        <v>0</v>
      </c>
      <c r="BP370">
        <v>0</v>
      </c>
    </row>
    <row r="371" spans="1:68" x14ac:dyDescent="0.35">
      <c r="A371" s="26" t="str">
        <f>Orders!A371</f>
        <v>ORD-00370</v>
      </c>
      <c r="B371" s="33">
        <f>Orders!B371</f>
        <v>45441</v>
      </c>
      <c r="C371" t="str">
        <f>Orders!C371</f>
        <v>CUST-0002</v>
      </c>
      <c r="D371" t="str">
        <f>Orders!D371</f>
        <v>PROD-019</v>
      </c>
      <c r="E371" t="str">
        <f>Orders!E371</f>
        <v>R014</v>
      </c>
      <c r="F371">
        <f>Orders!F371</f>
        <v>9</v>
      </c>
      <c r="G371" s="35">
        <f>Orders!G371</f>
        <v>2480</v>
      </c>
      <c r="H371" s="37">
        <f>Orders!H371</f>
        <v>28.3</v>
      </c>
      <c r="I371" s="39">
        <f>Orders!I371</f>
        <v>16003.44</v>
      </c>
      <c r="J371" t="str">
        <f>Orders!J371</f>
        <v>Completed</v>
      </c>
      <c r="K371" t="str">
        <f>Orders!K371</f>
        <v>Pune</v>
      </c>
      <c r="L371" t="str">
        <f>IFERROR(VLOOKUP(D371,Products!$A$2:$F$61,3,FALSE),"")</f>
        <v>Apparel</v>
      </c>
      <c r="M371">
        <f>IFERROR(VLOOKUP(D371,Products!$A$2:$F$61,4,FALSE),"")</f>
        <v>1173</v>
      </c>
      <c r="N371" t="str">
        <f>IFERROR(VLOOKUP(E371,Sales_Reps!$A$2:$E$31,3,FALSE),"")</f>
        <v>South</v>
      </c>
      <c r="O371" t="str">
        <f>IFERROR(VLOOKUP(C371,Customers!$A$2:$F$301,5,FALSE),"")</f>
        <v>Corporate</v>
      </c>
      <c r="P371">
        <f>IFERROR(VLOOKUP(C371,Customers!$A$2:$F$301,3,FALSE),"")</f>
        <v>42</v>
      </c>
      <c r="Q371" s="41">
        <f t="shared" si="14"/>
        <v>0.52701612903225803</v>
      </c>
      <c r="R371" t="str">
        <f>IFERROR(VLOOKUP(C371,Customers!$A$2:$F$301,1,FALSE),"")</f>
        <v>CUST-0002</v>
      </c>
      <c r="S371" s="27" t="b">
        <f>IFERROR(VLOOKUP(D371,Products!$A$2:$F$61,6,FALSE),"")</f>
        <v>1</v>
      </c>
      <c r="BL371">
        <v>0</v>
      </c>
      <c r="BO371">
        <v>0</v>
      </c>
      <c r="BP371">
        <v>0</v>
      </c>
    </row>
    <row r="372" spans="1:68" x14ac:dyDescent="0.35">
      <c r="A372" s="26" t="str">
        <f>Orders!A372</f>
        <v>ORD-00371</v>
      </c>
      <c r="B372" s="33">
        <f>Orders!B372</f>
        <v>45442</v>
      </c>
      <c r="C372" t="str">
        <f>Orders!C372</f>
        <v>CUST-0057</v>
      </c>
      <c r="D372" t="str">
        <f>Orders!D372</f>
        <v>PROD-042</v>
      </c>
      <c r="E372" t="str">
        <f>Orders!E372</f>
        <v>R006</v>
      </c>
      <c r="F372">
        <f>Orders!F372</f>
        <v>7</v>
      </c>
      <c r="G372" s="35">
        <f>Orders!G372</f>
        <v>2290</v>
      </c>
      <c r="H372" s="37">
        <f>Orders!H372</f>
        <v>25</v>
      </c>
      <c r="I372" s="39">
        <f>Orders!I372</f>
        <v>12022.5</v>
      </c>
      <c r="J372" t="str">
        <f>Orders!J372</f>
        <v>Cancelled</v>
      </c>
      <c r="K372" t="str">
        <f>Orders!K372</f>
        <v>Pune</v>
      </c>
      <c r="L372" t="str">
        <f>IFERROR(VLOOKUP(D372,Products!$A$2:$F$61,3,FALSE),"")</f>
        <v>Beauty</v>
      </c>
      <c r="M372">
        <f>IFERROR(VLOOKUP(D372,Products!$A$2:$F$61,4,FALSE),"")</f>
        <v>1219</v>
      </c>
      <c r="N372" t="str">
        <f>IFERROR(VLOOKUP(E372,Sales_Reps!$A$2:$E$31,3,FALSE),"")</f>
        <v>North</v>
      </c>
      <c r="O372" t="str">
        <f>IFERROR(VLOOKUP(C372,Customers!$A$2:$F$301,5,FALSE),"")</f>
        <v>Retail</v>
      </c>
      <c r="P372">
        <f>IFERROR(VLOOKUP(C372,Customers!$A$2:$F$301,3,FALSE),"")</f>
        <v>35</v>
      </c>
      <c r="Q372" s="41">
        <f t="shared" si="14"/>
        <v>0.46768558951965067</v>
      </c>
      <c r="R372" t="str">
        <f>IFERROR(VLOOKUP(C372,Customers!$A$2:$F$301,1,FALSE),"")</f>
        <v>CUST-0057</v>
      </c>
      <c r="S372" s="27" t="b">
        <f>IFERROR(VLOOKUP(D372,Products!$A$2:$F$61,6,FALSE),"")</f>
        <v>1</v>
      </c>
      <c r="BL372">
        <v>0</v>
      </c>
      <c r="BO372">
        <v>0</v>
      </c>
      <c r="BP372">
        <v>0</v>
      </c>
    </row>
    <row r="373" spans="1:68" x14ac:dyDescent="0.35">
      <c r="A373" s="26" t="str">
        <f>Orders!A373</f>
        <v>ORD-00372</v>
      </c>
      <c r="B373" s="33">
        <f>Orders!B373</f>
        <v>45567</v>
      </c>
      <c r="C373" t="str">
        <f>Orders!C373</f>
        <v>CUST-0112</v>
      </c>
      <c r="D373" t="str">
        <f>Orders!D373</f>
        <v>PROD-041</v>
      </c>
      <c r="E373" t="str">
        <f>Orders!E373</f>
        <v>R015</v>
      </c>
      <c r="F373">
        <f>Orders!F373</f>
        <v>9</v>
      </c>
      <c r="G373" s="35">
        <f>Orders!G373</f>
        <v>1540</v>
      </c>
      <c r="H373" s="37">
        <f>Orders!H373</f>
        <v>23.3</v>
      </c>
      <c r="I373" s="39">
        <f>Orders!I373</f>
        <v>10630.62</v>
      </c>
      <c r="J373" t="str">
        <f>Orders!J373</f>
        <v>Completed</v>
      </c>
      <c r="K373" t="str">
        <f>Orders!K373</f>
        <v>Hyderabad</v>
      </c>
      <c r="L373" t="str">
        <f>IFERROR(VLOOKUP(D373,Products!$A$2:$F$61,3,FALSE),"")</f>
        <v>Beauty</v>
      </c>
      <c r="M373">
        <f>IFERROR(VLOOKUP(D373,Products!$A$2:$F$61,4,FALSE),"")</f>
        <v>647</v>
      </c>
      <c r="N373" t="str">
        <f>IFERROR(VLOOKUP(E373,Sales_Reps!$A$2:$E$31,3,FALSE),"")</f>
        <v>South</v>
      </c>
      <c r="O373" t="str">
        <f>IFERROR(VLOOKUP(C373,Customers!$A$2:$F$301,5,FALSE),"")</f>
        <v>Retail</v>
      </c>
      <c r="P373">
        <f>IFERROR(VLOOKUP(C373,Customers!$A$2:$F$301,3,FALSE),"")</f>
        <v>64</v>
      </c>
      <c r="Q373" s="41">
        <f t="shared" si="14"/>
        <v>0.57987012987012987</v>
      </c>
      <c r="R373" t="str">
        <f>IFERROR(VLOOKUP(C373,Customers!$A$2:$F$301,1,FALSE),"")</f>
        <v>CUST-0112</v>
      </c>
      <c r="S373" s="27" t="b">
        <f>IFERROR(VLOOKUP(D373,Products!$A$2:$F$61,6,FALSE),"")</f>
        <v>0</v>
      </c>
      <c r="BL373">
        <v>0.5</v>
      </c>
      <c r="BO373">
        <v>0</v>
      </c>
      <c r="BP373">
        <v>1</v>
      </c>
    </row>
    <row r="374" spans="1:68" x14ac:dyDescent="0.35">
      <c r="A374" s="26" t="str">
        <f>Orders!A374</f>
        <v>ORD-00373</v>
      </c>
      <c r="B374" s="33">
        <f>Orders!B374</f>
        <v>45653</v>
      </c>
      <c r="C374" t="str">
        <f>Orders!C374</f>
        <v>CUST-0131</v>
      </c>
      <c r="D374" t="str">
        <f>Orders!D374</f>
        <v>PROD-034</v>
      </c>
      <c r="E374" t="str">
        <f>Orders!E374</f>
        <v>R025</v>
      </c>
      <c r="F374">
        <f>Orders!F374</f>
        <v>2</v>
      </c>
      <c r="G374" s="35">
        <f>Orders!G374</f>
        <v>5080</v>
      </c>
      <c r="H374" s="37">
        <f>Orders!H374</f>
        <v>2.5</v>
      </c>
      <c r="I374" s="39">
        <f>Orders!I374</f>
        <v>9906</v>
      </c>
      <c r="J374" t="str">
        <f>Orders!J374</f>
        <v>Cancelled</v>
      </c>
      <c r="K374" t="str">
        <f>Orders!K374</f>
        <v>Delhi</v>
      </c>
      <c r="L374" t="str">
        <f>IFERROR(VLOOKUP(D374,Products!$A$2:$F$61,3,FALSE),"")</f>
        <v>Home</v>
      </c>
      <c r="M374">
        <f>IFERROR(VLOOKUP(D374,Products!$A$2:$F$61,4,FALSE),"")</f>
        <v>2459</v>
      </c>
      <c r="N374" t="str">
        <f>IFERROR(VLOOKUP(E374,Sales_Reps!$A$2:$E$31,3,FALSE),"")</f>
        <v>West</v>
      </c>
      <c r="O374" t="str">
        <f>IFERROR(VLOOKUP(C374,Customers!$A$2:$F$301,5,FALSE),"")</f>
        <v>SMB</v>
      </c>
      <c r="P374">
        <f>IFERROR(VLOOKUP(C374,Customers!$A$2:$F$301,3,FALSE),"")</f>
        <v>28</v>
      </c>
      <c r="Q374" s="41">
        <f t="shared" si="14"/>
        <v>0.51594488188976373</v>
      </c>
      <c r="R374" t="str">
        <f>IFERROR(VLOOKUP(C374,Customers!$A$2:$F$301,1,FALSE),"")</f>
        <v>CUST-0131</v>
      </c>
      <c r="S374" s="27" t="b">
        <f>IFERROR(VLOOKUP(D374,Products!$A$2:$F$61,6,FALSE),"")</f>
        <v>1</v>
      </c>
      <c r="BL374">
        <v>0</v>
      </c>
      <c r="BO374">
        <v>0</v>
      </c>
      <c r="BP374">
        <v>0</v>
      </c>
    </row>
    <row r="375" spans="1:68" x14ac:dyDescent="0.35">
      <c r="A375" s="26" t="str">
        <f>Orders!A375</f>
        <v>ORD-00374</v>
      </c>
      <c r="B375" s="33">
        <f>Orders!B375</f>
        <v>45331</v>
      </c>
      <c r="C375" t="str">
        <f>Orders!C375</f>
        <v>CUST-0124</v>
      </c>
      <c r="D375" t="str">
        <f>Orders!D375</f>
        <v>PROD-017</v>
      </c>
      <c r="E375" t="str">
        <f>Orders!E375</f>
        <v>R016</v>
      </c>
      <c r="F375">
        <f>Orders!F375</f>
        <v>4</v>
      </c>
      <c r="G375" s="35">
        <f>Orders!G375</f>
        <v>2510</v>
      </c>
      <c r="H375" s="37">
        <f>Orders!H375</f>
        <v>23.6</v>
      </c>
      <c r="I375" s="39">
        <f>Orders!I375</f>
        <v>7670.56</v>
      </c>
      <c r="J375" t="str">
        <f>Orders!J375</f>
        <v>Completed</v>
      </c>
      <c r="K375" t="str">
        <f>Orders!K375</f>
        <v>Pune</v>
      </c>
      <c r="L375" t="str">
        <f>IFERROR(VLOOKUP(D375,Products!$A$2:$F$61,3,FALSE),"")</f>
        <v>Apparel</v>
      </c>
      <c r="M375">
        <f>IFERROR(VLOOKUP(D375,Products!$A$2:$F$61,4,FALSE),"")</f>
        <v>1075</v>
      </c>
      <c r="N375" t="str">
        <f>IFERROR(VLOOKUP(E375,Sales_Reps!$A$2:$E$31,3,FALSE),"")</f>
        <v>South</v>
      </c>
      <c r="O375" t="str">
        <f>IFERROR(VLOOKUP(C375,Customers!$A$2:$F$301,5,FALSE),"")</f>
        <v>Retail</v>
      </c>
      <c r="P375">
        <f>IFERROR(VLOOKUP(C375,Customers!$A$2:$F$301,3,FALSE),"")</f>
        <v>57</v>
      </c>
      <c r="Q375" s="41">
        <f t="shared" si="14"/>
        <v>0.57171314741035861</v>
      </c>
      <c r="R375" t="str">
        <f>IFERROR(VLOOKUP(C375,Customers!$A$2:$F$301,1,FALSE),"")</f>
        <v>CUST-0124</v>
      </c>
      <c r="S375" s="27" t="b">
        <f>IFERROR(VLOOKUP(D375,Products!$A$2:$F$61,6,FALSE),"")</f>
        <v>0</v>
      </c>
      <c r="BL375">
        <v>0</v>
      </c>
      <c r="BO375">
        <v>0</v>
      </c>
      <c r="BP375">
        <v>1</v>
      </c>
    </row>
    <row r="376" spans="1:68" x14ac:dyDescent="0.35">
      <c r="A376" s="26" t="str">
        <f>Orders!A376</f>
        <v>ORD-00375</v>
      </c>
      <c r="B376" s="33">
        <f>Orders!B376</f>
        <v>45332</v>
      </c>
      <c r="C376" t="str">
        <f>Orders!C376</f>
        <v>CUST-0131</v>
      </c>
      <c r="D376" t="str">
        <f>Orders!D376</f>
        <v>PROD-042</v>
      </c>
      <c r="E376" t="str">
        <f>Orders!E376</f>
        <v>R011</v>
      </c>
      <c r="F376">
        <f>Orders!F376</f>
        <v>5</v>
      </c>
      <c r="G376" s="35">
        <f>Orders!G376</f>
        <v>2290</v>
      </c>
      <c r="H376" s="37">
        <f>Orders!H376</f>
        <v>17</v>
      </c>
      <c r="I376" s="39">
        <f>Orders!I376</f>
        <v>9503.5</v>
      </c>
      <c r="J376" t="str">
        <f>Orders!J376</f>
        <v>Completed</v>
      </c>
      <c r="K376" t="str">
        <f>Orders!K376</f>
        <v>Delhi</v>
      </c>
      <c r="L376" t="str">
        <f>IFERROR(VLOOKUP(D376,Products!$A$2:$F$61,3,FALSE),"")</f>
        <v>Beauty</v>
      </c>
      <c r="M376">
        <f>IFERROR(VLOOKUP(D376,Products!$A$2:$F$61,4,FALSE),"")</f>
        <v>1219</v>
      </c>
      <c r="N376" t="str">
        <f>IFERROR(VLOOKUP(E376,Sales_Reps!$A$2:$E$31,3,FALSE),"")</f>
        <v>South</v>
      </c>
      <c r="O376" t="str">
        <f>IFERROR(VLOOKUP(C376,Customers!$A$2:$F$301,5,FALSE),"")</f>
        <v>SMB</v>
      </c>
      <c r="P376">
        <f>IFERROR(VLOOKUP(C376,Customers!$A$2:$F$301,3,FALSE),"")</f>
        <v>28</v>
      </c>
      <c r="Q376" s="41">
        <f t="shared" si="14"/>
        <v>0.46768558951965067</v>
      </c>
      <c r="R376" t="str">
        <f>IFERROR(VLOOKUP(C376,Customers!$A$2:$F$301,1,FALSE),"")</f>
        <v>CUST-0131</v>
      </c>
      <c r="S376" s="27" t="b">
        <f>IFERROR(VLOOKUP(D376,Products!$A$2:$F$61,6,FALSE),"")</f>
        <v>1</v>
      </c>
      <c r="BL376">
        <v>0</v>
      </c>
      <c r="BO376">
        <v>0</v>
      </c>
      <c r="BP376">
        <v>0</v>
      </c>
    </row>
    <row r="377" spans="1:68" x14ac:dyDescent="0.35">
      <c r="A377" s="26" t="str">
        <f>Orders!A377</f>
        <v>ORD-00376</v>
      </c>
      <c r="B377" s="33">
        <f>Orders!B377</f>
        <v>45340</v>
      </c>
      <c r="C377" t="str">
        <f>Orders!C377</f>
        <v>CUST-0084</v>
      </c>
      <c r="D377" t="str">
        <f>Orders!D377</f>
        <v>PROD-053</v>
      </c>
      <c r="E377" t="str">
        <f>Orders!E377</f>
        <v>R006</v>
      </c>
      <c r="F377">
        <f>Orders!F377</f>
        <v>8</v>
      </c>
      <c r="G377" s="35">
        <f>Orders!G377</f>
        <v>470</v>
      </c>
      <c r="H377" s="37">
        <f>Orders!H377</f>
        <v>9.3000000000000007</v>
      </c>
      <c r="I377" s="39">
        <f>Orders!I377</f>
        <v>3410.32</v>
      </c>
      <c r="J377" t="str">
        <f>Orders!J377</f>
        <v>Completed</v>
      </c>
      <c r="K377" t="str">
        <f>Orders!K377</f>
        <v>Chennai</v>
      </c>
      <c r="L377" t="str">
        <f>IFERROR(VLOOKUP(D377,Products!$A$2:$F$61,3,FALSE),"")</f>
        <v>Sports</v>
      </c>
      <c r="M377">
        <f>IFERROR(VLOOKUP(D377,Products!$A$2:$F$61,4,FALSE),"")</f>
        <v>302</v>
      </c>
      <c r="N377" t="str">
        <f>IFERROR(VLOOKUP(E377,Sales_Reps!$A$2:$E$31,3,FALSE),"")</f>
        <v>North</v>
      </c>
      <c r="O377" t="str">
        <f>IFERROR(VLOOKUP(C377,Customers!$A$2:$F$301,5,FALSE),"")</f>
        <v>Retail</v>
      </c>
      <c r="P377">
        <f>IFERROR(VLOOKUP(C377,Customers!$A$2:$F$301,3,FALSE),"")</f>
        <v>28</v>
      </c>
      <c r="Q377" s="41">
        <f t="shared" si="14"/>
        <v>0.35744680851063831</v>
      </c>
      <c r="R377" t="str">
        <f>IFERROR(VLOOKUP(C377,Customers!$A$2:$F$301,1,FALSE),"")</f>
        <v>CUST-0084</v>
      </c>
      <c r="S377" s="27" t="b">
        <f>IFERROR(VLOOKUP(D377,Products!$A$2:$F$61,6,FALSE),"")</f>
        <v>0</v>
      </c>
      <c r="BL377">
        <v>0</v>
      </c>
      <c r="BO377">
        <v>0</v>
      </c>
      <c r="BP377">
        <v>1</v>
      </c>
    </row>
    <row r="378" spans="1:68" x14ac:dyDescent="0.35">
      <c r="A378" s="26" t="str">
        <f>Orders!A378</f>
        <v>ORD-00377</v>
      </c>
      <c r="B378" s="33">
        <f>Orders!B378</f>
        <v>45564</v>
      </c>
      <c r="C378" t="str">
        <f>Orders!C378</f>
        <v>CUST-0082</v>
      </c>
      <c r="D378" t="str">
        <f>Orders!D378</f>
        <v>PROD-048</v>
      </c>
      <c r="E378" t="str">
        <f>Orders!E378</f>
        <v>R009</v>
      </c>
      <c r="F378">
        <f>Orders!F378</f>
        <v>8</v>
      </c>
      <c r="G378" s="35">
        <f>Orders!G378</f>
        <v>5100</v>
      </c>
      <c r="H378" s="37">
        <f>Orders!H378</f>
        <v>4.5999999999999996</v>
      </c>
      <c r="I378" s="39">
        <f>Orders!I378</f>
        <v>38923.199999999997</v>
      </c>
      <c r="J378" t="str">
        <f>Orders!J378</f>
        <v>Completed</v>
      </c>
      <c r="K378" t="str">
        <f>Orders!K378</f>
        <v>Hyderabad</v>
      </c>
      <c r="L378" t="str">
        <f>IFERROR(VLOOKUP(D378,Products!$A$2:$F$61,3,FALSE),"")</f>
        <v>Beauty</v>
      </c>
      <c r="M378">
        <f>IFERROR(VLOOKUP(D378,Products!$A$2:$F$61,4,FALSE),"")</f>
        <v>2237</v>
      </c>
      <c r="N378" t="str">
        <f>IFERROR(VLOOKUP(E378,Sales_Reps!$A$2:$E$31,3,FALSE),"")</f>
        <v>South</v>
      </c>
      <c r="O378" t="str">
        <f>IFERROR(VLOOKUP(C378,Customers!$A$2:$F$301,5,FALSE),"")</f>
        <v>SMB</v>
      </c>
      <c r="P378">
        <f>IFERROR(VLOOKUP(C378,Customers!$A$2:$F$301,3,FALSE),"")</f>
        <v>36</v>
      </c>
      <c r="Q378" s="41">
        <f t="shared" si="14"/>
        <v>0.56137254901960787</v>
      </c>
      <c r="R378" t="str">
        <f>IFERROR(VLOOKUP(C378,Customers!$A$2:$F$301,1,FALSE),"")</f>
        <v>CUST-0082</v>
      </c>
      <c r="S378" s="27" t="b">
        <f>IFERROR(VLOOKUP(D378,Products!$A$2:$F$61,6,FALSE),"")</f>
        <v>1</v>
      </c>
      <c r="BL378">
        <v>0</v>
      </c>
      <c r="BO378">
        <v>0</v>
      </c>
      <c r="BP378">
        <v>0</v>
      </c>
    </row>
    <row r="379" spans="1:68" x14ac:dyDescent="0.35">
      <c r="A379" s="26" t="str">
        <f>Orders!A379</f>
        <v>ORD-00378</v>
      </c>
      <c r="B379" s="33">
        <f>Orders!B379</f>
        <v>45296</v>
      </c>
      <c r="C379" t="str">
        <f>Orders!C379</f>
        <v>CUST-0242</v>
      </c>
      <c r="D379" t="str">
        <f>Orders!D379</f>
        <v>PROD-001</v>
      </c>
      <c r="E379" t="str">
        <f>Orders!E379</f>
        <v>R010</v>
      </c>
      <c r="F379">
        <f>Orders!F379</f>
        <v>7</v>
      </c>
      <c r="G379" s="35">
        <f>Orders!G379</f>
        <v>5330</v>
      </c>
      <c r="H379" s="37">
        <f>Orders!H379</f>
        <v>2.5</v>
      </c>
      <c r="I379" s="39">
        <f>Orders!I379</f>
        <v>36377.25</v>
      </c>
      <c r="J379" t="str">
        <f>Orders!J379</f>
        <v>Completed</v>
      </c>
      <c r="K379" t="str">
        <f>Orders!K379</f>
        <v>Chennai</v>
      </c>
      <c r="L379" t="str">
        <f>IFERROR(VLOOKUP(D379,Products!$A$2:$F$61,3,FALSE),"")</f>
        <v>Electronics</v>
      </c>
      <c r="M379">
        <f>IFERROR(VLOOKUP(D379,Products!$A$2:$F$61,4,FALSE),"")</f>
        <v>2405</v>
      </c>
      <c r="N379" t="str">
        <f>IFERROR(VLOOKUP(E379,Sales_Reps!$A$2:$E$31,3,FALSE),"")</f>
        <v>South</v>
      </c>
      <c r="O379" t="str">
        <f>IFERROR(VLOOKUP(C379,Customers!$A$2:$F$301,5,FALSE),"")</f>
        <v>SMB</v>
      </c>
      <c r="P379">
        <f>IFERROR(VLOOKUP(C379,Customers!$A$2:$F$301,3,FALSE),"")</f>
        <v>59</v>
      </c>
      <c r="Q379" s="41">
        <f t="shared" si="14"/>
        <v>0.54878048780487809</v>
      </c>
      <c r="R379" t="str">
        <f>IFERROR(VLOOKUP(C379,Customers!$A$2:$F$301,1,FALSE),"")</f>
        <v>CUST-0242</v>
      </c>
      <c r="S379" s="27" t="b">
        <f>IFERROR(VLOOKUP(D379,Products!$A$2:$F$61,6,FALSE),"")</f>
        <v>1</v>
      </c>
      <c r="BL379">
        <v>0</v>
      </c>
      <c r="BO379">
        <v>0</v>
      </c>
      <c r="BP379">
        <v>0</v>
      </c>
    </row>
    <row r="380" spans="1:68" x14ac:dyDescent="0.35">
      <c r="A380" s="26" t="str">
        <f>Orders!A380</f>
        <v>ORD-00379</v>
      </c>
      <c r="B380" s="33">
        <f>Orders!B380</f>
        <v>45364</v>
      </c>
      <c r="C380" t="str">
        <f>Orders!C380</f>
        <v>CUST-0074</v>
      </c>
      <c r="D380" t="str">
        <f>Orders!D380</f>
        <v>PROD-033</v>
      </c>
      <c r="E380" t="str">
        <f>Orders!E380</f>
        <v>R028</v>
      </c>
      <c r="F380">
        <f>Orders!F380</f>
        <v>10</v>
      </c>
      <c r="G380" s="35">
        <f>Orders!G380</f>
        <v>2030</v>
      </c>
      <c r="H380" s="37">
        <f>Orders!H380</f>
        <v>8.5</v>
      </c>
      <c r="I380" s="39">
        <f>Orders!I380</f>
        <v>18574.5</v>
      </c>
      <c r="J380" t="str">
        <f>Orders!J380</f>
        <v>Completed</v>
      </c>
      <c r="K380" t="str">
        <f>Orders!K380</f>
        <v>Bengaluru</v>
      </c>
      <c r="L380" t="str">
        <f>IFERROR(VLOOKUP(D380,Products!$A$2:$F$61,3,FALSE),"")</f>
        <v>Home</v>
      </c>
      <c r="M380">
        <f>IFERROR(VLOOKUP(D380,Products!$A$2:$F$61,4,FALSE),"")</f>
        <v>1143</v>
      </c>
      <c r="N380" t="str">
        <f>IFERROR(VLOOKUP(E380,Sales_Reps!$A$2:$E$31,3,FALSE),"")</f>
        <v>West</v>
      </c>
      <c r="O380" t="str">
        <f>IFERROR(VLOOKUP(C380,Customers!$A$2:$F$301,5,FALSE),"")</f>
        <v>Retail</v>
      </c>
      <c r="P380">
        <f>IFERROR(VLOOKUP(C380,Customers!$A$2:$F$301,3,FALSE),"")</f>
        <v>27</v>
      </c>
      <c r="Q380" s="41">
        <f t="shared" si="14"/>
        <v>0.43694581280788175</v>
      </c>
      <c r="R380" t="str">
        <f>IFERROR(VLOOKUP(C380,Customers!$A$2:$F$301,1,FALSE),"")</f>
        <v>CUST-0074</v>
      </c>
      <c r="S380" s="27" t="b">
        <f>IFERROR(VLOOKUP(D380,Products!$A$2:$F$61,6,FALSE),"")</f>
        <v>1</v>
      </c>
      <c r="BL380">
        <v>0</v>
      </c>
      <c r="BO380">
        <v>0</v>
      </c>
      <c r="BP380">
        <v>0</v>
      </c>
    </row>
    <row r="381" spans="1:68" x14ac:dyDescent="0.35">
      <c r="A381" s="26" t="str">
        <f>Orders!A381</f>
        <v>ORD-00380</v>
      </c>
      <c r="B381" s="33">
        <f>Orders!B381</f>
        <v>45560</v>
      </c>
      <c r="C381" t="str">
        <f>Orders!C381</f>
        <v>CUST-0221</v>
      </c>
      <c r="D381" t="str">
        <f>Orders!D381</f>
        <v>PROD-034</v>
      </c>
      <c r="E381" t="str">
        <f>Orders!E381</f>
        <v>R003</v>
      </c>
      <c r="F381">
        <f>Orders!F381</f>
        <v>8</v>
      </c>
      <c r="G381" s="35">
        <f>Orders!G381</f>
        <v>5080</v>
      </c>
      <c r="H381" s="37">
        <f>Orders!H381</f>
        <v>9.6</v>
      </c>
      <c r="I381" s="39">
        <f>Orders!I381</f>
        <v>36738.559999999998</v>
      </c>
      <c r="J381" t="str">
        <f>Orders!J381</f>
        <v>Cancelled</v>
      </c>
      <c r="K381" t="str">
        <f>Orders!K381</f>
        <v>Delhi</v>
      </c>
      <c r="L381" t="str">
        <f>IFERROR(VLOOKUP(D381,Products!$A$2:$F$61,3,FALSE),"")</f>
        <v>Home</v>
      </c>
      <c r="M381">
        <f>IFERROR(VLOOKUP(D381,Products!$A$2:$F$61,4,FALSE),"")</f>
        <v>2459</v>
      </c>
      <c r="N381" t="str">
        <f>IFERROR(VLOOKUP(E381,Sales_Reps!$A$2:$E$31,3,FALSE),"")</f>
        <v>North</v>
      </c>
      <c r="O381" t="str">
        <f>IFERROR(VLOOKUP(C381,Customers!$A$2:$F$301,5,FALSE),"")</f>
        <v>SMB</v>
      </c>
      <c r="P381">
        <f>IFERROR(VLOOKUP(C381,Customers!$A$2:$F$301,3,FALSE),"")</f>
        <v>29</v>
      </c>
      <c r="Q381" s="41">
        <f t="shared" si="14"/>
        <v>0.51594488188976373</v>
      </c>
      <c r="R381" t="str">
        <f>IFERROR(VLOOKUP(C381,Customers!$A$2:$F$301,1,FALSE),"")</f>
        <v>CUST-0221</v>
      </c>
      <c r="S381" s="27" t="b">
        <f>IFERROR(VLOOKUP(D381,Products!$A$2:$F$61,6,FALSE),"")</f>
        <v>1</v>
      </c>
      <c r="BL381">
        <v>0</v>
      </c>
      <c r="BO381">
        <v>0</v>
      </c>
      <c r="BP381">
        <v>0</v>
      </c>
    </row>
    <row r="382" spans="1:68" x14ac:dyDescent="0.35">
      <c r="A382" s="26" t="str">
        <f>Orders!A382</f>
        <v>ORD-00381</v>
      </c>
      <c r="B382" s="33">
        <f>Orders!B382</f>
        <v>45378</v>
      </c>
      <c r="C382" t="str">
        <f>Orders!C382</f>
        <v>CUST-0101</v>
      </c>
      <c r="D382" t="str">
        <f>Orders!D382</f>
        <v>PROD-023</v>
      </c>
      <c r="E382" t="str">
        <f>Orders!E382</f>
        <v>R014</v>
      </c>
      <c r="F382">
        <f>Orders!F382</f>
        <v>1</v>
      </c>
      <c r="G382" s="35">
        <f>Orders!G382</f>
        <v>2380</v>
      </c>
      <c r="H382" s="37">
        <f>Orders!H382</f>
        <v>11.6</v>
      </c>
      <c r="I382" s="39">
        <f>Orders!I382</f>
        <v>2103.92</v>
      </c>
      <c r="J382" t="str">
        <f>Orders!J382</f>
        <v>Pending</v>
      </c>
      <c r="K382" t="str">
        <f>Orders!K382</f>
        <v>Hyderabad</v>
      </c>
      <c r="L382" t="str">
        <f>IFERROR(VLOOKUP(D382,Products!$A$2:$F$61,3,FALSE),"")</f>
        <v>Grocery</v>
      </c>
      <c r="M382">
        <f>IFERROR(VLOOKUP(D382,Products!$A$2:$F$61,4,FALSE),"")</f>
        <v>1182</v>
      </c>
      <c r="N382" t="str">
        <f>IFERROR(VLOOKUP(E382,Sales_Reps!$A$2:$E$31,3,FALSE),"")</f>
        <v>South</v>
      </c>
      <c r="O382" t="str">
        <f>IFERROR(VLOOKUP(C382,Customers!$A$2:$F$301,5,FALSE),"")</f>
        <v>SMB</v>
      </c>
      <c r="P382">
        <f>IFERROR(VLOOKUP(C382,Customers!$A$2:$F$301,3,FALSE),"")</f>
        <v>40</v>
      </c>
      <c r="Q382" s="41">
        <f t="shared" si="14"/>
        <v>0.50336134453781511</v>
      </c>
      <c r="R382" t="str">
        <f>IFERROR(VLOOKUP(C382,Customers!$A$2:$F$301,1,FALSE),"")</f>
        <v>CUST-0101</v>
      </c>
      <c r="S382" s="27" t="b">
        <f>IFERROR(VLOOKUP(D382,Products!$A$2:$F$61,6,FALSE),"")</f>
        <v>1</v>
      </c>
      <c r="BL382">
        <v>0</v>
      </c>
      <c r="BO382">
        <v>0</v>
      </c>
      <c r="BP382">
        <v>0</v>
      </c>
    </row>
    <row r="383" spans="1:68" x14ac:dyDescent="0.35">
      <c r="A383" s="26" t="str">
        <f>Orders!A383</f>
        <v>ORD-00382</v>
      </c>
      <c r="B383" s="33">
        <f>Orders!B383</f>
        <v>45590</v>
      </c>
      <c r="C383" t="str">
        <f>Orders!C383</f>
        <v>CUST-0203</v>
      </c>
      <c r="D383" t="str">
        <f>Orders!D383</f>
        <v>PROD-041</v>
      </c>
      <c r="E383" t="str">
        <f>Orders!E383</f>
        <v>R027</v>
      </c>
      <c r="F383">
        <f>Orders!F383</f>
        <v>8</v>
      </c>
      <c r="G383" s="35">
        <f>Orders!G383</f>
        <v>1540</v>
      </c>
      <c r="H383" s="37">
        <f>Orders!H383</f>
        <v>27.8</v>
      </c>
      <c r="I383" s="39">
        <f>Orders!I383</f>
        <v>8895.0400000000009</v>
      </c>
      <c r="J383" t="str">
        <f>Orders!J383</f>
        <v>Completed</v>
      </c>
      <c r="K383" t="str">
        <f>Orders!K383</f>
        <v>Chennai</v>
      </c>
      <c r="L383" t="str">
        <f>IFERROR(VLOOKUP(D383,Products!$A$2:$F$61,3,FALSE),"")</f>
        <v>Beauty</v>
      </c>
      <c r="M383">
        <f>IFERROR(VLOOKUP(D383,Products!$A$2:$F$61,4,FALSE),"")</f>
        <v>647</v>
      </c>
      <c r="N383" t="str">
        <f>IFERROR(VLOOKUP(E383,Sales_Reps!$A$2:$E$31,3,FALSE),"")</f>
        <v>West</v>
      </c>
      <c r="O383" t="str">
        <f>IFERROR(VLOOKUP(C383,Customers!$A$2:$F$301,5,FALSE),"")</f>
        <v>SMB</v>
      </c>
      <c r="P383">
        <f>IFERROR(VLOOKUP(C383,Customers!$A$2:$F$301,3,FALSE),"")</f>
        <v>55</v>
      </c>
      <c r="Q383" s="41">
        <f t="shared" si="14"/>
        <v>0.57987012987012987</v>
      </c>
      <c r="R383" t="str">
        <f>IFERROR(VLOOKUP(C383,Customers!$A$2:$F$301,1,FALSE),"")</f>
        <v>CUST-0203</v>
      </c>
      <c r="S383" s="27" t="b">
        <f>IFERROR(VLOOKUP(D383,Products!$A$2:$F$61,6,FALSE),"")</f>
        <v>0</v>
      </c>
      <c r="BL383">
        <v>0</v>
      </c>
      <c r="BO383">
        <v>0</v>
      </c>
      <c r="BP383">
        <v>1</v>
      </c>
    </row>
    <row r="384" spans="1:68" x14ac:dyDescent="0.35">
      <c r="A384" s="26" t="str">
        <f>Orders!A384</f>
        <v>ORD-00383</v>
      </c>
      <c r="B384" s="33">
        <f>Orders!B384</f>
        <v>45591</v>
      </c>
      <c r="C384" t="str">
        <f>Orders!C384</f>
        <v>CUST-0209</v>
      </c>
      <c r="D384" t="str">
        <f>Orders!D384</f>
        <v>PROD-024</v>
      </c>
      <c r="E384" t="str">
        <f>Orders!E384</f>
        <v>R024</v>
      </c>
      <c r="F384">
        <f>Orders!F384</f>
        <v>1</v>
      </c>
      <c r="G384" s="35">
        <f>Orders!G384</f>
        <v>2270</v>
      </c>
      <c r="H384" s="37">
        <f>Orders!H384</f>
        <v>6.5</v>
      </c>
      <c r="I384" s="39">
        <f>Orders!I384</f>
        <v>2122.4499999999998</v>
      </c>
      <c r="J384" t="str">
        <f>Orders!J384</f>
        <v>Pending</v>
      </c>
      <c r="K384" t="str">
        <f>Orders!K384</f>
        <v>pune</v>
      </c>
      <c r="L384" t="str">
        <f>IFERROR(VLOOKUP(D384,Products!$A$2:$F$61,3,FALSE),"")</f>
        <v>Grocery</v>
      </c>
      <c r="M384">
        <f>IFERROR(VLOOKUP(D384,Products!$A$2:$F$61,4,FALSE),"")</f>
        <v>1203</v>
      </c>
      <c r="N384" t="str">
        <f>IFERROR(VLOOKUP(E384,Sales_Reps!$A$2:$E$31,3,FALSE),"")</f>
        <v>West</v>
      </c>
      <c r="O384" t="str">
        <f>IFERROR(VLOOKUP(C384,Customers!$A$2:$F$301,5,FALSE),"")</f>
        <v>Retail</v>
      </c>
      <c r="P384">
        <f>IFERROR(VLOOKUP(C384,Customers!$A$2:$F$301,3,FALSE),"")</f>
        <v>31</v>
      </c>
      <c r="Q384" s="41">
        <f t="shared" si="14"/>
        <v>0.47004405286343615</v>
      </c>
      <c r="R384" t="str">
        <f>IFERROR(VLOOKUP(C384,Customers!$A$2:$F$301,1,FALSE),"")</f>
        <v>CUST-0209</v>
      </c>
      <c r="S384" s="27" t="b">
        <f>IFERROR(VLOOKUP(D384,Products!$A$2:$F$61,6,FALSE),"")</f>
        <v>1</v>
      </c>
      <c r="BL384">
        <v>0</v>
      </c>
      <c r="BO384">
        <v>0</v>
      </c>
      <c r="BP384">
        <v>0</v>
      </c>
    </row>
    <row r="385" spans="1:68" x14ac:dyDescent="0.35">
      <c r="A385" s="26" t="str">
        <f>Orders!A385</f>
        <v>ORD-00384</v>
      </c>
      <c r="B385" s="33">
        <f>Orders!B385</f>
        <v>45503</v>
      </c>
      <c r="C385" t="str">
        <f>Orders!C385</f>
        <v>CUST-0094</v>
      </c>
      <c r="D385" t="str">
        <f>Orders!D385</f>
        <v>PROD-019</v>
      </c>
      <c r="E385" t="str">
        <f>Orders!E385</f>
        <v>R028</v>
      </c>
      <c r="F385">
        <f>Orders!F385</f>
        <v>6</v>
      </c>
      <c r="G385" s="35">
        <f>Orders!G385</f>
        <v>2480</v>
      </c>
      <c r="H385" s="37">
        <f>Orders!H385</f>
        <v>25.9</v>
      </c>
      <c r="I385" s="39">
        <f>Orders!I385</f>
        <v>11026.08</v>
      </c>
      <c r="J385" t="str">
        <f>Orders!J385</f>
        <v>Completed</v>
      </c>
      <c r="K385" t="str">
        <f>Orders!K385</f>
        <v>Pune</v>
      </c>
      <c r="L385" t="str">
        <f>IFERROR(VLOOKUP(D385,Products!$A$2:$F$61,3,FALSE),"")</f>
        <v>Apparel</v>
      </c>
      <c r="M385">
        <f>IFERROR(VLOOKUP(D385,Products!$A$2:$F$61,4,FALSE),"")</f>
        <v>1173</v>
      </c>
      <c r="N385" t="str">
        <f>IFERROR(VLOOKUP(E385,Sales_Reps!$A$2:$E$31,3,FALSE),"")</f>
        <v>West</v>
      </c>
      <c r="O385" t="str">
        <f>IFERROR(VLOOKUP(C385,Customers!$A$2:$F$301,5,FALSE),"")</f>
        <v>SMB</v>
      </c>
      <c r="P385">
        <f>IFERROR(VLOOKUP(C385,Customers!$A$2:$F$301,3,FALSE),"")</f>
        <v>60</v>
      </c>
      <c r="Q385" s="41">
        <f t="shared" si="14"/>
        <v>0.52701612903225803</v>
      </c>
      <c r="R385" t="str">
        <f>IFERROR(VLOOKUP(C385,Customers!$A$2:$F$301,1,FALSE),"")</f>
        <v>CUST-0094</v>
      </c>
      <c r="S385" s="27" t="b">
        <f>IFERROR(VLOOKUP(D385,Products!$A$2:$F$61,6,FALSE),"")</f>
        <v>1</v>
      </c>
      <c r="BL385">
        <v>0</v>
      </c>
      <c r="BO385">
        <v>0</v>
      </c>
      <c r="BP385">
        <v>0</v>
      </c>
    </row>
    <row r="386" spans="1:68" x14ac:dyDescent="0.35">
      <c r="A386" s="26" t="str">
        <f>Orders!A386</f>
        <v>ORD-00385</v>
      </c>
      <c r="B386" s="33">
        <f>Orders!B386</f>
        <v>45608</v>
      </c>
      <c r="C386" t="str">
        <f>Orders!C386</f>
        <v>CUST-0248</v>
      </c>
      <c r="D386" t="str">
        <f>Orders!D386</f>
        <v>PROD-018</v>
      </c>
      <c r="E386" t="str">
        <f>Orders!E386</f>
        <v>R019</v>
      </c>
      <c r="F386">
        <f>Orders!F386</f>
        <v>3</v>
      </c>
      <c r="G386" s="35">
        <f>Orders!G386</f>
        <v>3560</v>
      </c>
      <c r="H386" s="37">
        <f>Orders!H386</f>
        <v>0.4</v>
      </c>
      <c r="I386" s="39">
        <f>Orders!I386</f>
        <v>10637.28</v>
      </c>
      <c r="J386" t="str">
        <f>Orders!J386</f>
        <v>Refunded</v>
      </c>
      <c r="K386" t="str">
        <f>Orders!K386</f>
        <v>Chennai</v>
      </c>
      <c r="L386" t="str">
        <f>IFERROR(VLOOKUP(D386,Products!$A$2:$F$61,3,FALSE),"")</f>
        <v>Apparel</v>
      </c>
      <c r="M386">
        <f>IFERROR(VLOOKUP(D386,Products!$A$2:$F$61,4,FALSE),"")</f>
        <v>2629</v>
      </c>
      <c r="N386" t="str">
        <f>IFERROR(VLOOKUP(E386,Sales_Reps!$A$2:$E$31,3,FALSE),"")</f>
        <v>East</v>
      </c>
      <c r="O386" t="str">
        <f>IFERROR(VLOOKUP(C386,Customers!$A$2:$F$301,5,FALSE),"")</f>
        <v>SMB</v>
      </c>
      <c r="P386">
        <f>IFERROR(VLOOKUP(C386,Customers!$A$2:$F$301,3,FALSE),"")</f>
        <v>57</v>
      </c>
      <c r="Q386" s="41">
        <f t="shared" ref="Q386:Q449" si="15">IFERROR((G386-M386)/G386,0)</f>
        <v>0.26151685393258428</v>
      </c>
      <c r="R386" t="str">
        <f>IFERROR(VLOOKUP(C386,Customers!$A$2:$F$301,1,FALSE),"")</f>
        <v>CUST-0248</v>
      </c>
      <c r="S386" s="27" t="b">
        <f>IFERROR(VLOOKUP(D386,Products!$A$2:$F$61,6,FALSE),"")</f>
        <v>1</v>
      </c>
      <c r="BL386">
        <v>0</v>
      </c>
      <c r="BO386">
        <v>0</v>
      </c>
      <c r="BP386">
        <v>0</v>
      </c>
    </row>
    <row r="387" spans="1:68" x14ac:dyDescent="0.35">
      <c r="A387" s="26" t="str">
        <f>Orders!A387</f>
        <v>ORD-00386</v>
      </c>
      <c r="B387" s="33">
        <f>Orders!B387</f>
        <v>45422</v>
      </c>
      <c r="C387" t="str">
        <f>Orders!C387</f>
        <v>CUST-0297</v>
      </c>
      <c r="D387" t="str">
        <f>Orders!D387</f>
        <v>PROD-008</v>
      </c>
      <c r="E387" t="str">
        <f>Orders!E387</f>
        <v>R006</v>
      </c>
      <c r="F387">
        <f>Orders!F387</f>
        <v>4</v>
      </c>
      <c r="G387" s="35">
        <f>Orders!G387</f>
        <v>2660</v>
      </c>
      <c r="H387" s="37">
        <f>Orders!H387</f>
        <v>19.7</v>
      </c>
      <c r="I387" s="39">
        <f>Orders!I387</f>
        <v>8543.92</v>
      </c>
      <c r="J387" t="str">
        <f>Orders!J387</f>
        <v>Cancelled</v>
      </c>
      <c r="K387" t="str">
        <f>Orders!K387</f>
        <v>Hyderabad</v>
      </c>
      <c r="L387" t="str">
        <f>IFERROR(VLOOKUP(D387,Products!$A$2:$F$61,3,FALSE),"")</f>
        <v>Electronics</v>
      </c>
      <c r="M387">
        <f>IFERROR(VLOOKUP(D387,Products!$A$2:$F$61,4,FALSE),"")</f>
        <v>1259</v>
      </c>
      <c r="N387" t="str">
        <f>IFERROR(VLOOKUP(E387,Sales_Reps!$A$2:$E$31,3,FALSE),"")</f>
        <v>North</v>
      </c>
      <c r="O387" t="str">
        <f>IFERROR(VLOOKUP(C387,Customers!$A$2:$F$301,5,FALSE),"")</f>
        <v>Retail</v>
      </c>
      <c r="P387">
        <f>IFERROR(VLOOKUP(C387,Customers!$A$2:$F$301,3,FALSE),"")</f>
        <v>50</v>
      </c>
      <c r="Q387" s="41">
        <f t="shared" si="15"/>
        <v>0.52669172932330832</v>
      </c>
      <c r="R387" t="str">
        <f>IFERROR(VLOOKUP(C387,Customers!$A$2:$F$301,1,FALSE),"")</f>
        <v>CUST-0297</v>
      </c>
      <c r="S387" s="27" t="b">
        <f>IFERROR(VLOOKUP(D387,Products!$A$2:$F$61,6,FALSE),"")</f>
        <v>0</v>
      </c>
      <c r="BL387">
        <v>0</v>
      </c>
      <c r="BO387">
        <v>0</v>
      </c>
      <c r="BP387">
        <v>1</v>
      </c>
    </row>
    <row r="388" spans="1:68" x14ac:dyDescent="0.35">
      <c r="A388" s="26" t="str">
        <f>Orders!A388</f>
        <v>ORD-00387</v>
      </c>
      <c r="B388" s="33">
        <f>Orders!B388</f>
        <v>45386</v>
      </c>
      <c r="C388" t="str">
        <f>Orders!C388</f>
        <v>CUST-0107</v>
      </c>
      <c r="D388" t="str">
        <f>Orders!D388</f>
        <v>PROD-009</v>
      </c>
      <c r="E388" t="str">
        <f>Orders!E388</f>
        <v>R013</v>
      </c>
      <c r="F388">
        <f>Orders!F388</f>
        <v>10</v>
      </c>
      <c r="G388" s="35">
        <f>Orders!G388</f>
        <v>1220</v>
      </c>
      <c r="H388" s="37">
        <f>Orders!H388</f>
        <v>10.1</v>
      </c>
      <c r="I388" s="39">
        <f>Orders!I388</f>
        <v>10967.8</v>
      </c>
      <c r="J388" t="str">
        <f>Orders!J388</f>
        <v>Cancelled</v>
      </c>
      <c r="K388" t="str">
        <f>Orders!K388</f>
        <v>Pune</v>
      </c>
      <c r="L388" t="str">
        <f>IFERROR(VLOOKUP(D388,Products!$A$2:$F$61,3,FALSE),"")</f>
        <v>Electronics</v>
      </c>
      <c r="M388">
        <f>IFERROR(VLOOKUP(D388,Products!$A$2:$F$61,4,FALSE),"")</f>
        <v>517</v>
      </c>
      <c r="N388" t="str">
        <f>IFERROR(VLOOKUP(E388,Sales_Reps!$A$2:$E$31,3,FALSE),"")</f>
        <v>South</v>
      </c>
      <c r="O388" t="str">
        <f>IFERROR(VLOOKUP(C388,Customers!$A$2:$F$301,5,FALSE),"")</f>
        <v>Retail</v>
      </c>
      <c r="P388">
        <f>IFERROR(VLOOKUP(C388,Customers!$A$2:$F$301,3,FALSE),"")</f>
        <v>50</v>
      </c>
      <c r="Q388" s="41">
        <f t="shared" si="15"/>
        <v>0.57622950819672136</v>
      </c>
      <c r="R388" t="str">
        <f>IFERROR(VLOOKUP(C388,Customers!$A$2:$F$301,1,FALSE),"")</f>
        <v>CUST-0107</v>
      </c>
      <c r="S388" s="27" t="b">
        <f>IFERROR(VLOOKUP(D388,Products!$A$2:$F$61,6,FALSE),"")</f>
        <v>1</v>
      </c>
      <c r="BL388">
        <v>0</v>
      </c>
      <c r="BO388">
        <v>0</v>
      </c>
      <c r="BP388">
        <v>0</v>
      </c>
    </row>
    <row r="389" spans="1:68" x14ac:dyDescent="0.35">
      <c r="A389" s="26" t="str">
        <f>Orders!A389</f>
        <v>ORD-00388</v>
      </c>
      <c r="B389" s="33">
        <f>Orders!B389</f>
        <v>45584</v>
      </c>
      <c r="C389" t="str">
        <f>Orders!C389</f>
        <v>CUST-0247</v>
      </c>
      <c r="D389" t="str">
        <f>Orders!D389</f>
        <v>PROD-002</v>
      </c>
      <c r="E389" t="str">
        <f>Orders!E389</f>
        <v>R014</v>
      </c>
      <c r="F389">
        <f>Orders!F389</f>
        <v>8</v>
      </c>
      <c r="G389" s="35">
        <f>Orders!G389</f>
        <v>2600</v>
      </c>
      <c r="H389" s="37">
        <f>Orders!H389</f>
        <v>26.7</v>
      </c>
      <c r="I389" s="39">
        <f>Orders!I389</f>
        <v>15246.4</v>
      </c>
      <c r="J389" t="str">
        <f>Orders!J389</f>
        <v>Completed</v>
      </c>
      <c r="K389" t="str">
        <f>Orders!K389</f>
        <v>Pune</v>
      </c>
      <c r="L389" t="str">
        <f>IFERROR(VLOOKUP(D389,Products!$A$2:$F$61,3,FALSE),"")</f>
        <v>Electronics</v>
      </c>
      <c r="M389">
        <f>IFERROR(VLOOKUP(D389,Products!$A$2:$F$61,4,FALSE),"")</f>
        <v>1052</v>
      </c>
      <c r="N389" t="str">
        <f>IFERROR(VLOOKUP(E389,Sales_Reps!$A$2:$E$31,3,FALSE),"")</f>
        <v>South</v>
      </c>
      <c r="O389" t="str">
        <f>IFERROR(VLOOKUP(C389,Customers!$A$2:$F$301,5,FALSE),"")</f>
        <v>SMB</v>
      </c>
      <c r="P389">
        <f>IFERROR(VLOOKUP(C389,Customers!$A$2:$F$301,3,FALSE),"")</f>
        <v>35</v>
      </c>
      <c r="Q389" s="41">
        <f t="shared" si="15"/>
        <v>0.5953846153846154</v>
      </c>
      <c r="R389" t="str">
        <f>IFERROR(VLOOKUP(C389,Customers!$A$2:$F$301,1,FALSE),"")</f>
        <v>CUST-0247</v>
      </c>
      <c r="S389" s="27" t="b">
        <f>IFERROR(VLOOKUP(D389,Products!$A$2:$F$61,6,FALSE),"")</f>
        <v>1</v>
      </c>
      <c r="BL389">
        <v>0</v>
      </c>
      <c r="BO389">
        <v>0</v>
      </c>
      <c r="BP389">
        <v>0</v>
      </c>
    </row>
    <row r="390" spans="1:68" x14ac:dyDescent="0.35">
      <c r="A390" s="26" t="str">
        <f>Orders!A390</f>
        <v>ORD-00389</v>
      </c>
      <c r="B390" s="33">
        <f>Orders!B390</f>
        <v>45440</v>
      </c>
      <c r="C390" t="str">
        <f>Orders!C390</f>
        <v>CUST-0047</v>
      </c>
      <c r="D390" t="str">
        <f>Orders!D390</f>
        <v>PROD-011</v>
      </c>
      <c r="E390" t="str">
        <f>Orders!E390</f>
        <v>R020</v>
      </c>
      <c r="F390">
        <f>Orders!F390</f>
        <v>10</v>
      </c>
      <c r="G390" s="35">
        <f>Orders!G390</f>
        <v>3450</v>
      </c>
      <c r="H390" s="37">
        <f>Orders!H390</f>
        <v>20.399999999999999</v>
      </c>
      <c r="I390" s="39">
        <f>Orders!I390</f>
        <v>27462</v>
      </c>
      <c r="J390" t="str">
        <f>Orders!J390</f>
        <v>Completed</v>
      </c>
      <c r="K390" t="str">
        <f>Orders!K390</f>
        <v>Pune</v>
      </c>
      <c r="L390" t="str">
        <f>IFERROR(VLOOKUP(D390,Products!$A$2:$F$61,3,FALSE),"")</f>
        <v>Apparel</v>
      </c>
      <c r="M390">
        <f>IFERROR(VLOOKUP(D390,Products!$A$2:$F$61,4,FALSE),"")</f>
        <v>1748</v>
      </c>
      <c r="N390" t="str">
        <f>IFERROR(VLOOKUP(E390,Sales_Reps!$A$2:$E$31,3,FALSE),"")</f>
        <v>East</v>
      </c>
      <c r="O390" t="str">
        <f>IFERROR(VLOOKUP(C390,Customers!$A$2:$F$301,5,FALSE),"")</f>
        <v>Retail</v>
      </c>
      <c r="P390">
        <f>IFERROR(VLOOKUP(C390,Customers!$A$2:$F$301,3,FALSE),"")</f>
        <v>49</v>
      </c>
      <c r="Q390" s="41">
        <f t="shared" si="15"/>
        <v>0.49333333333333335</v>
      </c>
      <c r="R390" t="str">
        <f>IFERROR(VLOOKUP(C390,Customers!$A$2:$F$301,1,FALSE),"")</f>
        <v>CUST-0047</v>
      </c>
      <c r="S390" s="27" t="b">
        <f>IFERROR(VLOOKUP(D390,Products!$A$2:$F$61,6,FALSE),"")</f>
        <v>1</v>
      </c>
      <c r="BL390">
        <v>0</v>
      </c>
      <c r="BO390">
        <v>0</v>
      </c>
      <c r="BP390">
        <v>0</v>
      </c>
    </row>
    <row r="391" spans="1:68" x14ac:dyDescent="0.35">
      <c r="A391" s="26" t="str">
        <f>Orders!A391</f>
        <v>ORD-00390</v>
      </c>
      <c r="B391" s="33">
        <f>Orders!B391</f>
        <v>45440</v>
      </c>
      <c r="C391" t="str">
        <f>Orders!C391</f>
        <v>CUST-0118</v>
      </c>
      <c r="D391" t="str">
        <f>Orders!D391</f>
        <v>PROD-056</v>
      </c>
      <c r="E391" t="str">
        <f>Orders!E391</f>
        <v>R019</v>
      </c>
      <c r="F391">
        <f>Orders!F391</f>
        <v>1</v>
      </c>
      <c r="G391" s="35">
        <f>Orders!G391</f>
        <v>6940</v>
      </c>
      <c r="H391" s="37">
        <f>Orders!H391</f>
        <v>9.6999999999999993</v>
      </c>
      <c r="I391" s="39">
        <f>Orders!I391</f>
        <v>6266.82</v>
      </c>
      <c r="J391" t="str">
        <f>Orders!J391</f>
        <v>Completed</v>
      </c>
      <c r="K391" t="str">
        <f>Orders!K391</f>
        <v>Hyderabad</v>
      </c>
      <c r="L391" t="str">
        <f>IFERROR(VLOOKUP(D391,Products!$A$2:$F$61,3,FALSE),"")</f>
        <v>Sports</v>
      </c>
      <c r="M391">
        <f>IFERROR(VLOOKUP(D391,Products!$A$2:$F$61,4,FALSE),"")</f>
        <v>2827</v>
      </c>
      <c r="N391" t="str">
        <f>IFERROR(VLOOKUP(E391,Sales_Reps!$A$2:$E$31,3,FALSE),"")</f>
        <v>East</v>
      </c>
      <c r="O391" t="str">
        <f>IFERROR(VLOOKUP(C391,Customers!$A$2:$F$301,5,FALSE),"")</f>
        <v>Retail</v>
      </c>
      <c r="P391">
        <f>IFERROR(VLOOKUP(C391,Customers!$A$2:$F$301,3,FALSE),"")</f>
        <v>26</v>
      </c>
      <c r="Q391" s="41">
        <f t="shared" si="15"/>
        <v>0.5926512968299712</v>
      </c>
      <c r="R391" t="str">
        <f>IFERROR(VLOOKUP(C391,Customers!$A$2:$F$301,1,FALSE),"")</f>
        <v>CUST-0118</v>
      </c>
      <c r="S391" s="27" t="b">
        <f>IFERROR(VLOOKUP(D391,Products!$A$2:$F$61,6,FALSE),"")</f>
        <v>1</v>
      </c>
      <c r="BL391">
        <v>0</v>
      </c>
      <c r="BO391">
        <v>0</v>
      </c>
      <c r="BP391">
        <v>0</v>
      </c>
    </row>
    <row r="392" spans="1:68" x14ac:dyDescent="0.35">
      <c r="A392" s="26" t="str">
        <f>Orders!A392</f>
        <v>ORD-00391</v>
      </c>
      <c r="B392" s="33">
        <f>Orders!B392</f>
        <v>45358</v>
      </c>
      <c r="C392" t="str">
        <f>Orders!C392</f>
        <v>CUST-0019</v>
      </c>
      <c r="D392" t="str">
        <f>Orders!D392</f>
        <v>PROD-043</v>
      </c>
      <c r="E392" t="str">
        <f>Orders!E392</f>
        <v>R006</v>
      </c>
      <c r="F392">
        <f>Orders!F392</f>
        <v>10</v>
      </c>
      <c r="G392" s="35">
        <f>Orders!G392</f>
        <v>3350</v>
      </c>
      <c r="H392" s="37">
        <f>Orders!H392</f>
        <v>3.2</v>
      </c>
      <c r="I392" s="39">
        <f>Orders!I392</f>
        <v>32428</v>
      </c>
      <c r="J392" t="str">
        <f>Orders!J392</f>
        <v>Completed</v>
      </c>
      <c r="K392" t="str">
        <f>Orders!K392</f>
        <v>Chennai</v>
      </c>
      <c r="L392" t="str">
        <f>IFERROR(VLOOKUP(D392,Products!$A$2:$F$61,3,FALSE),"")</f>
        <v>Beauty</v>
      </c>
      <c r="M392">
        <f>IFERROR(VLOOKUP(D392,Products!$A$2:$F$61,4,FALSE),"")</f>
        <v>1728</v>
      </c>
      <c r="N392" t="str">
        <f>IFERROR(VLOOKUP(E392,Sales_Reps!$A$2:$E$31,3,FALSE),"")</f>
        <v>North</v>
      </c>
      <c r="O392" t="str">
        <f>IFERROR(VLOOKUP(C392,Customers!$A$2:$F$301,5,FALSE),"")</f>
        <v>Retail</v>
      </c>
      <c r="P392">
        <f>IFERROR(VLOOKUP(C392,Customers!$A$2:$F$301,3,FALSE),"")</f>
        <v>22</v>
      </c>
      <c r="Q392" s="41">
        <f t="shared" si="15"/>
        <v>0.48417910447761192</v>
      </c>
      <c r="R392" t="str">
        <f>IFERROR(VLOOKUP(C392,Customers!$A$2:$F$301,1,FALSE),"")</f>
        <v>CUST-0019</v>
      </c>
      <c r="S392" s="27" t="b">
        <f>IFERROR(VLOOKUP(D392,Products!$A$2:$F$61,6,FALSE),"")</f>
        <v>1</v>
      </c>
      <c r="BL392">
        <v>0</v>
      </c>
      <c r="BO392">
        <v>0</v>
      </c>
      <c r="BP392">
        <v>0</v>
      </c>
    </row>
    <row r="393" spans="1:68" x14ac:dyDescent="0.35">
      <c r="A393" s="26" t="str">
        <f>Orders!A393</f>
        <v>ORD-00392</v>
      </c>
      <c r="B393" s="33">
        <f>Orders!B393</f>
        <v>45387</v>
      </c>
      <c r="C393" t="str">
        <f>Orders!C393</f>
        <v>CUST-0290</v>
      </c>
      <c r="D393" t="str">
        <f>Orders!D393</f>
        <v>PROD-041</v>
      </c>
      <c r="E393" t="str">
        <f>Orders!E393</f>
        <v>R026</v>
      </c>
      <c r="F393">
        <f>Orders!F393</f>
        <v>7</v>
      </c>
      <c r="G393" s="35">
        <f>Orders!G393</f>
        <v>1540</v>
      </c>
      <c r="H393" s="37">
        <f>Orders!H393</f>
        <v>0.5</v>
      </c>
      <c r="I393" s="39">
        <f>Orders!I393</f>
        <v>10726.1</v>
      </c>
      <c r="J393" t="str">
        <f>Orders!J393</f>
        <v>Completed</v>
      </c>
      <c r="K393" t="str">
        <f>Orders!K393</f>
        <v>Delhi</v>
      </c>
      <c r="L393" t="str">
        <f>IFERROR(VLOOKUP(D393,Products!$A$2:$F$61,3,FALSE),"")</f>
        <v>Beauty</v>
      </c>
      <c r="M393">
        <f>IFERROR(VLOOKUP(D393,Products!$A$2:$F$61,4,FALSE),"")</f>
        <v>647</v>
      </c>
      <c r="N393" t="str">
        <f>IFERROR(VLOOKUP(E393,Sales_Reps!$A$2:$E$31,3,FALSE),"")</f>
        <v>West</v>
      </c>
      <c r="O393" t="str">
        <f>IFERROR(VLOOKUP(C393,Customers!$A$2:$F$301,5,FALSE),"")</f>
        <v>Retail</v>
      </c>
      <c r="P393">
        <f>IFERROR(VLOOKUP(C393,Customers!$A$2:$F$301,3,FALSE),"")</f>
        <v>63</v>
      </c>
      <c r="Q393" s="41">
        <f t="shared" si="15"/>
        <v>0.57987012987012987</v>
      </c>
      <c r="R393" t="str">
        <f>IFERROR(VLOOKUP(C393,Customers!$A$2:$F$301,1,FALSE),"")</f>
        <v>CUST-0290</v>
      </c>
      <c r="S393" s="27" t="b">
        <f>IFERROR(VLOOKUP(D393,Products!$A$2:$F$61,6,FALSE),"")</f>
        <v>0</v>
      </c>
      <c r="BL393">
        <v>0</v>
      </c>
      <c r="BO393">
        <v>0</v>
      </c>
      <c r="BP393">
        <v>1</v>
      </c>
    </row>
    <row r="394" spans="1:68" x14ac:dyDescent="0.35">
      <c r="A394" s="26" t="str">
        <f>Orders!A394</f>
        <v>ORD-00393</v>
      </c>
      <c r="B394" s="33">
        <f>Orders!B394</f>
        <v>45655</v>
      </c>
      <c r="C394" t="str">
        <f>Orders!C394</f>
        <v>CUST-9557</v>
      </c>
      <c r="D394" t="str">
        <f>Orders!D394</f>
        <v>PROD-014</v>
      </c>
      <c r="E394" t="str">
        <f>Orders!E394</f>
        <v>R026</v>
      </c>
      <c r="F394">
        <f>Orders!F394</f>
        <v>10</v>
      </c>
      <c r="G394" s="35">
        <f>Orders!G394</f>
        <v>3620</v>
      </c>
      <c r="H394" s="37">
        <f>Orders!H394</f>
        <v>22</v>
      </c>
      <c r="I394" s="39">
        <f>Orders!I394</f>
        <v>28236</v>
      </c>
      <c r="J394" t="str">
        <f>Orders!J394</f>
        <v>Completed</v>
      </c>
      <c r="K394" t="str">
        <f>Orders!K394</f>
        <v>Pune</v>
      </c>
      <c r="L394" t="str">
        <f>IFERROR(VLOOKUP(D394,Products!$A$2:$F$61,3,FALSE),"")</f>
        <v>Apparel</v>
      </c>
      <c r="M394">
        <f>IFERROR(VLOOKUP(D394,Products!$A$2:$F$61,4,FALSE),"")</f>
        <v>2509</v>
      </c>
      <c r="N394" t="str">
        <f>IFERROR(VLOOKUP(E394,Sales_Reps!$A$2:$E$31,3,FALSE),"")</f>
        <v>West</v>
      </c>
      <c r="O394" t="str">
        <f>IFERROR(VLOOKUP(C394,Customers!$A$2:$F$301,5,FALSE),"")</f>
        <v/>
      </c>
      <c r="P394" t="str">
        <f>IFERROR(VLOOKUP(C394,Customers!$A$2:$F$301,3,FALSE),"")</f>
        <v/>
      </c>
      <c r="Q394" s="41">
        <f t="shared" si="15"/>
        <v>0.3069060773480663</v>
      </c>
      <c r="R394" t="str">
        <f>IFERROR(VLOOKUP(C394,Customers!$A$2:$F$301,1,FALSE),"")</f>
        <v/>
      </c>
      <c r="S394" s="27" t="b">
        <f>IFERROR(VLOOKUP(D394,Products!$A$2:$F$61,6,FALSE),"")</f>
        <v>1</v>
      </c>
      <c r="BL394">
        <v>0</v>
      </c>
      <c r="BO394">
        <v>1</v>
      </c>
      <c r="BP394">
        <v>0</v>
      </c>
    </row>
    <row r="395" spans="1:68" x14ac:dyDescent="0.35">
      <c r="A395" s="26" t="str">
        <f>Orders!A395</f>
        <v>ORD-00394</v>
      </c>
      <c r="B395" s="33">
        <f>Orders!B395</f>
        <v>45629</v>
      </c>
      <c r="C395" t="str">
        <f>Orders!C395</f>
        <v>CUST-0291</v>
      </c>
      <c r="D395" t="str">
        <f>Orders!D395</f>
        <v>PROD-053</v>
      </c>
      <c r="E395" t="str">
        <f>Orders!E395</f>
        <v>R026</v>
      </c>
      <c r="F395">
        <f>Orders!F395</f>
        <v>2</v>
      </c>
      <c r="G395" s="35">
        <f>Orders!G395</f>
        <v>470</v>
      </c>
      <c r="H395" s="37">
        <f>Orders!H395</f>
        <v>26.5</v>
      </c>
      <c r="I395" s="39">
        <f>Orders!I395</f>
        <v>690.9</v>
      </c>
      <c r="J395" t="str">
        <f>Orders!J395</f>
        <v>Pending</v>
      </c>
      <c r="K395" t="str">
        <f>Orders!K395</f>
        <v>Pune</v>
      </c>
      <c r="L395" t="str">
        <f>IFERROR(VLOOKUP(D395,Products!$A$2:$F$61,3,FALSE),"")</f>
        <v>Sports</v>
      </c>
      <c r="M395">
        <f>IFERROR(VLOOKUP(D395,Products!$A$2:$F$61,4,FALSE),"")</f>
        <v>302</v>
      </c>
      <c r="N395" t="str">
        <f>IFERROR(VLOOKUP(E395,Sales_Reps!$A$2:$E$31,3,FALSE),"")</f>
        <v>West</v>
      </c>
      <c r="O395" t="str">
        <f>IFERROR(VLOOKUP(C395,Customers!$A$2:$F$301,5,FALSE),"")</f>
        <v>SMB</v>
      </c>
      <c r="P395">
        <f>IFERROR(VLOOKUP(C395,Customers!$A$2:$F$301,3,FALSE),"")</f>
        <v>29</v>
      </c>
      <c r="Q395" s="41">
        <f t="shared" si="15"/>
        <v>0.35744680851063831</v>
      </c>
      <c r="R395" t="str">
        <f>IFERROR(VLOOKUP(C395,Customers!$A$2:$F$301,1,FALSE),"")</f>
        <v>CUST-0291</v>
      </c>
      <c r="S395" s="27" t="b">
        <f>IFERROR(VLOOKUP(D395,Products!$A$2:$F$61,6,FALSE),"")</f>
        <v>0</v>
      </c>
      <c r="BL395">
        <v>0</v>
      </c>
      <c r="BO395">
        <v>0</v>
      </c>
      <c r="BP395">
        <v>1</v>
      </c>
    </row>
    <row r="396" spans="1:68" x14ac:dyDescent="0.35">
      <c r="A396" s="26" t="str">
        <f>Orders!A396</f>
        <v>ORD-00395</v>
      </c>
      <c r="B396" s="33">
        <f>Orders!B396</f>
        <v>45323</v>
      </c>
      <c r="C396" t="str">
        <f>Orders!C396</f>
        <v>CUST-0045</v>
      </c>
      <c r="D396" t="str">
        <f>Orders!D396</f>
        <v>PROD-028</v>
      </c>
      <c r="E396" t="str">
        <f>Orders!E396</f>
        <v>R010</v>
      </c>
      <c r="F396">
        <f>Orders!F396</f>
        <v>6</v>
      </c>
      <c r="G396" s="35">
        <f>Orders!G396</f>
        <v>3660</v>
      </c>
      <c r="H396" s="37">
        <f>Orders!H396</f>
        <v>1.5</v>
      </c>
      <c r="I396" s="39">
        <f>Orders!I396</f>
        <v>21630.6</v>
      </c>
      <c r="J396" t="str">
        <f>Orders!J396</f>
        <v>Completed</v>
      </c>
      <c r="K396" t="str">
        <f>Orders!K396</f>
        <v>Chennai</v>
      </c>
      <c r="L396" t="str">
        <f>IFERROR(VLOOKUP(D396,Products!$A$2:$F$61,3,FALSE),"")</f>
        <v>Grocery</v>
      </c>
      <c r="M396">
        <f>IFERROR(VLOOKUP(D396,Products!$A$2:$F$61,4,FALSE),"")</f>
        <v>2214</v>
      </c>
      <c r="N396" t="str">
        <f>IFERROR(VLOOKUP(E396,Sales_Reps!$A$2:$E$31,3,FALSE),"")</f>
        <v>South</v>
      </c>
      <c r="O396" t="str">
        <f>IFERROR(VLOOKUP(C396,Customers!$A$2:$F$301,5,FALSE),"")</f>
        <v>SMB</v>
      </c>
      <c r="P396">
        <f>IFERROR(VLOOKUP(C396,Customers!$A$2:$F$301,3,FALSE),"")</f>
        <v>39</v>
      </c>
      <c r="Q396" s="41">
        <f t="shared" si="15"/>
        <v>0.39508196721311473</v>
      </c>
      <c r="R396" t="str">
        <f>IFERROR(VLOOKUP(C396,Customers!$A$2:$F$301,1,FALSE),"")</f>
        <v>CUST-0045</v>
      </c>
      <c r="S396" s="27" t="b">
        <f>IFERROR(VLOOKUP(D396,Products!$A$2:$F$61,6,FALSE),"")</f>
        <v>0</v>
      </c>
      <c r="BL396">
        <v>0</v>
      </c>
      <c r="BO396">
        <v>0</v>
      </c>
      <c r="BP396">
        <v>1</v>
      </c>
    </row>
    <row r="397" spans="1:68" x14ac:dyDescent="0.35">
      <c r="A397" s="26" t="str">
        <f>Orders!A397</f>
        <v>ORD-00396</v>
      </c>
      <c r="B397" s="33">
        <f>Orders!B397</f>
        <v>45432</v>
      </c>
      <c r="C397" t="str">
        <f>Orders!C397</f>
        <v>CUST-0281</v>
      </c>
      <c r="D397" t="str">
        <f>Orders!D397</f>
        <v>PROD-056</v>
      </c>
      <c r="E397" t="str">
        <f>Orders!E397</f>
        <v>R017</v>
      </c>
      <c r="F397">
        <f>Orders!F397</f>
        <v>10</v>
      </c>
      <c r="G397" s="35">
        <f>Orders!G397</f>
        <v>6940</v>
      </c>
      <c r="H397" s="37">
        <f>Orders!H397</f>
        <v>1.9</v>
      </c>
      <c r="I397" s="39">
        <f>Orders!I397</f>
        <v>68081.399999999994</v>
      </c>
      <c r="J397" t="str">
        <f>Orders!J397</f>
        <v>Completed</v>
      </c>
      <c r="K397" t="str">
        <f>Orders!K397</f>
        <v>Bengaluru</v>
      </c>
      <c r="L397" t="str">
        <f>IFERROR(VLOOKUP(D397,Products!$A$2:$F$61,3,FALSE),"")</f>
        <v>Sports</v>
      </c>
      <c r="M397">
        <f>IFERROR(VLOOKUP(D397,Products!$A$2:$F$61,4,FALSE),"")</f>
        <v>2827</v>
      </c>
      <c r="N397" t="str">
        <f>IFERROR(VLOOKUP(E397,Sales_Reps!$A$2:$E$31,3,FALSE),"")</f>
        <v>East</v>
      </c>
      <c r="O397" t="str">
        <f>IFERROR(VLOOKUP(C397,Customers!$A$2:$F$301,5,FALSE),"")</f>
        <v>Corporate</v>
      </c>
      <c r="P397">
        <f>IFERROR(VLOOKUP(C397,Customers!$A$2:$F$301,3,FALSE),"")</f>
        <v>57</v>
      </c>
      <c r="Q397" s="41">
        <f t="shared" si="15"/>
        <v>0.5926512968299712</v>
      </c>
      <c r="R397" t="str">
        <f>IFERROR(VLOOKUP(C397,Customers!$A$2:$F$301,1,FALSE),"")</f>
        <v>CUST-0281</v>
      </c>
      <c r="S397" s="27" t="b">
        <f>IFERROR(VLOOKUP(D397,Products!$A$2:$F$61,6,FALSE),"")</f>
        <v>1</v>
      </c>
      <c r="BL397">
        <v>0</v>
      </c>
      <c r="BO397">
        <v>0</v>
      </c>
      <c r="BP397">
        <v>0</v>
      </c>
    </row>
    <row r="398" spans="1:68" x14ac:dyDescent="0.35">
      <c r="A398" s="26" t="str">
        <f>Orders!A398</f>
        <v>ORD-00397</v>
      </c>
      <c r="B398" s="33">
        <f>Orders!B398</f>
        <v>45397</v>
      </c>
      <c r="C398" t="str">
        <f>Orders!C398</f>
        <v>CUST-0073</v>
      </c>
      <c r="D398" t="str">
        <f>Orders!D398</f>
        <v>PROD-042</v>
      </c>
      <c r="E398" t="str">
        <f>Orders!E398</f>
        <v>R005</v>
      </c>
      <c r="F398">
        <f>Orders!F398</f>
        <v>8</v>
      </c>
      <c r="G398" s="35">
        <f>Orders!G398</f>
        <v>2290</v>
      </c>
      <c r="H398" s="37">
        <f>Orders!H398</f>
        <v>27.9</v>
      </c>
      <c r="I398" s="39">
        <f>Orders!I398</f>
        <v>13208.72</v>
      </c>
      <c r="J398" t="str">
        <f>Orders!J398</f>
        <v>Completed</v>
      </c>
      <c r="K398" t="str">
        <f>Orders!K398</f>
        <v>Pune</v>
      </c>
      <c r="L398" t="str">
        <f>IFERROR(VLOOKUP(D398,Products!$A$2:$F$61,3,FALSE),"")</f>
        <v>Beauty</v>
      </c>
      <c r="M398">
        <f>IFERROR(VLOOKUP(D398,Products!$A$2:$F$61,4,FALSE),"")</f>
        <v>1219</v>
      </c>
      <c r="N398" t="str">
        <f>IFERROR(VLOOKUP(E398,Sales_Reps!$A$2:$E$31,3,FALSE),"")</f>
        <v>North</v>
      </c>
      <c r="O398" t="str">
        <f>IFERROR(VLOOKUP(C398,Customers!$A$2:$F$301,5,FALSE),"")</f>
        <v>Corporate</v>
      </c>
      <c r="P398">
        <f>IFERROR(VLOOKUP(C398,Customers!$A$2:$F$301,3,FALSE),"")</f>
        <v>40</v>
      </c>
      <c r="Q398" s="41">
        <f t="shared" si="15"/>
        <v>0.46768558951965067</v>
      </c>
      <c r="R398" t="str">
        <f>IFERROR(VLOOKUP(C398,Customers!$A$2:$F$301,1,FALSE),"")</f>
        <v>CUST-0073</v>
      </c>
      <c r="S398" s="27" t="b">
        <f>IFERROR(VLOOKUP(D398,Products!$A$2:$F$61,6,FALSE),"")</f>
        <v>1</v>
      </c>
      <c r="BL398">
        <v>0</v>
      </c>
      <c r="BO398">
        <v>0</v>
      </c>
      <c r="BP398">
        <v>0</v>
      </c>
    </row>
    <row r="399" spans="1:68" x14ac:dyDescent="0.35">
      <c r="A399" s="26" t="str">
        <f>Orders!A399</f>
        <v>ORD-00398</v>
      </c>
      <c r="B399" s="33">
        <f>Orders!B399</f>
        <v>45573</v>
      </c>
      <c r="C399" t="str">
        <f>Orders!C399</f>
        <v>CUST-0043</v>
      </c>
      <c r="D399" t="str">
        <f>Orders!D399</f>
        <v>PROD-012</v>
      </c>
      <c r="E399" t="str">
        <f>Orders!E399</f>
        <v>R024</v>
      </c>
      <c r="F399">
        <f>Orders!F399</f>
        <v>9</v>
      </c>
      <c r="G399" s="35">
        <f>Orders!G399</f>
        <v>3160</v>
      </c>
      <c r="H399" s="37">
        <f>Orders!H399</f>
        <v>10.199999999999999</v>
      </c>
      <c r="I399" s="39">
        <f>Orders!I399</f>
        <v>25539.119999999999</v>
      </c>
      <c r="J399" t="str">
        <f>Orders!J399</f>
        <v>Completed</v>
      </c>
      <c r="K399" t="str">
        <f>Orders!K399</f>
        <v>Hyderabad</v>
      </c>
      <c r="L399" t="str">
        <f>IFERROR(VLOOKUP(D399,Products!$A$2:$F$61,3,FALSE),"")</f>
        <v>Apparel</v>
      </c>
      <c r="M399">
        <f>IFERROR(VLOOKUP(D399,Products!$A$2:$F$61,4,FALSE),"")</f>
        <v>1886</v>
      </c>
      <c r="N399" t="str">
        <f>IFERROR(VLOOKUP(E399,Sales_Reps!$A$2:$E$31,3,FALSE),"")</f>
        <v>West</v>
      </c>
      <c r="O399" t="str">
        <f>IFERROR(VLOOKUP(C399,Customers!$A$2:$F$301,5,FALSE),"")</f>
        <v>Retail</v>
      </c>
      <c r="P399">
        <f>IFERROR(VLOOKUP(C399,Customers!$A$2:$F$301,3,FALSE),"")</f>
        <v>61</v>
      </c>
      <c r="Q399" s="41">
        <f t="shared" si="15"/>
        <v>0.4031645569620253</v>
      </c>
      <c r="R399" t="str">
        <f>IFERROR(VLOOKUP(C399,Customers!$A$2:$F$301,1,FALSE),"")</f>
        <v>CUST-0043</v>
      </c>
      <c r="S399" s="27" t="b">
        <f>IFERROR(VLOOKUP(D399,Products!$A$2:$F$61,6,FALSE),"")</f>
        <v>1</v>
      </c>
      <c r="BL399">
        <v>0</v>
      </c>
      <c r="BO399">
        <v>0</v>
      </c>
      <c r="BP399">
        <v>0</v>
      </c>
    </row>
    <row r="400" spans="1:68" x14ac:dyDescent="0.35">
      <c r="A400" s="26" t="str">
        <f>Orders!A400</f>
        <v>ORD-00399</v>
      </c>
      <c r="B400" s="33">
        <f>Orders!B400</f>
        <v>45307</v>
      </c>
      <c r="C400" t="str">
        <f>Orders!C400</f>
        <v>CUST-0154</v>
      </c>
      <c r="D400" t="str">
        <f>Orders!D400</f>
        <v>PROD-034</v>
      </c>
      <c r="E400" t="str">
        <f>Orders!E400</f>
        <v>R028</v>
      </c>
      <c r="F400">
        <f>Orders!F400</f>
        <v>6</v>
      </c>
      <c r="G400" s="35">
        <f>Orders!G400</f>
        <v>5080</v>
      </c>
      <c r="H400" s="37">
        <f>Orders!H400</f>
        <v>25.4</v>
      </c>
      <c r="I400" s="39">
        <f>Orders!I400</f>
        <v>22738.080000000002</v>
      </c>
      <c r="J400" t="str">
        <f>Orders!J400</f>
        <v>Completed</v>
      </c>
      <c r="K400" t="str">
        <f>Orders!K400</f>
        <v>Pune</v>
      </c>
      <c r="L400" t="str">
        <f>IFERROR(VLOOKUP(D400,Products!$A$2:$F$61,3,FALSE),"")</f>
        <v>Home</v>
      </c>
      <c r="M400">
        <f>IFERROR(VLOOKUP(D400,Products!$A$2:$F$61,4,FALSE),"")</f>
        <v>2459</v>
      </c>
      <c r="N400" t="str">
        <f>IFERROR(VLOOKUP(E400,Sales_Reps!$A$2:$E$31,3,FALSE),"")</f>
        <v>West</v>
      </c>
      <c r="O400" t="str">
        <f>IFERROR(VLOOKUP(C400,Customers!$A$2:$F$301,5,FALSE),"")</f>
        <v>Retail</v>
      </c>
      <c r="P400">
        <f>IFERROR(VLOOKUP(C400,Customers!$A$2:$F$301,3,FALSE),"")</f>
        <v>36</v>
      </c>
      <c r="Q400" s="41">
        <f t="shared" si="15"/>
        <v>0.51594488188976373</v>
      </c>
      <c r="R400" t="str">
        <f>IFERROR(VLOOKUP(C400,Customers!$A$2:$F$301,1,FALSE),"")</f>
        <v>CUST-0154</v>
      </c>
      <c r="S400" s="27" t="b">
        <f>IFERROR(VLOOKUP(D400,Products!$A$2:$F$61,6,FALSE),"")</f>
        <v>1</v>
      </c>
      <c r="BL400">
        <v>0</v>
      </c>
      <c r="BO400">
        <v>0</v>
      </c>
      <c r="BP400">
        <v>0</v>
      </c>
    </row>
    <row r="401" spans="1:68" x14ac:dyDescent="0.35">
      <c r="A401" s="26" t="str">
        <f>Orders!A401</f>
        <v>ORD-00400</v>
      </c>
      <c r="B401" s="33">
        <f>Orders!B401</f>
        <v>45620</v>
      </c>
      <c r="C401" t="str">
        <f>Orders!C401</f>
        <v>CUST-0061</v>
      </c>
      <c r="D401" t="str">
        <f>Orders!D401</f>
        <v>PROD-021</v>
      </c>
      <c r="E401" t="str">
        <f>Orders!E401</f>
        <v>R012</v>
      </c>
      <c r="F401">
        <f>Orders!F401</f>
        <v>6</v>
      </c>
      <c r="G401" s="35">
        <f>Orders!G401</f>
        <v>2760</v>
      </c>
      <c r="H401" s="37">
        <f>Orders!H401</f>
        <v>21.3</v>
      </c>
      <c r="I401" s="39">
        <f>Orders!I401</f>
        <v>13032.72</v>
      </c>
      <c r="J401" t="str">
        <f>Orders!J401</f>
        <v>Completed</v>
      </c>
      <c r="K401" t="str">
        <f>Orders!K401</f>
        <v>Hyderabad</v>
      </c>
      <c r="L401" t="str">
        <f>IFERROR(VLOOKUP(D401,Products!$A$2:$F$61,3,FALSE),"")</f>
        <v>Grocery</v>
      </c>
      <c r="M401">
        <f>IFERROR(VLOOKUP(D401,Products!$A$2:$F$61,4,FALSE),"")</f>
        <v>1435</v>
      </c>
      <c r="N401" t="str">
        <f>IFERROR(VLOOKUP(E401,Sales_Reps!$A$2:$E$31,3,FALSE),"")</f>
        <v>South</v>
      </c>
      <c r="O401" t="str">
        <f>IFERROR(VLOOKUP(C401,Customers!$A$2:$F$301,5,FALSE),"")</f>
        <v>Retail</v>
      </c>
      <c r="P401">
        <f>IFERROR(VLOOKUP(C401,Customers!$A$2:$F$301,3,FALSE),"")</f>
        <v>64</v>
      </c>
      <c r="Q401" s="41">
        <f t="shared" si="15"/>
        <v>0.48007246376811596</v>
      </c>
      <c r="R401" t="str">
        <f>IFERROR(VLOOKUP(C401,Customers!$A$2:$F$301,1,FALSE),"")</f>
        <v>CUST-0061</v>
      </c>
      <c r="S401" s="27" t="b">
        <f>IFERROR(VLOOKUP(D401,Products!$A$2:$F$61,6,FALSE),"")</f>
        <v>1</v>
      </c>
      <c r="BL401">
        <v>0</v>
      </c>
      <c r="BO401">
        <v>0</v>
      </c>
      <c r="BP401">
        <v>0</v>
      </c>
    </row>
    <row r="402" spans="1:68" x14ac:dyDescent="0.35">
      <c r="A402" s="26" t="str">
        <f>Orders!A402</f>
        <v>ORD-00401</v>
      </c>
      <c r="B402" s="33">
        <f>Orders!B402</f>
        <v>45462</v>
      </c>
      <c r="C402" t="str">
        <f>Orders!C402</f>
        <v>CUST-9654</v>
      </c>
      <c r="D402" t="str">
        <f>Orders!D402</f>
        <v>PROD-009</v>
      </c>
      <c r="E402" t="str">
        <f>Orders!E402</f>
        <v>R012</v>
      </c>
      <c r="F402">
        <f>Orders!F402</f>
        <v>5</v>
      </c>
      <c r="G402" s="35">
        <f>Orders!G402</f>
        <v>1220</v>
      </c>
      <c r="H402" s="37">
        <f>Orders!H402</f>
        <v>7.6</v>
      </c>
      <c r="I402" s="39">
        <f>Orders!I402</f>
        <v>5636.4</v>
      </c>
      <c r="J402" t="str">
        <f>Orders!J402</f>
        <v>Completed</v>
      </c>
      <c r="K402" t="str">
        <f>Orders!K402</f>
        <v>Mumbai</v>
      </c>
      <c r="L402" t="str">
        <f>IFERROR(VLOOKUP(D402,Products!$A$2:$F$61,3,FALSE),"")</f>
        <v>Electronics</v>
      </c>
      <c r="M402">
        <f>IFERROR(VLOOKUP(D402,Products!$A$2:$F$61,4,FALSE),"")</f>
        <v>517</v>
      </c>
      <c r="N402" t="str">
        <f>IFERROR(VLOOKUP(E402,Sales_Reps!$A$2:$E$31,3,FALSE),"")</f>
        <v>South</v>
      </c>
      <c r="O402" t="str">
        <f>IFERROR(VLOOKUP(C402,Customers!$A$2:$F$301,5,FALSE),"")</f>
        <v/>
      </c>
      <c r="P402" t="str">
        <f>IFERROR(VLOOKUP(C402,Customers!$A$2:$F$301,3,FALSE),"")</f>
        <v/>
      </c>
      <c r="Q402" s="41">
        <f t="shared" si="15"/>
        <v>0.57622950819672136</v>
      </c>
      <c r="R402" t="str">
        <f>IFERROR(VLOOKUP(C402,Customers!$A$2:$F$301,1,FALSE),"")</f>
        <v/>
      </c>
      <c r="S402" s="27" t="b">
        <f>IFERROR(VLOOKUP(D402,Products!$A$2:$F$61,6,FALSE),"")</f>
        <v>1</v>
      </c>
      <c r="BL402">
        <v>0</v>
      </c>
      <c r="BO402">
        <v>1</v>
      </c>
      <c r="BP402">
        <v>0</v>
      </c>
    </row>
    <row r="403" spans="1:68" x14ac:dyDescent="0.35">
      <c r="A403" s="26" t="str">
        <f>Orders!A403</f>
        <v>ORD-00402</v>
      </c>
      <c r="B403" s="33">
        <f>Orders!B403</f>
        <v>45622</v>
      </c>
      <c r="C403" t="str">
        <f>Orders!C403</f>
        <v>CUST-0189</v>
      </c>
      <c r="D403" t="str">
        <f>Orders!D403</f>
        <v>PROD-046</v>
      </c>
      <c r="E403" t="str">
        <f>Orders!E403</f>
        <v>R028</v>
      </c>
      <c r="F403">
        <f>Orders!F403</f>
        <v>5</v>
      </c>
      <c r="G403" s="35">
        <f>Orders!G403</f>
        <v>4880</v>
      </c>
      <c r="H403" s="37">
        <f>Orders!H403</f>
        <v>8.5</v>
      </c>
      <c r="I403" s="39">
        <f>Orders!I403</f>
        <v>22326</v>
      </c>
      <c r="J403" t="str">
        <f>Orders!J403</f>
        <v>Completed</v>
      </c>
      <c r="K403" t="str">
        <f>Orders!K403</f>
        <v>Chennai</v>
      </c>
      <c r="L403" t="str">
        <f>IFERROR(VLOOKUP(D403,Products!$A$2:$F$61,3,FALSE),"")</f>
        <v>Beauty</v>
      </c>
      <c r="M403">
        <f>IFERROR(VLOOKUP(D403,Products!$A$2:$F$61,4,FALSE),"")</f>
        <v>2768</v>
      </c>
      <c r="N403" t="str">
        <f>IFERROR(VLOOKUP(E403,Sales_Reps!$A$2:$E$31,3,FALSE),"")</f>
        <v>West</v>
      </c>
      <c r="O403" t="str">
        <f>IFERROR(VLOOKUP(C403,Customers!$A$2:$F$301,5,FALSE),"")</f>
        <v>Retail</v>
      </c>
      <c r="P403">
        <f>IFERROR(VLOOKUP(C403,Customers!$A$2:$F$301,3,FALSE),"")</f>
        <v>41</v>
      </c>
      <c r="Q403" s="41">
        <f t="shared" si="15"/>
        <v>0.43278688524590164</v>
      </c>
      <c r="R403" t="str">
        <f>IFERROR(VLOOKUP(C403,Customers!$A$2:$F$301,1,FALSE),"")</f>
        <v>CUST-0189</v>
      </c>
      <c r="S403" s="27" t="b">
        <f>IFERROR(VLOOKUP(D403,Products!$A$2:$F$61,6,FALSE),"")</f>
        <v>1</v>
      </c>
      <c r="BL403">
        <v>0</v>
      </c>
      <c r="BO403">
        <v>0</v>
      </c>
      <c r="BP403">
        <v>0</v>
      </c>
    </row>
    <row r="404" spans="1:68" x14ac:dyDescent="0.35">
      <c r="A404" s="26" t="str">
        <f>Orders!A404</f>
        <v>ORD-00403</v>
      </c>
      <c r="B404" s="33">
        <f>Orders!B404</f>
        <v>45596</v>
      </c>
      <c r="C404" t="str">
        <f>Orders!C404</f>
        <v>CUST-0152</v>
      </c>
      <c r="D404" t="str">
        <f>Orders!D404</f>
        <v>PROD-026</v>
      </c>
      <c r="E404" t="str">
        <f>Orders!E404</f>
        <v>R022</v>
      </c>
      <c r="F404">
        <f>Orders!F404</f>
        <v>7</v>
      </c>
      <c r="G404" s="35">
        <f>Orders!G404</f>
        <v>4070</v>
      </c>
      <c r="H404" s="37">
        <f>Orders!H404</f>
        <v>28</v>
      </c>
      <c r="I404" s="39">
        <f>Orders!I404</f>
        <v>20512.8</v>
      </c>
      <c r="J404" t="str">
        <f>Orders!J404</f>
        <v>Completed</v>
      </c>
      <c r="K404" t="str">
        <f>Orders!K404</f>
        <v>Bengaluru</v>
      </c>
      <c r="L404" t="str">
        <f>IFERROR(VLOOKUP(D404,Products!$A$2:$F$61,3,FALSE),"")</f>
        <v>Grocery</v>
      </c>
      <c r="M404">
        <f>IFERROR(VLOOKUP(D404,Products!$A$2:$F$61,4,FALSE),"")</f>
        <v>2027</v>
      </c>
      <c r="N404" t="str">
        <f>IFERROR(VLOOKUP(E404,Sales_Reps!$A$2:$E$31,3,FALSE),"")</f>
        <v>East</v>
      </c>
      <c r="O404" t="str">
        <f>IFERROR(VLOOKUP(C404,Customers!$A$2:$F$301,5,FALSE),"")</f>
        <v>SMB</v>
      </c>
      <c r="P404">
        <f>IFERROR(VLOOKUP(C404,Customers!$A$2:$F$301,3,FALSE),"")</f>
        <v>64</v>
      </c>
      <c r="Q404" s="41">
        <f t="shared" si="15"/>
        <v>0.50196560196560192</v>
      </c>
      <c r="R404" t="str">
        <f>IFERROR(VLOOKUP(C404,Customers!$A$2:$F$301,1,FALSE),"")</f>
        <v>CUST-0152</v>
      </c>
      <c r="S404" s="27" t="b">
        <f>IFERROR(VLOOKUP(D404,Products!$A$2:$F$61,6,FALSE),"")</f>
        <v>1</v>
      </c>
      <c r="BL404">
        <v>0</v>
      </c>
      <c r="BO404">
        <v>0</v>
      </c>
      <c r="BP404">
        <v>0</v>
      </c>
    </row>
    <row r="405" spans="1:68" x14ac:dyDescent="0.35">
      <c r="A405" s="26" t="str">
        <f>Orders!A405</f>
        <v>ORD-00404</v>
      </c>
      <c r="B405" s="33">
        <f>Orders!B405</f>
        <v>45506</v>
      </c>
      <c r="C405" t="str">
        <f>Orders!C405</f>
        <v>CUST-0284</v>
      </c>
      <c r="D405" t="str">
        <f>Orders!D405</f>
        <v>PROD-006</v>
      </c>
      <c r="E405" t="str">
        <f>Orders!E405</f>
        <v>R028</v>
      </c>
      <c r="F405">
        <f>Orders!F405</f>
        <v>2</v>
      </c>
      <c r="G405" s="35">
        <f>Orders!G405</f>
        <v>3970</v>
      </c>
      <c r="H405" s="37">
        <f>Orders!H405</f>
        <v>14</v>
      </c>
      <c r="I405" s="39">
        <f>Orders!I405</f>
        <v>6828.4</v>
      </c>
      <c r="J405" t="str">
        <f>Orders!J405</f>
        <v>Completed</v>
      </c>
      <c r="K405" t="str">
        <f>Orders!K405</f>
        <v>Hyderabad</v>
      </c>
      <c r="L405" t="str">
        <f>IFERROR(VLOOKUP(D405,Products!$A$2:$F$61,3,FALSE),"")</f>
        <v>Electronics</v>
      </c>
      <c r="M405">
        <f>IFERROR(VLOOKUP(D405,Products!$A$2:$F$61,4,FALSE),"")</f>
        <v>2865</v>
      </c>
      <c r="N405" t="str">
        <f>IFERROR(VLOOKUP(E405,Sales_Reps!$A$2:$E$31,3,FALSE),"")</f>
        <v>West</v>
      </c>
      <c r="O405" t="str">
        <f>IFERROR(VLOOKUP(C405,Customers!$A$2:$F$301,5,FALSE),"")</f>
        <v>SMB</v>
      </c>
      <c r="P405">
        <f>IFERROR(VLOOKUP(C405,Customers!$A$2:$F$301,3,FALSE),"")</f>
        <v>65</v>
      </c>
      <c r="Q405" s="41">
        <f t="shared" si="15"/>
        <v>0.27833753148614609</v>
      </c>
      <c r="R405" t="str">
        <f>IFERROR(VLOOKUP(C405,Customers!$A$2:$F$301,1,FALSE),"")</f>
        <v>CUST-0284</v>
      </c>
      <c r="S405" s="27" t="b">
        <f>IFERROR(VLOOKUP(D405,Products!$A$2:$F$61,6,FALSE),"")</f>
        <v>1</v>
      </c>
      <c r="BL405">
        <v>0</v>
      </c>
      <c r="BO405">
        <v>0</v>
      </c>
      <c r="BP405">
        <v>0</v>
      </c>
    </row>
    <row r="406" spans="1:68" x14ac:dyDescent="0.35">
      <c r="A406" s="26" t="str">
        <f>Orders!A406</f>
        <v>ORD-00405</v>
      </c>
      <c r="B406" s="33">
        <f>Orders!B406</f>
        <v>45349</v>
      </c>
      <c r="C406" t="str">
        <f>Orders!C406</f>
        <v>CUST-0175</v>
      </c>
      <c r="D406" t="str">
        <f>Orders!D406</f>
        <v>PROD-008</v>
      </c>
      <c r="E406" t="str">
        <f>Orders!E406</f>
        <v>R018</v>
      </c>
      <c r="F406">
        <f>Orders!F406</f>
        <v>9</v>
      </c>
      <c r="G406" s="35">
        <f>Orders!G406</f>
        <v>2660</v>
      </c>
      <c r="H406" s="37">
        <f>Orders!H406</f>
        <v>10.1</v>
      </c>
      <c r="I406" s="39">
        <f>Orders!I406</f>
        <v>21522.06</v>
      </c>
      <c r="J406" t="str">
        <f>Orders!J406</f>
        <v>Completed</v>
      </c>
      <c r="K406" t="str">
        <f>Orders!K406</f>
        <v>Delhi</v>
      </c>
      <c r="L406" t="str">
        <f>IFERROR(VLOOKUP(D406,Products!$A$2:$F$61,3,FALSE),"")</f>
        <v>Electronics</v>
      </c>
      <c r="M406">
        <f>IFERROR(VLOOKUP(D406,Products!$A$2:$F$61,4,FALSE),"")</f>
        <v>1259</v>
      </c>
      <c r="N406" t="str">
        <f>IFERROR(VLOOKUP(E406,Sales_Reps!$A$2:$E$31,3,FALSE),"")</f>
        <v>East</v>
      </c>
      <c r="O406" t="str">
        <f>IFERROR(VLOOKUP(C406,Customers!$A$2:$F$301,5,FALSE),"")</f>
        <v>Corporate</v>
      </c>
      <c r="P406">
        <f>IFERROR(VLOOKUP(C406,Customers!$A$2:$F$301,3,FALSE),"")</f>
        <v>55</v>
      </c>
      <c r="Q406" s="41">
        <f t="shared" si="15"/>
        <v>0.52669172932330832</v>
      </c>
      <c r="R406" t="str">
        <f>IFERROR(VLOOKUP(C406,Customers!$A$2:$F$301,1,FALSE),"")</f>
        <v>CUST-0175</v>
      </c>
      <c r="S406" s="27" t="b">
        <f>IFERROR(VLOOKUP(D406,Products!$A$2:$F$61,6,FALSE),"")</f>
        <v>0</v>
      </c>
      <c r="BL406">
        <v>0</v>
      </c>
      <c r="BO406">
        <v>0</v>
      </c>
      <c r="BP406">
        <v>1</v>
      </c>
    </row>
    <row r="407" spans="1:68" x14ac:dyDescent="0.35">
      <c r="A407" s="26" t="str">
        <f>Orders!A407</f>
        <v>ORD-00406</v>
      </c>
      <c r="B407" s="33">
        <f>Orders!B407</f>
        <v>45407</v>
      </c>
      <c r="C407" t="str">
        <f>Orders!C407</f>
        <v>CUST-0093</v>
      </c>
      <c r="D407" t="str">
        <f>Orders!D407</f>
        <v>PROD-055</v>
      </c>
      <c r="E407" t="str">
        <f>Orders!E407</f>
        <v>R022</v>
      </c>
      <c r="F407">
        <f>Orders!F407</f>
        <v>9</v>
      </c>
      <c r="G407" s="35">
        <f>Orders!G407</f>
        <v>2860</v>
      </c>
      <c r="H407" s="37">
        <f>Orders!H407</f>
        <v>10.1</v>
      </c>
      <c r="I407" s="39">
        <f>Orders!I407</f>
        <v>23140.26</v>
      </c>
      <c r="J407" t="str">
        <f>Orders!J407</f>
        <v>Refunded</v>
      </c>
      <c r="K407" t="str">
        <f>Orders!K407</f>
        <v>Pune</v>
      </c>
      <c r="L407" t="str">
        <f>IFERROR(VLOOKUP(D407,Products!$A$2:$F$61,3,FALSE),"")</f>
        <v>Sports</v>
      </c>
      <c r="M407">
        <f>IFERROR(VLOOKUP(D407,Products!$A$2:$F$61,4,FALSE),"")</f>
        <v>2028</v>
      </c>
      <c r="N407" t="str">
        <f>IFERROR(VLOOKUP(E407,Sales_Reps!$A$2:$E$31,3,FALSE),"")</f>
        <v>East</v>
      </c>
      <c r="O407" t="str">
        <f>IFERROR(VLOOKUP(C407,Customers!$A$2:$F$301,5,FALSE),"")</f>
        <v>Retail</v>
      </c>
      <c r="P407">
        <f>IFERROR(VLOOKUP(C407,Customers!$A$2:$F$301,3,FALSE),"")</f>
        <v>36</v>
      </c>
      <c r="Q407" s="41">
        <f t="shared" si="15"/>
        <v>0.29090909090909089</v>
      </c>
      <c r="R407" t="str">
        <f>IFERROR(VLOOKUP(C407,Customers!$A$2:$F$301,1,FALSE),"")</f>
        <v>CUST-0093</v>
      </c>
      <c r="S407" s="27" t="b">
        <f>IFERROR(VLOOKUP(D407,Products!$A$2:$F$61,6,FALSE),"")</f>
        <v>1</v>
      </c>
      <c r="BL407">
        <v>0</v>
      </c>
      <c r="BO407">
        <v>0</v>
      </c>
      <c r="BP407">
        <v>0</v>
      </c>
    </row>
    <row r="408" spans="1:68" x14ac:dyDescent="0.35">
      <c r="A408" s="26" t="str">
        <f>Orders!A408</f>
        <v>ORD-00407</v>
      </c>
      <c r="B408" s="33">
        <f>Orders!B408</f>
        <v>45591</v>
      </c>
      <c r="C408" t="str">
        <f>Orders!C408</f>
        <v>CUST-0033</v>
      </c>
      <c r="D408" t="str">
        <f>Orders!D408</f>
        <v>PROD-009</v>
      </c>
      <c r="E408" t="str">
        <f>Orders!E408</f>
        <v>R007</v>
      </c>
      <c r="F408">
        <f>Orders!F408</f>
        <v>7</v>
      </c>
      <c r="G408" s="35">
        <f>Orders!G408</f>
        <v>1220</v>
      </c>
      <c r="H408" s="37">
        <f>Orders!H408</f>
        <v>23.5</v>
      </c>
      <c r="I408" s="39">
        <f>Orders!I408</f>
        <v>6533.1</v>
      </c>
      <c r="J408" t="str">
        <f>Orders!J408</f>
        <v>Refunded</v>
      </c>
      <c r="K408" t="str">
        <f>Orders!K408</f>
        <v>Delhi</v>
      </c>
      <c r="L408" t="str">
        <f>IFERROR(VLOOKUP(D408,Products!$A$2:$F$61,3,FALSE),"")</f>
        <v>Electronics</v>
      </c>
      <c r="M408">
        <f>IFERROR(VLOOKUP(D408,Products!$A$2:$F$61,4,FALSE),"")</f>
        <v>517</v>
      </c>
      <c r="N408" t="str">
        <f>IFERROR(VLOOKUP(E408,Sales_Reps!$A$2:$E$31,3,FALSE),"")</f>
        <v>North</v>
      </c>
      <c r="O408" t="str">
        <f>IFERROR(VLOOKUP(C408,Customers!$A$2:$F$301,5,FALSE),"")</f>
        <v>Retail</v>
      </c>
      <c r="P408">
        <f>IFERROR(VLOOKUP(C408,Customers!$A$2:$F$301,3,FALSE),"")</f>
        <v>35</v>
      </c>
      <c r="Q408" s="41">
        <f t="shared" si="15"/>
        <v>0.57622950819672136</v>
      </c>
      <c r="R408" t="str">
        <f>IFERROR(VLOOKUP(C408,Customers!$A$2:$F$301,1,FALSE),"")</f>
        <v>CUST-0033</v>
      </c>
      <c r="S408" s="27" t="b">
        <f>IFERROR(VLOOKUP(D408,Products!$A$2:$F$61,6,FALSE),"")</f>
        <v>1</v>
      </c>
      <c r="BL408">
        <v>0</v>
      </c>
      <c r="BO408">
        <v>0</v>
      </c>
      <c r="BP408">
        <v>0</v>
      </c>
    </row>
    <row r="409" spans="1:68" x14ac:dyDescent="0.35">
      <c r="A409" s="26" t="str">
        <f>Orders!A409</f>
        <v>ORD-00408</v>
      </c>
      <c r="B409" s="33">
        <f>Orders!B409</f>
        <v>45584</v>
      </c>
      <c r="C409" t="str">
        <f>Orders!C409</f>
        <v>CUST-0294</v>
      </c>
      <c r="D409" t="str">
        <f>Orders!D409</f>
        <v>PROD-022</v>
      </c>
      <c r="E409" t="str">
        <f>Orders!E409</f>
        <v>R026</v>
      </c>
      <c r="F409">
        <f>Orders!F409</f>
        <v>1</v>
      </c>
      <c r="G409" s="35">
        <f>Orders!G409</f>
        <v>2270</v>
      </c>
      <c r="H409" s="37">
        <f>Orders!H409</f>
        <v>5.8</v>
      </c>
      <c r="I409" s="39">
        <f>Orders!I409</f>
        <v>2138.34</v>
      </c>
      <c r="J409" t="str">
        <f>Orders!J409</f>
        <v>Cancelled</v>
      </c>
      <c r="K409" t="str">
        <f>Orders!K409</f>
        <v>Delhi</v>
      </c>
      <c r="L409" t="str">
        <f>IFERROR(VLOOKUP(D409,Products!$A$2:$F$61,3,FALSE),"")</f>
        <v>Grocery</v>
      </c>
      <c r="M409">
        <f>IFERROR(VLOOKUP(D409,Products!$A$2:$F$61,4,FALSE),"")</f>
        <v>1412</v>
      </c>
      <c r="N409" t="str">
        <f>IFERROR(VLOOKUP(E409,Sales_Reps!$A$2:$E$31,3,FALSE),"")</f>
        <v>West</v>
      </c>
      <c r="O409" t="str">
        <f>IFERROR(VLOOKUP(C409,Customers!$A$2:$F$301,5,FALSE),"")</f>
        <v>Corporate</v>
      </c>
      <c r="P409">
        <f>IFERROR(VLOOKUP(C409,Customers!$A$2:$F$301,3,FALSE),"")</f>
        <v>31</v>
      </c>
      <c r="Q409" s="41">
        <f t="shared" si="15"/>
        <v>0.37797356828193834</v>
      </c>
      <c r="R409" t="str">
        <f>IFERROR(VLOOKUP(C409,Customers!$A$2:$F$301,1,FALSE),"")</f>
        <v>CUST-0294</v>
      </c>
      <c r="S409" s="27" t="b">
        <f>IFERROR(VLOOKUP(D409,Products!$A$2:$F$61,6,FALSE),"")</f>
        <v>1</v>
      </c>
      <c r="BL409">
        <v>0</v>
      </c>
      <c r="BO409">
        <v>0</v>
      </c>
      <c r="BP409">
        <v>0</v>
      </c>
    </row>
    <row r="410" spans="1:68" x14ac:dyDescent="0.35">
      <c r="A410" s="26" t="str">
        <f>Orders!A410</f>
        <v>ORD-00409</v>
      </c>
      <c r="B410" s="33">
        <f>Orders!B410</f>
        <v>45581</v>
      </c>
      <c r="C410" t="str">
        <f>Orders!C410</f>
        <v>CUST-0115</v>
      </c>
      <c r="D410" t="str">
        <f>Orders!D410</f>
        <v>PROD-037</v>
      </c>
      <c r="E410" t="str">
        <f>Orders!E410</f>
        <v>R002</v>
      </c>
      <c r="F410">
        <f>Orders!F410</f>
        <v>2</v>
      </c>
      <c r="G410" s="35">
        <f>Orders!G410</f>
        <v>660</v>
      </c>
      <c r="H410" s="37">
        <f>Orders!H410</f>
        <v>2.2999999999999998</v>
      </c>
      <c r="I410" s="39">
        <f>Orders!I410</f>
        <v>1289.6400000000001</v>
      </c>
      <c r="J410" t="str">
        <f>Orders!J410</f>
        <v>Completed</v>
      </c>
      <c r="K410" t="str">
        <f>Orders!K410</f>
        <v>Mumbai</v>
      </c>
      <c r="L410" t="str">
        <f>IFERROR(VLOOKUP(D410,Products!$A$2:$F$61,3,FALSE),"")</f>
        <v>Home</v>
      </c>
      <c r="M410">
        <f>IFERROR(VLOOKUP(D410,Products!$A$2:$F$61,4,FALSE),"")</f>
        <v>329</v>
      </c>
      <c r="N410" t="str">
        <f>IFERROR(VLOOKUP(E410,Sales_Reps!$A$2:$E$31,3,FALSE),"")</f>
        <v>North</v>
      </c>
      <c r="O410" t="str">
        <f>IFERROR(VLOOKUP(C410,Customers!$A$2:$F$301,5,FALSE),"")</f>
        <v>SMB</v>
      </c>
      <c r="P410">
        <f>IFERROR(VLOOKUP(C410,Customers!$A$2:$F$301,3,FALSE),"")</f>
        <v>65</v>
      </c>
      <c r="Q410" s="41">
        <f t="shared" si="15"/>
        <v>0.50151515151515147</v>
      </c>
      <c r="R410" t="str">
        <f>IFERROR(VLOOKUP(C410,Customers!$A$2:$F$301,1,FALSE),"")</f>
        <v>CUST-0115</v>
      </c>
      <c r="S410" s="27" t="b">
        <f>IFERROR(VLOOKUP(D410,Products!$A$2:$F$61,6,FALSE),"")</f>
        <v>1</v>
      </c>
      <c r="BL410">
        <v>0</v>
      </c>
      <c r="BO410">
        <v>0</v>
      </c>
      <c r="BP410">
        <v>0</v>
      </c>
    </row>
    <row r="411" spans="1:68" x14ac:dyDescent="0.35">
      <c r="A411" s="26" t="str">
        <f>Orders!A411</f>
        <v>ORD-00410</v>
      </c>
      <c r="B411" s="33">
        <f>Orders!B411</f>
        <v>45441</v>
      </c>
      <c r="C411" t="str">
        <f>Orders!C411</f>
        <v>CUST-0219</v>
      </c>
      <c r="D411" t="str">
        <f>Orders!D411</f>
        <v>PROD-012</v>
      </c>
      <c r="E411" t="str">
        <f>Orders!E411</f>
        <v>R014</v>
      </c>
      <c r="F411">
        <f>Orders!F411</f>
        <v>1</v>
      </c>
      <c r="G411" s="35">
        <f>Orders!G411</f>
        <v>3160</v>
      </c>
      <c r="H411" s="37">
        <f>Orders!H411</f>
        <v>5.6</v>
      </c>
      <c r="I411" s="39">
        <f>Orders!I411</f>
        <v>2983.04</v>
      </c>
      <c r="J411" t="str">
        <f>Orders!J411</f>
        <v>Completed</v>
      </c>
      <c r="K411" t="str">
        <f>Orders!K411</f>
        <v>Chennai</v>
      </c>
      <c r="L411" t="str">
        <f>IFERROR(VLOOKUP(D411,Products!$A$2:$F$61,3,FALSE),"")</f>
        <v>Apparel</v>
      </c>
      <c r="M411">
        <f>IFERROR(VLOOKUP(D411,Products!$A$2:$F$61,4,FALSE),"")</f>
        <v>1886</v>
      </c>
      <c r="N411" t="str">
        <f>IFERROR(VLOOKUP(E411,Sales_Reps!$A$2:$E$31,3,FALSE),"")</f>
        <v>South</v>
      </c>
      <c r="O411" t="str">
        <f>IFERROR(VLOOKUP(C411,Customers!$A$2:$F$301,5,FALSE),"")</f>
        <v>Corporate</v>
      </c>
      <c r="P411">
        <f>IFERROR(VLOOKUP(C411,Customers!$A$2:$F$301,3,FALSE),"")</f>
        <v>38</v>
      </c>
      <c r="Q411" s="41">
        <f t="shared" si="15"/>
        <v>0.4031645569620253</v>
      </c>
      <c r="R411" t="str">
        <f>IFERROR(VLOOKUP(C411,Customers!$A$2:$F$301,1,FALSE),"")</f>
        <v>CUST-0219</v>
      </c>
      <c r="S411" s="27" t="b">
        <f>IFERROR(VLOOKUP(D411,Products!$A$2:$F$61,6,FALSE),"")</f>
        <v>1</v>
      </c>
      <c r="BL411">
        <v>0</v>
      </c>
      <c r="BO411">
        <v>0</v>
      </c>
      <c r="BP411">
        <v>0</v>
      </c>
    </row>
    <row r="412" spans="1:68" x14ac:dyDescent="0.35">
      <c r="A412" s="26" t="str">
        <f>Orders!A412</f>
        <v>ORD-00411</v>
      </c>
      <c r="B412" s="33">
        <f>Orders!B412</f>
        <v>45408</v>
      </c>
      <c r="C412" t="str">
        <f>Orders!C412</f>
        <v>CUST-0180</v>
      </c>
      <c r="D412" t="str">
        <f>Orders!D412</f>
        <v>PROD-002</v>
      </c>
      <c r="E412" t="str">
        <f>Orders!E412</f>
        <v>R013</v>
      </c>
      <c r="F412">
        <f>Orders!F412</f>
        <v>1</v>
      </c>
      <c r="G412" s="35">
        <f>Orders!G412</f>
        <v>2600</v>
      </c>
      <c r="H412" s="37">
        <f>Orders!H412</f>
        <v>1</v>
      </c>
      <c r="I412" s="39">
        <f>Orders!I412</f>
        <v>2574</v>
      </c>
      <c r="J412" t="str">
        <f>Orders!J412</f>
        <v>Completed</v>
      </c>
      <c r="K412" t="str">
        <f>Orders!K412</f>
        <v>Chennai</v>
      </c>
      <c r="L412" t="str">
        <f>IFERROR(VLOOKUP(D412,Products!$A$2:$F$61,3,FALSE),"")</f>
        <v>Electronics</v>
      </c>
      <c r="M412">
        <f>IFERROR(VLOOKUP(D412,Products!$A$2:$F$61,4,FALSE),"")</f>
        <v>1052</v>
      </c>
      <c r="N412" t="str">
        <f>IFERROR(VLOOKUP(E412,Sales_Reps!$A$2:$E$31,3,FALSE),"")</f>
        <v>South</v>
      </c>
      <c r="O412" t="str">
        <f>IFERROR(VLOOKUP(C412,Customers!$A$2:$F$301,5,FALSE),"")</f>
        <v>Retail</v>
      </c>
      <c r="P412">
        <f>IFERROR(VLOOKUP(C412,Customers!$A$2:$F$301,3,FALSE),"")</f>
        <v>36</v>
      </c>
      <c r="Q412" s="41">
        <f t="shared" si="15"/>
        <v>0.5953846153846154</v>
      </c>
      <c r="R412" t="str">
        <f>IFERROR(VLOOKUP(C412,Customers!$A$2:$F$301,1,FALSE),"")</f>
        <v>CUST-0180</v>
      </c>
      <c r="S412" s="27" t="b">
        <f>IFERROR(VLOOKUP(D412,Products!$A$2:$F$61,6,FALSE),"")</f>
        <v>1</v>
      </c>
      <c r="BL412">
        <v>0</v>
      </c>
      <c r="BO412">
        <v>0</v>
      </c>
      <c r="BP412">
        <v>0</v>
      </c>
    </row>
    <row r="413" spans="1:68" x14ac:dyDescent="0.35">
      <c r="A413" s="26" t="str">
        <f>Orders!A413</f>
        <v>ORD-00412</v>
      </c>
      <c r="B413" s="33">
        <f>Orders!B413</f>
        <v>45515</v>
      </c>
      <c r="C413" t="str">
        <f>Orders!C413</f>
        <v>CUST-0148</v>
      </c>
      <c r="D413" t="str">
        <f>Orders!D413</f>
        <v>PROD-039</v>
      </c>
      <c r="E413" t="str">
        <f>Orders!E413</f>
        <v>R014</v>
      </c>
      <c r="F413">
        <f>Orders!F413</f>
        <v>4</v>
      </c>
      <c r="G413" s="35">
        <f>Orders!G413</f>
        <v>4610</v>
      </c>
      <c r="H413" s="37">
        <f>Orders!H413</f>
        <v>18.7</v>
      </c>
      <c r="I413" s="39">
        <f>Orders!I413</f>
        <v>14991.72</v>
      </c>
      <c r="J413" t="str">
        <f>Orders!J413</f>
        <v>Completed</v>
      </c>
      <c r="K413" t="str">
        <f>Orders!K413</f>
        <v>Chennai</v>
      </c>
      <c r="L413" t="str">
        <f>IFERROR(VLOOKUP(D413,Products!$A$2:$F$61,3,FALSE),"")</f>
        <v>Home</v>
      </c>
      <c r="M413">
        <f>IFERROR(VLOOKUP(D413,Products!$A$2:$F$61,4,FALSE),"")</f>
        <v>1850</v>
      </c>
      <c r="N413" t="str">
        <f>IFERROR(VLOOKUP(E413,Sales_Reps!$A$2:$E$31,3,FALSE),"")</f>
        <v>South</v>
      </c>
      <c r="O413" t="str">
        <f>IFERROR(VLOOKUP(C413,Customers!$A$2:$F$301,5,FALSE),"")</f>
        <v>Retail</v>
      </c>
      <c r="P413">
        <f>IFERROR(VLOOKUP(C413,Customers!$A$2:$F$301,3,FALSE),"")</f>
        <v>32</v>
      </c>
      <c r="Q413" s="41">
        <f t="shared" si="15"/>
        <v>0.59869848156182215</v>
      </c>
      <c r="R413" t="str">
        <f>IFERROR(VLOOKUP(C413,Customers!$A$2:$F$301,1,FALSE),"")</f>
        <v>CUST-0148</v>
      </c>
      <c r="S413" s="27" t="b">
        <f>IFERROR(VLOOKUP(D413,Products!$A$2:$F$61,6,FALSE),"")</f>
        <v>1</v>
      </c>
      <c r="BL413">
        <v>0</v>
      </c>
      <c r="BO413">
        <v>0</v>
      </c>
      <c r="BP413">
        <v>0</v>
      </c>
    </row>
    <row r="414" spans="1:68" x14ac:dyDescent="0.35">
      <c r="A414" s="26" t="str">
        <f>Orders!A414</f>
        <v>ORD-00413</v>
      </c>
      <c r="B414" s="33">
        <f>Orders!B414</f>
        <v>45412</v>
      </c>
      <c r="C414" t="str">
        <f>Orders!C414</f>
        <v>CUST-0026</v>
      </c>
      <c r="D414" t="str">
        <f>Orders!D414</f>
        <v>PROD-013</v>
      </c>
      <c r="E414" t="str">
        <f>Orders!E414</f>
        <v>R018</v>
      </c>
      <c r="F414">
        <f>Orders!F414</f>
        <v>3</v>
      </c>
      <c r="G414" s="35">
        <f>Orders!G414</f>
        <v>3640</v>
      </c>
      <c r="H414" s="37">
        <f>Orders!H414</f>
        <v>9.6999999999999993</v>
      </c>
      <c r="I414" s="39">
        <f>Orders!I414</f>
        <v>9860.76</v>
      </c>
      <c r="J414" t="str">
        <f>Orders!J414</f>
        <v>Cancelled</v>
      </c>
      <c r="K414" t="str">
        <f>Orders!K414</f>
        <v>Pune</v>
      </c>
      <c r="L414" t="str">
        <f>IFERROR(VLOOKUP(D414,Products!$A$2:$F$61,3,FALSE),"")</f>
        <v>Apparel</v>
      </c>
      <c r="M414">
        <f>IFERROR(VLOOKUP(D414,Products!$A$2:$F$61,4,FALSE),"")</f>
        <v>2611</v>
      </c>
      <c r="N414" t="str">
        <f>IFERROR(VLOOKUP(E414,Sales_Reps!$A$2:$E$31,3,FALSE),"")</f>
        <v>East</v>
      </c>
      <c r="O414" t="str">
        <f>IFERROR(VLOOKUP(C414,Customers!$A$2:$F$301,5,FALSE),"")</f>
        <v>Retail</v>
      </c>
      <c r="P414">
        <f>IFERROR(VLOOKUP(C414,Customers!$A$2:$F$301,3,FALSE),"")</f>
        <v>62</v>
      </c>
      <c r="Q414" s="41">
        <f t="shared" si="15"/>
        <v>0.28269230769230769</v>
      </c>
      <c r="R414" t="str">
        <f>IFERROR(VLOOKUP(C414,Customers!$A$2:$F$301,1,FALSE),"")</f>
        <v>CUST-0026</v>
      </c>
      <c r="S414" s="27" t="b">
        <f>IFERROR(VLOOKUP(D414,Products!$A$2:$F$61,6,FALSE),"")</f>
        <v>1</v>
      </c>
      <c r="BL414">
        <v>0</v>
      </c>
      <c r="BO414">
        <v>0</v>
      </c>
      <c r="BP414">
        <v>0</v>
      </c>
    </row>
    <row r="415" spans="1:68" x14ac:dyDescent="0.35">
      <c r="A415" s="26" t="str">
        <f>Orders!A415</f>
        <v>ORD-00414</v>
      </c>
      <c r="B415" s="33">
        <f>Orders!B415</f>
        <v>45448</v>
      </c>
      <c r="C415" t="str">
        <f>Orders!C415</f>
        <v>CUST-0246</v>
      </c>
      <c r="D415" t="str">
        <f>Orders!D415</f>
        <v>PROD-015</v>
      </c>
      <c r="E415" t="str">
        <f>Orders!E415</f>
        <v>R004</v>
      </c>
      <c r="F415">
        <f>Orders!F415</f>
        <v>6</v>
      </c>
      <c r="G415" s="35">
        <f>Orders!G415</f>
        <v>2720</v>
      </c>
      <c r="H415" s="37">
        <f>Orders!H415</f>
        <v>13</v>
      </c>
      <c r="I415" s="39">
        <f>Orders!I415</f>
        <v>14198.4</v>
      </c>
      <c r="J415" t="str">
        <f>Orders!J415</f>
        <v>Pending</v>
      </c>
      <c r="K415" t="str">
        <f>Orders!K415</f>
        <v>Delhi</v>
      </c>
      <c r="L415" t="str">
        <f>IFERROR(VLOOKUP(D415,Products!$A$2:$F$61,3,FALSE),"")</f>
        <v>Apparel</v>
      </c>
      <c r="M415">
        <f>IFERROR(VLOOKUP(D415,Products!$A$2:$F$61,4,FALSE),"")</f>
        <v>1962</v>
      </c>
      <c r="N415" t="str">
        <f>IFERROR(VLOOKUP(E415,Sales_Reps!$A$2:$E$31,3,FALSE),"")</f>
        <v>North</v>
      </c>
      <c r="O415" t="str">
        <f>IFERROR(VLOOKUP(C415,Customers!$A$2:$F$301,5,FALSE),"")</f>
        <v>SMB</v>
      </c>
      <c r="P415">
        <f>IFERROR(VLOOKUP(C415,Customers!$A$2:$F$301,3,FALSE),"")</f>
        <v>29</v>
      </c>
      <c r="Q415" s="41">
        <f t="shared" si="15"/>
        <v>0.2786764705882353</v>
      </c>
      <c r="R415" t="str">
        <f>IFERROR(VLOOKUP(C415,Customers!$A$2:$F$301,1,FALSE),"")</f>
        <v>CUST-0246</v>
      </c>
      <c r="S415" s="27" t="b">
        <f>IFERROR(VLOOKUP(D415,Products!$A$2:$F$61,6,FALSE),"")</f>
        <v>1</v>
      </c>
      <c r="BL415">
        <v>0</v>
      </c>
      <c r="BO415">
        <v>0</v>
      </c>
      <c r="BP415">
        <v>0</v>
      </c>
    </row>
    <row r="416" spans="1:68" x14ac:dyDescent="0.35">
      <c r="A416" s="26" t="str">
        <f>Orders!A416</f>
        <v>ORD-00415</v>
      </c>
      <c r="B416" s="33">
        <f>Orders!B416</f>
        <v>45644</v>
      </c>
      <c r="C416" t="str">
        <f>Orders!C416</f>
        <v>CUST-0125</v>
      </c>
      <c r="D416" t="str">
        <f>Orders!D416</f>
        <v>PROD-059</v>
      </c>
      <c r="E416" t="str">
        <f>Orders!E416</f>
        <v>R008</v>
      </c>
      <c r="F416">
        <f>Orders!F416</f>
        <v>5</v>
      </c>
      <c r="G416" s="35">
        <f>Orders!G416</f>
        <v>3780</v>
      </c>
      <c r="H416" s="37">
        <f>Orders!H416</f>
        <v>15.2</v>
      </c>
      <c r="I416" s="39">
        <f>Orders!I416</f>
        <v>16027.2</v>
      </c>
      <c r="J416" t="str">
        <f>Orders!J416</f>
        <v>Completed</v>
      </c>
      <c r="K416" t="str">
        <f>Orders!K416</f>
        <v>Delhi</v>
      </c>
      <c r="L416" t="str">
        <f>IFERROR(VLOOKUP(D416,Products!$A$2:$F$61,3,FALSE),"")</f>
        <v>Sports</v>
      </c>
      <c r="M416">
        <f>IFERROR(VLOOKUP(D416,Products!$A$2:$F$61,4,FALSE),"")</f>
        <v>1860</v>
      </c>
      <c r="N416" t="str">
        <f>IFERROR(VLOOKUP(E416,Sales_Reps!$A$2:$E$31,3,FALSE),"")</f>
        <v>North</v>
      </c>
      <c r="O416" t="str">
        <f>IFERROR(VLOOKUP(C416,Customers!$A$2:$F$301,5,FALSE),"")</f>
        <v>Retail</v>
      </c>
      <c r="P416">
        <f>IFERROR(VLOOKUP(C416,Customers!$A$2:$F$301,3,FALSE),"")</f>
        <v>45</v>
      </c>
      <c r="Q416" s="41">
        <f t="shared" si="15"/>
        <v>0.50793650793650791</v>
      </c>
      <c r="R416" t="str">
        <f>IFERROR(VLOOKUP(C416,Customers!$A$2:$F$301,1,FALSE),"")</f>
        <v>CUST-0125</v>
      </c>
      <c r="S416" s="27" t="b">
        <f>IFERROR(VLOOKUP(D416,Products!$A$2:$F$61,6,FALSE),"")</f>
        <v>1</v>
      </c>
      <c r="BL416">
        <v>0</v>
      </c>
      <c r="BO416">
        <v>0</v>
      </c>
      <c r="BP416">
        <v>0</v>
      </c>
    </row>
    <row r="417" spans="1:68" x14ac:dyDescent="0.35">
      <c r="A417" s="26" t="str">
        <f>Orders!A417</f>
        <v>ORD-00416</v>
      </c>
      <c r="B417" s="33">
        <f>Orders!B417</f>
        <v>45407</v>
      </c>
      <c r="C417" t="str">
        <f>Orders!C417</f>
        <v>CUST-0190</v>
      </c>
      <c r="D417" t="str">
        <f>Orders!D417</f>
        <v>PROD-035</v>
      </c>
      <c r="E417" t="str">
        <f>Orders!E417</f>
        <v>R030</v>
      </c>
      <c r="F417">
        <f>Orders!F417</f>
        <v>9</v>
      </c>
      <c r="G417" s="35">
        <f>Orders!G417</f>
        <v>1090</v>
      </c>
      <c r="H417" s="37">
        <f>Orders!H417</f>
        <v>28.5</v>
      </c>
      <c r="I417" s="39">
        <f>Orders!I417</f>
        <v>7014.15</v>
      </c>
      <c r="J417" t="str">
        <f>Orders!J417</f>
        <v>Completed</v>
      </c>
      <c r="K417" t="str">
        <f>Orders!K417</f>
        <v>Hyderabad</v>
      </c>
      <c r="L417" t="str">
        <f>IFERROR(VLOOKUP(D417,Products!$A$2:$F$61,3,FALSE),"")</f>
        <v>Home</v>
      </c>
      <c r="M417">
        <f>IFERROR(VLOOKUP(D417,Products!$A$2:$F$61,4,FALSE),"")</f>
        <v>464</v>
      </c>
      <c r="N417" t="str">
        <f>IFERROR(VLOOKUP(E417,Sales_Reps!$A$2:$E$31,3,FALSE),"")</f>
        <v>West</v>
      </c>
      <c r="O417" t="str">
        <f>IFERROR(VLOOKUP(C417,Customers!$A$2:$F$301,5,FALSE),"")</f>
        <v>Retail</v>
      </c>
      <c r="P417">
        <f>IFERROR(VLOOKUP(C417,Customers!$A$2:$F$301,3,FALSE),"")</f>
        <v>52</v>
      </c>
      <c r="Q417" s="41">
        <f t="shared" si="15"/>
        <v>0.57431192660550456</v>
      </c>
      <c r="R417" t="str">
        <f>IFERROR(VLOOKUP(C417,Customers!$A$2:$F$301,1,FALSE),"")</f>
        <v>CUST-0190</v>
      </c>
      <c r="S417" s="27" t="b">
        <f>IFERROR(VLOOKUP(D417,Products!$A$2:$F$61,6,FALSE),"")</f>
        <v>1</v>
      </c>
      <c r="BL417">
        <v>0</v>
      </c>
      <c r="BO417">
        <v>0</v>
      </c>
      <c r="BP417">
        <v>0</v>
      </c>
    </row>
    <row r="418" spans="1:68" x14ac:dyDescent="0.35">
      <c r="A418" s="26" t="str">
        <f>Orders!A418</f>
        <v>ORD-00417</v>
      </c>
      <c r="B418" s="33">
        <f>Orders!B418</f>
        <v>45581</v>
      </c>
      <c r="C418" t="str">
        <f>Orders!C418</f>
        <v>CUST-0085</v>
      </c>
      <c r="D418" t="str">
        <f>Orders!D418</f>
        <v>PROD-035</v>
      </c>
      <c r="E418" t="str">
        <f>Orders!E418</f>
        <v>R028</v>
      </c>
      <c r="F418">
        <f>Orders!F418</f>
        <v>6</v>
      </c>
      <c r="G418" s="35">
        <f>Orders!G418</f>
        <v>1090</v>
      </c>
      <c r="H418" s="37">
        <f>Orders!H418</f>
        <v>28.7</v>
      </c>
      <c r="I418" s="39">
        <f>Orders!I418</f>
        <v>4663.0200000000004</v>
      </c>
      <c r="J418" t="str">
        <f>Orders!J418</f>
        <v>Completed</v>
      </c>
      <c r="K418" t="str">
        <f>Orders!K418</f>
        <v>Chennai</v>
      </c>
      <c r="L418" t="str">
        <f>IFERROR(VLOOKUP(D418,Products!$A$2:$F$61,3,FALSE),"")</f>
        <v>Home</v>
      </c>
      <c r="M418">
        <f>IFERROR(VLOOKUP(D418,Products!$A$2:$F$61,4,FALSE),"")</f>
        <v>464</v>
      </c>
      <c r="N418" t="str">
        <f>IFERROR(VLOOKUP(E418,Sales_Reps!$A$2:$E$31,3,FALSE),"")</f>
        <v>West</v>
      </c>
      <c r="O418" t="str">
        <f>IFERROR(VLOOKUP(C418,Customers!$A$2:$F$301,5,FALSE),"")</f>
        <v>Retail</v>
      </c>
      <c r="P418">
        <f>IFERROR(VLOOKUP(C418,Customers!$A$2:$F$301,3,FALSE),"")</f>
        <v>26</v>
      </c>
      <c r="Q418" s="41">
        <f t="shared" si="15"/>
        <v>0.57431192660550456</v>
      </c>
      <c r="R418" t="str">
        <f>IFERROR(VLOOKUP(C418,Customers!$A$2:$F$301,1,FALSE),"")</f>
        <v>CUST-0085</v>
      </c>
      <c r="S418" s="27" t="b">
        <f>IFERROR(VLOOKUP(D418,Products!$A$2:$F$61,6,FALSE),"")</f>
        <v>1</v>
      </c>
      <c r="BL418">
        <v>0</v>
      </c>
      <c r="BO418">
        <v>0</v>
      </c>
      <c r="BP418">
        <v>0</v>
      </c>
    </row>
    <row r="419" spans="1:68" x14ac:dyDescent="0.35">
      <c r="A419" s="26" t="str">
        <f>Orders!A419</f>
        <v>ORD-00418</v>
      </c>
      <c r="B419" s="33">
        <f>Orders!B419</f>
        <v>45366</v>
      </c>
      <c r="C419" t="str">
        <f>Orders!C419</f>
        <v>CUST-0249</v>
      </c>
      <c r="D419" t="str">
        <f>Orders!D419</f>
        <v>PROD-017</v>
      </c>
      <c r="E419" t="str">
        <f>Orders!E419</f>
        <v>R030</v>
      </c>
      <c r="F419">
        <f>Orders!F419</f>
        <v>5</v>
      </c>
      <c r="G419" s="35">
        <f>Orders!G419</f>
        <v>2510</v>
      </c>
      <c r="H419" s="37">
        <f>Orders!H419</f>
        <v>25</v>
      </c>
      <c r="I419" s="39">
        <f>Orders!I419</f>
        <v>9412.5</v>
      </c>
      <c r="J419" t="str">
        <f>Orders!J419</f>
        <v>Completed</v>
      </c>
      <c r="K419" t="str">
        <f>Orders!K419</f>
        <v>Mumbai</v>
      </c>
      <c r="L419" t="str">
        <f>IFERROR(VLOOKUP(D419,Products!$A$2:$F$61,3,FALSE),"")</f>
        <v>Apparel</v>
      </c>
      <c r="M419">
        <f>IFERROR(VLOOKUP(D419,Products!$A$2:$F$61,4,FALSE),"")</f>
        <v>1075</v>
      </c>
      <c r="N419" t="str">
        <f>IFERROR(VLOOKUP(E419,Sales_Reps!$A$2:$E$31,3,FALSE),"")</f>
        <v>West</v>
      </c>
      <c r="O419" t="str">
        <f>IFERROR(VLOOKUP(C419,Customers!$A$2:$F$301,5,FALSE),"")</f>
        <v>Retail</v>
      </c>
      <c r="P419">
        <f>IFERROR(VLOOKUP(C419,Customers!$A$2:$F$301,3,FALSE),"")</f>
        <v>44</v>
      </c>
      <c r="Q419" s="41">
        <f t="shared" si="15"/>
        <v>0.57171314741035861</v>
      </c>
      <c r="R419" t="str">
        <f>IFERROR(VLOOKUP(C419,Customers!$A$2:$F$301,1,FALSE),"")</f>
        <v>CUST-0249</v>
      </c>
      <c r="S419" s="27" t="b">
        <f>IFERROR(VLOOKUP(D419,Products!$A$2:$F$61,6,FALSE),"")</f>
        <v>0</v>
      </c>
      <c r="BL419">
        <v>0</v>
      </c>
      <c r="BO419">
        <v>0</v>
      </c>
      <c r="BP419">
        <v>1</v>
      </c>
    </row>
    <row r="420" spans="1:68" x14ac:dyDescent="0.35">
      <c r="A420" s="26" t="str">
        <f>Orders!A420</f>
        <v>ORD-00419</v>
      </c>
      <c r="B420" s="33">
        <f>Orders!B420</f>
        <v>45577</v>
      </c>
      <c r="C420" t="str">
        <f>Orders!C420</f>
        <v>CUST-0012</v>
      </c>
      <c r="D420" t="str">
        <f>Orders!D420</f>
        <v>PROD-006</v>
      </c>
      <c r="E420" t="str">
        <f>Orders!E420</f>
        <v>R010</v>
      </c>
      <c r="F420">
        <f>Orders!F420</f>
        <v>5</v>
      </c>
      <c r="G420" s="35">
        <f>Orders!G420</f>
        <v>3970</v>
      </c>
      <c r="H420" s="37">
        <f>Orders!H420</f>
        <v>26</v>
      </c>
      <c r="I420" s="39">
        <f>Orders!I420</f>
        <v>14689</v>
      </c>
      <c r="J420" t="str">
        <f>Orders!J420</f>
        <v>Completed</v>
      </c>
      <c r="K420" t="str">
        <f>Orders!K420</f>
        <v>Pune</v>
      </c>
      <c r="L420" t="str">
        <f>IFERROR(VLOOKUP(D420,Products!$A$2:$F$61,3,FALSE),"")</f>
        <v>Electronics</v>
      </c>
      <c r="M420">
        <f>IFERROR(VLOOKUP(D420,Products!$A$2:$F$61,4,FALSE),"")</f>
        <v>2865</v>
      </c>
      <c r="N420" t="str">
        <f>IFERROR(VLOOKUP(E420,Sales_Reps!$A$2:$E$31,3,FALSE),"")</f>
        <v>South</v>
      </c>
      <c r="O420" t="str">
        <f>IFERROR(VLOOKUP(C420,Customers!$A$2:$F$301,5,FALSE),"")</f>
        <v>Retail</v>
      </c>
      <c r="P420">
        <f>IFERROR(VLOOKUP(C420,Customers!$A$2:$F$301,3,FALSE),"")</f>
        <v>43</v>
      </c>
      <c r="Q420" s="41">
        <f t="shared" si="15"/>
        <v>0.27833753148614609</v>
      </c>
      <c r="R420" t="str">
        <f>IFERROR(VLOOKUP(C420,Customers!$A$2:$F$301,1,FALSE),"")</f>
        <v>CUST-0012</v>
      </c>
      <c r="S420" s="27" t="b">
        <f>IFERROR(VLOOKUP(D420,Products!$A$2:$F$61,6,FALSE),"")</f>
        <v>1</v>
      </c>
      <c r="BL420">
        <v>0</v>
      </c>
      <c r="BO420">
        <v>0</v>
      </c>
      <c r="BP420">
        <v>0</v>
      </c>
    </row>
    <row r="421" spans="1:68" x14ac:dyDescent="0.35">
      <c r="A421" s="26" t="str">
        <f>Orders!A421</f>
        <v>ORD-00420</v>
      </c>
      <c r="B421" s="33">
        <f>Orders!B421</f>
        <v>45333</v>
      </c>
      <c r="C421" t="str">
        <f>Orders!C421</f>
        <v>CUST-0251</v>
      </c>
      <c r="D421" t="str">
        <f>Orders!D421</f>
        <v>PROD-026</v>
      </c>
      <c r="E421" t="str">
        <f>Orders!E421</f>
        <v>R001</v>
      </c>
      <c r="F421">
        <f>Orders!F421</f>
        <v>9</v>
      </c>
      <c r="G421" s="35">
        <f>Orders!G421</f>
        <v>4070</v>
      </c>
      <c r="H421" s="37">
        <f>Orders!H421</f>
        <v>15.7</v>
      </c>
      <c r="I421" s="39">
        <f>Orders!I421</f>
        <v>30879.09</v>
      </c>
      <c r="J421" t="str">
        <f>Orders!J421</f>
        <v>Completed</v>
      </c>
      <c r="K421" t="str">
        <f>Orders!K421</f>
        <v>Mumbai</v>
      </c>
      <c r="L421" t="str">
        <f>IFERROR(VLOOKUP(D421,Products!$A$2:$F$61,3,FALSE),"")</f>
        <v>Grocery</v>
      </c>
      <c r="M421">
        <f>IFERROR(VLOOKUP(D421,Products!$A$2:$F$61,4,FALSE),"")</f>
        <v>2027</v>
      </c>
      <c r="N421" t="str">
        <f>IFERROR(VLOOKUP(E421,Sales_Reps!$A$2:$E$31,3,FALSE),"")</f>
        <v>North</v>
      </c>
      <c r="O421" t="str">
        <f>IFERROR(VLOOKUP(C421,Customers!$A$2:$F$301,5,FALSE),"")</f>
        <v>Retail</v>
      </c>
      <c r="P421">
        <f>IFERROR(VLOOKUP(C421,Customers!$A$2:$F$301,3,FALSE),"")</f>
        <v>44</v>
      </c>
      <c r="Q421" s="41">
        <f t="shared" si="15"/>
        <v>0.50196560196560192</v>
      </c>
      <c r="R421" t="str">
        <f>IFERROR(VLOOKUP(C421,Customers!$A$2:$F$301,1,FALSE),"")</f>
        <v>CUST-0251</v>
      </c>
      <c r="S421" s="27" t="b">
        <f>IFERROR(VLOOKUP(D421,Products!$A$2:$F$61,6,FALSE),"")</f>
        <v>1</v>
      </c>
      <c r="BL421">
        <v>0</v>
      </c>
      <c r="BO421">
        <v>0</v>
      </c>
      <c r="BP421">
        <v>0</v>
      </c>
    </row>
    <row r="422" spans="1:68" x14ac:dyDescent="0.35">
      <c r="A422" s="26" t="str">
        <f>Orders!A422</f>
        <v>ORD-00421</v>
      </c>
      <c r="B422" s="33">
        <f>Orders!B422</f>
        <v>45418</v>
      </c>
      <c r="C422" t="str">
        <f>Orders!C422</f>
        <v>CUST-0088</v>
      </c>
      <c r="D422" t="str">
        <f>Orders!D422</f>
        <v>PROD-038</v>
      </c>
      <c r="E422" t="str">
        <f>Orders!E422</f>
        <v>R004</v>
      </c>
      <c r="F422">
        <f>Orders!F422</f>
        <v>6</v>
      </c>
      <c r="G422" s="35">
        <f>Orders!G422</f>
        <v>5490</v>
      </c>
      <c r="H422" s="37">
        <f>Orders!H422</f>
        <v>8.5</v>
      </c>
      <c r="I422" s="39">
        <f>Orders!I422</f>
        <v>30140.1</v>
      </c>
      <c r="J422" t="str">
        <f>Orders!J422</f>
        <v>Refunded</v>
      </c>
      <c r="K422" t="str">
        <f>Orders!K422</f>
        <v>Chennai</v>
      </c>
      <c r="L422" t="str">
        <f>IFERROR(VLOOKUP(D422,Products!$A$2:$F$61,3,FALSE),"")</f>
        <v>Home</v>
      </c>
      <c r="M422">
        <f>IFERROR(VLOOKUP(D422,Products!$A$2:$F$61,4,FALSE),"")</f>
        <v>2549</v>
      </c>
      <c r="N422" t="str">
        <f>IFERROR(VLOOKUP(E422,Sales_Reps!$A$2:$E$31,3,FALSE),"")</f>
        <v>North</v>
      </c>
      <c r="O422" t="str">
        <f>IFERROR(VLOOKUP(C422,Customers!$A$2:$F$301,5,FALSE),"")</f>
        <v>Retail</v>
      </c>
      <c r="P422">
        <f>IFERROR(VLOOKUP(C422,Customers!$A$2:$F$301,3,FALSE),"")</f>
        <v>24</v>
      </c>
      <c r="Q422" s="41">
        <f t="shared" si="15"/>
        <v>0.53570127504553733</v>
      </c>
      <c r="R422" t="str">
        <f>IFERROR(VLOOKUP(C422,Customers!$A$2:$F$301,1,FALSE),"")</f>
        <v>CUST-0088</v>
      </c>
      <c r="S422" s="27" t="b">
        <f>IFERROR(VLOOKUP(D422,Products!$A$2:$F$61,6,FALSE),"")</f>
        <v>1</v>
      </c>
      <c r="BL422">
        <v>0</v>
      </c>
      <c r="BO422">
        <v>0</v>
      </c>
      <c r="BP422">
        <v>0</v>
      </c>
    </row>
    <row r="423" spans="1:68" x14ac:dyDescent="0.35">
      <c r="A423" s="26" t="str">
        <f>Orders!A423</f>
        <v>ORD-00422</v>
      </c>
      <c r="B423" s="33">
        <f>Orders!B423</f>
        <v>45615</v>
      </c>
      <c r="C423" t="str">
        <f>Orders!C423</f>
        <v>CUST-0037</v>
      </c>
      <c r="D423" t="str">
        <f>Orders!D423</f>
        <v>PROD-054</v>
      </c>
      <c r="E423" t="str">
        <f>Orders!E423</f>
        <v>R022</v>
      </c>
      <c r="F423">
        <f>Orders!F423</f>
        <v>9</v>
      </c>
      <c r="G423" s="35">
        <f>Orders!G423</f>
        <v>1010</v>
      </c>
      <c r="H423" s="37">
        <f>Orders!H423</f>
        <v>3.6</v>
      </c>
      <c r="I423" s="39">
        <f>Orders!I423</f>
        <v>8762.76</v>
      </c>
      <c r="J423" t="str">
        <f>Orders!J423</f>
        <v>Completed</v>
      </c>
      <c r="K423" t="str">
        <f>Orders!K423</f>
        <v>Bengaluru</v>
      </c>
      <c r="L423" t="str">
        <f>IFERROR(VLOOKUP(D423,Products!$A$2:$F$61,3,FALSE),"")</f>
        <v>Sports</v>
      </c>
      <c r="M423">
        <f>IFERROR(VLOOKUP(D423,Products!$A$2:$F$61,4,FALSE),"")</f>
        <v>516</v>
      </c>
      <c r="N423" t="str">
        <f>IFERROR(VLOOKUP(E423,Sales_Reps!$A$2:$E$31,3,FALSE),"")</f>
        <v>East</v>
      </c>
      <c r="O423" t="str">
        <f>IFERROR(VLOOKUP(C423,Customers!$A$2:$F$301,5,FALSE),"")</f>
        <v>Retail</v>
      </c>
      <c r="P423">
        <f>IFERROR(VLOOKUP(C423,Customers!$A$2:$F$301,3,FALSE),"")</f>
        <v>52</v>
      </c>
      <c r="Q423" s="41">
        <f t="shared" si="15"/>
        <v>0.4891089108910891</v>
      </c>
      <c r="R423" t="str">
        <f>IFERROR(VLOOKUP(C423,Customers!$A$2:$F$301,1,FALSE),"")</f>
        <v>CUST-0037</v>
      </c>
      <c r="S423" s="27" t="b">
        <f>IFERROR(VLOOKUP(D423,Products!$A$2:$F$61,6,FALSE),"")</f>
        <v>1</v>
      </c>
      <c r="BL423">
        <v>0</v>
      </c>
      <c r="BO423">
        <v>0</v>
      </c>
      <c r="BP423">
        <v>0</v>
      </c>
    </row>
    <row r="424" spans="1:68" x14ac:dyDescent="0.35">
      <c r="A424" s="26" t="str">
        <f>Orders!A424</f>
        <v>ORD-00423</v>
      </c>
      <c r="B424" s="33">
        <f>Orders!B424</f>
        <v>45631</v>
      </c>
      <c r="C424" t="str">
        <f>Orders!C424</f>
        <v>CUST-0039</v>
      </c>
      <c r="D424" t="str">
        <f>Orders!D424</f>
        <v>PROD-028</v>
      </c>
      <c r="E424" t="str">
        <f>Orders!E424</f>
        <v>R008</v>
      </c>
      <c r="F424">
        <f>Orders!F424</f>
        <v>6</v>
      </c>
      <c r="G424" s="35">
        <f>Orders!G424</f>
        <v>3660</v>
      </c>
      <c r="H424" s="37">
        <f>Orders!H424</f>
        <v>10.8</v>
      </c>
      <c r="I424" s="39">
        <f>Orders!I424</f>
        <v>19588.32</v>
      </c>
      <c r="J424" t="str">
        <f>Orders!J424</f>
        <v>Completed</v>
      </c>
      <c r="K424" t="str">
        <f>Orders!K424</f>
        <v>Bengaluru</v>
      </c>
      <c r="L424" t="str">
        <f>IFERROR(VLOOKUP(D424,Products!$A$2:$F$61,3,FALSE),"")</f>
        <v>Grocery</v>
      </c>
      <c r="M424">
        <f>IFERROR(VLOOKUP(D424,Products!$A$2:$F$61,4,FALSE),"")</f>
        <v>2214</v>
      </c>
      <c r="N424" t="str">
        <f>IFERROR(VLOOKUP(E424,Sales_Reps!$A$2:$E$31,3,FALSE),"")</f>
        <v>North</v>
      </c>
      <c r="O424" t="str">
        <f>IFERROR(VLOOKUP(C424,Customers!$A$2:$F$301,5,FALSE),"")</f>
        <v>Retail</v>
      </c>
      <c r="P424">
        <f>IFERROR(VLOOKUP(C424,Customers!$A$2:$F$301,3,FALSE),"")</f>
        <v>37</v>
      </c>
      <c r="Q424" s="41">
        <f t="shared" si="15"/>
        <v>0.39508196721311473</v>
      </c>
      <c r="R424" t="str">
        <f>IFERROR(VLOOKUP(C424,Customers!$A$2:$F$301,1,FALSE),"")</f>
        <v>CUST-0039</v>
      </c>
      <c r="S424" s="27" t="b">
        <f>IFERROR(VLOOKUP(D424,Products!$A$2:$F$61,6,FALSE),"")</f>
        <v>0</v>
      </c>
      <c r="BL424">
        <v>0</v>
      </c>
      <c r="BO424">
        <v>0</v>
      </c>
      <c r="BP424">
        <v>1</v>
      </c>
    </row>
    <row r="425" spans="1:68" x14ac:dyDescent="0.35">
      <c r="A425" s="26" t="str">
        <f>Orders!A425</f>
        <v>ORD-00424</v>
      </c>
      <c r="B425" s="33">
        <f>Orders!B425</f>
        <v>45524</v>
      </c>
      <c r="C425" t="str">
        <f>Orders!C425</f>
        <v>CUST-0106</v>
      </c>
      <c r="D425" t="str">
        <f>Orders!D425</f>
        <v>PROD-047</v>
      </c>
      <c r="E425" t="str">
        <f>Orders!E425</f>
        <v>R016</v>
      </c>
      <c r="F425">
        <f>Orders!F425</f>
        <v>6</v>
      </c>
      <c r="G425" s="35">
        <f>Orders!G425</f>
        <v>3450</v>
      </c>
      <c r="H425" s="37">
        <f>Orders!H425</f>
        <v>10.7</v>
      </c>
      <c r="I425" s="39">
        <f>Orders!I425</f>
        <v>18485.099999999999</v>
      </c>
      <c r="J425" t="str">
        <f>Orders!J425</f>
        <v>Completed</v>
      </c>
      <c r="K425" t="str">
        <f>Orders!K425</f>
        <v>Pune</v>
      </c>
      <c r="L425" t="str">
        <f>IFERROR(VLOOKUP(D425,Products!$A$2:$F$61,3,FALSE),"")</f>
        <v>Beauty</v>
      </c>
      <c r="M425">
        <f>IFERROR(VLOOKUP(D425,Products!$A$2:$F$61,4,FALSE),"")</f>
        <v>2420</v>
      </c>
      <c r="N425" t="str">
        <f>IFERROR(VLOOKUP(E425,Sales_Reps!$A$2:$E$31,3,FALSE),"")</f>
        <v>South</v>
      </c>
      <c r="O425" t="str">
        <f>IFERROR(VLOOKUP(C425,Customers!$A$2:$F$301,5,FALSE),"")</f>
        <v>Retail</v>
      </c>
      <c r="P425">
        <f>IFERROR(VLOOKUP(C425,Customers!$A$2:$F$301,3,FALSE),"")</f>
        <v>22</v>
      </c>
      <c r="Q425" s="41">
        <f t="shared" si="15"/>
        <v>0.29855072463768118</v>
      </c>
      <c r="R425" t="str">
        <f>IFERROR(VLOOKUP(C425,Customers!$A$2:$F$301,1,FALSE),"")</f>
        <v>CUST-0106</v>
      </c>
      <c r="S425" s="27" t="b">
        <f>IFERROR(VLOOKUP(D425,Products!$A$2:$F$61,6,FALSE),"")</f>
        <v>1</v>
      </c>
      <c r="BL425">
        <v>0</v>
      </c>
      <c r="BO425">
        <v>0</v>
      </c>
      <c r="BP425">
        <v>0</v>
      </c>
    </row>
    <row r="426" spans="1:68" x14ac:dyDescent="0.35">
      <c r="A426" s="26" t="str">
        <f>Orders!A426</f>
        <v>ORD-00425</v>
      </c>
      <c r="B426" s="33">
        <f>Orders!B426</f>
        <v>45379</v>
      </c>
      <c r="C426" t="str">
        <f>Orders!C426</f>
        <v>CUST-0222</v>
      </c>
      <c r="D426" t="str">
        <f>Orders!D426</f>
        <v>PROD-026</v>
      </c>
      <c r="E426" t="str">
        <f>Orders!E426</f>
        <v>R011</v>
      </c>
      <c r="F426">
        <f>Orders!F426</f>
        <v>10</v>
      </c>
      <c r="G426" s="35">
        <f>Orders!G426</f>
        <v>4070</v>
      </c>
      <c r="H426" s="37">
        <f>Orders!H426</f>
        <v>23.4</v>
      </c>
      <c r="I426" s="39">
        <f>Orders!I426</f>
        <v>31176.2</v>
      </c>
      <c r="J426" t="str">
        <f>Orders!J426</f>
        <v>Refunded</v>
      </c>
      <c r="K426" t="str">
        <f>Orders!K426</f>
        <v>Chennai</v>
      </c>
      <c r="L426" t="str">
        <f>IFERROR(VLOOKUP(D426,Products!$A$2:$F$61,3,FALSE),"")</f>
        <v>Grocery</v>
      </c>
      <c r="M426">
        <f>IFERROR(VLOOKUP(D426,Products!$A$2:$F$61,4,FALSE),"")</f>
        <v>2027</v>
      </c>
      <c r="N426" t="str">
        <f>IFERROR(VLOOKUP(E426,Sales_Reps!$A$2:$E$31,3,FALSE),"")</f>
        <v>South</v>
      </c>
      <c r="O426" t="str">
        <f>IFERROR(VLOOKUP(C426,Customers!$A$2:$F$301,5,FALSE),"")</f>
        <v>Retail</v>
      </c>
      <c r="P426">
        <f>IFERROR(VLOOKUP(C426,Customers!$A$2:$F$301,3,FALSE),"")</f>
        <v>37</v>
      </c>
      <c r="Q426" s="41">
        <f t="shared" si="15"/>
        <v>0.50196560196560192</v>
      </c>
      <c r="R426" t="str">
        <f>IFERROR(VLOOKUP(C426,Customers!$A$2:$F$301,1,FALSE),"")</f>
        <v>CUST-0222</v>
      </c>
      <c r="S426" s="27" t="b">
        <f>IFERROR(VLOOKUP(D426,Products!$A$2:$F$61,6,FALSE),"")</f>
        <v>1</v>
      </c>
      <c r="BL426">
        <v>0</v>
      </c>
      <c r="BO426">
        <v>0</v>
      </c>
      <c r="BP426">
        <v>0</v>
      </c>
    </row>
    <row r="427" spans="1:68" x14ac:dyDescent="0.35">
      <c r="A427" s="26" t="str">
        <f>Orders!A427</f>
        <v>ORD-00426</v>
      </c>
      <c r="B427" s="33">
        <f>Orders!B427</f>
        <v>45454</v>
      </c>
      <c r="C427" t="str">
        <f>Orders!C427</f>
        <v>CUST-0130</v>
      </c>
      <c r="D427" t="str">
        <f>Orders!D427</f>
        <v>PROD-003</v>
      </c>
      <c r="E427" t="str">
        <f>Orders!E427</f>
        <v>R025</v>
      </c>
      <c r="F427">
        <f>Orders!F427</f>
        <v>9</v>
      </c>
      <c r="G427" s="35">
        <f>Orders!G427</f>
        <v>3570</v>
      </c>
      <c r="H427" s="37">
        <f>Orders!H427</f>
        <v>15.2</v>
      </c>
      <c r="I427" s="39">
        <f>Orders!I427</f>
        <v>27246.240000000002</v>
      </c>
      <c r="J427" t="str">
        <f>Orders!J427</f>
        <v>Completed</v>
      </c>
      <c r="K427" t="str">
        <f>Orders!K427</f>
        <v>Bengaluru</v>
      </c>
      <c r="L427" t="str">
        <f>IFERROR(VLOOKUP(D427,Products!$A$2:$F$61,3,FALSE),"")</f>
        <v>Electronics</v>
      </c>
      <c r="M427">
        <f>IFERROR(VLOOKUP(D427,Products!$A$2:$F$61,4,FALSE),"")</f>
        <v>1665</v>
      </c>
      <c r="N427" t="str">
        <f>IFERROR(VLOOKUP(E427,Sales_Reps!$A$2:$E$31,3,FALSE),"")</f>
        <v>West</v>
      </c>
      <c r="O427" t="str">
        <f>IFERROR(VLOOKUP(C427,Customers!$A$2:$F$301,5,FALSE),"")</f>
        <v>Corporate</v>
      </c>
      <c r="P427">
        <f>IFERROR(VLOOKUP(C427,Customers!$A$2:$F$301,3,FALSE),"")</f>
        <v>41</v>
      </c>
      <c r="Q427" s="41">
        <f t="shared" si="15"/>
        <v>0.53361344537815125</v>
      </c>
      <c r="R427" t="str">
        <f>IFERROR(VLOOKUP(C427,Customers!$A$2:$F$301,1,FALSE),"")</f>
        <v>CUST-0130</v>
      </c>
      <c r="S427" s="27" t="b">
        <f>IFERROR(VLOOKUP(D427,Products!$A$2:$F$61,6,FALSE),"")</f>
        <v>1</v>
      </c>
      <c r="BL427">
        <v>0</v>
      </c>
      <c r="BO427">
        <v>0</v>
      </c>
      <c r="BP427">
        <v>0</v>
      </c>
    </row>
    <row r="428" spans="1:68" x14ac:dyDescent="0.35">
      <c r="A428" s="26" t="str">
        <f>Orders!A428</f>
        <v>ORD-00427</v>
      </c>
      <c r="B428" s="33">
        <f>Orders!B428</f>
        <v>45562</v>
      </c>
      <c r="C428" t="str">
        <f>Orders!C428</f>
        <v>CUST-0281</v>
      </c>
      <c r="D428" t="str">
        <f>Orders!D428</f>
        <v>PROD-056</v>
      </c>
      <c r="E428" t="str">
        <f>Orders!E428</f>
        <v>R005</v>
      </c>
      <c r="F428">
        <f>Orders!F428</f>
        <v>10</v>
      </c>
      <c r="G428" s="35">
        <f>Orders!G428</f>
        <v>6940</v>
      </c>
      <c r="H428" s="37">
        <f>Orders!H428</f>
        <v>21.8</v>
      </c>
      <c r="I428" s="39">
        <f>Orders!I428</f>
        <v>54270.8</v>
      </c>
      <c r="J428" t="str">
        <f>Orders!J428</f>
        <v>Pending</v>
      </c>
      <c r="K428" t="str">
        <f>Orders!K428</f>
        <v>Bengaluru</v>
      </c>
      <c r="L428" t="str">
        <f>IFERROR(VLOOKUP(D428,Products!$A$2:$F$61,3,FALSE),"")</f>
        <v>Sports</v>
      </c>
      <c r="M428">
        <f>IFERROR(VLOOKUP(D428,Products!$A$2:$F$61,4,FALSE),"")</f>
        <v>2827</v>
      </c>
      <c r="N428" t="str">
        <f>IFERROR(VLOOKUP(E428,Sales_Reps!$A$2:$E$31,3,FALSE),"")</f>
        <v>North</v>
      </c>
      <c r="O428" t="str">
        <f>IFERROR(VLOOKUP(C428,Customers!$A$2:$F$301,5,FALSE),"")</f>
        <v>Corporate</v>
      </c>
      <c r="P428">
        <f>IFERROR(VLOOKUP(C428,Customers!$A$2:$F$301,3,FALSE),"")</f>
        <v>57</v>
      </c>
      <c r="Q428" s="41">
        <f t="shared" si="15"/>
        <v>0.5926512968299712</v>
      </c>
      <c r="R428" t="str">
        <f>IFERROR(VLOOKUP(C428,Customers!$A$2:$F$301,1,FALSE),"")</f>
        <v>CUST-0281</v>
      </c>
      <c r="S428" s="27" t="b">
        <f>IFERROR(VLOOKUP(D428,Products!$A$2:$F$61,6,FALSE),"")</f>
        <v>1</v>
      </c>
      <c r="BL428">
        <v>0</v>
      </c>
      <c r="BO428">
        <v>0</v>
      </c>
      <c r="BP428">
        <v>0</v>
      </c>
    </row>
    <row r="429" spans="1:68" x14ac:dyDescent="0.35">
      <c r="A429" s="26" t="str">
        <f>Orders!A429</f>
        <v>ORD-00428</v>
      </c>
      <c r="B429" s="33">
        <f>Orders!B429</f>
        <v>45489</v>
      </c>
      <c r="C429" t="str">
        <f>Orders!C429</f>
        <v>CUST-0094</v>
      </c>
      <c r="D429" t="str">
        <f>Orders!D429</f>
        <v>PROD-044</v>
      </c>
      <c r="E429" t="str">
        <f>Orders!E429</f>
        <v>R014</v>
      </c>
      <c r="F429">
        <f>Orders!F429</f>
        <v>9</v>
      </c>
      <c r="G429" s="35">
        <f>Orders!G429</f>
        <v>1650</v>
      </c>
      <c r="H429" s="37">
        <f>Orders!H429</f>
        <v>24.3</v>
      </c>
      <c r="I429" s="39">
        <f>Orders!I429</f>
        <v>11241.45</v>
      </c>
      <c r="J429" t="str">
        <f>Orders!J429</f>
        <v>Completed</v>
      </c>
      <c r="K429" t="str">
        <f>Orders!K429</f>
        <v>Pune</v>
      </c>
      <c r="L429" t="str">
        <f>IFERROR(VLOOKUP(D429,Products!$A$2:$F$61,3,FALSE),"")</f>
        <v>Beauty</v>
      </c>
      <c r="M429">
        <f>IFERROR(VLOOKUP(D429,Products!$A$2:$F$61,4,FALSE),"")</f>
        <v>1222</v>
      </c>
      <c r="N429" t="str">
        <f>IFERROR(VLOOKUP(E429,Sales_Reps!$A$2:$E$31,3,FALSE),"")</f>
        <v>South</v>
      </c>
      <c r="O429" t="str">
        <f>IFERROR(VLOOKUP(C429,Customers!$A$2:$F$301,5,FALSE),"")</f>
        <v>SMB</v>
      </c>
      <c r="P429">
        <f>IFERROR(VLOOKUP(C429,Customers!$A$2:$F$301,3,FALSE),"")</f>
        <v>60</v>
      </c>
      <c r="Q429" s="41">
        <f t="shared" si="15"/>
        <v>0.2593939393939394</v>
      </c>
      <c r="R429" t="str">
        <f>IFERROR(VLOOKUP(C429,Customers!$A$2:$F$301,1,FALSE),"")</f>
        <v>CUST-0094</v>
      </c>
      <c r="S429" s="27" t="b">
        <f>IFERROR(VLOOKUP(D429,Products!$A$2:$F$61,6,FALSE),"")</f>
        <v>1</v>
      </c>
      <c r="BL429">
        <v>0</v>
      </c>
      <c r="BO429">
        <v>0</v>
      </c>
      <c r="BP429">
        <v>0</v>
      </c>
    </row>
    <row r="430" spans="1:68" x14ac:dyDescent="0.35">
      <c r="A430" s="26" t="str">
        <f>Orders!A430</f>
        <v>ORD-00429</v>
      </c>
      <c r="B430" s="33">
        <f>Orders!B430</f>
        <v>45624</v>
      </c>
      <c r="C430" t="str">
        <f>Orders!C430</f>
        <v>CUST-0271</v>
      </c>
      <c r="D430" t="str">
        <f>Orders!D430</f>
        <v>PROD-007</v>
      </c>
      <c r="E430" t="str">
        <f>Orders!E430</f>
        <v>R014</v>
      </c>
      <c r="F430">
        <f>Orders!F430</f>
        <v>10</v>
      </c>
      <c r="G430" s="35">
        <f>Orders!G430</f>
        <v>1430</v>
      </c>
      <c r="H430" s="37">
        <f>Orders!H430</f>
        <v>25.2</v>
      </c>
      <c r="I430" s="39">
        <f>Orders!I430</f>
        <v>10696.4</v>
      </c>
      <c r="J430" t="str">
        <f>Orders!J430</f>
        <v>Completed</v>
      </c>
      <c r="K430" t="str">
        <f>Orders!K430</f>
        <v>Bengaluru</v>
      </c>
      <c r="L430" t="str">
        <f>IFERROR(VLOOKUP(D430,Products!$A$2:$F$61,3,FALSE),"")</f>
        <v>Electronics</v>
      </c>
      <c r="M430">
        <f>IFERROR(VLOOKUP(D430,Products!$A$2:$F$61,4,FALSE),"")</f>
        <v>861</v>
      </c>
      <c r="N430" t="str">
        <f>IFERROR(VLOOKUP(E430,Sales_Reps!$A$2:$E$31,3,FALSE),"")</f>
        <v>South</v>
      </c>
      <c r="O430" t="str">
        <f>IFERROR(VLOOKUP(C430,Customers!$A$2:$F$301,5,FALSE),"")</f>
        <v>Corporate</v>
      </c>
      <c r="P430">
        <f>IFERROR(VLOOKUP(C430,Customers!$A$2:$F$301,3,FALSE),"")</f>
        <v>41</v>
      </c>
      <c r="Q430" s="41">
        <f t="shared" si="15"/>
        <v>0.39790209790209791</v>
      </c>
      <c r="R430" t="str">
        <f>IFERROR(VLOOKUP(C430,Customers!$A$2:$F$301,1,FALSE),"")</f>
        <v>CUST-0271</v>
      </c>
      <c r="S430" s="27" t="b">
        <f>IFERROR(VLOOKUP(D430,Products!$A$2:$F$61,6,FALSE),"")</f>
        <v>1</v>
      </c>
      <c r="BL430">
        <v>0</v>
      </c>
      <c r="BO430">
        <v>0</v>
      </c>
      <c r="BP430">
        <v>0</v>
      </c>
    </row>
    <row r="431" spans="1:68" x14ac:dyDescent="0.35">
      <c r="A431" s="26" t="str">
        <f>Orders!A431</f>
        <v>ORD-00430</v>
      </c>
      <c r="B431" s="33">
        <f>Orders!B431</f>
        <v>45480</v>
      </c>
      <c r="C431" t="str">
        <f>Orders!C431</f>
        <v>CUST-0110</v>
      </c>
      <c r="D431" t="str">
        <f>Orders!D431</f>
        <v>PROD-025</v>
      </c>
      <c r="E431" t="str">
        <f>Orders!E431</f>
        <v>R010</v>
      </c>
      <c r="F431">
        <f>Orders!F431</f>
        <v>4</v>
      </c>
      <c r="G431" s="35">
        <f>Orders!G431</f>
        <v>4060</v>
      </c>
      <c r="H431" s="37">
        <f>Orders!H431</f>
        <v>1.6</v>
      </c>
      <c r="I431" s="39">
        <f>Orders!I431</f>
        <v>15980.16</v>
      </c>
      <c r="J431" t="str">
        <f>Orders!J431</f>
        <v>Completed</v>
      </c>
      <c r="K431" t="str">
        <f>Orders!K431</f>
        <v>Pune</v>
      </c>
      <c r="L431" t="str">
        <f>IFERROR(VLOOKUP(D431,Products!$A$2:$F$61,3,FALSE),"")</f>
        <v>Grocery</v>
      </c>
      <c r="M431">
        <f>IFERROR(VLOOKUP(D431,Products!$A$2:$F$61,4,FALSE),"")</f>
        <v>2911</v>
      </c>
      <c r="N431" t="str">
        <f>IFERROR(VLOOKUP(E431,Sales_Reps!$A$2:$E$31,3,FALSE),"")</f>
        <v>South</v>
      </c>
      <c r="O431" t="str">
        <f>IFERROR(VLOOKUP(C431,Customers!$A$2:$F$301,5,FALSE),"")</f>
        <v>Corporate</v>
      </c>
      <c r="P431">
        <f>IFERROR(VLOOKUP(C431,Customers!$A$2:$F$301,3,FALSE),"")</f>
        <v>31</v>
      </c>
      <c r="Q431" s="41">
        <f t="shared" si="15"/>
        <v>0.28300492610837441</v>
      </c>
      <c r="R431" t="str">
        <f>IFERROR(VLOOKUP(C431,Customers!$A$2:$F$301,1,FALSE),"")</f>
        <v>CUST-0110</v>
      </c>
      <c r="S431" s="27" t="b">
        <f>IFERROR(VLOOKUP(D431,Products!$A$2:$F$61,6,FALSE),"")</f>
        <v>1</v>
      </c>
      <c r="BL431">
        <v>0</v>
      </c>
      <c r="BO431">
        <v>0</v>
      </c>
      <c r="BP431">
        <v>0</v>
      </c>
    </row>
    <row r="432" spans="1:68" x14ac:dyDescent="0.35">
      <c r="A432" s="26" t="str">
        <f>Orders!A432</f>
        <v>ORD-00431</v>
      </c>
      <c r="B432" s="33">
        <f>Orders!B432</f>
        <v>45420</v>
      </c>
      <c r="C432" t="str">
        <f>Orders!C432</f>
        <v>CUST-0262</v>
      </c>
      <c r="D432" t="str">
        <f>Orders!D432</f>
        <v>PROD-032</v>
      </c>
      <c r="E432" t="str">
        <f>Orders!E432</f>
        <v>R005</v>
      </c>
      <c r="F432">
        <f>Orders!F432</f>
        <v>9</v>
      </c>
      <c r="G432" s="35">
        <f>Orders!G432</f>
        <v>370</v>
      </c>
      <c r="H432" s="37">
        <f>Orders!H432</f>
        <v>17</v>
      </c>
      <c r="I432" s="39">
        <f>Orders!I432</f>
        <v>2763.9</v>
      </c>
      <c r="J432" t="str">
        <f>Orders!J432</f>
        <v>Completed</v>
      </c>
      <c r="K432" t="str">
        <f>Orders!K432</f>
        <v>Mumbai</v>
      </c>
      <c r="L432" t="str">
        <f>IFERROR(VLOOKUP(D432,Products!$A$2:$F$61,3,FALSE),"")</f>
        <v>Home</v>
      </c>
      <c r="M432">
        <f>IFERROR(VLOOKUP(D432,Products!$A$2:$F$61,4,FALSE),"")</f>
        <v>288</v>
      </c>
      <c r="N432" t="str">
        <f>IFERROR(VLOOKUP(E432,Sales_Reps!$A$2:$E$31,3,FALSE),"")</f>
        <v>North</v>
      </c>
      <c r="O432" t="str">
        <f>IFERROR(VLOOKUP(C432,Customers!$A$2:$F$301,5,FALSE),"")</f>
        <v>Retail</v>
      </c>
      <c r="P432">
        <f>IFERROR(VLOOKUP(C432,Customers!$A$2:$F$301,3,FALSE),"")</f>
        <v>52</v>
      </c>
      <c r="Q432" s="41">
        <f t="shared" si="15"/>
        <v>0.22162162162162163</v>
      </c>
      <c r="R432" t="str">
        <f>IFERROR(VLOOKUP(C432,Customers!$A$2:$F$301,1,FALSE),"")</f>
        <v>CUST-0262</v>
      </c>
      <c r="S432" s="27" t="b">
        <f>IFERROR(VLOOKUP(D432,Products!$A$2:$F$61,6,FALSE),"")</f>
        <v>1</v>
      </c>
      <c r="BL432">
        <v>0</v>
      </c>
      <c r="BO432">
        <v>0</v>
      </c>
      <c r="BP432">
        <v>0</v>
      </c>
    </row>
    <row r="433" spans="1:68" x14ac:dyDescent="0.35">
      <c r="A433" s="26" t="str">
        <f>Orders!A433</f>
        <v>ORD-00432</v>
      </c>
      <c r="B433" s="33">
        <f>Orders!B433</f>
        <v>45322</v>
      </c>
      <c r="C433" t="str">
        <f>Orders!C433</f>
        <v>CUST-0157</v>
      </c>
      <c r="D433" t="str">
        <f>Orders!D433</f>
        <v>PROD-041</v>
      </c>
      <c r="E433" t="str">
        <f>Orders!E433</f>
        <v>R010</v>
      </c>
      <c r="F433">
        <f>Orders!F433</f>
        <v>1</v>
      </c>
      <c r="G433" s="35">
        <f>Orders!G433</f>
        <v>1540</v>
      </c>
      <c r="H433" s="37">
        <f>Orders!H433</f>
        <v>24</v>
      </c>
      <c r="I433" s="39">
        <f>Orders!I433</f>
        <v>1170.4000000000001</v>
      </c>
      <c r="J433" t="str">
        <f>Orders!J433</f>
        <v>Cancelled</v>
      </c>
      <c r="K433" t="str">
        <f>Orders!K433</f>
        <v>Pune</v>
      </c>
      <c r="L433" t="str">
        <f>IFERROR(VLOOKUP(D433,Products!$A$2:$F$61,3,FALSE),"")</f>
        <v>Beauty</v>
      </c>
      <c r="M433">
        <f>IFERROR(VLOOKUP(D433,Products!$A$2:$F$61,4,FALSE),"")</f>
        <v>647</v>
      </c>
      <c r="N433" t="str">
        <f>IFERROR(VLOOKUP(E433,Sales_Reps!$A$2:$E$31,3,FALSE),"")</f>
        <v>South</v>
      </c>
      <c r="O433" t="str">
        <f>IFERROR(VLOOKUP(C433,Customers!$A$2:$F$301,5,FALSE),"")</f>
        <v>Corporate</v>
      </c>
      <c r="P433">
        <f>IFERROR(VLOOKUP(C433,Customers!$A$2:$F$301,3,FALSE),"")</f>
        <v>52</v>
      </c>
      <c r="Q433" s="41">
        <f t="shared" si="15"/>
        <v>0.57987012987012987</v>
      </c>
      <c r="R433" t="str">
        <f>IFERROR(VLOOKUP(C433,Customers!$A$2:$F$301,1,FALSE),"")</f>
        <v>CUST-0157</v>
      </c>
      <c r="S433" s="27" t="b">
        <f>IFERROR(VLOOKUP(D433,Products!$A$2:$F$61,6,FALSE),"")</f>
        <v>0</v>
      </c>
      <c r="BL433">
        <v>0</v>
      </c>
      <c r="BO433">
        <v>0</v>
      </c>
      <c r="BP433">
        <v>1</v>
      </c>
    </row>
    <row r="434" spans="1:68" x14ac:dyDescent="0.35">
      <c r="A434" s="26" t="str">
        <f>Orders!A434</f>
        <v>ORD-00433</v>
      </c>
      <c r="B434" s="33">
        <f>Orders!B434</f>
        <v>45382</v>
      </c>
      <c r="C434" t="str">
        <f>Orders!C434</f>
        <v>CUST-0135</v>
      </c>
      <c r="D434" t="str">
        <f>Orders!D434</f>
        <v>PROD-002</v>
      </c>
      <c r="E434" t="str">
        <f>Orders!E434</f>
        <v>R025</v>
      </c>
      <c r="F434">
        <f>Orders!F434</f>
        <v>9</v>
      </c>
      <c r="G434" s="35">
        <f>Orders!G434</f>
        <v>2600</v>
      </c>
      <c r="H434" s="37">
        <f>Orders!H434</f>
        <v>7.7</v>
      </c>
      <c r="I434" s="39">
        <f>Orders!I434</f>
        <v>21598.2</v>
      </c>
      <c r="J434" t="str">
        <f>Orders!J434</f>
        <v>Completed</v>
      </c>
      <c r="K434" t="str">
        <f>Orders!K434</f>
        <v>Pune</v>
      </c>
      <c r="L434" t="str">
        <f>IFERROR(VLOOKUP(D434,Products!$A$2:$F$61,3,FALSE),"")</f>
        <v>Electronics</v>
      </c>
      <c r="M434">
        <f>IFERROR(VLOOKUP(D434,Products!$A$2:$F$61,4,FALSE),"")</f>
        <v>1052</v>
      </c>
      <c r="N434" t="str">
        <f>IFERROR(VLOOKUP(E434,Sales_Reps!$A$2:$E$31,3,FALSE),"")</f>
        <v>West</v>
      </c>
      <c r="O434" t="str">
        <f>IFERROR(VLOOKUP(C434,Customers!$A$2:$F$301,5,FALSE),"")</f>
        <v>SMB</v>
      </c>
      <c r="P434">
        <f>IFERROR(VLOOKUP(C434,Customers!$A$2:$F$301,3,FALSE),"")</f>
        <v>24</v>
      </c>
      <c r="Q434" s="41">
        <f t="shared" si="15"/>
        <v>0.5953846153846154</v>
      </c>
      <c r="R434" t="str">
        <f>IFERROR(VLOOKUP(C434,Customers!$A$2:$F$301,1,FALSE),"")</f>
        <v>CUST-0135</v>
      </c>
      <c r="S434" s="27" t="b">
        <f>IFERROR(VLOOKUP(D434,Products!$A$2:$F$61,6,FALSE),"")</f>
        <v>1</v>
      </c>
      <c r="BL434">
        <v>0</v>
      </c>
      <c r="BO434">
        <v>0</v>
      </c>
      <c r="BP434">
        <v>0</v>
      </c>
    </row>
    <row r="435" spans="1:68" x14ac:dyDescent="0.35">
      <c r="A435" s="26" t="str">
        <f>Orders!A435</f>
        <v>ORD-00434</v>
      </c>
      <c r="B435" s="33">
        <f>Orders!B435</f>
        <v>45497</v>
      </c>
      <c r="C435" t="str">
        <f>Orders!C435</f>
        <v>CUST-0136</v>
      </c>
      <c r="D435" t="str">
        <f>Orders!D435</f>
        <v>PROD-017</v>
      </c>
      <c r="E435" t="str">
        <f>Orders!E435</f>
        <v>R015</v>
      </c>
      <c r="F435">
        <f>Orders!F435</f>
        <v>8</v>
      </c>
      <c r="G435" s="35">
        <f>Orders!G435</f>
        <v>2510</v>
      </c>
      <c r="H435" s="37">
        <f>Orders!H435</f>
        <v>3.7</v>
      </c>
      <c r="I435" s="39">
        <f>Orders!I435</f>
        <v>19337.04</v>
      </c>
      <c r="J435" t="str">
        <f>Orders!J435</f>
        <v>Completed</v>
      </c>
      <c r="K435" t="str">
        <f>Orders!K435</f>
        <v>Chennai</v>
      </c>
      <c r="L435" t="str">
        <f>IFERROR(VLOOKUP(D435,Products!$A$2:$F$61,3,FALSE),"")</f>
        <v>Apparel</v>
      </c>
      <c r="M435">
        <f>IFERROR(VLOOKUP(D435,Products!$A$2:$F$61,4,FALSE),"")</f>
        <v>1075</v>
      </c>
      <c r="N435" t="str">
        <f>IFERROR(VLOOKUP(E435,Sales_Reps!$A$2:$E$31,3,FALSE),"")</f>
        <v>South</v>
      </c>
      <c r="O435" t="str">
        <f>IFERROR(VLOOKUP(C435,Customers!$A$2:$F$301,5,FALSE),"")</f>
        <v>SMB</v>
      </c>
      <c r="P435">
        <f>IFERROR(VLOOKUP(C435,Customers!$A$2:$F$301,3,FALSE),"")</f>
        <v>26</v>
      </c>
      <c r="Q435" s="41">
        <f t="shared" si="15"/>
        <v>0.57171314741035861</v>
      </c>
      <c r="R435" t="str">
        <f>IFERROR(VLOOKUP(C435,Customers!$A$2:$F$301,1,FALSE),"")</f>
        <v>CUST-0136</v>
      </c>
      <c r="S435" s="27" t="b">
        <f>IFERROR(VLOOKUP(D435,Products!$A$2:$F$61,6,FALSE),"")</f>
        <v>0</v>
      </c>
      <c r="BL435">
        <v>0</v>
      </c>
      <c r="BO435">
        <v>0</v>
      </c>
      <c r="BP435">
        <v>1</v>
      </c>
    </row>
    <row r="436" spans="1:68" x14ac:dyDescent="0.35">
      <c r="A436" s="26" t="str">
        <f>Orders!A436</f>
        <v>ORD-00435</v>
      </c>
      <c r="B436" s="33">
        <f>Orders!B436</f>
        <v>45510</v>
      </c>
      <c r="C436" t="str">
        <f>Orders!C436</f>
        <v>CUST-0110</v>
      </c>
      <c r="D436" t="str">
        <f>Orders!D436</f>
        <v>PROD-001</v>
      </c>
      <c r="E436" t="str">
        <f>Orders!E436</f>
        <v>R003</v>
      </c>
      <c r="F436">
        <f>Orders!F436</f>
        <v>6</v>
      </c>
      <c r="G436" s="35">
        <f>Orders!G436</f>
        <v>5330</v>
      </c>
      <c r="H436" s="37">
        <f>Orders!H436</f>
        <v>8.4</v>
      </c>
      <c r="I436" s="39">
        <f>Orders!I436</f>
        <v>29293.68</v>
      </c>
      <c r="J436" t="str">
        <f>Orders!J436</f>
        <v>Completed</v>
      </c>
      <c r="K436" t="str">
        <f>Orders!K436</f>
        <v>Pune</v>
      </c>
      <c r="L436" t="str">
        <f>IFERROR(VLOOKUP(D436,Products!$A$2:$F$61,3,FALSE),"")</f>
        <v>Electronics</v>
      </c>
      <c r="M436">
        <f>IFERROR(VLOOKUP(D436,Products!$A$2:$F$61,4,FALSE),"")</f>
        <v>2405</v>
      </c>
      <c r="N436" t="str">
        <f>IFERROR(VLOOKUP(E436,Sales_Reps!$A$2:$E$31,3,FALSE),"")</f>
        <v>North</v>
      </c>
      <c r="O436" t="str">
        <f>IFERROR(VLOOKUP(C436,Customers!$A$2:$F$301,5,FALSE),"")</f>
        <v>Corporate</v>
      </c>
      <c r="P436">
        <f>IFERROR(VLOOKUP(C436,Customers!$A$2:$F$301,3,FALSE),"")</f>
        <v>31</v>
      </c>
      <c r="Q436" s="41">
        <f t="shared" si="15"/>
        <v>0.54878048780487809</v>
      </c>
      <c r="R436" t="str">
        <f>IFERROR(VLOOKUP(C436,Customers!$A$2:$F$301,1,FALSE),"")</f>
        <v>CUST-0110</v>
      </c>
      <c r="S436" s="27" t="b">
        <f>IFERROR(VLOOKUP(D436,Products!$A$2:$F$61,6,FALSE),"")</f>
        <v>1</v>
      </c>
      <c r="BL436">
        <v>0</v>
      </c>
      <c r="BO436">
        <v>0</v>
      </c>
      <c r="BP436">
        <v>0</v>
      </c>
    </row>
    <row r="437" spans="1:68" x14ac:dyDescent="0.35">
      <c r="A437" s="26" t="str">
        <f>Orders!A437</f>
        <v>ORD-00436</v>
      </c>
      <c r="B437" s="33">
        <f>Orders!B437</f>
        <v>45522</v>
      </c>
      <c r="C437" t="str">
        <f>Orders!C437</f>
        <v>CUST-0192</v>
      </c>
      <c r="D437" t="str">
        <f>Orders!D437</f>
        <v>PROD-034</v>
      </c>
      <c r="E437" t="str">
        <f>Orders!E437</f>
        <v>R014</v>
      </c>
      <c r="F437">
        <f>Orders!F437</f>
        <v>5</v>
      </c>
      <c r="G437" s="35">
        <f>Orders!G437</f>
        <v>5080</v>
      </c>
      <c r="H437" s="37">
        <f>Orders!H437</f>
        <v>10.3</v>
      </c>
      <c r="I437" s="39">
        <f>Orders!I437</f>
        <v>22783.8</v>
      </c>
      <c r="J437" t="str">
        <f>Orders!J437</f>
        <v>Completed</v>
      </c>
      <c r="K437" t="str">
        <f>Orders!K437</f>
        <v>Bengaluru</v>
      </c>
      <c r="L437" t="str">
        <f>IFERROR(VLOOKUP(D437,Products!$A$2:$F$61,3,FALSE),"")</f>
        <v>Home</v>
      </c>
      <c r="M437">
        <f>IFERROR(VLOOKUP(D437,Products!$A$2:$F$61,4,FALSE),"")</f>
        <v>2459</v>
      </c>
      <c r="N437" t="str">
        <f>IFERROR(VLOOKUP(E437,Sales_Reps!$A$2:$E$31,3,FALSE),"")</f>
        <v>South</v>
      </c>
      <c r="O437" t="str">
        <f>IFERROR(VLOOKUP(C437,Customers!$A$2:$F$301,5,FALSE),"")</f>
        <v>Retail</v>
      </c>
      <c r="P437">
        <f>IFERROR(VLOOKUP(C437,Customers!$A$2:$F$301,3,FALSE),"")</f>
        <v>55</v>
      </c>
      <c r="Q437" s="41">
        <f t="shared" si="15"/>
        <v>0.51594488188976373</v>
      </c>
      <c r="R437" t="str">
        <f>IFERROR(VLOOKUP(C437,Customers!$A$2:$F$301,1,FALSE),"")</f>
        <v>CUST-0192</v>
      </c>
      <c r="S437" s="27" t="b">
        <f>IFERROR(VLOOKUP(D437,Products!$A$2:$F$61,6,FALSE),"")</f>
        <v>1</v>
      </c>
      <c r="BL437">
        <v>0</v>
      </c>
      <c r="BO437">
        <v>0</v>
      </c>
      <c r="BP437">
        <v>0</v>
      </c>
    </row>
    <row r="438" spans="1:68" x14ac:dyDescent="0.35">
      <c r="A438" s="26" t="str">
        <f>Orders!A438</f>
        <v>ORD-00437</v>
      </c>
      <c r="B438" s="33">
        <f>Orders!B438</f>
        <v>45381</v>
      </c>
      <c r="C438" t="str">
        <f>Orders!C438</f>
        <v>CUST-0169</v>
      </c>
      <c r="D438" t="str">
        <f>Orders!D438</f>
        <v>PROD-026</v>
      </c>
      <c r="E438" t="str">
        <f>Orders!E438</f>
        <v>R025</v>
      </c>
      <c r="F438">
        <f>Orders!F438</f>
        <v>3</v>
      </c>
      <c r="G438" s="35">
        <f>Orders!G438</f>
        <v>4070</v>
      </c>
      <c r="H438" s="37">
        <f>Orders!H438</f>
        <v>23.7</v>
      </c>
      <c r="I438" s="39">
        <f>Orders!I438</f>
        <v>9316.23</v>
      </c>
      <c r="J438" t="str">
        <f>Orders!J438</f>
        <v>Completed</v>
      </c>
      <c r="K438" t="str">
        <f>Orders!K438</f>
        <v>Bengaluru</v>
      </c>
      <c r="L438" t="str">
        <f>IFERROR(VLOOKUP(D438,Products!$A$2:$F$61,3,FALSE),"")</f>
        <v>Grocery</v>
      </c>
      <c r="M438">
        <f>IFERROR(VLOOKUP(D438,Products!$A$2:$F$61,4,FALSE),"")</f>
        <v>2027</v>
      </c>
      <c r="N438" t="str">
        <f>IFERROR(VLOOKUP(E438,Sales_Reps!$A$2:$E$31,3,FALSE),"")</f>
        <v>West</v>
      </c>
      <c r="O438" t="str">
        <f>IFERROR(VLOOKUP(C438,Customers!$A$2:$F$301,5,FALSE),"")</f>
        <v>SMB</v>
      </c>
      <c r="P438">
        <f>IFERROR(VLOOKUP(C438,Customers!$A$2:$F$301,3,FALSE),"")</f>
        <v>42</v>
      </c>
      <c r="Q438" s="41">
        <f t="shared" si="15"/>
        <v>0.50196560196560192</v>
      </c>
      <c r="R438" t="str">
        <f>IFERROR(VLOOKUP(C438,Customers!$A$2:$F$301,1,FALSE),"")</f>
        <v>CUST-0169</v>
      </c>
      <c r="S438" s="27" t="b">
        <f>IFERROR(VLOOKUP(D438,Products!$A$2:$F$61,6,FALSE),"")</f>
        <v>1</v>
      </c>
      <c r="BL438">
        <v>0</v>
      </c>
      <c r="BO438">
        <v>0</v>
      </c>
      <c r="BP438">
        <v>0</v>
      </c>
    </row>
    <row r="439" spans="1:68" x14ac:dyDescent="0.35">
      <c r="A439" s="26" t="str">
        <f>Orders!A439</f>
        <v>ORD-00438</v>
      </c>
      <c r="B439" s="33">
        <f>Orders!B439</f>
        <v>45511</v>
      </c>
      <c r="C439" t="str">
        <f>Orders!C439</f>
        <v>CUST-0086</v>
      </c>
      <c r="D439" t="str">
        <f>Orders!D439</f>
        <v>PROD-016</v>
      </c>
      <c r="E439" t="str">
        <f>Orders!E439</f>
        <v>R013</v>
      </c>
      <c r="F439">
        <f>Orders!F439</f>
        <v>4</v>
      </c>
      <c r="G439" s="35">
        <f>Orders!G439</f>
        <v>620</v>
      </c>
      <c r="H439" s="37">
        <f>Orders!H439</f>
        <v>18.8</v>
      </c>
      <c r="I439" s="39">
        <f>Orders!I439</f>
        <v>2013.76</v>
      </c>
      <c r="J439" t="str">
        <f>Orders!J439</f>
        <v>Completed</v>
      </c>
      <c r="K439" t="str">
        <f>Orders!K439</f>
        <v>Hyderabad</v>
      </c>
      <c r="L439" t="str">
        <f>IFERROR(VLOOKUP(D439,Products!$A$2:$F$61,3,FALSE),"")</f>
        <v>Apparel</v>
      </c>
      <c r="M439">
        <f>IFERROR(VLOOKUP(D439,Products!$A$2:$F$61,4,FALSE),"")</f>
        <v>396</v>
      </c>
      <c r="N439" t="str">
        <f>IFERROR(VLOOKUP(E439,Sales_Reps!$A$2:$E$31,3,FALSE),"")</f>
        <v>South</v>
      </c>
      <c r="O439" t="str">
        <f>IFERROR(VLOOKUP(C439,Customers!$A$2:$F$301,5,FALSE),"")</f>
        <v>Corporate</v>
      </c>
      <c r="P439">
        <f>IFERROR(VLOOKUP(C439,Customers!$A$2:$F$301,3,FALSE),"")</f>
        <v>56</v>
      </c>
      <c r="Q439" s="41">
        <f t="shared" si="15"/>
        <v>0.36129032258064514</v>
      </c>
      <c r="R439" t="str">
        <f>IFERROR(VLOOKUP(C439,Customers!$A$2:$F$301,1,FALSE),"")</f>
        <v>CUST-0086</v>
      </c>
      <c r="S439" s="27" t="b">
        <f>IFERROR(VLOOKUP(D439,Products!$A$2:$F$61,6,FALSE),"")</f>
        <v>1</v>
      </c>
      <c r="BL439">
        <v>0</v>
      </c>
      <c r="BO439">
        <v>0</v>
      </c>
      <c r="BP439">
        <v>0</v>
      </c>
    </row>
    <row r="440" spans="1:68" x14ac:dyDescent="0.35">
      <c r="A440" s="26" t="str">
        <f>Orders!A440</f>
        <v>ORD-00439</v>
      </c>
      <c r="B440" s="33">
        <f>Orders!B440</f>
        <v>45628</v>
      </c>
      <c r="C440" t="str">
        <f>Orders!C440</f>
        <v>CUST-0217</v>
      </c>
      <c r="D440" t="str">
        <f>Orders!D440</f>
        <v>PROD-010</v>
      </c>
      <c r="E440" t="str">
        <f>Orders!E440</f>
        <v>R017</v>
      </c>
      <c r="F440">
        <f>Orders!F440</f>
        <v>10</v>
      </c>
      <c r="G440" s="35">
        <f>Orders!G440</f>
        <v>2640</v>
      </c>
      <c r="H440" s="37">
        <f>Orders!H440</f>
        <v>12.7</v>
      </c>
      <c r="I440" s="39">
        <f>Orders!I440</f>
        <v>23047.200000000001</v>
      </c>
      <c r="J440" t="str">
        <f>Orders!J440</f>
        <v>Completed</v>
      </c>
      <c r="K440" t="str">
        <f>Orders!K440</f>
        <v>Pune</v>
      </c>
      <c r="L440" t="str">
        <f>IFERROR(VLOOKUP(D440,Products!$A$2:$F$61,3,FALSE),"")</f>
        <v>Electronics</v>
      </c>
      <c r="M440">
        <f>IFERROR(VLOOKUP(D440,Products!$A$2:$F$61,4,FALSE),"")</f>
        <v>1149</v>
      </c>
      <c r="N440" t="str">
        <f>IFERROR(VLOOKUP(E440,Sales_Reps!$A$2:$E$31,3,FALSE),"")</f>
        <v>East</v>
      </c>
      <c r="O440" t="str">
        <f>IFERROR(VLOOKUP(C440,Customers!$A$2:$F$301,5,FALSE),"")</f>
        <v>SMB</v>
      </c>
      <c r="P440">
        <f>IFERROR(VLOOKUP(C440,Customers!$A$2:$F$301,3,FALSE),"")</f>
        <v>59</v>
      </c>
      <c r="Q440" s="41">
        <f t="shared" si="15"/>
        <v>0.56477272727272732</v>
      </c>
      <c r="R440" t="str">
        <f>IFERROR(VLOOKUP(C440,Customers!$A$2:$F$301,1,FALSE),"")</f>
        <v>CUST-0217</v>
      </c>
      <c r="S440" s="27" t="b">
        <f>IFERROR(VLOOKUP(D440,Products!$A$2:$F$61,6,FALSE),"")</f>
        <v>1</v>
      </c>
      <c r="BL440">
        <v>0</v>
      </c>
      <c r="BO440">
        <v>0</v>
      </c>
      <c r="BP440">
        <v>0</v>
      </c>
    </row>
    <row r="441" spans="1:68" x14ac:dyDescent="0.35">
      <c r="A441" s="26" t="str">
        <f>Orders!A441</f>
        <v>ORD-00440</v>
      </c>
      <c r="B441" s="33">
        <f>Orders!B441</f>
        <v>45326</v>
      </c>
      <c r="C441" t="str">
        <f>Orders!C441</f>
        <v>CUST-0119</v>
      </c>
      <c r="D441" t="str">
        <f>Orders!D441</f>
        <v>PROD-026</v>
      </c>
      <c r="E441" t="str">
        <f>Orders!E441</f>
        <v>R030</v>
      </c>
      <c r="F441">
        <f>Orders!F441</f>
        <v>2</v>
      </c>
      <c r="G441" s="35">
        <f>Orders!G441</f>
        <v>4070</v>
      </c>
      <c r="H441" s="37">
        <f>Orders!H441</f>
        <v>29</v>
      </c>
      <c r="I441" s="39">
        <f>Orders!I441</f>
        <v>5779.4</v>
      </c>
      <c r="J441" t="str">
        <f>Orders!J441</f>
        <v>Completed</v>
      </c>
      <c r="K441" t="str">
        <f>Orders!K441</f>
        <v>Bengaluru</v>
      </c>
      <c r="L441" t="str">
        <f>IFERROR(VLOOKUP(D441,Products!$A$2:$F$61,3,FALSE),"")</f>
        <v>Grocery</v>
      </c>
      <c r="M441">
        <f>IFERROR(VLOOKUP(D441,Products!$A$2:$F$61,4,FALSE),"")</f>
        <v>2027</v>
      </c>
      <c r="N441" t="str">
        <f>IFERROR(VLOOKUP(E441,Sales_Reps!$A$2:$E$31,3,FALSE),"")</f>
        <v>West</v>
      </c>
      <c r="O441" t="str">
        <f>IFERROR(VLOOKUP(C441,Customers!$A$2:$F$301,5,FALSE),"")</f>
        <v>SMB</v>
      </c>
      <c r="P441">
        <f>IFERROR(VLOOKUP(C441,Customers!$A$2:$F$301,3,FALSE),"")</f>
        <v>43</v>
      </c>
      <c r="Q441" s="41">
        <f t="shared" si="15"/>
        <v>0.50196560196560192</v>
      </c>
      <c r="R441" t="str">
        <f>IFERROR(VLOOKUP(C441,Customers!$A$2:$F$301,1,FALSE),"")</f>
        <v>CUST-0119</v>
      </c>
      <c r="S441" s="27" t="b">
        <f>IFERROR(VLOOKUP(D441,Products!$A$2:$F$61,6,FALSE),"")</f>
        <v>1</v>
      </c>
      <c r="BL441">
        <v>0</v>
      </c>
      <c r="BO441">
        <v>0</v>
      </c>
      <c r="BP441">
        <v>0</v>
      </c>
    </row>
    <row r="442" spans="1:68" x14ac:dyDescent="0.35">
      <c r="A442" s="26" t="str">
        <f>Orders!A442</f>
        <v>ORD-00441</v>
      </c>
      <c r="B442" s="33">
        <f>Orders!B442</f>
        <v>45561</v>
      </c>
      <c r="C442" t="str">
        <f>Orders!C442</f>
        <v>CUST-0011</v>
      </c>
      <c r="D442" t="str">
        <f>Orders!D442</f>
        <v>PROD-054</v>
      </c>
      <c r="E442" t="str">
        <f>Orders!E442</f>
        <v>R007</v>
      </c>
      <c r="F442">
        <f>Orders!F442</f>
        <v>8</v>
      </c>
      <c r="G442" s="35">
        <f>Orders!G442</f>
        <v>1010</v>
      </c>
      <c r="H442" s="37">
        <f>Orders!H442</f>
        <v>25.4</v>
      </c>
      <c r="I442" s="39">
        <f>Orders!I442</f>
        <v>6027.68</v>
      </c>
      <c r="J442" t="str">
        <f>Orders!J442</f>
        <v>Completed</v>
      </c>
      <c r="K442" t="str">
        <f>Orders!K442</f>
        <v>Chennai</v>
      </c>
      <c r="L442" t="str">
        <f>IFERROR(VLOOKUP(D442,Products!$A$2:$F$61,3,FALSE),"")</f>
        <v>Sports</v>
      </c>
      <c r="M442">
        <f>IFERROR(VLOOKUP(D442,Products!$A$2:$F$61,4,FALSE),"")</f>
        <v>516</v>
      </c>
      <c r="N442" t="str">
        <f>IFERROR(VLOOKUP(E442,Sales_Reps!$A$2:$E$31,3,FALSE),"")</f>
        <v>North</v>
      </c>
      <c r="O442" t="str">
        <f>IFERROR(VLOOKUP(C442,Customers!$A$2:$F$301,5,FALSE),"")</f>
        <v>Corporate</v>
      </c>
      <c r="P442">
        <f>IFERROR(VLOOKUP(C442,Customers!$A$2:$F$301,3,FALSE),"")</f>
        <v>41</v>
      </c>
      <c r="Q442" s="41">
        <f t="shared" si="15"/>
        <v>0.4891089108910891</v>
      </c>
      <c r="R442" t="str">
        <f>IFERROR(VLOOKUP(C442,Customers!$A$2:$F$301,1,FALSE),"")</f>
        <v>CUST-0011</v>
      </c>
      <c r="S442" s="27" t="b">
        <f>IFERROR(VLOOKUP(D442,Products!$A$2:$F$61,6,FALSE),"")</f>
        <v>1</v>
      </c>
      <c r="BL442">
        <v>0</v>
      </c>
      <c r="BO442">
        <v>0</v>
      </c>
      <c r="BP442">
        <v>0</v>
      </c>
    </row>
    <row r="443" spans="1:68" x14ac:dyDescent="0.35">
      <c r="A443" s="26" t="str">
        <f>Orders!A443</f>
        <v>ORD-00442</v>
      </c>
      <c r="B443" s="33">
        <f>Orders!B443</f>
        <v>45629</v>
      </c>
      <c r="C443" t="str">
        <f>Orders!C443</f>
        <v>CUST-0059</v>
      </c>
      <c r="D443" t="str">
        <f>Orders!D443</f>
        <v>PROD-036</v>
      </c>
      <c r="E443" t="str">
        <f>Orders!E443</f>
        <v>R005</v>
      </c>
      <c r="F443">
        <f>Orders!F443</f>
        <v>8</v>
      </c>
      <c r="G443" s="35">
        <f>Orders!G443</f>
        <v>3250</v>
      </c>
      <c r="H443" s="37">
        <f>Orders!H443</f>
        <v>5.4</v>
      </c>
      <c r="I443" s="39">
        <f>Orders!I443</f>
        <v>24596</v>
      </c>
      <c r="J443" t="str">
        <f>Orders!J443</f>
        <v>Completed</v>
      </c>
      <c r="K443" t="str">
        <f>Orders!K443</f>
        <v>Pune</v>
      </c>
      <c r="L443" t="str">
        <f>IFERROR(VLOOKUP(D443,Products!$A$2:$F$61,3,FALSE),"")</f>
        <v>Home</v>
      </c>
      <c r="M443">
        <f>IFERROR(VLOOKUP(D443,Products!$A$2:$F$61,4,FALSE),"")</f>
        <v>1556</v>
      </c>
      <c r="N443" t="str">
        <f>IFERROR(VLOOKUP(E443,Sales_Reps!$A$2:$E$31,3,FALSE),"")</f>
        <v>North</v>
      </c>
      <c r="O443" t="str">
        <f>IFERROR(VLOOKUP(C443,Customers!$A$2:$F$301,5,FALSE),"")</f>
        <v>Corporate</v>
      </c>
      <c r="P443">
        <f>IFERROR(VLOOKUP(C443,Customers!$A$2:$F$301,3,FALSE),"")</f>
        <v>29</v>
      </c>
      <c r="Q443" s="41">
        <f t="shared" si="15"/>
        <v>0.52123076923076928</v>
      </c>
      <c r="R443" t="str">
        <f>IFERROR(VLOOKUP(C443,Customers!$A$2:$F$301,1,FALSE),"")</f>
        <v>CUST-0059</v>
      </c>
      <c r="S443" s="27" t="b">
        <f>IFERROR(VLOOKUP(D443,Products!$A$2:$F$61,6,FALSE),"")</f>
        <v>1</v>
      </c>
      <c r="BL443">
        <v>0</v>
      </c>
      <c r="BO443">
        <v>0</v>
      </c>
      <c r="BP443">
        <v>0</v>
      </c>
    </row>
    <row r="444" spans="1:68" x14ac:dyDescent="0.35">
      <c r="A444" s="26" t="str">
        <f>Orders!A444</f>
        <v>ORD-00443</v>
      </c>
      <c r="B444" s="33">
        <f>Orders!B444</f>
        <v>45460</v>
      </c>
      <c r="C444" t="str">
        <f>Orders!C444</f>
        <v>CUST-0210</v>
      </c>
      <c r="D444" t="str">
        <f>Orders!D444</f>
        <v>PROD-007</v>
      </c>
      <c r="E444" t="str">
        <f>Orders!E444</f>
        <v>R009</v>
      </c>
      <c r="F444">
        <f>Orders!F444</f>
        <v>7</v>
      </c>
      <c r="G444" s="35">
        <f>Orders!G444</f>
        <v>1430</v>
      </c>
      <c r="H444" s="37">
        <f>Orders!H444</f>
        <v>19.3</v>
      </c>
      <c r="I444" s="39">
        <f>Orders!I444</f>
        <v>8078.07</v>
      </c>
      <c r="J444" t="str">
        <f>Orders!J444</f>
        <v>Completed</v>
      </c>
      <c r="K444" t="str">
        <f>Orders!K444</f>
        <v>Pune</v>
      </c>
      <c r="L444" t="str">
        <f>IFERROR(VLOOKUP(D444,Products!$A$2:$F$61,3,FALSE),"")</f>
        <v>Electronics</v>
      </c>
      <c r="M444">
        <f>IFERROR(VLOOKUP(D444,Products!$A$2:$F$61,4,FALSE),"")</f>
        <v>861</v>
      </c>
      <c r="N444" t="str">
        <f>IFERROR(VLOOKUP(E444,Sales_Reps!$A$2:$E$31,3,FALSE),"")</f>
        <v>South</v>
      </c>
      <c r="O444" t="str">
        <f>IFERROR(VLOOKUP(C444,Customers!$A$2:$F$301,5,FALSE),"")</f>
        <v>Corporate</v>
      </c>
      <c r="P444">
        <f>IFERROR(VLOOKUP(C444,Customers!$A$2:$F$301,3,FALSE),"")</f>
        <v>48</v>
      </c>
      <c r="Q444" s="41">
        <f t="shared" si="15"/>
        <v>0.39790209790209791</v>
      </c>
      <c r="R444" t="str">
        <f>IFERROR(VLOOKUP(C444,Customers!$A$2:$F$301,1,FALSE),"")</f>
        <v>CUST-0210</v>
      </c>
      <c r="S444" s="27" t="b">
        <f>IFERROR(VLOOKUP(D444,Products!$A$2:$F$61,6,FALSE),"")</f>
        <v>1</v>
      </c>
      <c r="BL444">
        <v>0</v>
      </c>
      <c r="BO444">
        <v>0</v>
      </c>
      <c r="BP444">
        <v>0</v>
      </c>
    </row>
    <row r="445" spans="1:68" x14ac:dyDescent="0.35">
      <c r="A445" s="26" t="str">
        <f>Orders!A445</f>
        <v>ORD-00444</v>
      </c>
      <c r="B445" s="33">
        <f>Orders!B445</f>
        <v>45597</v>
      </c>
      <c r="C445" t="str">
        <f>Orders!C445</f>
        <v>CUST-0145</v>
      </c>
      <c r="D445" t="str">
        <f>Orders!D445</f>
        <v>PROD-045</v>
      </c>
      <c r="E445" t="str">
        <f>Orders!E445</f>
        <v>R018</v>
      </c>
      <c r="F445">
        <f>Orders!F445</f>
        <v>9</v>
      </c>
      <c r="G445" s="35">
        <f>Orders!G445</f>
        <v>3020</v>
      </c>
      <c r="H445" s="37">
        <f>Orders!H445</f>
        <v>15</v>
      </c>
      <c r="I445" s="39">
        <f>Orders!I445</f>
        <v>23103</v>
      </c>
      <c r="J445" t="str">
        <f>Orders!J445</f>
        <v>Completed</v>
      </c>
      <c r="K445" t="str">
        <f>Orders!K445</f>
        <v>Bengaluru</v>
      </c>
      <c r="L445" t="str">
        <f>IFERROR(VLOOKUP(D445,Products!$A$2:$F$61,3,FALSE),"")</f>
        <v>Beauty</v>
      </c>
      <c r="M445">
        <f>IFERROR(VLOOKUP(D445,Products!$A$2:$F$61,4,FALSE),"")</f>
        <v>1626</v>
      </c>
      <c r="N445" t="str">
        <f>IFERROR(VLOOKUP(E445,Sales_Reps!$A$2:$E$31,3,FALSE),"")</f>
        <v>East</v>
      </c>
      <c r="O445" t="str">
        <f>IFERROR(VLOOKUP(C445,Customers!$A$2:$F$301,5,FALSE),"")</f>
        <v>SMB</v>
      </c>
      <c r="P445">
        <f>IFERROR(VLOOKUP(C445,Customers!$A$2:$F$301,3,FALSE),"")</f>
        <v>44</v>
      </c>
      <c r="Q445" s="41">
        <f t="shared" si="15"/>
        <v>0.46158940397350995</v>
      </c>
      <c r="R445" t="str">
        <f>IFERROR(VLOOKUP(C445,Customers!$A$2:$F$301,1,FALSE),"")</f>
        <v>CUST-0145</v>
      </c>
      <c r="S445" s="27" t="b">
        <f>IFERROR(VLOOKUP(D445,Products!$A$2:$F$61,6,FALSE),"")</f>
        <v>1</v>
      </c>
      <c r="BL445">
        <v>0</v>
      </c>
      <c r="BO445">
        <v>0</v>
      </c>
      <c r="BP445">
        <v>0</v>
      </c>
    </row>
    <row r="446" spans="1:68" x14ac:dyDescent="0.35">
      <c r="A446" s="26" t="str">
        <f>Orders!A446</f>
        <v>ORD-00445</v>
      </c>
      <c r="B446" s="33">
        <f>Orders!B446</f>
        <v>45324</v>
      </c>
      <c r="C446" t="str">
        <f>Orders!C446</f>
        <v>CUST-9626</v>
      </c>
      <c r="D446" t="str">
        <f>Orders!D446</f>
        <v>PROD-008</v>
      </c>
      <c r="E446" t="str">
        <f>Orders!E446</f>
        <v>R002</v>
      </c>
      <c r="F446">
        <f>Orders!F446</f>
        <v>2</v>
      </c>
      <c r="G446" s="35">
        <f>Orders!G446</f>
        <v>2660</v>
      </c>
      <c r="H446" s="37">
        <f>Orders!H446</f>
        <v>21.4</v>
      </c>
      <c r="I446" s="39">
        <f>Orders!I446</f>
        <v>4181.5200000000004</v>
      </c>
      <c r="J446" t="str">
        <f>Orders!J446</f>
        <v>Completed</v>
      </c>
      <c r="K446" t="str">
        <f>Orders!K446</f>
        <v>Chennai</v>
      </c>
      <c r="L446" t="str">
        <f>IFERROR(VLOOKUP(D446,Products!$A$2:$F$61,3,FALSE),"")</f>
        <v>Electronics</v>
      </c>
      <c r="M446">
        <f>IFERROR(VLOOKUP(D446,Products!$A$2:$F$61,4,FALSE),"")</f>
        <v>1259</v>
      </c>
      <c r="N446" t="str">
        <f>IFERROR(VLOOKUP(E446,Sales_Reps!$A$2:$E$31,3,FALSE),"")</f>
        <v>North</v>
      </c>
      <c r="O446" t="str">
        <f>IFERROR(VLOOKUP(C446,Customers!$A$2:$F$301,5,FALSE),"")</f>
        <v/>
      </c>
      <c r="P446" t="str">
        <f>IFERROR(VLOOKUP(C446,Customers!$A$2:$F$301,3,FALSE),"")</f>
        <v/>
      </c>
      <c r="Q446" s="41">
        <f t="shared" si="15"/>
        <v>0.52669172932330832</v>
      </c>
      <c r="R446" t="str">
        <f>IFERROR(VLOOKUP(C446,Customers!$A$2:$F$301,1,FALSE),"")</f>
        <v/>
      </c>
      <c r="S446" s="27" t="b">
        <f>IFERROR(VLOOKUP(D446,Products!$A$2:$F$61,6,FALSE),"")</f>
        <v>0</v>
      </c>
      <c r="BL446">
        <v>0</v>
      </c>
      <c r="BO446">
        <v>1</v>
      </c>
      <c r="BP446">
        <v>1</v>
      </c>
    </row>
    <row r="447" spans="1:68" x14ac:dyDescent="0.35">
      <c r="A447" s="26" t="str">
        <f>Orders!A447</f>
        <v>ORD-00446</v>
      </c>
      <c r="B447" s="33">
        <f>Orders!B447</f>
        <v>45490</v>
      </c>
      <c r="C447" t="str">
        <f>Orders!C447</f>
        <v>CUST-0250</v>
      </c>
      <c r="D447" t="str">
        <f>Orders!D447</f>
        <v>PROD-003</v>
      </c>
      <c r="E447" t="str">
        <f>Orders!E447</f>
        <v>R019</v>
      </c>
      <c r="F447">
        <f>Orders!F447</f>
        <v>10</v>
      </c>
      <c r="G447" s="35">
        <f>Orders!G447</f>
        <v>3570</v>
      </c>
      <c r="H447" s="37">
        <f>Orders!H447</f>
        <v>20.3</v>
      </c>
      <c r="I447" s="39">
        <f>Orders!I447</f>
        <v>28452.9</v>
      </c>
      <c r="J447" t="str">
        <f>Orders!J447</f>
        <v>Completed</v>
      </c>
      <c r="K447" t="str">
        <f>Orders!K447</f>
        <v>Delhi</v>
      </c>
      <c r="L447" t="str">
        <f>IFERROR(VLOOKUP(D447,Products!$A$2:$F$61,3,FALSE),"")</f>
        <v>Electronics</v>
      </c>
      <c r="M447">
        <f>IFERROR(VLOOKUP(D447,Products!$A$2:$F$61,4,FALSE),"")</f>
        <v>1665</v>
      </c>
      <c r="N447" t="str">
        <f>IFERROR(VLOOKUP(E447,Sales_Reps!$A$2:$E$31,3,FALSE),"")</f>
        <v>East</v>
      </c>
      <c r="O447" t="str">
        <f>IFERROR(VLOOKUP(C447,Customers!$A$2:$F$301,5,FALSE),"")</f>
        <v>Retail</v>
      </c>
      <c r="P447">
        <f>IFERROR(VLOOKUP(C447,Customers!$A$2:$F$301,3,FALSE),"")</f>
        <v>31</v>
      </c>
      <c r="Q447" s="41">
        <f t="shared" si="15"/>
        <v>0.53361344537815125</v>
      </c>
      <c r="R447" t="str">
        <f>IFERROR(VLOOKUP(C447,Customers!$A$2:$F$301,1,FALSE),"")</f>
        <v>CUST-0250</v>
      </c>
      <c r="S447" s="27" t="b">
        <f>IFERROR(VLOOKUP(D447,Products!$A$2:$F$61,6,FALSE),"")</f>
        <v>1</v>
      </c>
      <c r="BL447">
        <v>0</v>
      </c>
      <c r="BO447">
        <v>0</v>
      </c>
      <c r="BP447">
        <v>0</v>
      </c>
    </row>
    <row r="448" spans="1:68" x14ac:dyDescent="0.35">
      <c r="A448" s="26" t="str">
        <f>Orders!A448</f>
        <v>ORD-00447</v>
      </c>
      <c r="B448" s="33">
        <f>Orders!B448</f>
        <v>45330</v>
      </c>
      <c r="C448" t="str">
        <f>Orders!C448</f>
        <v>CUST-0241</v>
      </c>
      <c r="D448" t="str">
        <f>Orders!D448</f>
        <v>PROD-043</v>
      </c>
      <c r="E448" t="str">
        <f>Orders!E448</f>
        <v>R010</v>
      </c>
      <c r="F448">
        <f>Orders!F448</f>
        <v>4</v>
      </c>
      <c r="G448" s="35">
        <f>Orders!G448</f>
        <v>3350</v>
      </c>
      <c r="H448" s="37">
        <f>Orders!H448</f>
        <v>28.1</v>
      </c>
      <c r="I448" s="39">
        <f>Orders!I448</f>
        <v>9634.6</v>
      </c>
      <c r="J448" t="str">
        <f>Orders!J448</f>
        <v>Completed</v>
      </c>
      <c r="K448" t="str">
        <f>Orders!K448</f>
        <v>Pune</v>
      </c>
      <c r="L448" t="str">
        <f>IFERROR(VLOOKUP(D448,Products!$A$2:$F$61,3,FALSE),"")</f>
        <v>Beauty</v>
      </c>
      <c r="M448">
        <f>IFERROR(VLOOKUP(D448,Products!$A$2:$F$61,4,FALSE),"")</f>
        <v>1728</v>
      </c>
      <c r="N448" t="str">
        <f>IFERROR(VLOOKUP(E448,Sales_Reps!$A$2:$E$31,3,FALSE),"")</f>
        <v>South</v>
      </c>
      <c r="O448" t="str">
        <f>IFERROR(VLOOKUP(C448,Customers!$A$2:$F$301,5,FALSE),"")</f>
        <v>Corporate</v>
      </c>
      <c r="P448">
        <f>IFERROR(VLOOKUP(C448,Customers!$A$2:$F$301,3,FALSE),"")</f>
        <v>47</v>
      </c>
      <c r="Q448" s="41">
        <f t="shared" si="15"/>
        <v>0.48417910447761192</v>
      </c>
      <c r="R448" t="str">
        <f>IFERROR(VLOOKUP(C448,Customers!$A$2:$F$301,1,FALSE),"")</f>
        <v>CUST-0241</v>
      </c>
      <c r="S448" s="27" t="b">
        <f>IFERROR(VLOOKUP(D448,Products!$A$2:$F$61,6,FALSE),"")</f>
        <v>1</v>
      </c>
      <c r="BL448">
        <v>0</v>
      </c>
      <c r="BO448">
        <v>0</v>
      </c>
      <c r="BP448">
        <v>0</v>
      </c>
    </row>
    <row r="449" spans="1:68" x14ac:dyDescent="0.35">
      <c r="A449" s="26" t="str">
        <f>Orders!A449</f>
        <v>ORD-00448</v>
      </c>
      <c r="B449" s="33">
        <f>Orders!B449</f>
        <v>45336</v>
      </c>
      <c r="C449" t="str">
        <f>Orders!C449</f>
        <v>CUST-0071</v>
      </c>
      <c r="D449" t="str">
        <f>Orders!D449</f>
        <v>PROD-019</v>
      </c>
      <c r="E449" t="str">
        <f>Orders!E449</f>
        <v>R021</v>
      </c>
      <c r="F449">
        <f>Orders!F449</f>
        <v>1</v>
      </c>
      <c r="G449" s="35">
        <f>Orders!G449</f>
        <v>2480</v>
      </c>
      <c r="H449" s="37">
        <f>Orders!H449</f>
        <v>13.5</v>
      </c>
      <c r="I449" s="39">
        <f>Orders!I449</f>
        <v>2145.1999999999998</v>
      </c>
      <c r="J449" t="str">
        <f>Orders!J449</f>
        <v>Completed</v>
      </c>
      <c r="K449" t="str">
        <f>Orders!K449</f>
        <v>Delhi</v>
      </c>
      <c r="L449" t="str">
        <f>IFERROR(VLOOKUP(D449,Products!$A$2:$F$61,3,FALSE),"")</f>
        <v>Apparel</v>
      </c>
      <c r="M449">
        <f>IFERROR(VLOOKUP(D449,Products!$A$2:$F$61,4,FALSE),"")</f>
        <v>1173</v>
      </c>
      <c r="N449" t="str">
        <f>IFERROR(VLOOKUP(E449,Sales_Reps!$A$2:$E$31,3,FALSE),"")</f>
        <v>East</v>
      </c>
      <c r="O449" t="str">
        <f>IFERROR(VLOOKUP(C449,Customers!$A$2:$F$301,5,FALSE),"")</f>
        <v>Corporate</v>
      </c>
      <c r="P449">
        <f>IFERROR(VLOOKUP(C449,Customers!$A$2:$F$301,3,FALSE),"")</f>
        <v>46</v>
      </c>
      <c r="Q449" s="41">
        <f t="shared" si="15"/>
        <v>0.52701612903225803</v>
      </c>
      <c r="R449" t="str">
        <f>IFERROR(VLOOKUP(C449,Customers!$A$2:$F$301,1,FALSE),"")</f>
        <v>CUST-0071</v>
      </c>
      <c r="S449" s="27" t="b">
        <f>IFERROR(VLOOKUP(D449,Products!$A$2:$F$61,6,FALSE),"")</f>
        <v>1</v>
      </c>
      <c r="BL449">
        <v>0</v>
      </c>
      <c r="BO449">
        <v>0</v>
      </c>
      <c r="BP449">
        <v>0</v>
      </c>
    </row>
    <row r="450" spans="1:68" x14ac:dyDescent="0.35">
      <c r="A450" s="26" t="str">
        <f>Orders!A450</f>
        <v>ORD-00449</v>
      </c>
      <c r="B450" s="33">
        <f>Orders!B450</f>
        <v>45649</v>
      </c>
      <c r="C450" t="str">
        <f>Orders!C450</f>
        <v>CUST-0017</v>
      </c>
      <c r="D450" t="str">
        <f>Orders!D450</f>
        <v>PROD-052</v>
      </c>
      <c r="E450" t="str">
        <f>Orders!E450</f>
        <v>R015</v>
      </c>
      <c r="F450">
        <f>Orders!F450</f>
        <v>10</v>
      </c>
      <c r="G450" s="35">
        <f>Orders!G450</f>
        <v>5410</v>
      </c>
      <c r="H450" s="37">
        <f>Orders!H450</f>
        <v>26.1</v>
      </c>
      <c r="I450" s="39">
        <f>Orders!I450</f>
        <v>39979.9</v>
      </c>
      <c r="J450" t="str">
        <f>Orders!J450</f>
        <v>Completed</v>
      </c>
      <c r="K450" t="str">
        <f>Orders!K450</f>
        <v>Delhi</v>
      </c>
      <c r="L450" t="str">
        <f>IFERROR(VLOOKUP(D450,Products!$A$2:$F$61,3,FALSE),"")</f>
        <v>Sports</v>
      </c>
      <c r="M450">
        <f>IFERROR(VLOOKUP(D450,Products!$A$2:$F$61,4,FALSE),"")</f>
        <v>2265</v>
      </c>
      <c r="N450" t="str">
        <f>IFERROR(VLOOKUP(E450,Sales_Reps!$A$2:$E$31,3,FALSE),"")</f>
        <v>South</v>
      </c>
      <c r="O450" t="str">
        <f>IFERROR(VLOOKUP(C450,Customers!$A$2:$F$301,5,FALSE),"")</f>
        <v>SMB</v>
      </c>
      <c r="P450">
        <f>IFERROR(VLOOKUP(C450,Customers!$A$2:$F$301,3,FALSE),"")</f>
        <v>38</v>
      </c>
      <c r="Q450" s="41">
        <f t="shared" ref="Q450:Q513" si="16">IFERROR((G450-M450)/G450,0)</f>
        <v>0.58133086876155271</v>
      </c>
      <c r="R450" t="str">
        <f>IFERROR(VLOOKUP(C450,Customers!$A$2:$F$301,1,FALSE),"")</f>
        <v>CUST-0017</v>
      </c>
      <c r="S450" s="27" t="b">
        <f>IFERROR(VLOOKUP(D450,Products!$A$2:$F$61,6,FALSE),"")</f>
        <v>1</v>
      </c>
      <c r="BL450">
        <v>0</v>
      </c>
      <c r="BO450">
        <v>0</v>
      </c>
      <c r="BP450">
        <v>0</v>
      </c>
    </row>
    <row r="451" spans="1:68" x14ac:dyDescent="0.35">
      <c r="A451" s="26" t="str">
        <f>Orders!A451</f>
        <v>ORD-00450</v>
      </c>
      <c r="B451" s="33">
        <f>Orders!B451</f>
        <v>45586</v>
      </c>
      <c r="C451" t="str">
        <f>Orders!C451</f>
        <v>CUST-0007</v>
      </c>
      <c r="D451" t="str">
        <f>Orders!D451</f>
        <v>PROD-037</v>
      </c>
      <c r="E451" t="str">
        <f>Orders!E451</f>
        <v>R023</v>
      </c>
      <c r="F451">
        <f>Orders!F451</f>
        <v>2</v>
      </c>
      <c r="G451" s="35">
        <f>Orders!G451</f>
        <v>660</v>
      </c>
      <c r="H451" s="37">
        <f>Orders!H451</f>
        <v>5</v>
      </c>
      <c r="I451" s="39">
        <f>Orders!I451</f>
        <v>1254</v>
      </c>
      <c r="J451" t="str">
        <f>Orders!J451</f>
        <v>Completed</v>
      </c>
      <c r="K451" t="str">
        <f>Orders!K451</f>
        <v>Bengaluru</v>
      </c>
      <c r="L451" t="str">
        <f>IFERROR(VLOOKUP(D451,Products!$A$2:$F$61,3,FALSE),"")</f>
        <v>Home</v>
      </c>
      <c r="M451">
        <f>IFERROR(VLOOKUP(D451,Products!$A$2:$F$61,4,FALSE),"")</f>
        <v>329</v>
      </c>
      <c r="N451" t="str">
        <f>IFERROR(VLOOKUP(E451,Sales_Reps!$A$2:$E$31,3,FALSE),"")</f>
        <v>East</v>
      </c>
      <c r="O451" t="str">
        <f>IFERROR(VLOOKUP(C451,Customers!$A$2:$F$301,5,FALSE),"")</f>
        <v>Retail</v>
      </c>
      <c r="P451">
        <f>IFERROR(VLOOKUP(C451,Customers!$A$2:$F$301,3,FALSE),"")</f>
        <v>47</v>
      </c>
      <c r="Q451" s="41">
        <f t="shared" si="16"/>
        <v>0.50151515151515147</v>
      </c>
      <c r="R451" t="str">
        <f>IFERROR(VLOOKUP(C451,Customers!$A$2:$F$301,1,FALSE),"")</f>
        <v>CUST-0007</v>
      </c>
      <c r="S451" s="27" t="b">
        <f>IFERROR(VLOOKUP(D451,Products!$A$2:$F$61,6,FALSE),"")</f>
        <v>1</v>
      </c>
      <c r="BL451">
        <v>0</v>
      </c>
      <c r="BO451">
        <v>0</v>
      </c>
      <c r="BP451">
        <v>0</v>
      </c>
    </row>
    <row r="452" spans="1:68" x14ac:dyDescent="0.35">
      <c r="A452" s="26" t="str">
        <f>Orders!A452</f>
        <v>ORD-00451</v>
      </c>
      <c r="B452" s="33">
        <f>Orders!B452</f>
        <v>45647</v>
      </c>
      <c r="C452" t="str">
        <f>Orders!C452</f>
        <v>CUST-0054</v>
      </c>
      <c r="D452" t="str">
        <f>Orders!D452</f>
        <v>PROD-054</v>
      </c>
      <c r="E452" t="str">
        <f>Orders!E452</f>
        <v>R007</v>
      </c>
      <c r="F452">
        <f>Orders!F452</f>
        <v>10</v>
      </c>
      <c r="G452" s="35">
        <f>Orders!G452</f>
        <v>1010</v>
      </c>
      <c r="H452" s="37">
        <f>Orders!H452</f>
        <v>10</v>
      </c>
      <c r="I452" s="39">
        <f>Orders!I452</f>
        <v>9090</v>
      </c>
      <c r="J452" t="str">
        <f>Orders!J452</f>
        <v>Completed</v>
      </c>
      <c r="K452" t="str">
        <f>Orders!K452</f>
        <v>Mumbai</v>
      </c>
      <c r="L452" t="str">
        <f>IFERROR(VLOOKUP(D452,Products!$A$2:$F$61,3,FALSE),"")</f>
        <v>Sports</v>
      </c>
      <c r="M452">
        <f>IFERROR(VLOOKUP(D452,Products!$A$2:$F$61,4,FALSE),"")</f>
        <v>516</v>
      </c>
      <c r="N452" t="str">
        <f>IFERROR(VLOOKUP(E452,Sales_Reps!$A$2:$E$31,3,FALSE),"")</f>
        <v>North</v>
      </c>
      <c r="O452" t="str">
        <f>IFERROR(VLOOKUP(C452,Customers!$A$2:$F$301,5,FALSE),"")</f>
        <v>Corporate</v>
      </c>
      <c r="P452">
        <f>IFERROR(VLOOKUP(C452,Customers!$A$2:$F$301,3,FALSE),"")</f>
        <v>62</v>
      </c>
      <c r="Q452" s="41">
        <f t="shared" si="16"/>
        <v>0.4891089108910891</v>
      </c>
      <c r="R452" t="str">
        <f>IFERROR(VLOOKUP(C452,Customers!$A$2:$F$301,1,FALSE),"")</f>
        <v>CUST-0054</v>
      </c>
      <c r="S452" s="27" t="b">
        <f>IFERROR(VLOOKUP(D452,Products!$A$2:$F$61,6,FALSE),"")</f>
        <v>1</v>
      </c>
      <c r="BL452">
        <v>0</v>
      </c>
      <c r="BO452">
        <v>0</v>
      </c>
      <c r="BP452">
        <v>0</v>
      </c>
    </row>
    <row r="453" spans="1:68" x14ac:dyDescent="0.35">
      <c r="A453" s="26" t="str">
        <f>Orders!A453</f>
        <v>ORD-00452</v>
      </c>
      <c r="B453" s="33">
        <f>Orders!B453</f>
        <v>45496</v>
      </c>
      <c r="C453" t="str">
        <f>Orders!C453</f>
        <v>CUST-0038</v>
      </c>
      <c r="D453" t="str">
        <f>Orders!D453</f>
        <v>PROD-042</v>
      </c>
      <c r="E453" t="str">
        <f>Orders!E453</f>
        <v>R001</v>
      </c>
      <c r="F453">
        <f>Orders!F453</f>
        <v>3</v>
      </c>
      <c r="G453" s="35">
        <f>Orders!G453</f>
        <v>2290</v>
      </c>
      <c r="H453" s="37">
        <f>Orders!H453</f>
        <v>8.9</v>
      </c>
      <c r="I453" s="39">
        <f>Orders!I453</f>
        <v>6258.57</v>
      </c>
      <c r="J453" t="str">
        <f>Orders!J453</f>
        <v>Completed</v>
      </c>
      <c r="K453" t="str">
        <f>Orders!K453</f>
        <v>Mumbai</v>
      </c>
      <c r="L453" t="str">
        <f>IFERROR(VLOOKUP(D453,Products!$A$2:$F$61,3,FALSE),"")</f>
        <v>Beauty</v>
      </c>
      <c r="M453">
        <f>IFERROR(VLOOKUP(D453,Products!$A$2:$F$61,4,FALSE),"")</f>
        <v>1219</v>
      </c>
      <c r="N453" t="str">
        <f>IFERROR(VLOOKUP(E453,Sales_Reps!$A$2:$E$31,3,FALSE),"")</f>
        <v>North</v>
      </c>
      <c r="O453" t="str">
        <f>IFERROR(VLOOKUP(C453,Customers!$A$2:$F$301,5,FALSE),"")</f>
        <v>Retail</v>
      </c>
      <c r="P453">
        <f>IFERROR(VLOOKUP(C453,Customers!$A$2:$F$301,3,FALSE),"")</f>
        <v>57</v>
      </c>
      <c r="Q453" s="41">
        <f t="shared" si="16"/>
        <v>0.46768558951965067</v>
      </c>
      <c r="R453" t="str">
        <f>IFERROR(VLOOKUP(C453,Customers!$A$2:$F$301,1,FALSE),"")</f>
        <v>CUST-0038</v>
      </c>
      <c r="S453" s="27" t="b">
        <f>IFERROR(VLOOKUP(D453,Products!$A$2:$F$61,6,FALSE),"")</f>
        <v>1</v>
      </c>
      <c r="BL453">
        <v>0</v>
      </c>
      <c r="BO453">
        <v>0</v>
      </c>
      <c r="BP453">
        <v>0</v>
      </c>
    </row>
    <row r="454" spans="1:68" x14ac:dyDescent="0.35">
      <c r="A454" s="26" t="str">
        <f>Orders!A454</f>
        <v>ORD-00453</v>
      </c>
      <c r="B454" s="33">
        <f>Orders!B454</f>
        <v>45369</v>
      </c>
      <c r="C454" t="str">
        <f>Orders!C454</f>
        <v>CUST-0066</v>
      </c>
      <c r="D454" t="str">
        <f>Orders!D454</f>
        <v>PROD-047</v>
      </c>
      <c r="E454" t="str">
        <f>Orders!E454</f>
        <v>R001</v>
      </c>
      <c r="F454">
        <f>Orders!F454</f>
        <v>9</v>
      </c>
      <c r="G454" s="35">
        <f>Orders!G454</f>
        <v>3450</v>
      </c>
      <c r="H454" s="37">
        <f>Orders!H454</f>
        <v>24.3</v>
      </c>
      <c r="I454" s="39">
        <f>Orders!I454</f>
        <v>23504.85</v>
      </c>
      <c r="J454" t="str">
        <f>Orders!J454</f>
        <v>Completed</v>
      </c>
      <c r="K454" t="str">
        <f>Orders!K454</f>
        <v>Delhi</v>
      </c>
      <c r="L454" t="str">
        <f>IFERROR(VLOOKUP(D454,Products!$A$2:$F$61,3,FALSE),"")</f>
        <v>Beauty</v>
      </c>
      <c r="M454">
        <f>IFERROR(VLOOKUP(D454,Products!$A$2:$F$61,4,FALSE),"")</f>
        <v>2420</v>
      </c>
      <c r="N454" t="str">
        <f>IFERROR(VLOOKUP(E454,Sales_Reps!$A$2:$E$31,3,FALSE),"")</f>
        <v>North</v>
      </c>
      <c r="O454" t="str">
        <f>IFERROR(VLOOKUP(C454,Customers!$A$2:$F$301,5,FALSE),"")</f>
        <v>Retail</v>
      </c>
      <c r="P454">
        <f>IFERROR(VLOOKUP(C454,Customers!$A$2:$F$301,3,FALSE),"")</f>
        <v>24</v>
      </c>
      <c r="Q454" s="41">
        <f t="shared" si="16"/>
        <v>0.29855072463768118</v>
      </c>
      <c r="R454" t="str">
        <f>IFERROR(VLOOKUP(C454,Customers!$A$2:$F$301,1,FALSE),"")</f>
        <v>CUST-0066</v>
      </c>
      <c r="S454" s="27" t="b">
        <f>IFERROR(VLOOKUP(D454,Products!$A$2:$F$61,6,FALSE),"")</f>
        <v>1</v>
      </c>
      <c r="BL454">
        <v>0</v>
      </c>
      <c r="BO454">
        <v>0</v>
      </c>
      <c r="BP454">
        <v>0</v>
      </c>
    </row>
    <row r="455" spans="1:68" x14ac:dyDescent="0.35">
      <c r="A455" s="26" t="str">
        <f>Orders!A455</f>
        <v>ORD-00454</v>
      </c>
      <c r="B455" s="33">
        <f>Orders!B455</f>
        <v>45389</v>
      </c>
      <c r="C455" t="str">
        <f>Orders!C455</f>
        <v>CUST-0161</v>
      </c>
      <c r="D455" t="str">
        <f>Orders!D455</f>
        <v>PROD-013</v>
      </c>
      <c r="E455" t="str">
        <f>Orders!E455</f>
        <v>R003</v>
      </c>
      <c r="F455">
        <f>Orders!F455</f>
        <v>10</v>
      </c>
      <c r="G455" s="35">
        <f>Orders!G455</f>
        <v>3640</v>
      </c>
      <c r="H455" s="37">
        <f>Orders!H455</f>
        <v>21.4</v>
      </c>
      <c r="I455" s="39">
        <f>Orders!I455</f>
        <v>28610.400000000001</v>
      </c>
      <c r="J455" t="str">
        <f>Orders!J455</f>
        <v>Cancelled</v>
      </c>
      <c r="K455" t="str">
        <f>Orders!K455</f>
        <v>Chennai</v>
      </c>
      <c r="L455" t="str">
        <f>IFERROR(VLOOKUP(D455,Products!$A$2:$F$61,3,FALSE),"")</f>
        <v>Apparel</v>
      </c>
      <c r="M455">
        <f>IFERROR(VLOOKUP(D455,Products!$A$2:$F$61,4,FALSE),"")</f>
        <v>2611</v>
      </c>
      <c r="N455" t="str">
        <f>IFERROR(VLOOKUP(E455,Sales_Reps!$A$2:$E$31,3,FALSE),"")</f>
        <v>North</v>
      </c>
      <c r="O455" t="str">
        <f>IFERROR(VLOOKUP(C455,Customers!$A$2:$F$301,5,FALSE),"")</f>
        <v>Retail</v>
      </c>
      <c r="P455">
        <f>IFERROR(VLOOKUP(C455,Customers!$A$2:$F$301,3,FALSE),"")</f>
        <v>38</v>
      </c>
      <c r="Q455" s="41">
        <f t="shared" si="16"/>
        <v>0.28269230769230769</v>
      </c>
      <c r="R455" t="str">
        <f>IFERROR(VLOOKUP(C455,Customers!$A$2:$F$301,1,FALSE),"")</f>
        <v>CUST-0161</v>
      </c>
      <c r="S455" s="27" t="b">
        <f>IFERROR(VLOOKUP(D455,Products!$A$2:$F$61,6,FALSE),"")</f>
        <v>1</v>
      </c>
      <c r="BL455">
        <v>0</v>
      </c>
      <c r="BO455">
        <v>0</v>
      </c>
      <c r="BP455">
        <v>0</v>
      </c>
    </row>
    <row r="456" spans="1:68" x14ac:dyDescent="0.35">
      <c r="A456" s="26" t="str">
        <f>Orders!A456</f>
        <v>ORD-00455</v>
      </c>
      <c r="B456" s="33">
        <f>Orders!B456</f>
        <v>45336</v>
      </c>
      <c r="C456" t="str">
        <f>Orders!C456</f>
        <v>CUST-0072</v>
      </c>
      <c r="D456" t="str">
        <f>Orders!D456</f>
        <v>PROD-023</v>
      </c>
      <c r="E456" t="str">
        <f>Orders!E456</f>
        <v>R015</v>
      </c>
      <c r="F456">
        <f>Orders!F456</f>
        <v>5</v>
      </c>
      <c r="G456" s="35">
        <f>Orders!G456</f>
        <v>2380</v>
      </c>
      <c r="H456" s="37">
        <f>Orders!H456</f>
        <v>12.2</v>
      </c>
      <c r="I456" s="39">
        <f>Orders!I456</f>
        <v>10448.200000000001</v>
      </c>
      <c r="J456" t="str">
        <f>Orders!J456</f>
        <v>Completed</v>
      </c>
      <c r="K456" t="str">
        <f>Orders!K456</f>
        <v>Mumbai</v>
      </c>
      <c r="L456" t="str">
        <f>IFERROR(VLOOKUP(D456,Products!$A$2:$F$61,3,FALSE),"")</f>
        <v>Grocery</v>
      </c>
      <c r="M456">
        <f>IFERROR(VLOOKUP(D456,Products!$A$2:$F$61,4,FALSE),"")</f>
        <v>1182</v>
      </c>
      <c r="N456" t="str">
        <f>IFERROR(VLOOKUP(E456,Sales_Reps!$A$2:$E$31,3,FALSE),"")</f>
        <v>South</v>
      </c>
      <c r="O456" t="str">
        <f>IFERROR(VLOOKUP(C456,Customers!$A$2:$F$301,5,FALSE),"")</f>
        <v>Corporate</v>
      </c>
      <c r="P456">
        <f>IFERROR(VLOOKUP(C456,Customers!$A$2:$F$301,3,FALSE),"")</f>
        <v>62</v>
      </c>
      <c r="Q456" s="41">
        <f t="shared" si="16"/>
        <v>0.50336134453781511</v>
      </c>
      <c r="R456" t="str">
        <f>IFERROR(VLOOKUP(C456,Customers!$A$2:$F$301,1,FALSE),"")</f>
        <v>CUST-0072</v>
      </c>
      <c r="S456" s="27" t="b">
        <f>IFERROR(VLOOKUP(D456,Products!$A$2:$F$61,6,FALSE),"")</f>
        <v>1</v>
      </c>
      <c r="BL456">
        <v>0</v>
      </c>
      <c r="BO456">
        <v>0</v>
      </c>
      <c r="BP456">
        <v>0</v>
      </c>
    </row>
    <row r="457" spans="1:68" x14ac:dyDescent="0.35">
      <c r="A457" s="26" t="str">
        <f>Orders!A457</f>
        <v>ORD-00456</v>
      </c>
      <c r="B457" s="33">
        <f>Orders!B457</f>
        <v>45505</v>
      </c>
      <c r="C457" t="str">
        <f>Orders!C457</f>
        <v>CUST-0232</v>
      </c>
      <c r="D457" t="str">
        <f>Orders!D457</f>
        <v>PROD-052</v>
      </c>
      <c r="E457" t="str">
        <f>Orders!E457</f>
        <v>R017</v>
      </c>
      <c r="F457">
        <f>Orders!F457</f>
        <v>10</v>
      </c>
      <c r="G457" s="35">
        <f>Orders!G457</f>
        <v>5410</v>
      </c>
      <c r="H457" s="37">
        <f>Orders!H457</f>
        <v>29.8</v>
      </c>
      <c r="I457" s="39">
        <f>Orders!I457</f>
        <v>37978.199999999997</v>
      </c>
      <c r="J457" t="str">
        <f>Orders!J457</f>
        <v>Completed</v>
      </c>
      <c r="K457" t="str">
        <f>Orders!K457</f>
        <v>Hyderabad</v>
      </c>
      <c r="L457" t="str">
        <f>IFERROR(VLOOKUP(D457,Products!$A$2:$F$61,3,FALSE),"")</f>
        <v>Sports</v>
      </c>
      <c r="M457">
        <f>IFERROR(VLOOKUP(D457,Products!$A$2:$F$61,4,FALSE),"")</f>
        <v>2265</v>
      </c>
      <c r="N457" t="str">
        <f>IFERROR(VLOOKUP(E457,Sales_Reps!$A$2:$E$31,3,FALSE),"")</f>
        <v>East</v>
      </c>
      <c r="O457" t="str">
        <f>IFERROR(VLOOKUP(C457,Customers!$A$2:$F$301,5,FALSE),"")</f>
        <v>Retail</v>
      </c>
      <c r="P457">
        <f>IFERROR(VLOOKUP(C457,Customers!$A$2:$F$301,3,FALSE),"")</f>
        <v>38</v>
      </c>
      <c r="Q457" s="41">
        <f t="shared" si="16"/>
        <v>0.58133086876155271</v>
      </c>
      <c r="R457" t="str">
        <f>IFERROR(VLOOKUP(C457,Customers!$A$2:$F$301,1,FALSE),"")</f>
        <v>CUST-0232</v>
      </c>
      <c r="S457" s="27" t="b">
        <f>IFERROR(VLOOKUP(D457,Products!$A$2:$F$61,6,FALSE),"")</f>
        <v>1</v>
      </c>
      <c r="BL457">
        <v>0</v>
      </c>
      <c r="BO457">
        <v>0</v>
      </c>
      <c r="BP457">
        <v>0</v>
      </c>
    </row>
    <row r="458" spans="1:68" x14ac:dyDescent="0.35">
      <c r="A458" s="26" t="str">
        <f>Orders!A458</f>
        <v>ORD-00457</v>
      </c>
      <c r="B458" s="33">
        <f>Orders!B458</f>
        <v>45375</v>
      </c>
      <c r="C458" t="str">
        <f>Orders!C458</f>
        <v>CUST-0054</v>
      </c>
      <c r="D458" t="str">
        <f>Orders!D458</f>
        <v>PROD-044</v>
      </c>
      <c r="E458" t="str">
        <f>Orders!E458</f>
        <v>R021</v>
      </c>
      <c r="F458">
        <f>Orders!F458</f>
        <v>3</v>
      </c>
      <c r="G458" s="35">
        <f>Orders!G458</f>
        <v>1650</v>
      </c>
      <c r="H458" s="37">
        <f>Orders!H458</f>
        <v>9.4</v>
      </c>
      <c r="I458" s="39">
        <f>Orders!I458</f>
        <v>4484.7</v>
      </c>
      <c r="J458" t="str">
        <f>Orders!J458</f>
        <v>Cancelled</v>
      </c>
      <c r="K458" t="str">
        <f>Orders!K458</f>
        <v>Mumbai</v>
      </c>
      <c r="L458" t="str">
        <f>IFERROR(VLOOKUP(D458,Products!$A$2:$F$61,3,FALSE),"")</f>
        <v>Beauty</v>
      </c>
      <c r="M458">
        <f>IFERROR(VLOOKUP(D458,Products!$A$2:$F$61,4,FALSE),"")</f>
        <v>1222</v>
      </c>
      <c r="N458" t="str">
        <f>IFERROR(VLOOKUP(E458,Sales_Reps!$A$2:$E$31,3,FALSE),"")</f>
        <v>East</v>
      </c>
      <c r="O458" t="str">
        <f>IFERROR(VLOOKUP(C458,Customers!$A$2:$F$301,5,FALSE),"")</f>
        <v>Corporate</v>
      </c>
      <c r="P458">
        <f>IFERROR(VLOOKUP(C458,Customers!$A$2:$F$301,3,FALSE),"")</f>
        <v>62</v>
      </c>
      <c r="Q458" s="41">
        <f t="shared" si="16"/>
        <v>0.2593939393939394</v>
      </c>
      <c r="R458" t="str">
        <f>IFERROR(VLOOKUP(C458,Customers!$A$2:$F$301,1,FALSE),"")</f>
        <v>CUST-0054</v>
      </c>
      <c r="S458" s="27" t="b">
        <f>IFERROR(VLOOKUP(D458,Products!$A$2:$F$61,6,FALSE),"")</f>
        <v>1</v>
      </c>
      <c r="BL458">
        <v>0</v>
      </c>
      <c r="BO458">
        <v>0</v>
      </c>
      <c r="BP458">
        <v>0</v>
      </c>
    </row>
    <row r="459" spans="1:68" x14ac:dyDescent="0.35">
      <c r="A459" s="26" t="str">
        <f>Orders!A459</f>
        <v>ORD-00458</v>
      </c>
      <c r="B459" s="33">
        <f>Orders!B459</f>
        <v>45383</v>
      </c>
      <c r="C459" t="str">
        <f>Orders!C459</f>
        <v>CUST-0214</v>
      </c>
      <c r="D459" t="str">
        <f>Orders!D459</f>
        <v>PROD-002</v>
      </c>
      <c r="E459" t="str">
        <f>Orders!E459</f>
        <v>R022</v>
      </c>
      <c r="F459">
        <f>Orders!F459</f>
        <v>7</v>
      </c>
      <c r="G459" s="35">
        <f>Orders!G459</f>
        <v>2600</v>
      </c>
      <c r="H459" s="37">
        <f>Orders!H459</f>
        <v>19.899999999999999</v>
      </c>
      <c r="I459" s="39">
        <f>Orders!I459</f>
        <v>14578.2</v>
      </c>
      <c r="J459" t="str">
        <f>Orders!J459</f>
        <v>Pending</v>
      </c>
      <c r="K459" t="str">
        <f>Orders!K459</f>
        <v>Mumbai</v>
      </c>
      <c r="L459" t="str">
        <f>IFERROR(VLOOKUP(D459,Products!$A$2:$F$61,3,FALSE),"")</f>
        <v>Electronics</v>
      </c>
      <c r="M459">
        <f>IFERROR(VLOOKUP(D459,Products!$A$2:$F$61,4,FALSE),"")</f>
        <v>1052</v>
      </c>
      <c r="N459" t="str">
        <f>IFERROR(VLOOKUP(E459,Sales_Reps!$A$2:$E$31,3,FALSE),"")</f>
        <v>East</v>
      </c>
      <c r="O459" t="str">
        <f>IFERROR(VLOOKUP(C459,Customers!$A$2:$F$301,5,FALSE),"")</f>
        <v>Retail</v>
      </c>
      <c r="P459">
        <f>IFERROR(VLOOKUP(C459,Customers!$A$2:$F$301,3,FALSE),"")</f>
        <v>22</v>
      </c>
      <c r="Q459" s="41">
        <f t="shared" si="16"/>
        <v>0.5953846153846154</v>
      </c>
      <c r="R459" t="str">
        <f>IFERROR(VLOOKUP(C459,Customers!$A$2:$F$301,1,FALSE),"")</f>
        <v>CUST-0214</v>
      </c>
      <c r="S459" s="27" t="b">
        <f>IFERROR(VLOOKUP(D459,Products!$A$2:$F$61,6,FALSE),"")</f>
        <v>1</v>
      </c>
      <c r="BL459">
        <v>0</v>
      </c>
      <c r="BO459">
        <v>0</v>
      </c>
      <c r="BP459">
        <v>0</v>
      </c>
    </row>
    <row r="460" spans="1:68" x14ac:dyDescent="0.35">
      <c r="A460" s="26" t="str">
        <f>Orders!A460</f>
        <v>ORD-00135</v>
      </c>
      <c r="B460" s="33">
        <f>Orders!B460</f>
        <v>45474</v>
      </c>
      <c r="C460" t="str">
        <f>Orders!C460</f>
        <v>CUST-0236</v>
      </c>
      <c r="D460" t="str">
        <f>Orders!D460</f>
        <v>PROD-039</v>
      </c>
      <c r="E460" t="str">
        <f>Orders!E460</f>
        <v>R002</v>
      </c>
      <c r="F460">
        <f>Orders!F460</f>
        <v>4</v>
      </c>
      <c r="G460" s="35">
        <f>Orders!G460</f>
        <v>4610</v>
      </c>
      <c r="H460" s="37">
        <f>Orders!H460</f>
        <v>13.2</v>
      </c>
      <c r="I460" s="39">
        <f>Orders!I460</f>
        <v>16005.92</v>
      </c>
      <c r="J460" t="str">
        <f>Orders!J460</f>
        <v>Completed</v>
      </c>
      <c r="K460" t="str">
        <f>Orders!K460</f>
        <v>Hyderabad</v>
      </c>
      <c r="L460" t="str">
        <f>IFERROR(VLOOKUP(D460,Products!$A$2:$F$61,3,FALSE),"")</f>
        <v>Home</v>
      </c>
      <c r="M460">
        <f>IFERROR(VLOOKUP(D460,Products!$A$2:$F$61,4,FALSE),"")</f>
        <v>1850</v>
      </c>
      <c r="N460" t="str">
        <f>IFERROR(VLOOKUP(E460,Sales_Reps!$A$2:$E$31,3,FALSE),"")</f>
        <v>North</v>
      </c>
      <c r="O460" t="str">
        <f>IFERROR(VLOOKUP(C460,Customers!$A$2:$F$301,5,FALSE),"")</f>
        <v>SMB</v>
      </c>
      <c r="P460">
        <f>IFERROR(VLOOKUP(C460,Customers!$A$2:$F$301,3,FALSE),"")</f>
        <v>28</v>
      </c>
      <c r="Q460" s="41">
        <f t="shared" si="16"/>
        <v>0.59869848156182215</v>
      </c>
      <c r="R460" t="str">
        <f>IFERROR(VLOOKUP(C460,Customers!$A$2:$F$301,1,FALSE),"")</f>
        <v>CUST-0236</v>
      </c>
      <c r="S460" s="27" t="b">
        <f>IFERROR(VLOOKUP(D460,Products!$A$2:$F$61,6,FALSE),"")</f>
        <v>1</v>
      </c>
      <c r="BL460">
        <v>0.5</v>
      </c>
      <c r="BO460">
        <v>0</v>
      </c>
      <c r="BP460">
        <v>0</v>
      </c>
    </row>
    <row r="461" spans="1:68" x14ac:dyDescent="0.35">
      <c r="A461" s="26" t="str">
        <f>Orders!A461</f>
        <v>ORD-00460</v>
      </c>
      <c r="B461" s="33">
        <f>Orders!B461</f>
        <v>45361</v>
      </c>
      <c r="C461" t="str">
        <f>Orders!C461</f>
        <v>CUST-0031</v>
      </c>
      <c r="D461" t="str">
        <f>Orders!D461</f>
        <v>PROD-039</v>
      </c>
      <c r="E461" t="str">
        <f>Orders!E461</f>
        <v>R021</v>
      </c>
      <c r="F461">
        <f>Orders!F461</f>
        <v>9</v>
      </c>
      <c r="G461" s="35">
        <f>Orders!G461</f>
        <v>4610</v>
      </c>
      <c r="H461" s="37">
        <f>Orders!H461</f>
        <v>25.8</v>
      </c>
      <c r="I461" s="39">
        <f>Orders!I461</f>
        <v>30785.58</v>
      </c>
      <c r="J461" t="str">
        <f>Orders!J461</f>
        <v>Completed</v>
      </c>
      <c r="K461" t="str">
        <f>Orders!K461</f>
        <v>Hyderabad</v>
      </c>
      <c r="L461" t="str">
        <f>IFERROR(VLOOKUP(D461,Products!$A$2:$F$61,3,FALSE),"")</f>
        <v>Home</v>
      </c>
      <c r="M461">
        <f>IFERROR(VLOOKUP(D461,Products!$A$2:$F$61,4,FALSE),"")</f>
        <v>1850</v>
      </c>
      <c r="N461" t="str">
        <f>IFERROR(VLOOKUP(E461,Sales_Reps!$A$2:$E$31,3,FALSE),"")</f>
        <v>East</v>
      </c>
      <c r="O461" t="str">
        <f>IFERROR(VLOOKUP(C461,Customers!$A$2:$F$301,5,FALSE),"")</f>
        <v>Retail</v>
      </c>
      <c r="P461">
        <f>IFERROR(VLOOKUP(C461,Customers!$A$2:$F$301,3,FALSE),"")</f>
        <v>53</v>
      </c>
      <c r="Q461" s="41">
        <f t="shared" si="16"/>
        <v>0.59869848156182215</v>
      </c>
      <c r="R461" t="str">
        <f>IFERROR(VLOOKUP(C461,Customers!$A$2:$F$301,1,FALSE),"")</f>
        <v>CUST-0031</v>
      </c>
      <c r="S461" s="27" t="b">
        <f>IFERROR(VLOOKUP(D461,Products!$A$2:$F$61,6,FALSE),"")</f>
        <v>1</v>
      </c>
      <c r="BL461">
        <v>0</v>
      </c>
      <c r="BO461">
        <v>0</v>
      </c>
      <c r="BP461">
        <v>0</v>
      </c>
    </row>
    <row r="462" spans="1:68" x14ac:dyDescent="0.35">
      <c r="A462" s="26" t="str">
        <f>Orders!A462</f>
        <v>ORD-00461</v>
      </c>
      <c r="B462" s="33">
        <f>Orders!B462</f>
        <v>45550</v>
      </c>
      <c r="C462" t="str">
        <f>Orders!C462</f>
        <v>CUST-0123</v>
      </c>
      <c r="D462" t="str">
        <f>Orders!D462</f>
        <v>PROD-005</v>
      </c>
      <c r="E462" t="str">
        <f>Orders!E462</f>
        <v>R014</v>
      </c>
      <c r="F462">
        <f>Orders!F462</f>
        <v>5</v>
      </c>
      <c r="G462" s="35">
        <f>Orders!G462</f>
        <v>300</v>
      </c>
      <c r="H462" s="37">
        <f>Orders!H462</f>
        <v>11.8</v>
      </c>
      <c r="I462" s="39">
        <f>Orders!I462</f>
        <v>1323</v>
      </c>
      <c r="J462" t="str">
        <f>Orders!J462</f>
        <v>Completed</v>
      </c>
      <c r="K462" t="str">
        <f>Orders!K462</f>
        <v>Chennai</v>
      </c>
      <c r="L462" t="str">
        <f>IFERROR(VLOOKUP(D462,Products!$A$2:$F$61,3,FALSE),"")</f>
        <v>Electronics</v>
      </c>
      <c r="M462">
        <f>IFERROR(VLOOKUP(D462,Products!$A$2:$F$61,4,FALSE),"")</f>
        <v>128</v>
      </c>
      <c r="N462" t="str">
        <f>IFERROR(VLOOKUP(E462,Sales_Reps!$A$2:$E$31,3,FALSE),"")</f>
        <v>South</v>
      </c>
      <c r="O462" t="str">
        <f>IFERROR(VLOOKUP(C462,Customers!$A$2:$F$301,5,FALSE),"")</f>
        <v>Corporate</v>
      </c>
      <c r="P462">
        <f>IFERROR(VLOOKUP(C462,Customers!$A$2:$F$301,3,FALSE),"")</f>
        <v>44</v>
      </c>
      <c r="Q462" s="41">
        <f t="shared" si="16"/>
        <v>0.57333333333333336</v>
      </c>
      <c r="R462" t="str">
        <f>IFERROR(VLOOKUP(C462,Customers!$A$2:$F$301,1,FALSE),"")</f>
        <v>CUST-0123</v>
      </c>
      <c r="S462" s="27" t="b">
        <f>IFERROR(VLOOKUP(D462,Products!$A$2:$F$61,6,FALSE),"")</f>
        <v>1</v>
      </c>
      <c r="BL462">
        <v>0</v>
      </c>
      <c r="BO462">
        <v>0</v>
      </c>
      <c r="BP462">
        <v>0</v>
      </c>
    </row>
    <row r="463" spans="1:68" x14ac:dyDescent="0.35">
      <c r="A463" s="26" t="str">
        <f>Orders!A463</f>
        <v>ORD-00462</v>
      </c>
      <c r="B463" s="33">
        <f>Orders!B463</f>
        <v>45485</v>
      </c>
      <c r="C463" t="str">
        <f>Orders!C463</f>
        <v>CUST-0019</v>
      </c>
      <c r="D463" t="str">
        <f>Orders!D463</f>
        <v>PROD-011</v>
      </c>
      <c r="E463" t="str">
        <f>Orders!E463</f>
        <v>R020</v>
      </c>
      <c r="F463">
        <f>Orders!F463</f>
        <v>3</v>
      </c>
      <c r="G463" s="35">
        <f>Orders!G463</f>
        <v>3450</v>
      </c>
      <c r="H463" s="37">
        <f>Orders!H463</f>
        <v>14.2</v>
      </c>
      <c r="I463" s="39">
        <f>Orders!I463</f>
        <v>8880.2999999999993</v>
      </c>
      <c r="J463" t="str">
        <f>Orders!J463</f>
        <v>Completed</v>
      </c>
      <c r="K463" t="str">
        <f>Orders!K463</f>
        <v>Chennai</v>
      </c>
      <c r="L463" t="str">
        <f>IFERROR(VLOOKUP(D463,Products!$A$2:$F$61,3,FALSE),"")</f>
        <v>Apparel</v>
      </c>
      <c r="M463">
        <f>IFERROR(VLOOKUP(D463,Products!$A$2:$F$61,4,FALSE),"")</f>
        <v>1748</v>
      </c>
      <c r="N463" t="str">
        <f>IFERROR(VLOOKUP(E463,Sales_Reps!$A$2:$E$31,3,FALSE),"")</f>
        <v>East</v>
      </c>
      <c r="O463" t="str">
        <f>IFERROR(VLOOKUP(C463,Customers!$A$2:$F$301,5,FALSE),"")</f>
        <v>Retail</v>
      </c>
      <c r="P463">
        <f>IFERROR(VLOOKUP(C463,Customers!$A$2:$F$301,3,FALSE),"")</f>
        <v>22</v>
      </c>
      <c r="Q463" s="41">
        <f t="shared" si="16"/>
        <v>0.49333333333333335</v>
      </c>
      <c r="R463" t="str">
        <f>IFERROR(VLOOKUP(C463,Customers!$A$2:$F$301,1,FALSE),"")</f>
        <v>CUST-0019</v>
      </c>
      <c r="S463" s="27" t="b">
        <f>IFERROR(VLOOKUP(D463,Products!$A$2:$F$61,6,FALSE),"")</f>
        <v>1</v>
      </c>
      <c r="BL463">
        <v>0</v>
      </c>
      <c r="BO463">
        <v>0</v>
      </c>
      <c r="BP463">
        <v>0</v>
      </c>
    </row>
    <row r="464" spans="1:68" x14ac:dyDescent="0.35">
      <c r="A464" s="26" t="str">
        <f>Orders!A464</f>
        <v>ORD-00463</v>
      </c>
      <c r="B464" s="33">
        <f>Orders!B464</f>
        <v>45523</v>
      </c>
      <c r="C464" t="str">
        <f>Orders!C464</f>
        <v>CUST-0171</v>
      </c>
      <c r="D464" t="str">
        <f>Orders!D464</f>
        <v>PROD-015</v>
      </c>
      <c r="E464" t="str">
        <f>Orders!E464</f>
        <v>R028</v>
      </c>
      <c r="F464">
        <f>Orders!F464</f>
        <v>2</v>
      </c>
      <c r="G464" s="35">
        <f>Orders!G464</f>
        <v>2720</v>
      </c>
      <c r="H464" s="37">
        <f>Orders!H464</f>
        <v>14.6</v>
      </c>
      <c r="I464" s="39">
        <f>Orders!I464</f>
        <v>4645.76</v>
      </c>
      <c r="J464" t="str">
        <f>Orders!J464</f>
        <v>Cancelled</v>
      </c>
      <c r="K464" t="str">
        <f>Orders!K464</f>
        <v>Chennai</v>
      </c>
      <c r="L464" t="str">
        <f>IFERROR(VLOOKUP(D464,Products!$A$2:$F$61,3,FALSE),"")</f>
        <v>Apparel</v>
      </c>
      <c r="M464">
        <f>IFERROR(VLOOKUP(D464,Products!$A$2:$F$61,4,FALSE),"")</f>
        <v>1962</v>
      </c>
      <c r="N464" t="str">
        <f>IFERROR(VLOOKUP(E464,Sales_Reps!$A$2:$E$31,3,FALSE),"")</f>
        <v>West</v>
      </c>
      <c r="O464" t="str">
        <f>IFERROR(VLOOKUP(C464,Customers!$A$2:$F$301,5,FALSE),"")</f>
        <v>Corporate</v>
      </c>
      <c r="P464">
        <f>IFERROR(VLOOKUP(C464,Customers!$A$2:$F$301,3,FALSE),"")</f>
        <v>30</v>
      </c>
      <c r="Q464" s="41">
        <f t="shared" si="16"/>
        <v>0.2786764705882353</v>
      </c>
      <c r="R464" t="str">
        <f>IFERROR(VLOOKUP(C464,Customers!$A$2:$F$301,1,FALSE),"")</f>
        <v>CUST-0171</v>
      </c>
      <c r="S464" s="27" t="b">
        <f>IFERROR(VLOOKUP(D464,Products!$A$2:$F$61,6,FALSE),"")</f>
        <v>1</v>
      </c>
      <c r="BL464">
        <v>0</v>
      </c>
      <c r="BO464">
        <v>0</v>
      </c>
      <c r="BP464">
        <v>0</v>
      </c>
    </row>
    <row r="465" spans="1:68" x14ac:dyDescent="0.35">
      <c r="A465" s="26" t="str">
        <f>Orders!A465</f>
        <v>ORD-00464</v>
      </c>
      <c r="B465" s="33">
        <f>Orders!B465</f>
        <v>45626</v>
      </c>
      <c r="C465" t="str">
        <f>Orders!C465</f>
        <v>CUST-0166</v>
      </c>
      <c r="D465" t="str">
        <f>Orders!D465</f>
        <v>PROD-008</v>
      </c>
      <c r="E465" t="str">
        <f>Orders!E465</f>
        <v>R017</v>
      </c>
      <c r="F465">
        <f>Orders!F465</f>
        <v>7</v>
      </c>
      <c r="G465" s="35">
        <f>Orders!G465</f>
        <v>2660</v>
      </c>
      <c r="H465" s="37">
        <f>Orders!H465</f>
        <v>27.4</v>
      </c>
      <c r="I465" s="39">
        <f>Orders!I465</f>
        <v>13518.12</v>
      </c>
      <c r="J465" t="str">
        <f>Orders!J465</f>
        <v>Cancelled</v>
      </c>
      <c r="K465" t="str">
        <f>Orders!K465</f>
        <v>Hyderabad</v>
      </c>
      <c r="L465" t="str">
        <f>IFERROR(VLOOKUP(D465,Products!$A$2:$F$61,3,FALSE),"")</f>
        <v>Electronics</v>
      </c>
      <c r="M465">
        <f>IFERROR(VLOOKUP(D465,Products!$A$2:$F$61,4,FALSE),"")</f>
        <v>1259</v>
      </c>
      <c r="N465" t="str">
        <f>IFERROR(VLOOKUP(E465,Sales_Reps!$A$2:$E$31,3,FALSE),"")</f>
        <v>East</v>
      </c>
      <c r="O465" t="str">
        <f>IFERROR(VLOOKUP(C465,Customers!$A$2:$F$301,5,FALSE),"")</f>
        <v>Retail</v>
      </c>
      <c r="P465">
        <f>IFERROR(VLOOKUP(C465,Customers!$A$2:$F$301,3,FALSE),"")</f>
        <v>31</v>
      </c>
      <c r="Q465" s="41">
        <f t="shared" si="16"/>
        <v>0.52669172932330832</v>
      </c>
      <c r="R465" t="str">
        <f>IFERROR(VLOOKUP(C465,Customers!$A$2:$F$301,1,FALSE),"")</f>
        <v>CUST-0166</v>
      </c>
      <c r="S465" s="27" t="b">
        <f>IFERROR(VLOOKUP(D465,Products!$A$2:$F$61,6,FALSE),"")</f>
        <v>0</v>
      </c>
      <c r="BL465">
        <v>0</v>
      </c>
      <c r="BO465">
        <v>0</v>
      </c>
      <c r="BP465">
        <v>1</v>
      </c>
    </row>
    <row r="466" spans="1:68" x14ac:dyDescent="0.35">
      <c r="A466" s="26" t="str">
        <f>Orders!A466</f>
        <v>ORD-00465</v>
      </c>
      <c r="B466" s="33">
        <f>Orders!B466</f>
        <v>45302</v>
      </c>
      <c r="C466" t="str">
        <f>Orders!C466</f>
        <v>CUST-0151</v>
      </c>
      <c r="D466" t="str">
        <f>Orders!D466</f>
        <v>PROD-051</v>
      </c>
      <c r="E466" t="str">
        <f>Orders!E466</f>
        <v>R005</v>
      </c>
      <c r="F466">
        <f>Orders!F466</f>
        <v>8</v>
      </c>
      <c r="G466" s="35">
        <f>Orders!G466</f>
        <v>3450</v>
      </c>
      <c r="H466" s="37">
        <f>Orders!H466</f>
        <v>20.399999999999999</v>
      </c>
      <c r="I466" s="39">
        <f>Orders!I466</f>
        <v>21969.599999999999</v>
      </c>
      <c r="J466" t="str">
        <f>Orders!J466</f>
        <v>Completed</v>
      </c>
      <c r="K466" t="str">
        <f>Orders!K466</f>
        <v>Mumbai</v>
      </c>
      <c r="L466" t="str">
        <f>IFERROR(VLOOKUP(D466,Products!$A$2:$F$61,3,FALSE),"")</f>
        <v>Sports</v>
      </c>
      <c r="M466">
        <f>IFERROR(VLOOKUP(D466,Products!$A$2:$F$61,4,FALSE),"")</f>
        <v>2467</v>
      </c>
      <c r="N466" t="str">
        <f>IFERROR(VLOOKUP(E466,Sales_Reps!$A$2:$E$31,3,FALSE),"")</f>
        <v>North</v>
      </c>
      <c r="O466" t="str">
        <f>IFERROR(VLOOKUP(C466,Customers!$A$2:$F$301,5,FALSE),"")</f>
        <v>Retail</v>
      </c>
      <c r="P466">
        <f>IFERROR(VLOOKUP(C466,Customers!$A$2:$F$301,3,FALSE),"")</f>
        <v>53</v>
      </c>
      <c r="Q466" s="41">
        <f t="shared" si="16"/>
        <v>0.28492753623188405</v>
      </c>
      <c r="R466" t="str">
        <f>IFERROR(VLOOKUP(C466,Customers!$A$2:$F$301,1,FALSE),"")</f>
        <v>CUST-0151</v>
      </c>
      <c r="S466" s="27" t="b">
        <f>IFERROR(VLOOKUP(D466,Products!$A$2:$F$61,6,FALSE),"")</f>
        <v>1</v>
      </c>
      <c r="BL466">
        <v>0</v>
      </c>
      <c r="BO466">
        <v>0</v>
      </c>
      <c r="BP466">
        <v>0</v>
      </c>
    </row>
    <row r="467" spans="1:68" x14ac:dyDescent="0.35">
      <c r="A467" s="26" t="str">
        <f>Orders!A467</f>
        <v>ORD-00466</v>
      </c>
      <c r="B467" s="33">
        <f>Orders!B467</f>
        <v>45427</v>
      </c>
      <c r="C467" t="str">
        <f>Orders!C467</f>
        <v>CUST-0027</v>
      </c>
      <c r="D467" t="str">
        <f>Orders!D467</f>
        <v>PROD-052</v>
      </c>
      <c r="E467" t="str">
        <f>Orders!E467</f>
        <v>R016</v>
      </c>
      <c r="F467">
        <f>Orders!F467</f>
        <v>2</v>
      </c>
      <c r="G467" s="35">
        <f>Orders!G467</f>
        <v>5410</v>
      </c>
      <c r="H467" s="37">
        <f>Orders!H467</f>
        <v>7.2</v>
      </c>
      <c r="I467" s="39">
        <f>Orders!I467</f>
        <v>10040.959999999999</v>
      </c>
      <c r="J467" t="str">
        <f>Orders!J467</f>
        <v>Completed</v>
      </c>
      <c r="K467" t="str">
        <f>Orders!K467</f>
        <v>Hyderabad</v>
      </c>
      <c r="L467" t="str">
        <f>IFERROR(VLOOKUP(D467,Products!$A$2:$F$61,3,FALSE),"")</f>
        <v>Sports</v>
      </c>
      <c r="M467">
        <f>IFERROR(VLOOKUP(D467,Products!$A$2:$F$61,4,FALSE),"")</f>
        <v>2265</v>
      </c>
      <c r="N467" t="str">
        <f>IFERROR(VLOOKUP(E467,Sales_Reps!$A$2:$E$31,3,FALSE),"")</f>
        <v>South</v>
      </c>
      <c r="O467" t="str">
        <f>IFERROR(VLOOKUP(C467,Customers!$A$2:$F$301,5,FALSE),"")</f>
        <v>Corporate</v>
      </c>
      <c r="P467">
        <f>IFERROR(VLOOKUP(C467,Customers!$A$2:$F$301,3,FALSE),"")</f>
        <v>52</v>
      </c>
      <c r="Q467" s="41">
        <f t="shared" si="16"/>
        <v>0.58133086876155271</v>
      </c>
      <c r="R467" t="str">
        <f>IFERROR(VLOOKUP(C467,Customers!$A$2:$F$301,1,FALSE),"")</f>
        <v>CUST-0027</v>
      </c>
      <c r="S467" s="27" t="b">
        <f>IFERROR(VLOOKUP(D467,Products!$A$2:$F$61,6,FALSE),"")</f>
        <v>1</v>
      </c>
      <c r="BL467">
        <v>0</v>
      </c>
      <c r="BO467">
        <v>0</v>
      </c>
      <c r="BP467">
        <v>0</v>
      </c>
    </row>
    <row r="468" spans="1:68" x14ac:dyDescent="0.35">
      <c r="A468" s="26" t="str">
        <f>Orders!A468</f>
        <v>ORD-00467</v>
      </c>
      <c r="B468" s="33">
        <f>Orders!B468</f>
        <v>45315</v>
      </c>
      <c r="C468" t="str">
        <f>Orders!C468</f>
        <v>CUST-0171</v>
      </c>
      <c r="D468" t="str">
        <f>Orders!D468</f>
        <v>PROD-004</v>
      </c>
      <c r="E468" t="str">
        <f>Orders!E468</f>
        <v>R013</v>
      </c>
      <c r="F468">
        <f>Orders!F468</f>
        <v>3</v>
      </c>
      <c r="G468" s="35">
        <f>Orders!G468</f>
        <v>3870</v>
      </c>
      <c r="H468" s="37">
        <f>Orders!H468</f>
        <v>4.2</v>
      </c>
      <c r="I468" s="39">
        <f>Orders!I468</f>
        <v>11122.38</v>
      </c>
      <c r="J468" t="str">
        <f>Orders!J468</f>
        <v>Completed</v>
      </c>
      <c r="K468" t="str">
        <f>Orders!K468</f>
        <v>Chennai</v>
      </c>
      <c r="L468" t="str">
        <f>IFERROR(VLOOKUP(D468,Products!$A$2:$F$61,3,FALSE),"")</f>
        <v>Electronics</v>
      </c>
      <c r="M468">
        <f>IFERROR(VLOOKUP(D468,Products!$A$2:$F$61,4,FALSE),"")</f>
        <v>1559</v>
      </c>
      <c r="N468" t="str">
        <f>IFERROR(VLOOKUP(E468,Sales_Reps!$A$2:$E$31,3,FALSE),"")</f>
        <v>South</v>
      </c>
      <c r="O468" t="str">
        <f>IFERROR(VLOOKUP(C468,Customers!$A$2:$F$301,5,FALSE),"")</f>
        <v>Corporate</v>
      </c>
      <c r="P468">
        <f>IFERROR(VLOOKUP(C468,Customers!$A$2:$F$301,3,FALSE),"")</f>
        <v>30</v>
      </c>
      <c r="Q468" s="41">
        <f t="shared" si="16"/>
        <v>0.59715762273901807</v>
      </c>
      <c r="R468" t="str">
        <f>IFERROR(VLOOKUP(C468,Customers!$A$2:$F$301,1,FALSE),"")</f>
        <v>CUST-0171</v>
      </c>
      <c r="S468" s="27" t="b">
        <f>IFERROR(VLOOKUP(D468,Products!$A$2:$F$61,6,FALSE),"")</f>
        <v>1</v>
      </c>
      <c r="BL468">
        <v>0</v>
      </c>
      <c r="BO468">
        <v>0</v>
      </c>
      <c r="BP468">
        <v>0</v>
      </c>
    </row>
    <row r="469" spans="1:68" x14ac:dyDescent="0.35">
      <c r="A469" s="26" t="str">
        <f>Orders!A469</f>
        <v>ORD-00468</v>
      </c>
      <c r="B469" s="33">
        <f>Orders!B469</f>
        <v>45328</v>
      </c>
      <c r="C469" t="str">
        <f>Orders!C469</f>
        <v>CUST-0094</v>
      </c>
      <c r="D469" t="str">
        <f>Orders!D469</f>
        <v>PROD-024</v>
      </c>
      <c r="E469" t="str">
        <f>Orders!E469</f>
        <v>R005</v>
      </c>
      <c r="F469">
        <f>Orders!F469</f>
        <v>10</v>
      </c>
      <c r="G469" s="35">
        <f>Orders!G469</f>
        <v>2270</v>
      </c>
      <c r="H469" s="37">
        <f>Orders!H469</f>
        <v>17.3</v>
      </c>
      <c r="I469" s="39">
        <f>Orders!I469</f>
        <v>18772.900000000001</v>
      </c>
      <c r="J469" t="str">
        <f>Orders!J469</f>
        <v>Completed</v>
      </c>
      <c r="K469" t="str">
        <f>Orders!K469</f>
        <v>Pune</v>
      </c>
      <c r="L469" t="str">
        <f>IFERROR(VLOOKUP(D469,Products!$A$2:$F$61,3,FALSE),"")</f>
        <v>Grocery</v>
      </c>
      <c r="M469">
        <f>IFERROR(VLOOKUP(D469,Products!$A$2:$F$61,4,FALSE),"")</f>
        <v>1203</v>
      </c>
      <c r="N469" t="str">
        <f>IFERROR(VLOOKUP(E469,Sales_Reps!$A$2:$E$31,3,FALSE),"")</f>
        <v>North</v>
      </c>
      <c r="O469" t="str">
        <f>IFERROR(VLOOKUP(C469,Customers!$A$2:$F$301,5,FALSE),"")</f>
        <v>SMB</v>
      </c>
      <c r="P469">
        <f>IFERROR(VLOOKUP(C469,Customers!$A$2:$F$301,3,FALSE),"")</f>
        <v>60</v>
      </c>
      <c r="Q469" s="41">
        <f t="shared" si="16"/>
        <v>0.47004405286343615</v>
      </c>
      <c r="R469" t="str">
        <f>IFERROR(VLOOKUP(C469,Customers!$A$2:$F$301,1,FALSE),"")</f>
        <v>CUST-0094</v>
      </c>
      <c r="S469" s="27" t="b">
        <f>IFERROR(VLOOKUP(D469,Products!$A$2:$F$61,6,FALSE),"")</f>
        <v>1</v>
      </c>
      <c r="BL469">
        <v>0</v>
      </c>
      <c r="BO469">
        <v>0</v>
      </c>
      <c r="BP469">
        <v>0</v>
      </c>
    </row>
    <row r="470" spans="1:68" x14ac:dyDescent="0.35">
      <c r="A470" s="26" t="str">
        <f>Orders!A470</f>
        <v>ORD-00469</v>
      </c>
      <c r="B470" s="33">
        <f>Orders!B470</f>
        <v>45394</v>
      </c>
      <c r="C470" t="str">
        <f>Orders!C470</f>
        <v>CUST-0223</v>
      </c>
      <c r="D470" t="str">
        <f>Orders!D470</f>
        <v>PROD-001</v>
      </c>
      <c r="E470" t="str">
        <f>Orders!E470</f>
        <v>R025</v>
      </c>
      <c r="F470">
        <f>Orders!F470</f>
        <v>1</v>
      </c>
      <c r="G470" s="35">
        <f>Orders!G470</f>
        <v>5330</v>
      </c>
      <c r="H470" s="37">
        <f>Orders!H470</f>
        <v>24.2</v>
      </c>
      <c r="I470" s="39">
        <f>Orders!I470</f>
        <v>4040.14</v>
      </c>
      <c r="J470" t="str">
        <f>Orders!J470</f>
        <v>Completed</v>
      </c>
      <c r="K470" t="str">
        <f>Orders!K470</f>
        <v>Bengaluru</v>
      </c>
      <c r="L470" t="str">
        <f>IFERROR(VLOOKUP(D470,Products!$A$2:$F$61,3,FALSE),"")</f>
        <v>Electronics</v>
      </c>
      <c r="M470">
        <f>IFERROR(VLOOKUP(D470,Products!$A$2:$F$61,4,FALSE),"")</f>
        <v>2405</v>
      </c>
      <c r="N470" t="str">
        <f>IFERROR(VLOOKUP(E470,Sales_Reps!$A$2:$E$31,3,FALSE),"")</f>
        <v>West</v>
      </c>
      <c r="O470" t="str">
        <f>IFERROR(VLOOKUP(C470,Customers!$A$2:$F$301,5,FALSE),"")</f>
        <v>Retail</v>
      </c>
      <c r="P470">
        <f>IFERROR(VLOOKUP(C470,Customers!$A$2:$F$301,3,FALSE),"")</f>
        <v>46</v>
      </c>
      <c r="Q470" s="41">
        <f t="shared" si="16"/>
        <v>0.54878048780487809</v>
      </c>
      <c r="R470" t="str">
        <f>IFERROR(VLOOKUP(C470,Customers!$A$2:$F$301,1,FALSE),"")</f>
        <v>CUST-0223</v>
      </c>
      <c r="S470" s="27" t="b">
        <f>IFERROR(VLOOKUP(D470,Products!$A$2:$F$61,6,FALSE),"")</f>
        <v>1</v>
      </c>
      <c r="BL470">
        <v>0</v>
      </c>
      <c r="BO470">
        <v>0</v>
      </c>
      <c r="BP470">
        <v>0</v>
      </c>
    </row>
    <row r="471" spans="1:68" x14ac:dyDescent="0.35">
      <c r="A471" s="26" t="str">
        <f>Orders!A471</f>
        <v>ORD-00470</v>
      </c>
      <c r="B471" s="33">
        <f>Orders!B471</f>
        <v>45414</v>
      </c>
      <c r="C471" t="str">
        <f>Orders!C471</f>
        <v>CUST-0281</v>
      </c>
      <c r="D471" t="str">
        <f>Orders!D471</f>
        <v>PROD-043</v>
      </c>
      <c r="E471" t="str">
        <f>Orders!E471</f>
        <v>R015</v>
      </c>
      <c r="F471">
        <f>Orders!F471</f>
        <v>2</v>
      </c>
      <c r="G471" s="35">
        <f>Orders!G471</f>
        <v>3350</v>
      </c>
      <c r="H471" s="37">
        <f>Orders!H471</f>
        <v>23.4</v>
      </c>
      <c r="I471" s="39">
        <f>Orders!I471</f>
        <v>5132.2</v>
      </c>
      <c r="J471" t="str">
        <f>Orders!J471</f>
        <v>Completed</v>
      </c>
      <c r="K471" t="str">
        <f>Orders!K471</f>
        <v>Bengaluru</v>
      </c>
      <c r="L471" t="str">
        <f>IFERROR(VLOOKUP(D471,Products!$A$2:$F$61,3,FALSE),"")</f>
        <v>Beauty</v>
      </c>
      <c r="M471">
        <f>IFERROR(VLOOKUP(D471,Products!$A$2:$F$61,4,FALSE),"")</f>
        <v>1728</v>
      </c>
      <c r="N471" t="str">
        <f>IFERROR(VLOOKUP(E471,Sales_Reps!$A$2:$E$31,3,FALSE),"")</f>
        <v>South</v>
      </c>
      <c r="O471" t="str">
        <f>IFERROR(VLOOKUP(C471,Customers!$A$2:$F$301,5,FALSE),"")</f>
        <v>Corporate</v>
      </c>
      <c r="P471">
        <f>IFERROR(VLOOKUP(C471,Customers!$A$2:$F$301,3,FALSE),"")</f>
        <v>57</v>
      </c>
      <c r="Q471" s="41">
        <f t="shared" si="16"/>
        <v>0.48417910447761192</v>
      </c>
      <c r="R471" t="str">
        <f>IFERROR(VLOOKUP(C471,Customers!$A$2:$F$301,1,FALSE),"")</f>
        <v>CUST-0281</v>
      </c>
      <c r="S471" s="27" t="b">
        <f>IFERROR(VLOOKUP(D471,Products!$A$2:$F$61,6,FALSE),"")</f>
        <v>1</v>
      </c>
      <c r="BL471">
        <v>0</v>
      </c>
      <c r="BO471">
        <v>0</v>
      </c>
      <c r="BP471">
        <v>0</v>
      </c>
    </row>
    <row r="472" spans="1:68" x14ac:dyDescent="0.35">
      <c r="A472" s="26" t="str">
        <f>Orders!A472</f>
        <v>ORD-00471</v>
      </c>
      <c r="B472" s="33">
        <f>Orders!B472</f>
        <v>45393</v>
      </c>
      <c r="C472" t="str">
        <f>Orders!C472</f>
        <v>CUST-0148</v>
      </c>
      <c r="D472" t="str">
        <f>Orders!D472</f>
        <v>PROD-045</v>
      </c>
      <c r="E472" t="str">
        <f>Orders!E472</f>
        <v>R006</v>
      </c>
      <c r="F472">
        <f>Orders!F472</f>
        <v>7</v>
      </c>
      <c r="G472" s="35">
        <f>Orders!G472</f>
        <v>3020</v>
      </c>
      <c r="H472" s="37">
        <f>Orders!H472</f>
        <v>23.7</v>
      </c>
      <c r="I472" s="39">
        <f>Orders!I472</f>
        <v>16129.82</v>
      </c>
      <c r="J472" t="str">
        <f>Orders!J472</f>
        <v>Completed</v>
      </c>
      <c r="K472" t="str">
        <f>Orders!K472</f>
        <v>Chennai</v>
      </c>
      <c r="L472" t="str">
        <f>IFERROR(VLOOKUP(D472,Products!$A$2:$F$61,3,FALSE),"")</f>
        <v>Beauty</v>
      </c>
      <c r="M472">
        <f>IFERROR(VLOOKUP(D472,Products!$A$2:$F$61,4,FALSE),"")</f>
        <v>1626</v>
      </c>
      <c r="N472" t="str">
        <f>IFERROR(VLOOKUP(E472,Sales_Reps!$A$2:$E$31,3,FALSE),"")</f>
        <v>North</v>
      </c>
      <c r="O472" t="str">
        <f>IFERROR(VLOOKUP(C472,Customers!$A$2:$F$301,5,FALSE),"")</f>
        <v>Retail</v>
      </c>
      <c r="P472">
        <f>IFERROR(VLOOKUP(C472,Customers!$A$2:$F$301,3,FALSE),"")</f>
        <v>32</v>
      </c>
      <c r="Q472" s="41">
        <f t="shared" si="16"/>
        <v>0.46158940397350995</v>
      </c>
      <c r="R472" t="str">
        <f>IFERROR(VLOOKUP(C472,Customers!$A$2:$F$301,1,FALSE),"")</f>
        <v>CUST-0148</v>
      </c>
      <c r="S472" s="27" t="b">
        <f>IFERROR(VLOOKUP(D472,Products!$A$2:$F$61,6,FALSE),"")</f>
        <v>1</v>
      </c>
      <c r="BL472">
        <v>0</v>
      </c>
      <c r="BO472">
        <v>0</v>
      </c>
      <c r="BP472">
        <v>0</v>
      </c>
    </row>
    <row r="473" spans="1:68" x14ac:dyDescent="0.35">
      <c r="A473" s="26" t="str">
        <f>Orders!A473</f>
        <v>ORD-00472</v>
      </c>
      <c r="B473" s="33">
        <f>Orders!B473</f>
        <v>45535</v>
      </c>
      <c r="C473" t="str">
        <f>Orders!C473</f>
        <v>CUST-0010</v>
      </c>
      <c r="D473" t="str">
        <f>Orders!D473</f>
        <v>PROD-012</v>
      </c>
      <c r="E473" t="str">
        <f>Orders!E473</f>
        <v>R020</v>
      </c>
      <c r="F473">
        <f>Orders!F473</f>
        <v>7</v>
      </c>
      <c r="G473" s="35">
        <f>Orders!G473</f>
        <v>3160</v>
      </c>
      <c r="H473" s="37">
        <f>Orders!H473</f>
        <v>22.8</v>
      </c>
      <c r="I473" s="39">
        <f>Orders!I473</f>
        <v>17076.64</v>
      </c>
      <c r="J473" t="str">
        <f>Orders!J473</f>
        <v>Completed</v>
      </c>
      <c r="K473" t="str">
        <f>Orders!K473</f>
        <v>Mumbai</v>
      </c>
      <c r="L473" t="str">
        <f>IFERROR(VLOOKUP(D473,Products!$A$2:$F$61,3,FALSE),"")</f>
        <v>Apparel</v>
      </c>
      <c r="M473">
        <f>IFERROR(VLOOKUP(D473,Products!$A$2:$F$61,4,FALSE),"")</f>
        <v>1886</v>
      </c>
      <c r="N473" t="str">
        <f>IFERROR(VLOOKUP(E473,Sales_Reps!$A$2:$E$31,3,FALSE),"")</f>
        <v>East</v>
      </c>
      <c r="O473" t="str">
        <f>IFERROR(VLOOKUP(C473,Customers!$A$2:$F$301,5,FALSE),"")</f>
        <v>SMB</v>
      </c>
      <c r="P473">
        <f>IFERROR(VLOOKUP(C473,Customers!$A$2:$F$301,3,FALSE),"")</f>
        <v>61</v>
      </c>
      <c r="Q473" s="41">
        <f t="shared" si="16"/>
        <v>0.4031645569620253</v>
      </c>
      <c r="R473" t="str">
        <f>IFERROR(VLOOKUP(C473,Customers!$A$2:$F$301,1,FALSE),"")</f>
        <v>CUST-0010</v>
      </c>
      <c r="S473" s="27" t="b">
        <f>IFERROR(VLOOKUP(D473,Products!$A$2:$F$61,6,FALSE),"")</f>
        <v>1</v>
      </c>
      <c r="BL473">
        <v>0</v>
      </c>
      <c r="BO473">
        <v>0</v>
      </c>
      <c r="BP473">
        <v>0</v>
      </c>
    </row>
    <row r="474" spans="1:68" x14ac:dyDescent="0.35">
      <c r="A474" s="26" t="str">
        <f>Orders!A474</f>
        <v>ORD-00473</v>
      </c>
      <c r="B474" s="33">
        <f>Orders!B474</f>
        <v>45541</v>
      </c>
      <c r="C474" t="str">
        <f>Orders!C474</f>
        <v>CUST-0254</v>
      </c>
      <c r="D474" t="str">
        <f>Orders!D474</f>
        <v>PROD-053</v>
      </c>
      <c r="E474" t="str">
        <f>Orders!E474</f>
        <v>R020</v>
      </c>
      <c r="F474">
        <f>Orders!F474</f>
        <v>2</v>
      </c>
      <c r="G474" s="35">
        <f>Orders!G474</f>
        <v>470</v>
      </c>
      <c r="H474" s="37">
        <f>Orders!H474</f>
        <v>28.8</v>
      </c>
      <c r="I474" s="39">
        <f>Orders!I474</f>
        <v>669.28</v>
      </c>
      <c r="J474" t="str">
        <f>Orders!J474</f>
        <v>Cancelled</v>
      </c>
      <c r="K474" t="str">
        <f>Orders!K474</f>
        <v>Bengaluru</v>
      </c>
      <c r="L474" t="str">
        <f>IFERROR(VLOOKUP(D474,Products!$A$2:$F$61,3,FALSE),"")</f>
        <v>Sports</v>
      </c>
      <c r="M474">
        <f>IFERROR(VLOOKUP(D474,Products!$A$2:$F$61,4,FALSE),"")</f>
        <v>302</v>
      </c>
      <c r="N474" t="str">
        <f>IFERROR(VLOOKUP(E474,Sales_Reps!$A$2:$E$31,3,FALSE),"")</f>
        <v>East</v>
      </c>
      <c r="O474" t="str">
        <f>IFERROR(VLOOKUP(C474,Customers!$A$2:$F$301,5,FALSE),"")</f>
        <v>Retail</v>
      </c>
      <c r="P474">
        <f>IFERROR(VLOOKUP(C474,Customers!$A$2:$F$301,3,FALSE),"")</f>
        <v>35</v>
      </c>
      <c r="Q474" s="41">
        <f t="shared" si="16"/>
        <v>0.35744680851063831</v>
      </c>
      <c r="R474" t="str">
        <f>IFERROR(VLOOKUP(C474,Customers!$A$2:$F$301,1,FALSE),"")</f>
        <v>CUST-0254</v>
      </c>
      <c r="S474" s="27" t="b">
        <f>IFERROR(VLOOKUP(D474,Products!$A$2:$F$61,6,FALSE),"")</f>
        <v>0</v>
      </c>
      <c r="BL474">
        <v>0</v>
      </c>
      <c r="BO474">
        <v>0</v>
      </c>
      <c r="BP474">
        <v>1</v>
      </c>
    </row>
    <row r="475" spans="1:68" x14ac:dyDescent="0.35">
      <c r="A475" s="26" t="str">
        <f>Orders!A475</f>
        <v>ORD-00474</v>
      </c>
      <c r="B475" s="33">
        <f>Orders!B475</f>
        <v>45454</v>
      </c>
      <c r="C475" t="str">
        <f>Orders!C475</f>
        <v>CUST-0126</v>
      </c>
      <c r="D475" t="str">
        <f>Orders!D475</f>
        <v>PROD-036</v>
      </c>
      <c r="E475" t="str">
        <f>Orders!E475</f>
        <v>R021</v>
      </c>
      <c r="F475">
        <f>Orders!F475</f>
        <v>2</v>
      </c>
      <c r="G475" s="35">
        <f>Orders!G475</f>
        <v>3250</v>
      </c>
      <c r="H475" s="37">
        <f>Orders!H475</f>
        <v>24.7</v>
      </c>
      <c r="I475" s="39">
        <f>Orders!I475</f>
        <v>4894.5</v>
      </c>
      <c r="J475" t="str">
        <f>Orders!J475</f>
        <v>Completed</v>
      </c>
      <c r="K475" t="str">
        <f>Orders!K475</f>
        <v>Mumbai</v>
      </c>
      <c r="L475" t="str">
        <f>IFERROR(VLOOKUP(D475,Products!$A$2:$F$61,3,FALSE),"")</f>
        <v>Home</v>
      </c>
      <c r="M475">
        <f>IFERROR(VLOOKUP(D475,Products!$A$2:$F$61,4,FALSE),"")</f>
        <v>1556</v>
      </c>
      <c r="N475" t="str">
        <f>IFERROR(VLOOKUP(E475,Sales_Reps!$A$2:$E$31,3,FALSE),"")</f>
        <v>East</v>
      </c>
      <c r="O475" t="str">
        <f>IFERROR(VLOOKUP(C475,Customers!$A$2:$F$301,5,FALSE),"")</f>
        <v>Retail</v>
      </c>
      <c r="P475">
        <f>IFERROR(VLOOKUP(C475,Customers!$A$2:$F$301,3,FALSE),"")</f>
        <v>37</v>
      </c>
      <c r="Q475" s="41">
        <f t="shared" si="16"/>
        <v>0.52123076923076928</v>
      </c>
      <c r="R475" t="str">
        <f>IFERROR(VLOOKUP(C475,Customers!$A$2:$F$301,1,FALSE),"")</f>
        <v>CUST-0126</v>
      </c>
      <c r="S475" s="27" t="b">
        <f>IFERROR(VLOOKUP(D475,Products!$A$2:$F$61,6,FALSE),"")</f>
        <v>1</v>
      </c>
      <c r="BL475">
        <v>0</v>
      </c>
      <c r="BO475">
        <v>0</v>
      </c>
      <c r="BP475">
        <v>0</v>
      </c>
    </row>
    <row r="476" spans="1:68" x14ac:dyDescent="0.35">
      <c r="A476" s="26" t="str">
        <f>Orders!A476</f>
        <v>ORD-00475</v>
      </c>
      <c r="B476" s="33">
        <f>Orders!B476</f>
        <v>45631</v>
      </c>
      <c r="C476" t="str">
        <f>Orders!C476</f>
        <v>CUST-0018</v>
      </c>
      <c r="D476" t="str">
        <f>Orders!D476</f>
        <v>PROD-054</v>
      </c>
      <c r="E476" t="str">
        <f>Orders!E476</f>
        <v>R023</v>
      </c>
      <c r="F476">
        <f>Orders!F476</f>
        <v>2</v>
      </c>
      <c r="G476" s="35">
        <f>Orders!G476</f>
        <v>1010</v>
      </c>
      <c r="H476" s="37">
        <f>Orders!H476</f>
        <v>5.2</v>
      </c>
      <c r="I476" s="39">
        <f>Orders!I476</f>
        <v>1914.96</v>
      </c>
      <c r="J476" t="str">
        <f>Orders!J476</f>
        <v>Cancelled</v>
      </c>
      <c r="K476" t="str">
        <f>Orders!K476</f>
        <v>Pune</v>
      </c>
      <c r="L476" t="str">
        <f>IFERROR(VLOOKUP(D476,Products!$A$2:$F$61,3,FALSE),"")</f>
        <v>Sports</v>
      </c>
      <c r="M476">
        <f>IFERROR(VLOOKUP(D476,Products!$A$2:$F$61,4,FALSE),"")</f>
        <v>516</v>
      </c>
      <c r="N476" t="str">
        <f>IFERROR(VLOOKUP(E476,Sales_Reps!$A$2:$E$31,3,FALSE),"")</f>
        <v>East</v>
      </c>
      <c r="O476" t="str">
        <f>IFERROR(VLOOKUP(C476,Customers!$A$2:$F$301,5,FALSE),"")</f>
        <v>SMB</v>
      </c>
      <c r="P476">
        <f>IFERROR(VLOOKUP(C476,Customers!$A$2:$F$301,3,FALSE),"")</f>
        <v>54</v>
      </c>
      <c r="Q476" s="41">
        <f t="shared" si="16"/>
        <v>0.4891089108910891</v>
      </c>
      <c r="R476" t="str">
        <f>IFERROR(VLOOKUP(C476,Customers!$A$2:$F$301,1,FALSE),"")</f>
        <v>CUST-0018</v>
      </c>
      <c r="S476" s="27" t="b">
        <f>IFERROR(VLOOKUP(D476,Products!$A$2:$F$61,6,FALSE),"")</f>
        <v>1</v>
      </c>
      <c r="BL476">
        <v>0</v>
      </c>
      <c r="BO476">
        <v>0</v>
      </c>
      <c r="BP476">
        <v>0</v>
      </c>
    </row>
    <row r="477" spans="1:68" x14ac:dyDescent="0.35">
      <c r="A477" s="26" t="str">
        <f>Orders!A477</f>
        <v>ORD-00476</v>
      </c>
      <c r="B477" s="33">
        <f>Orders!B477</f>
        <v>45588</v>
      </c>
      <c r="C477" t="str">
        <f>Orders!C477</f>
        <v>CUST-0089</v>
      </c>
      <c r="D477" t="str">
        <f>Orders!D477</f>
        <v>PROD-005</v>
      </c>
      <c r="E477" t="str">
        <f>Orders!E477</f>
        <v>R001</v>
      </c>
      <c r="F477">
        <f>Orders!F477</f>
        <v>9</v>
      </c>
      <c r="G477" s="35">
        <f>Orders!G477</f>
        <v>300</v>
      </c>
      <c r="H477" s="37">
        <f>Orders!H477</f>
        <v>7.9</v>
      </c>
      <c r="I477" s="39">
        <f>Orders!I477</f>
        <v>2486.6999999999998</v>
      </c>
      <c r="J477" t="str">
        <f>Orders!J477</f>
        <v>Completed</v>
      </c>
      <c r="K477" t="str">
        <f>Orders!K477</f>
        <v>Mumbai</v>
      </c>
      <c r="L477" t="str">
        <f>IFERROR(VLOOKUP(D477,Products!$A$2:$F$61,3,FALSE),"")</f>
        <v>Electronics</v>
      </c>
      <c r="M477">
        <f>IFERROR(VLOOKUP(D477,Products!$A$2:$F$61,4,FALSE),"")</f>
        <v>128</v>
      </c>
      <c r="N477" t="str">
        <f>IFERROR(VLOOKUP(E477,Sales_Reps!$A$2:$E$31,3,FALSE),"")</f>
        <v>North</v>
      </c>
      <c r="O477" t="str">
        <f>IFERROR(VLOOKUP(C477,Customers!$A$2:$F$301,5,FALSE),"")</f>
        <v>SMB</v>
      </c>
      <c r="P477">
        <f>IFERROR(VLOOKUP(C477,Customers!$A$2:$F$301,3,FALSE),"")</f>
        <v>43</v>
      </c>
      <c r="Q477" s="41">
        <f t="shared" si="16"/>
        <v>0.57333333333333336</v>
      </c>
      <c r="R477" t="str">
        <f>IFERROR(VLOOKUP(C477,Customers!$A$2:$F$301,1,FALSE),"")</f>
        <v>CUST-0089</v>
      </c>
      <c r="S477" s="27" t="b">
        <f>IFERROR(VLOOKUP(D477,Products!$A$2:$F$61,6,FALSE),"")</f>
        <v>1</v>
      </c>
      <c r="BL477">
        <v>0</v>
      </c>
      <c r="BO477">
        <v>0</v>
      </c>
      <c r="BP477">
        <v>0</v>
      </c>
    </row>
    <row r="478" spans="1:68" x14ac:dyDescent="0.35">
      <c r="A478" s="26" t="str">
        <f>Orders!A478</f>
        <v>ORD-00477</v>
      </c>
      <c r="B478" s="33">
        <f>Orders!B478</f>
        <v>45469</v>
      </c>
      <c r="C478" t="str">
        <f>Orders!C478</f>
        <v>CUST-0157</v>
      </c>
      <c r="D478" t="str">
        <f>Orders!D478</f>
        <v>PROD-048</v>
      </c>
      <c r="E478" t="str">
        <f>Orders!E478</f>
        <v>R006</v>
      </c>
      <c r="F478">
        <f>Orders!F478</f>
        <v>10</v>
      </c>
      <c r="G478" s="35">
        <f>Orders!G478</f>
        <v>5100</v>
      </c>
      <c r="H478" s="37">
        <f>Orders!H478</f>
        <v>26.3</v>
      </c>
      <c r="I478" s="39">
        <f>Orders!I478</f>
        <v>37587</v>
      </c>
      <c r="J478" t="str">
        <f>Orders!J478</f>
        <v>Pending</v>
      </c>
      <c r="K478" t="str">
        <f>Orders!K478</f>
        <v>Pune</v>
      </c>
      <c r="L478" t="str">
        <f>IFERROR(VLOOKUP(D478,Products!$A$2:$F$61,3,FALSE),"")</f>
        <v>Beauty</v>
      </c>
      <c r="M478">
        <f>IFERROR(VLOOKUP(D478,Products!$A$2:$F$61,4,FALSE),"")</f>
        <v>2237</v>
      </c>
      <c r="N478" t="str">
        <f>IFERROR(VLOOKUP(E478,Sales_Reps!$A$2:$E$31,3,FALSE),"")</f>
        <v>North</v>
      </c>
      <c r="O478" t="str">
        <f>IFERROR(VLOOKUP(C478,Customers!$A$2:$F$301,5,FALSE),"")</f>
        <v>Corporate</v>
      </c>
      <c r="P478">
        <f>IFERROR(VLOOKUP(C478,Customers!$A$2:$F$301,3,FALSE),"")</f>
        <v>52</v>
      </c>
      <c r="Q478" s="41">
        <f t="shared" si="16"/>
        <v>0.56137254901960787</v>
      </c>
      <c r="R478" t="str">
        <f>IFERROR(VLOOKUP(C478,Customers!$A$2:$F$301,1,FALSE),"")</f>
        <v>CUST-0157</v>
      </c>
      <c r="S478" s="27" t="b">
        <f>IFERROR(VLOOKUP(D478,Products!$A$2:$F$61,6,FALSE),"")</f>
        <v>1</v>
      </c>
      <c r="BL478">
        <v>0</v>
      </c>
      <c r="BO478">
        <v>0</v>
      </c>
      <c r="BP478">
        <v>0</v>
      </c>
    </row>
    <row r="479" spans="1:68" x14ac:dyDescent="0.35">
      <c r="A479" s="26" t="str">
        <f>Orders!A479</f>
        <v>ORD-00478</v>
      </c>
      <c r="B479" s="33">
        <f>Orders!B479</f>
        <v>45552</v>
      </c>
      <c r="C479" t="str">
        <f>Orders!C479</f>
        <v>CUST-0201</v>
      </c>
      <c r="D479" t="str">
        <f>Orders!D479</f>
        <v>PROD-043</v>
      </c>
      <c r="E479" t="str">
        <f>Orders!E479</f>
        <v>R028</v>
      </c>
      <c r="F479">
        <f>Orders!F479</f>
        <v>1</v>
      </c>
      <c r="G479" s="35">
        <f>Orders!G479</f>
        <v>3350</v>
      </c>
      <c r="H479" s="37">
        <f>Orders!H479</f>
        <v>8.5</v>
      </c>
      <c r="I479" s="39">
        <f>Orders!I479</f>
        <v>3065.25</v>
      </c>
      <c r="J479" t="str">
        <f>Orders!J479</f>
        <v>Cancelled</v>
      </c>
      <c r="K479" t="str">
        <f>Orders!K479</f>
        <v>Hyderabad</v>
      </c>
      <c r="L479" t="str">
        <f>IFERROR(VLOOKUP(D479,Products!$A$2:$F$61,3,FALSE),"")</f>
        <v>Beauty</v>
      </c>
      <c r="M479">
        <f>IFERROR(VLOOKUP(D479,Products!$A$2:$F$61,4,FALSE),"")</f>
        <v>1728</v>
      </c>
      <c r="N479" t="str">
        <f>IFERROR(VLOOKUP(E479,Sales_Reps!$A$2:$E$31,3,FALSE),"")</f>
        <v>West</v>
      </c>
      <c r="O479" t="str">
        <f>IFERROR(VLOOKUP(C479,Customers!$A$2:$F$301,5,FALSE),"")</f>
        <v>Retail</v>
      </c>
      <c r="P479">
        <f>IFERROR(VLOOKUP(C479,Customers!$A$2:$F$301,3,FALSE),"")</f>
        <v>31</v>
      </c>
      <c r="Q479" s="41">
        <f t="shared" si="16"/>
        <v>0.48417910447761192</v>
      </c>
      <c r="R479" t="str">
        <f>IFERROR(VLOOKUP(C479,Customers!$A$2:$F$301,1,FALSE),"")</f>
        <v>CUST-0201</v>
      </c>
      <c r="S479" s="27" t="b">
        <f>IFERROR(VLOOKUP(D479,Products!$A$2:$F$61,6,FALSE),"")</f>
        <v>1</v>
      </c>
      <c r="BL479">
        <v>0</v>
      </c>
      <c r="BO479">
        <v>0</v>
      </c>
      <c r="BP479">
        <v>0</v>
      </c>
    </row>
    <row r="480" spans="1:68" x14ac:dyDescent="0.35">
      <c r="A480" s="26" t="str">
        <f>Orders!A480</f>
        <v>ORD-01195</v>
      </c>
      <c r="B480" s="33">
        <f>Orders!B480</f>
        <v>45554</v>
      </c>
      <c r="C480" t="str">
        <f>Orders!C480</f>
        <v>CUST-0091</v>
      </c>
      <c r="D480" t="str">
        <f>Orders!D480</f>
        <v>PROD-036</v>
      </c>
      <c r="E480" t="str">
        <f>Orders!E480</f>
        <v>R022</v>
      </c>
      <c r="F480">
        <f>Orders!F480</f>
        <v>2</v>
      </c>
      <c r="G480" s="35">
        <f>Orders!G480</f>
        <v>3250</v>
      </c>
      <c r="H480" s="37">
        <f>Orders!H480</f>
        <v>25.7</v>
      </c>
      <c r="I480" s="39">
        <f>Orders!I480</f>
        <v>4829.5</v>
      </c>
      <c r="J480" t="str">
        <f>Orders!J480</f>
        <v>Refunded</v>
      </c>
      <c r="K480" t="str">
        <f>Orders!K480</f>
        <v>Delhi</v>
      </c>
      <c r="L480" t="str">
        <f>IFERROR(VLOOKUP(D480,Products!$A$2:$F$61,3,FALSE),"")</f>
        <v>Home</v>
      </c>
      <c r="M480">
        <f>IFERROR(VLOOKUP(D480,Products!$A$2:$F$61,4,FALSE),"")</f>
        <v>1556</v>
      </c>
      <c r="N480" t="str">
        <f>IFERROR(VLOOKUP(E480,Sales_Reps!$A$2:$E$31,3,FALSE),"")</f>
        <v>East</v>
      </c>
      <c r="O480" t="str">
        <f>IFERROR(VLOOKUP(C480,Customers!$A$2:$F$301,5,FALSE),"")</f>
        <v>Retail</v>
      </c>
      <c r="P480">
        <f>IFERROR(VLOOKUP(C480,Customers!$A$2:$F$301,3,FALSE),"")</f>
        <v>55</v>
      </c>
      <c r="Q480" s="41">
        <f t="shared" si="16"/>
        <v>0.52123076923076928</v>
      </c>
      <c r="R480" t="str">
        <f>IFERROR(VLOOKUP(C480,Customers!$A$2:$F$301,1,FALSE),"")</f>
        <v>CUST-0091</v>
      </c>
      <c r="S480" s="27" t="b">
        <f>IFERROR(VLOOKUP(D480,Products!$A$2:$F$61,6,FALSE),"")</f>
        <v>1</v>
      </c>
      <c r="BL480">
        <v>0.5</v>
      </c>
      <c r="BO480">
        <v>0</v>
      </c>
      <c r="BP480">
        <v>0</v>
      </c>
    </row>
    <row r="481" spans="1:68" x14ac:dyDescent="0.35">
      <c r="A481" s="26" t="str">
        <f>Orders!A481</f>
        <v>ORD-00480</v>
      </c>
      <c r="B481" s="33">
        <f>Orders!B481</f>
        <v>45352</v>
      </c>
      <c r="C481" t="str">
        <f>Orders!C481</f>
        <v>CUST-0052</v>
      </c>
      <c r="D481" t="str">
        <f>Orders!D481</f>
        <v>PROD-028</v>
      </c>
      <c r="E481" t="str">
        <f>Orders!E481</f>
        <v>R008</v>
      </c>
      <c r="F481">
        <f>Orders!F481</f>
        <v>10</v>
      </c>
      <c r="G481" s="35">
        <f>Orders!G481</f>
        <v>3660</v>
      </c>
      <c r="H481" s="37">
        <f>Orders!H481</f>
        <v>12</v>
      </c>
      <c r="I481" s="39">
        <f>Orders!I481</f>
        <v>32208</v>
      </c>
      <c r="J481" t="str">
        <f>Orders!J481</f>
        <v>Completed</v>
      </c>
      <c r="K481" t="str">
        <f>Orders!K481</f>
        <v>Pune</v>
      </c>
      <c r="L481" t="str">
        <f>IFERROR(VLOOKUP(D481,Products!$A$2:$F$61,3,FALSE),"")</f>
        <v>Grocery</v>
      </c>
      <c r="M481">
        <f>IFERROR(VLOOKUP(D481,Products!$A$2:$F$61,4,FALSE),"")</f>
        <v>2214</v>
      </c>
      <c r="N481" t="str">
        <f>IFERROR(VLOOKUP(E481,Sales_Reps!$A$2:$E$31,3,FALSE),"")</f>
        <v>North</v>
      </c>
      <c r="O481" t="str">
        <f>IFERROR(VLOOKUP(C481,Customers!$A$2:$F$301,5,FALSE),"")</f>
        <v>Retail</v>
      </c>
      <c r="P481">
        <f>IFERROR(VLOOKUP(C481,Customers!$A$2:$F$301,3,FALSE),"")</f>
        <v>38</v>
      </c>
      <c r="Q481" s="41">
        <f t="shared" si="16"/>
        <v>0.39508196721311473</v>
      </c>
      <c r="R481" t="str">
        <f>IFERROR(VLOOKUP(C481,Customers!$A$2:$F$301,1,FALSE),"")</f>
        <v>CUST-0052</v>
      </c>
      <c r="S481" s="27" t="b">
        <f>IFERROR(VLOOKUP(D481,Products!$A$2:$F$61,6,FALSE),"")</f>
        <v>0</v>
      </c>
      <c r="BL481">
        <v>0</v>
      </c>
      <c r="BO481">
        <v>0</v>
      </c>
      <c r="BP481">
        <v>1</v>
      </c>
    </row>
    <row r="482" spans="1:68" x14ac:dyDescent="0.35">
      <c r="A482" s="26" t="str">
        <f>Orders!A482</f>
        <v>ORD-00481</v>
      </c>
      <c r="B482" s="33">
        <f>Orders!B482</f>
        <v>45521</v>
      </c>
      <c r="C482" t="str">
        <f>Orders!C482</f>
        <v>CUST-0069</v>
      </c>
      <c r="D482" t="str">
        <f>Orders!D482</f>
        <v>PROD-058</v>
      </c>
      <c r="E482" t="str">
        <f>Orders!E482</f>
        <v>R009</v>
      </c>
      <c r="F482">
        <f>Orders!F482</f>
        <v>1</v>
      </c>
      <c r="G482" s="35">
        <f>Orders!G482</f>
        <v>2400</v>
      </c>
      <c r="H482" s="37">
        <f>Orders!H482</f>
        <v>24.5</v>
      </c>
      <c r="I482" s="39">
        <f>Orders!I482</f>
        <v>1812</v>
      </c>
      <c r="J482" t="str">
        <f>Orders!J482</f>
        <v>Completed</v>
      </c>
      <c r="K482" t="str">
        <f>Orders!K482</f>
        <v>Chennai</v>
      </c>
      <c r="L482" t="str">
        <f>IFERROR(VLOOKUP(D482,Products!$A$2:$F$61,3,FALSE),"")</f>
        <v>Sports</v>
      </c>
      <c r="M482">
        <f>IFERROR(VLOOKUP(D482,Products!$A$2:$F$61,4,FALSE),"")</f>
        <v>974</v>
      </c>
      <c r="N482" t="str">
        <f>IFERROR(VLOOKUP(E482,Sales_Reps!$A$2:$E$31,3,FALSE),"")</f>
        <v>South</v>
      </c>
      <c r="O482" t="str">
        <f>IFERROR(VLOOKUP(C482,Customers!$A$2:$F$301,5,FALSE),"")</f>
        <v>Retail</v>
      </c>
      <c r="P482">
        <f>IFERROR(VLOOKUP(C482,Customers!$A$2:$F$301,3,FALSE),"")</f>
        <v>51</v>
      </c>
      <c r="Q482" s="41">
        <f t="shared" si="16"/>
        <v>0.59416666666666662</v>
      </c>
      <c r="R482" t="str">
        <f>IFERROR(VLOOKUP(C482,Customers!$A$2:$F$301,1,FALSE),"")</f>
        <v>CUST-0069</v>
      </c>
      <c r="S482" s="27" t="b">
        <f>IFERROR(VLOOKUP(D482,Products!$A$2:$F$61,6,FALSE),"")</f>
        <v>1</v>
      </c>
      <c r="BL482">
        <v>0</v>
      </c>
      <c r="BO482">
        <v>0</v>
      </c>
      <c r="BP482">
        <v>0</v>
      </c>
    </row>
    <row r="483" spans="1:68" x14ac:dyDescent="0.35">
      <c r="A483" s="26" t="str">
        <f>Orders!A483</f>
        <v>ORD-00482</v>
      </c>
      <c r="B483" s="33">
        <f>Orders!B483</f>
        <v>45496</v>
      </c>
      <c r="C483" t="str">
        <f>Orders!C483</f>
        <v>CUST-0294</v>
      </c>
      <c r="D483" t="str">
        <f>Orders!D483</f>
        <v>PROD-035</v>
      </c>
      <c r="E483" t="str">
        <f>Orders!E483</f>
        <v>R010</v>
      </c>
      <c r="F483">
        <f>Orders!F483</f>
        <v>1</v>
      </c>
      <c r="G483" s="35">
        <f>Orders!G483</f>
        <v>1090</v>
      </c>
      <c r="H483" s="37">
        <f>Orders!H483</f>
        <v>18.399999999999999</v>
      </c>
      <c r="I483" s="39">
        <f>Orders!I483</f>
        <v>889.44</v>
      </c>
      <c r="J483" t="str">
        <f>Orders!J483</f>
        <v>Completed</v>
      </c>
      <c r="K483" t="str">
        <f>Orders!K483</f>
        <v>Delhi</v>
      </c>
      <c r="L483" t="str">
        <f>IFERROR(VLOOKUP(D483,Products!$A$2:$F$61,3,FALSE),"")</f>
        <v>Home</v>
      </c>
      <c r="M483">
        <f>IFERROR(VLOOKUP(D483,Products!$A$2:$F$61,4,FALSE),"")</f>
        <v>464</v>
      </c>
      <c r="N483" t="str">
        <f>IFERROR(VLOOKUP(E483,Sales_Reps!$A$2:$E$31,3,FALSE),"")</f>
        <v>South</v>
      </c>
      <c r="O483" t="str">
        <f>IFERROR(VLOOKUP(C483,Customers!$A$2:$F$301,5,FALSE),"")</f>
        <v>Corporate</v>
      </c>
      <c r="P483">
        <f>IFERROR(VLOOKUP(C483,Customers!$A$2:$F$301,3,FALSE),"")</f>
        <v>31</v>
      </c>
      <c r="Q483" s="41">
        <f t="shared" si="16"/>
        <v>0.57431192660550456</v>
      </c>
      <c r="R483" t="str">
        <f>IFERROR(VLOOKUP(C483,Customers!$A$2:$F$301,1,FALSE),"")</f>
        <v>CUST-0294</v>
      </c>
      <c r="S483" s="27" t="b">
        <f>IFERROR(VLOOKUP(D483,Products!$A$2:$F$61,6,FALSE),"")</f>
        <v>1</v>
      </c>
      <c r="BL483">
        <v>0</v>
      </c>
      <c r="BO483">
        <v>0</v>
      </c>
      <c r="BP483">
        <v>0</v>
      </c>
    </row>
    <row r="484" spans="1:68" x14ac:dyDescent="0.35">
      <c r="A484" s="26" t="str">
        <f>Orders!A484</f>
        <v>ORD-00483</v>
      </c>
      <c r="B484" s="33">
        <f>Orders!B484</f>
        <v>45404</v>
      </c>
      <c r="C484" t="str">
        <f>Orders!C484</f>
        <v>CUST-0019</v>
      </c>
      <c r="D484" t="str">
        <f>Orders!D484</f>
        <v>PROD-059</v>
      </c>
      <c r="E484" t="str">
        <f>Orders!E484</f>
        <v>R015</v>
      </c>
      <c r="F484">
        <f>Orders!F484</f>
        <v>6</v>
      </c>
      <c r="G484" s="35">
        <f>Orders!G484</f>
        <v>3780</v>
      </c>
      <c r="H484" s="37">
        <f>Orders!H484</f>
        <v>15.9</v>
      </c>
      <c r="I484" s="39">
        <f>Orders!I484</f>
        <v>19073.88</v>
      </c>
      <c r="J484" t="str">
        <f>Orders!J484</f>
        <v>Completed</v>
      </c>
      <c r="K484" t="str">
        <f>Orders!K484</f>
        <v>Chennai</v>
      </c>
      <c r="L484" t="str">
        <f>IFERROR(VLOOKUP(D484,Products!$A$2:$F$61,3,FALSE),"")</f>
        <v>Sports</v>
      </c>
      <c r="M484">
        <f>IFERROR(VLOOKUP(D484,Products!$A$2:$F$61,4,FALSE),"")</f>
        <v>1860</v>
      </c>
      <c r="N484" t="str">
        <f>IFERROR(VLOOKUP(E484,Sales_Reps!$A$2:$E$31,3,FALSE),"")</f>
        <v>South</v>
      </c>
      <c r="O484" t="str">
        <f>IFERROR(VLOOKUP(C484,Customers!$A$2:$F$301,5,FALSE),"")</f>
        <v>Retail</v>
      </c>
      <c r="P484">
        <f>IFERROR(VLOOKUP(C484,Customers!$A$2:$F$301,3,FALSE),"")</f>
        <v>22</v>
      </c>
      <c r="Q484" s="41">
        <f t="shared" si="16"/>
        <v>0.50793650793650791</v>
      </c>
      <c r="R484" t="str">
        <f>IFERROR(VLOOKUP(C484,Customers!$A$2:$F$301,1,FALSE),"")</f>
        <v>CUST-0019</v>
      </c>
      <c r="S484" s="27" t="b">
        <f>IFERROR(VLOOKUP(D484,Products!$A$2:$F$61,6,FALSE),"")</f>
        <v>1</v>
      </c>
      <c r="BL484">
        <v>0</v>
      </c>
      <c r="BO484">
        <v>0</v>
      </c>
      <c r="BP484">
        <v>0</v>
      </c>
    </row>
    <row r="485" spans="1:68" x14ac:dyDescent="0.35">
      <c r="A485" s="26" t="str">
        <f>Orders!A485</f>
        <v>ORD-00484</v>
      </c>
      <c r="B485" s="33">
        <f>Orders!B485</f>
        <v>45330</v>
      </c>
      <c r="C485" t="str">
        <f>Orders!C485</f>
        <v>CUST-0087</v>
      </c>
      <c r="D485" t="str">
        <f>Orders!D485</f>
        <v>PROD-043</v>
      </c>
      <c r="E485" t="str">
        <f>Orders!E485</f>
        <v>R019</v>
      </c>
      <c r="F485">
        <f>Orders!F485</f>
        <v>3</v>
      </c>
      <c r="G485" s="35">
        <f>Orders!G485</f>
        <v>3350</v>
      </c>
      <c r="H485" s="37">
        <f>Orders!H485</f>
        <v>18.8</v>
      </c>
      <c r="I485" s="39">
        <f>Orders!I485</f>
        <v>8160.6</v>
      </c>
      <c r="J485" t="str">
        <f>Orders!J485</f>
        <v>Refunded</v>
      </c>
      <c r="K485" t="str">
        <f>Orders!K485</f>
        <v>Pune</v>
      </c>
      <c r="L485" t="str">
        <f>IFERROR(VLOOKUP(D485,Products!$A$2:$F$61,3,FALSE),"")</f>
        <v>Beauty</v>
      </c>
      <c r="M485">
        <f>IFERROR(VLOOKUP(D485,Products!$A$2:$F$61,4,FALSE),"")</f>
        <v>1728</v>
      </c>
      <c r="N485" t="str">
        <f>IFERROR(VLOOKUP(E485,Sales_Reps!$A$2:$E$31,3,FALSE),"")</f>
        <v>East</v>
      </c>
      <c r="O485" t="str">
        <f>IFERROR(VLOOKUP(C485,Customers!$A$2:$F$301,5,FALSE),"")</f>
        <v>SMB</v>
      </c>
      <c r="P485">
        <f>IFERROR(VLOOKUP(C485,Customers!$A$2:$F$301,3,FALSE),"")</f>
        <v>49</v>
      </c>
      <c r="Q485" s="41">
        <f t="shared" si="16"/>
        <v>0.48417910447761192</v>
      </c>
      <c r="R485" t="str">
        <f>IFERROR(VLOOKUP(C485,Customers!$A$2:$F$301,1,FALSE),"")</f>
        <v>CUST-0087</v>
      </c>
      <c r="S485" s="27" t="b">
        <f>IFERROR(VLOOKUP(D485,Products!$A$2:$F$61,6,FALSE),"")</f>
        <v>1</v>
      </c>
      <c r="BL485">
        <v>0</v>
      </c>
      <c r="BO485">
        <v>0</v>
      </c>
      <c r="BP485">
        <v>0</v>
      </c>
    </row>
    <row r="486" spans="1:68" x14ac:dyDescent="0.35">
      <c r="A486" s="26" t="str">
        <f>Orders!A486</f>
        <v>ORD-00485</v>
      </c>
      <c r="B486" s="33">
        <f>Orders!B486</f>
        <v>45323</v>
      </c>
      <c r="C486" t="str">
        <f>Orders!C486</f>
        <v>CUST-0281</v>
      </c>
      <c r="D486" t="str">
        <f>Orders!D486</f>
        <v>PROD-040</v>
      </c>
      <c r="E486" t="str">
        <f>Orders!E486</f>
        <v>R030</v>
      </c>
      <c r="F486">
        <f>Orders!F486</f>
        <v>3</v>
      </c>
      <c r="G486" s="35">
        <f>Orders!G486</f>
        <v>1080</v>
      </c>
      <c r="H486" s="37">
        <f>Orders!H486</f>
        <v>3.4</v>
      </c>
      <c r="I486" s="39">
        <f>Orders!I486</f>
        <v>3129.84</v>
      </c>
      <c r="J486" t="str">
        <f>Orders!J486</f>
        <v>Completed</v>
      </c>
      <c r="K486" t="str">
        <f>Orders!K486</f>
        <v>Bengaluru</v>
      </c>
      <c r="L486" t="str">
        <f>IFERROR(VLOOKUP(D486,Products!$A$2:$F$61,3,FALSE),"")</f>
        <v>Home</v>
      </c>
      <c r="M486">
        <f>IFERROR(VLOOKUP(D486,Products!$A$2:$F$61,4,FALSE),"")</f>
        <v>519</v>
      </c>
      <c r="N486" t="str">
        <f>IFERROR(VLOOKUP(E486,Sales_Reps!$A$2:$E$31,3,FALSE),"")</f>
        <v>West</v>
      </c>
      <c r="O486" t="str">
        <f>IFERROR(VLOOKUP(C486,Customers!$A$2:$F$301,5,FALSE),"")</f>
        <v>Corporate</v>
      </c>
      <c r="P486">
        <f>IFERROR(VLOOKUP(C486,Customers!$A$2:$F$301,3,FALSE),"")</f>
        <v>57</v>
      </c>
      <c r="Q486" s="41">
        <f t="shared" si="16"/>
        <v>0.51944444444444449</v>
      </c>
      <c r="R486" t="str">
        <f>IFERROR(VLOOKUP(C486,Customers!$A$2:$F$301,1,FALSE),"")</f>
        <v>CUST-0281</v>
      </c>
      <c r="S486" s="27" t="b">
        <f>IFERROR(VLOOKUP(D486,Products!$A$2:$F$61,6,FALSE),"")</f>
        <v>1</v>
      </c>
      <c r="BL486">
        <v>0</v>
      </c>
      <c r="BO486">
        <v>0</v>
      </c>
      <c r="BP486">
        <v>0</v>
      </c>
    </row>
    <row r="487" spans="1:68" x14ac:dyDescent="0.35">
      <c r="A487" s="26" t="str">
        <f>Orders!A487</f>
        <v>ORD-00486</v>
      </c>
      <c r="B487" s="33">
        <f>Orders!B487</f>
        <v>45519</v>
      </c>
      <c r="C487" t="str">
        <f>Orders!C487</f>
        <v>CUST-0248</v>
      </c>
      <c r="D487" t="str">
        <f>Orders!D487</f>
        <v>PROD-026</v>
      </c>
      <c r="E487" t="str">
        <f>Orders!E487</f>
        <v>R022</v>
      </c>
      <c r="F487">
        <f>Orders!F487</f>
        <v>6</v>
      </c>
      <c r="G487" s="35">
        <f>Orders!G487</f>
        <v>4070</v>
      </c>
      <c r="H487" s="37">
        <f>Orders!H487</f>
        <v>27.7</v>
      </c>
      <c r="I487" s="39">
        <f>Orders!I487</f>
        <v>17655.66</v>
      </c>
      <c r="J487" t="str">
        <f>Orders!J487</f>
        <v>Pending</v>
      </c>
      <c r="K487" t="str">
        <f>Orders!K487</f>
        <v>Chennai</v>
      </c>
      <c r="L487" t="str">
        <f>IFERROR(VLOOKUP(D487,Products!$A$2:$F$61,3,FALSE),"")</f>
        <v>Grocery</v>
      </c>
      <c r="M487">
        <f>IFERROR(VLOOKUP(D487,Products!$A$2:$F$61,4,FALSE),"")</f>
        <v>2027</v>
      </c>
      <c r="N487" t="str">
        <f>IFERROR(VLOOKUP(E487,Sales_Reps!$A$2:$E$31,3,FALSE),"")</f>
        <v>East</v>
      </c>
      <c r="O487" t="str">
        <f>IFERROR(VLOOKUP(C487,Customers!$A$2:$F$301,5,FALSE),"")</f>
        <v>SMB</v>
      </c>
      <c r="P487">
        <f>IFERROR(VLOOKUP(C487,Customers!$A$2:$F$301,3,FALSE),"")</f>
        <v>57</v>
      </c>
      <c r="Q487" s="41">
        <f t="shared" si="16"/>
        <v>0.50196560196560192</v>
      </c>
      <c r="R487" t="str">
        <f>IFERROR(VLOOKUP(C487,Customers!$A$2:$F$301,1,FALSE),"")</f>
        <v>CUST-0248</v>
      </c>
      <c r="S487" s="27" t="b">
        <f>IFERROR(VLOOKUP(D487,Products!$A$2:$F$61,6,FALSE),"")</f>
        <v>1</v>
      </c>
      <c r="BL487">
        <v>0</v>
      </c>
      <c r="BO487">
        <v>0</v>
      </c>
      <c r="BP487">
        <v>0</v>
      </c>
    </row>
    <row r="488" spans="1:68" x14ac:dyDescent="0.35">
      <c r="A488" s="26" t="str">
        <f>Orders!A488</f>
        <v>ORD-00487</v>
      </c>
      <c r="B488" s="33">
        <f>Orders!B488</f>
        <v>45514</v>
      </c>
      <c r="C488" t="str">
        <f>Orders!C488</f>
        <v>CUST-0019</v>
      </c>
      <c r="D488" t="str">
        <f>Orders!D488</f>
        <v>PROD-041</v>
      </c>
      <c r="E488" t="str">
        <f>Orders!E488</f>
        <v>R026</v>
      </c>
      <c r="F488">
        <f>Orders!F488</f>
        <v>5</v>
      </c>
      <c r="G488" s="35">
        <f>Orders!G488</f>
        <v>1540</v>
      </c>
      <c r="H488" s="37">
        <f>Orders!H488</f>
        <v>24.9</v>
      </c>
      <c r="I488" s="39">
        <f>Orders!I488</f>
        <v>5782.7</v>
      </c>
      <c r="J488" t="str">
        <f>Orders!J488</f>
        <v>Completed</v>
      </c>
      <c r="K488" t="str">
        <f>Orders!K488</f>
        <v>Chennai</v>
      </c>
      <c r="L488" t="str">
        <f>IFERROR(VLOOKUP(D488,Products!$A$2:$F$61,3,FALSE),"")</f>
        <v>Beauty</v>
      </c>
      <c r="M488">
        <f>IFERROR(VLOOKUP(D488,Products!$A$2:$F$61,4,FALSE),"")</f>
        <v>647</v>
      </c>
      <c r="N488" t="str">
        <f>IFERROR(VLOOKUP(E488,Sales_Reps!$A$2:$E$31,3,FALSE),"")</f>
        <v>West</v>
      </c>
      <c r="O488" t="str">
        <f>IFERROR(VLOOKUP(C488,Customers!$A$2:$F$301,5,FALSE),"")</f>
        <v>Retail</v>
      </c>
      <c r="P488">
        <f>IFERROR(VLOOKUP(C488,Customers!$A$2:$F$301,3,FALSE),"")</f>
        <v>22</v>
      </c>
      <c r="Q488" s="41">
        <f t="shared" si="16"/>
        <v>0.57987012987012987</v>
      </c>
      <c r="R488" t="str">
        <f>IFERROR(VLOOKUP(C488,Customers!$A$2:$F$301,1,FALSE),"")</f>
        <v>CUST-0019</v>
      </c>
      <c r="S488" s="27" t="b">
        <f>IFERROR(VLOOKUP(D488,Products!$A$2:$F$61,6,FALSE),"")</f>
        <v>0</v>
      </c>
      <c r="BL488">
        <v>0</v>
      </c>
      <c r="BO488">
        <v>0</v>
      </c>
      <c r="BP488">
        <v>1</v>
      </c>
    </row>
    <row r="489" spans="1:68" x14ac:dyDescent="0.35">
      <c r="A489" s="26" t="str">
        <f>Orders!A489</f>
        <v>ORD-00488</v>
      </c>
      <c r="B489" s="33">
        <f>Orders!B489</f>
        <v>45497</v>
      </c>
      <c r="C489" t="str">
        <f>Orders!C489</f>
        <v>CUST-0092</v>
      </c>
      <c r="D489" t="str">
        <f>Orders!D489</f>
        <v>PROD-021</v>
      </c>
      <c r="E489" t="str">
        <f>Orders!E489</f>
        <v>R028</v>
      </c>
      <c r="F489">
        <f>Orders!F489</f>
        <v>6</v>
      </c>
      <c r="G489" s="35">
        <f>Orders!G489</f>
        <v>2760</v>
      </c>
      <c r="H489" s="37">
        <f>Orders!H489</f>
        <v>29.9</v>
      </c>
      <c r="I489" s="39">
        <f>Orders!I489</f>
        <v>11608.56</v>
      </c>
      <c r="J489" t="str">
        <f>Orders!J489</f>
        <v>Completed</v>
      </c>
      <c r="K489" t="str">
        <f>Orders!K489</f>
        <v>Bengaluru</v>
      </c>
      <c r="L489" t="str">
        <f>IFERROR(VLOOKUP(D489,Products!$A$2:$F$61,3,FALSE),"")</f>
        <v>Grocery</v>
      </c>
      <c r="M489">
        <f>IFERROR(VLOOKUP(D489,Products!$A$2:$F$61,4,FALSE),"")</f>
        <v>1435</v>
      </c>
      <c r="N489" t="str">
        <f>IFERROR(VLOOKUP(E489,Sales_Reps!$A$2:$E$31,3,FALSE),"")</f>
        <v>West</v>
      </c>
      <c r="O489" t="str">
        <f>IFERROR(VLOOKUP(C489,Customers!$A$2:$F$301,5,FALSE),"")</f>
        <v>SMB</v>
      </c>
      <c r="P489">
        <f>IFERROR(VLOOKUP(C489,Customers!$A$2:$F$301,3,FALSE),"")</f>
        <v>28</v>
      </c>
      <c r="Q489" s="41">
        <f t="shared" si="16"/>
        <v>0.48007246376811596</v>
      </c>
      <c r="R489" t="str">
        <f>IFERROR(VLOOKUP(C489,Customers!$A$2:$F$301,1,FALSE),"")</f>
        <v>CUST-0092</v>
      </c>
      <c r="S489" s="27" t="b">
        <f>IFERROR(VLOOKUP(D489,Products!$A$2:$F$61,6,FALSE),"")</f>
        <v>1</v>
      </c>
      <c r="BL489">
        <v>0</v>
      </c>
      <c r="BO489">
        <v>0</v>
      </c>
      <c r="BP489">
        <v>0</v>
      </c>
    </row>
    <row r="490" spans="1:68" x14ac:dyDescent="0.35">
      <c r="A490" s="26" t="str">
        <f>Orders!A490</f>
        <v>ORD-00489</v>
      </c>
      <c r="B490" s="33">
        <f>Orders!B490</f>
        <v>45639</v>
      </c>
      <c r="C490" t="str">
        <f>Orders!C490</f>
        <v>CUST-0195</v>
      </c>
      <c r="D490" t="str">
        <f>Orders!D490</f>
        <v>PROD-006</v>
      </c>
      <c r="E490" t="str">
        <f>Orders!E490</f>
        <v>R022</v>
      </c>
      <c r="F490">
        <f>Orders!F490</f>
        <v>8</v>
      </c>
      <c r="G490" s="35">
        <f>Orders!G490</f>
        <v>3970</v>
      </c>
      <c r="H490" s="37">
        <f>Orders!H490</f>
        <v>23.7</v>
      </c>
      <c r="I490" s="39">
        <f>Orders!I490</f>
        <v>24232.880000000001</v>
      </c>
      <c r="J490" t="str">
        <f>Orders!J490</f>
        <v>Completed</v>
      </c>
      <c r="K490" t="str">
        <f>Orders!K490</f>
        <v>Bengaluru</v>
      </c>
      <c r="L490" t="str">
        <f>IFERROR(VLOOKUP(D490,Products!$A$2:$F$61,3,FALSE),"")</f>
        <v>Electronics</v>
      </c>
      <c r="M490">
        <f>IFERROR(VLOOKUP(D490,Products!$A$2:$F$61,4,FALSE),"")</f>
        <v>2865</v>
      </c>
      <c r="N490" t="str">
        <f>IFERROR(VLOOKUP(E490,Sales_Reps!$A$2:$E$31,3,FALSE),"")</f>
        <v>East</v>
      </c>
      <c r="O490" t="str">
        <f>IFERROR(VLOOKUP(C490,Customers!$A$2:$F$301,5,FALSE),"")</f>
        <v>Retail</v>
      </c>
      <c r="P490">
        <f>IFERROR(VLOOKUP(C490,Customers!$A$2:$F$301,3,FALSE),"")</f>
        <v>28</v>
      </c>
      <c r="Q490" s="41">
        <f t="shared" si="16"/>
        <v>0.27833753148614609</v>
      </c>
      <c r="R490" t="str">
        <f>IFERROR(VLOOKUP(C490,Customers!$A$2:$F$301,1,FALSE),"")</f>
        <v>CUST-0195</v>
      </c>
      <c r="S490" s="27" t="b">
        <f>IFERROR(VLOOKUP(D490,Products!$A$2:$F$61,6,FALSE),"")</f>
        <v>1</v>
      </c>
      <c r="BL490">
        <v>0</v>
      </c>
      <c r="BO490">
        <v>0</v>
      </c>
      <c r="BP490">
        <v>0</v>
      </c>
    </row>
    <row r="491" spans="1:68" x14ac:dyDescent="0.35">
      <c r="A491" s="26" t="str">
        <f>Orders!A491</f>
        <v>ORD-00490</v>
      </c>
      <c r="B491" s="33">
        <f>Orders!B491</f>
        <v>45562</v>
      </c>
      <c r="C491" t="str">
        <f>Orders!C491</f>
        <v>CUST-0126</v>
      </c>
      <c r="D491" t="str">
        <f>Orders!D491</f>
        <v>PROD-011</v>
      </c>
      <c r="E491" t="str">
        <f>Orders!E491</f>
        <v>R021</v>
      </c>
      <c r="F491">
        <f>Orders!F491</f>
        <v>1</v>
      </c>
      <c r="G491" s="35">
        <f>Orders!G491</f>
        <v>3450</v>
      </c>
      <c r="H491" s="37">
        <f>Orders!H491</f>
        <v>7.4</v>
      </c>
      <c r="I491" s="39">
        <f>Orders!I491</f>
        <v>3194.7</v>
      </c>
      <c r="J491" t="str">
        <f>Orders!J491</f>
        <v>Completed</v>
      </c>
      <c r="K491" t="str">
        <f>Orders!K491</f>
        <v>Mumbai</v>
      </c>
      <c r="L491" t="str">
        <f>IFERROR(VLOOKUP(D491,Products!$A$2:$F$61,3,FALSE),"")</f>
        <v>Apparel</v>
      </c>
      <c r="M491">
        <f>IFERROR(VLOOKUP(D491,Products!$A$2:$F$61,4,FALSE),"")</f>
        <v>1748</v>
      </c>
      <c r="N491" t="str">
        <f>IFERROR(VLOOKUP(E491,Sales_Reps!$A$2:$E$31,3,FALSE),"")</f>
        <v>East</v>
      </c>
      <c r="O491" t="str">
        <f>IFERROR(VLOOKUP(C491,Customers!$A$2:$F$301,5,FALSE),"")</f>
        <v>Retail</v>
      </c>
      <c r="P491">
        <f>IFERROR(VLOOKUP(C491,Customers!$A$2:$F$301,3,FALSE),"")</f>
        <v>37</v>
      </c>
      <c r="Q491" s="41">
        <f t="shared" si="16"/>
        <v>0.49333333333333335</v>
      </c>
      <c r="R491" t="str">
        <f>IFERROR(VLOOKUP(C491,Customers!$A$2:$F$301,1,FALSE),"")</f>
        <v>CUST-0126</v>
      </c>
      <c r="S491" s="27" t="b">
        <f>IFERROR(VLOOKUP(D491,Products!$A$2:$F$61,6,FALSE),"")</f>
        <v>1</v>
      </c>
      <c r="BL491">
        <v>0</v>
      </c>
      <c r="BO491">
        <v>0</v>
      </c>
      <c r="BP491">
        <v>0</v>
      </c>
    </row>
    <row r="492" spans="1:68" x14ac:dyDescent="0.35">
      <c r="A492" s="26" t="str">
        <f>Orders!A492</f>
        <v>ORD-00491</v>
      </c>
      <c r="B492" s="33">
        <f>Orders!B492</f>
        <v>45308</v>
      </c>
      <c r="C492" t="str">
        <f>Orders!C492</f>
        <v>CUST-0274</v>
      </c>
      <c r="D492" t="str">
        <f>Orders!D492</f>
        <v>PROD-018</v>
      </c>
      <c r="E492" t="str">
        <f>Orders!E492</f>
        <v>R005</v>
      </c>
      <c r="F492">
        <f>Orders!F492</f>
        <v>3</v>
      </c>
      <c r="G492" s="35">
        <f>Orders!G492</f>
        <v>3560</v>
      </c>
      <c r="H492" s="37">
        <f>Orders!H492</f>
        <v>15.2</v>
      </c>
      <c r="I492" s="39">
        <f>Orders!I492</f>
        <v>9056.64</v>
      </c>
      <c r="J492" t="str">
        <f>Orders!J492</f>
        <v>Completed</v>
      </c>
      <c r="K492" t="str">
        <f>Orders!K492</f>
        <v>Bengaluru</v>
      </c>
      <c r="L492" t="str">
        <f>IFERROR(VLOOKUP(D492,Products!$A$2:$F$61,3,FALSE),"")</f>
        <v>Apparel</v>
      </c>
      <c r="M492">
        <f>IFERROR(VLOOKUP(D492,Products!$A$2:$F$61,4,FALSE),"")</f>
        <v>2629</v>
      </c>
      <c r="N492" t="str">
        <f>IFERROR(VLOOKUP(E492,Sales_Reps!$A$2:$E$31,3,FALSE),"")</f>
        <v>North</v>
      </c>
      <c r="O492" t="str">
        <f>IFERROR(VLOOKUP(C492,Customers!$A$2:$F$301,5,FALSE),"")</f>
        <v>Corporate</v>
      </c>
      <c r="P492">
        <f>IFERROR(VLOOKUP(C492,Customers!$A$2:$F$301,3,FALSE),"")</f>
        <v>36</v>
      </c>
      <c r="Q492" s="41">
        <f t="shared" si="16"/>
        <v>0.26151685393258428</v>
      </c>
      <c r="R492" t="str">
        <f>IFERROR(VLOOKUP(C492,Customers!$A$2:$F$301,1,FALSE),"")</f>
        <v>CUST-0274</v>
      </c>
      <c r="S492" s="27" t="b">
        <f>IFERROR(VLOOKUP(D492,Products!$A$2:$F$61,6,FALSE),"")</f>
        <v>1</v>
      </c>
      <c r="BL492">
        <v>0</v>
      </c>
      <c r="BO492">
        <v>0</v>
      </c>
      <c r="BP492">
        <v>0</v>
      </c>
    </row>
    <row r="493" spans="1:68" x14ac:dyDescent="0.35">
      <c r="A493" s="26" t="str">
        <f>Orders!A493</f>
        <v>ORD-00492</v>
      </c>
      <c r="B493" s="33">
        <f>Orders!B493</f>
        <v>45428</v>
      </c>
      <c r="C493" t="str">
        <f>Orders!C493</f>
        <v>CUST-0059</v>
      </c>
      <c r="D493" t="str">
        <f>Orders!D493</f>
        <v>PROD-003</v>
      </c>
      <c r="E493" t="str">
        <f>Orders!E493</f>
        <v>R030</v>
      </c>
      <c r="F493">
        <f>Orders!F493</f>
        <v>4</v>
      </c>
      <c r="G493" s="35">
        <f>Orders!G493</f>
        <v>3570</v>
      </c>
      <c r="H493" s="37">
        <f>Orders!H493</f>
        <v>18.899999999999999</v>
      </c>
      <c r="I493" s="39">
        <f>Orders!I493</f>
        <v>11581.08</v>
      </c>
      <c r="J493" t="str">
        <f>Orders!J493</f>
        <v>Completed</v>
      </c>
      <c r="K493" t="str">
        <f>Orders!K493</f>
        <v>Pune</v>
      </c>
      <c r="L493" t="str">
        <f>IFERROR(VLOOKUP(D493,Products!$A$2:$F$61,3,FALSE),"")</f>
        <v>Electronics</v>
      </c>
      <c r="M493">
        <f>IFERROR(VLOOKUP(D493,Products!$A$2:$F$61,4,FALSE),"")</f>
        <v>1665</v>
      </c>
      <c r="N493" t="str">
        <f>IFERROR(VLOOKUP(E493,Sales_Reps!$A$2:$E$31,3,FALSE),"")</f>
        <v>West</v>
      </c>
      <c r="O493" t="str">
        <f>IFERROR(VLOOKUP(C493,Customers!$A$2:$F$301,5,FALSE),"")</f>
        <v>Corporate</v>
      </c>
      <c r="P493">
        <f>IFERROR(VLOOKUP(C493,Customers!$A$2:$F$301,3,FALSE),"")</f>
        <v>29</v>
      </c>
      <c r="Q493" s="41">
        <f t="shared" si="16"/>
        <v>0.53361344537815125</v>
      </c>
      <c r="R493" t="str">
        <f>IFERROR(VLOOKUP(C493,Customers!$A$2:$F$301,1,FALSE),"")</f>
        <v>CUST-0059</v>
      </c>
      <c r="S493" s="27" t="b">
        <f>IFERROR(VLOOKUP(D493,Products!$A$2:$F$61,6,FALSE),"")</f>
        <v>1</v>
      </c>
      <c r="BL493">
        <v>0</v>
      </c>
      <c r="BO493">
        <v>0</v>
      </c>
      <c r="BP493">
        <v>0</v>
      </c>
    </row>
    <row r="494" spans="1:68" x14ac:dyDescent="0.35">
      <c r="A494" s="26" t="str">
        <f>Orders!A494</f>
        <v>ORD-00493</v>
      </c>
      <c r="B494" s="33">
        <f>Orders!B494</f>
        <v>45472</v>
      </c>
      <c r="C494" t="str">
        <f>Orders!C494</f>
        <v>CUST-0264</v>
      </c>
      <c r="D494" t="str">
        <f>Orders!D494</f>
        <v>PROD-057</v>
      </c>
      <c r="E494" t="str">
        <f>Orders!E494</f>
        <v>R025</v>
      </c>
      <c r="F494">
        <f>Orders!F494</f>
        <v>9</v>
      </c>
      <c r="G494" s="35">
        <f>Orders!G494</f>
        <v>960</v>
      </c>
      <c r="H494" s="37">
        <f>Orders!H494</f>
        <v>14</v>
      </c>
      <c r="I494" s="39">
        <f>Orders!I494</f>
        <v>7430.4</v>
      </c>
      <c r="J494" t="str">
        <f>Orders!J494</f>
        <v>Refunded</v>
      </c>
      <c r="K494" t="str">
        <f>Orders!K494</f>
        <v>Pune</v>
      </c>
      <c r="L494" t="str">
        <f>IFERROR(VLOOKUP(D494,Products!$A$2:$F$61,3,FALSE),"")</f>
        <v>Sports</v>
      </c>
      <c r="M494">
        <f>IFERROR(VLOOKUP(D494,Products!$A$2:$F$61,4,FALSE),"")</f>
        <v>705</v>
      </c>
      <c r="N494" t="str">
        <f>IFERROR(VLOOKUP(E494,Sales_Reps!$A$2:$E$31,3,FALSE),"")</f>
        <v>West</v>
      </c>
      <c r="O494" t="str">
        <f>IFERROR(VLOOKUP(C494,Customers!$A$2:$F$301,5,FALSE),"")</f>
        <v>Retail</v>
      </c>
      <c r="P494">
        <f>IFERROR(VLOOKUP(C494,Customers!$A$2:$F$301,3,FALSE),"")</f>
        <v>59</v>
      </c>
      <c r="Q494" s="41">
        <f t="shared" si="16"/>
        <v>0.265625</v>
      </c>
      <c r="R494" t="str">
        <f>IFERROR(VLOOKUP(C494,Customers!$A$2:$F$301,1,FALSE),"")</f>
        <v>CUST-0264</v>
      </c>
      <c r="S494" s="27" t="b">
        <f>IFERROR(VLOOKUP(D494,Products!$A$2:$F$61,6,FALSE),"")</f>
        <v>1</v>
      </c>
      <c r="BL494">
        <v>0</v>
      </c>
      <c r="BO494">
        <v>0</v>
      </c>
      <c r="BP494">
        <v>0</v>
      </c>
    </row>
    <row r="495" spans="1:68" x14ac:dyDescent="0.35">
      <c r="A495" s="26" t="str">
        <f>Orders!A495</f>
        <v>ORD-00494</v>
      </c>
      <c r="B495" s="33">
        <f>Orders!B495</f>
        <v>45406</v>
      </c>
      <c r="C495" t="str">
        <f>Orders!C495</f>
        <v>CUST-0157</v>
      </c>
      <c r="D495" t="str">
        <f>Orders!D495</f>
        <v>PROD-047</v>
      </c>
      <c r="E495" t="str">
        <f>Orders!E495</f>
        <v>R016</v>
      </c>
      <c r="F495">
        <f>Orders!F495</f>
        <v>9</v>
      </c>
      <c r="G495" s="35">
        <f>Orders!G495</f>
        <v>3450</v>
      </c>
      <c r="H495" s="37">
        <f>Orders!H495</f>
        <v>6</v>
      </c>
      <c r="I495" s="39">
        <f>Orders!I495</f>
        <v>29187</v>
      </c>
      <c r="J495" t="str">
        <f>Orders!J495</f>
        <v>Cancelled</v>
      </c>
      <c r="K495" t="str">
        <f>Orders!K495</f>
        <v>Pune</v>
      </c>
      <c r="L495" t="str">
        <f>IFERROR(VLOOKUP(D495,Products!$A$2:$F$61,3,FALSE),"")</f>
        <v>Beauty</v>
      </c>
      <c r="M495">
        <f>IFERROR(VLOOKUP(D495,Products!$A$2:$F$61,4,FALSE),"")</f>
        <v>2420</v>
      </c>
      <c r="N495" t="str">
        <f>IFERROR(VLOOKUP(E495,Sales_Reps!$A$2:$E$31,3,FALSE),"")</f>
        <v>South</v>
      </c>
      <c r="O495" t="str">
        <f>IFERROR(VLOOKUP(C495,Customers!$A$2:$F$301,5,FALSE),"")</f>
        <v>Corporate</v>
      </c>
      <c r="P495">
        <f>IFERROR(VLOOKUP(C495,Customers!$A$2:$F$301,3,FALSE),"")</f>
        <v>52</v>
      </c>
      <c r="Q495" s="41">
        <f t="shared" si="16"/>
        <v>0.29855072463768118</v>
      </c>
      <c r="R495" t="str">
        <f>IFERROR(VLOOKUP(C495,Customers!$A$2:$F$301,1,FALSE),"")</f>
        <v>CUST-0157</v>
      </c>
      <c r="S495" s="27" t="b">
        <f>IFERROR(VLOOKUP(D495,Products!$A$2:$F$61,6,FALSE),"")</f>
        <v>1</v>
      </c>
      <c r="BL495">
        <v>0</v>
      </c>
      <c r="BO495">
        <v>0</v>
      </c>
      <c r="BP495">
        <v>0</v>
      </c>
    </row>
    <row r="496" spans="1:68" x14ac:dyDescent="0.35">
      <c r="A496" s="26" t="str">
        <f>Orders!A496</f>
        <v>ORD-00495</v>
      </c>
      <c r="B496" s="33">
        <f>Orders!B496</f>
        <v>45457</v>
      </c>
      <c r="C496" t="str">
        <f>Orders!C496</f>
        <v>CUST-0028</v>
      </c>
      <c r="D496" t="str">
        <f>Orders!D496</f>
        <v>PROD-043</v>
      </c>
      <c r="E496" t="str">
        <f>Orders!E496</f>
        <v>R012</v>
      </c>
      <c r="F496">
        <f>Orders!F496</f>
        <v>7</v>
      </c>
      <c r="G496" s="35">
        <f>Orders!G496</f>
        <v>3350</v>
      </c>
      <c r="H496" s="37">
        <f>Orders!H496</f>
        <v>14</v>
      </c>
      <c r="I496" s="39">
        <f>Orders!I496</f>
        <v>20167</v>
      </c>
      <c r="J496" t="str">
        <f>Orders!J496</f>
        <v>Cancelled</v>
      </c>
      <c r="K496" t="str">
        <f>Orders!K496</f>
        <v>Bengaluru</v>
      </c>
      <c r="L496" t="str">
        <f>IFERROR(VLOOKUP(D496,Products!$A$2:$F$61,3,FALSE),"")</f>
        <v>Beauty</v>
      </c>
      <c r="M496">
        <f>IFERROR(VLOOKUP(D496,Products!$A$2:$F$61,4,FALSE),"")</f>
        <v>1728</v>
      </c>
      <c r="N496" t="str">
        <f>IFERROR(VLOOKUP(E496,Sales_Reps!$A$2:$E$31,3,FALSE),"")</f>
        <v>South</v>
      </c>
      <c r="O496" t="str">
        <f>IFERROR(VLOOKUP(C496,Customers!$A$2:$F$301,5,FALSE),"")</f>
        <v>Retail</v>
      </c>
      <c r="P496">
        <f>IFERROR(VLOOKUP(C496,Customers!$A$2:$F$301,3,FALSE),"")</f>
        <v>59</v>
      </c>
      <c r="Q496" s="41">
        <f t="shared" si="16"/>
        <v>0.48417910447761192</v>
      </c>
      <c r="R496" t="str">
        <f>IFERROR(VLOOKUP(C496,Customers!$A$2:$F$301,1,FALSE),"")</f>
        <v>CUST-0028</v>
      </c>
      <c r="S496" s="27" t="b">
        <f>IFERROR(VLOOKUP(D496,Products!$A$2:$F$61,6,FALSE),"")</f>
        <v>1</v>
      </c>
      <c r="BL496">
        <v>0</v>
      </c>
      <c r="BO496">
        <v>0</v>
      </c>
      <c r="BP496">
        <v>0</v>
      </c>
    </row>
    <row r="497" spans="1:68" x14ac:dyDescent="0.35">
      <c r="A497" s="26" t="str">
        <f>Orders!A497</f>
        <v>ORD-00496</v>
      </c>
      <c r="B497" s="33">
        <f>Orders!B497</f>
        <v>45298</v>
      </c>
      <c r="C497" t="str">
        <f>Orders!C497</f>
        <v>CUST-0033</v>
      </c>
      <c r="D497" t="str">
        <f>Orders!D497</f>
        <v>PROD-049</v>
      </c>
      <c r="E497" t="str">
        <f>Orders!E497</f>
        <v>R004</v>
      </c>
      <c r="F497">
        <f>Orders!F497</f>
        <v>6</v>
      </c>
      <c r="G497" s="35">
        <f>Orders!G497</f>
        <v>960</v>
      </c>
      <c r="H497" s="37">
        <f>Orders!H497</f>
        <v>10.1</v>
      </c>
      <c r="I497" s="39">
        <f>Orders!I497</f>
        <v>5178.24</v>
      </c>
      <c r="J497" t="str">
        <f>Orders!J497</f>
        <v>Completed</v>
      </c>
      <c r="K497" t="str">
        <f>Orders!K497</f>
        <v>Delhi</v>
      </c>
      <c r="L497" t="str">
        <f>IFERROR(VLOOKUP(D497,Products!$A$2:$F$61,3,FALSE),"")</f>
        <v>Beauty</v>
      </c>
      <c r="M497">
        <f>IFERROR(VLOOKUP(D497,Products!$A$2:$F$61,4,FALSE),"")</f>
        <v>675</v>
      </c>
      <c r="N497" t="str">
        <f>IFERROR(VLOOKUP(E497,Sales_Reps!$A$2:$E$31,3,FALSE),"")</f>
        <v>North</v>
      </c>
      <c r="O497" t="str">
        <f>IFERROR(VLOOKUP(C497,Customers!$A$2:$F$301,5,FALSE),"")</f>
        <v>Retail</v>
      </c>
      <c r="P497">
        <f>IFERROR(VLOOKUP(C497,Customers!$A$2:$F$301,3,FALSE),"")</f>
        <v>35</v>
      </c>
      <c r="Q497" s="41">
        <f t="shared" si="16"/>
        <v>0.296875</v>
      </c>
      <c r="R497" t="str">
        <f>IFERROR(VLOOKUP(C497,Customers!$A$2:$F$301,1,FALSE),"")</f>
        <v>CUST-0033</v>
      </c>
      <c r="S497" s="27" t="b">
        <f>IFERROR(VLOOKUP(D497,Products!$A$2:$F$61,6,FALSE),"")</f>
        <v>1</v>
      </c>
      <c r="BL497">
        <v>0</v>
      </c>
      <c r="BO497">
        <v>0</v>
      </c>
      <c r="BP497">
        <v>0</v>
      </c>
    </row>
    <row r="498" spans="1:68" x14ac:dyDescent="0.35">
      <c r="A498" s="26" t="str">
        <f>Orders!A498</f>
        <v>ORD-00497</v>
      </c>
      <c r="B498" s="33">
        <f>Orders!B498</f>
        <v>45337</v>
      </c>
      <c r="C498" t="str">
        <f>Orders!C498</f>
        <v>CUST-0280</v>
      </c>
      <c r="D498" t="str">
        <f>Orders!D498</f>
        <v>PROD-005</v>
      </c>
      <c r="E498" t="str">
        <f>Orders!E498</f>
        <v>R016</v>
      </c>
      <c r="F498">
        <f>Orders!F498</f>
        <v>7</v>
      </c>
      <c r="G498" s="35">
        <f>Orders!G498</f>
        <v>300</v>
      </c>
      <c r="H498" s="37">
        <f>Orders!H498</f>
        <v>21.9</v>
      </c>
      <c r="I498" s="39">
        <f>Orders!I498</f>
        <v>1640.1</v>
      </c>
      <c r="J498" t="str">
        <f>Orders!J498</f>
        <v>Completed</v>
      </c>
      <c r="K498" t="str">
        <f>Orders!K498</f>
        <v>Delhi</v>
      </c>
      <c r="L498" t="str">
        <f>IFERROR(VLOOKUP(D498,Products!$A$2:$F$61,3,FALSE),"")</f>
        <v>Electronics</v>
      </c>
      <c r="M498">
        <f>IFERROR(VLOOKUP(D498,Products!$A$2:$F$61,4,FALSE),"")</f>
        <v>128</v>
      </c>
      <c r="N498" t="str">
        <f>IFERROR(VLOOKUP(E498,Sales_Reps!$A$2:$E$31,3,FALSE),"")</f>
        <v>South</v>
      </c>
      <c r="O498" t="str">
        <f>IFERROR(VLOOKUP(C498,Customers!$A$2:$F$301,5,FALSE),"")</f>
        <v>SMB</v>
      </c>
      <c r="P498">
        <f>IFERROR(VLOOKUP(C498,Customers!$A$2:$F$301,3,FALSE),"")</f>
        <v>27</v>
      </c>
      <c r="Q498" s="41">
        <f t="shared" si="16"/>
        <v>0.57333333333333336</v>
      </c>
      <c r="R498" t="str">
        <f>IFERROR(VLOOKUP(C498,Customers!$A$2:$F$301,1,FALSE),"")</f>
        <v>CUST-0280</v>
      </c>
      <c r="S498" s="27" t="b">
        <f>IFERROR(VLOOKUP(D498,Products!$A$2:$F$61,6,FALSE),"")</f>
        <v>1</v>
      </c>
      <c r="BL498">
        <v>0</v>
      </c>
      <c r="BO498">
        <v>0</v>
      </c>
      <c r="BP498">
        <v>0</v>
      </c>
    </row>
    <row r="499" spans="1:68" x14ac:dyDescent="0.35">
      <c r="A499" s="26" t="str">
        <f>Orders!A499</f>
        <v>ORD-00498</v>
      </c>
      <c r="B499" s="33">
        <f>Orders!B499</f>
        <v>45389</v>
      </c>
      <c r="C499" t="str">
        <f>Orders!C499</f>
        <v>CUST-0232</v>
      </c>
      <c r="D499" t="str">
        <f>Orders!D499</f>
        <v>PROD-023</v>
      </c>
      <c r="E499" t="str">
        <f>Orders!E499</f>
        <v>R019</v>
      </c>
      <c r="F499">
        <f>Orders!F499</f>
        <v>2</v>
      </c>
      <c r="G499" s="35">
        <f>Orders!G499</f>
        <v>2380</v>
      </c>
      <c r="H499" s="37">
        <f>Orders!H499</f>
        <v>6.8</v>
      </c>
      <c r="I499" s="39">
        <f>Orders!I499</f>
        <v>4436.32</v>
      </c>
      <c r="J499" t="str">
        <f>Orders!J499</f>
        <v>Completed</v>
      </c>
      <c r="K499" t="str">
        <f>Orders!K499</f>
        <v>Hyderabad</v>
      </c>
      <c r="L499" t="str">
        <f>IFERROR(VLOOKUP(D499,Products!$A$2:$F$61,3,FALSE),"")</f>
        <v>Grocery</v>
      </c>
      <c r="M499">
        <f>IFERROR(VLOOKUP(D499,Products!$A$2:$F$61,4,FALSE),"")</f>
        <v>1182</v>
      </c>
      <c r="N499" t="str">
        <f>IFERROR(VLOOKUP(E499,Sales_Reps!$A$2:$E$31,3,FALSE),"")</f>
        <v>East</v>
      </c>
      <c r="O499" t="str">
        <f>IFERROR(VLOOKUP(C499,Customers!$A$2:$F$301,5,FALSE),"")</f>
        <v>Retail</v>
      </c>
      <c r="P499">
        <f>IFERROR(VLOOKUP(C499,Customers!$A$2:$F$301,3,FALSE),"")</f>
        <v>38</v>
      </c>
      <c r="Q499" s="41">
        <f t="shared" si="16"/>
        <v>0.50336134453781511</v>
      </c>
      <c r="R499" t="str">
        <f>IFERROR(VLOOKUP(C499,Customers!$A$2:$F$301,1,FALSE),"")</f>
        <v>CUST-0232</v>
      </c>
      <c r="S499" s="27" t="b">
        <f>IFERROR(VLOOKUP(D499,Products!$A$2:$F$61,6,FALSE),"")</f>
        <v>1</v>
      </c>
      <c r="BL499">
        <v>0</v>
      </c>
      <c r="BO499">
        <v>0</v>
      </c>
      <c r="BP499">
        <v>0</v>
      </c>
    </row>
    <row r="500" spans="1:68" x14ac:dyDescent="0.35">
      <c r="A500" s="26" t="str">
        <f>Orders!A500</f>
        <v>ORD-00499</v>
      </c>
      <c r="B500" s="33">
        <f>Orders!B500</f>
        <v>45298</v>
      </c>
      <c r="C500" t="str">
        <f>Orders!C500</f>
        <v>CUST-0270</v>
      </c>
      <c r="D500" t="str">
        <f>Orders!D500</f>
        <v>PROD-057</v>
      </c>
      <c r="E500" t="str">
        <f>Orders!E500</f>
        <v>R024</v>
      </c>
      <c r="F500">
        <f>Orders!F500</f>
        <v>5</v>
      </c>
      <c r="G500" s="35">
        <f>Orders!G500</f>
        <v>960</v>
      </c>
      <c r="H500" s="37">
        <f>Orders!H500</f>
        <v>15</v>
      </c>
      <c r="I500" s="39">
        <f>Orders!I500</f>
        <v>4080</v>
      </c>
      <c r="J500" t="str">
        <f>Orders!J500</f>
        <v>Cancelled</v>
      </c>
      <c r="K500" t="str">
        <f>Orders!K500</f>
        <v>Bengaluru</v>
      </c>
      <c r="L500" t="str">
        <f>IFERROR(VLOOKUP(D500,Products!$A$2:$F$61,3,FALSE),"")</f>
        <v>Sports</v>
      </c>
      <c r="M500">
        <f>IFERROR(VLOOKUP(D500,Products!$A$2:$F$61,4,FALSE),"")</f>
        <v>705</v>
      </c>
      <c r="N500" t="str">
        <f>IFERROR(VLOOKUP(E500,Sales_Reps!$A$2:$E$31,3,FALSE),"")</f>
        <v>West</v>
      </c>
      <c r="O500" t="str">
        <f>IFERROR(VLOOKUP(C500,Customers!$A$2:$F$301,5,FALSE),"")</f>
        <v>Retail</v>
      </c>
      <c r="P500">
        <f>IFERROR(VLOOKUP(C500,Customers!$A$2:$F$301,3,FALSE),"")</f>
        <v>29</v>
      </c>
      <c r="Q500" s="41">
        <f t="shared" si="16"/>
        <v>0.265625</v>
      </c>
      <c r="R500" t="str">
        <f>IFERROR(VLOOKUP(C500,Customers!$A$2:$F$301,1,FALSE),"")</f>
        <v>CUST-0270</v>
      </c>
      <c r="S500" s="27" t="b">
        <f>IFERROR(VLOOKUP(D500,Products!$A$2:$F$61,6,FALSE),"")</f>
        <v>1</v>
      </c>
      <c r="BL500">
        <v>0</v>
      </c>
      <c r="BO500">
        <v>0</v>
      </c>
      <c r="BP500">
        <v>0</v>
      </c>
    </row>
    <row r="501" spans="1:68" x14ac:dyDescent="0.35">
      <c r="A501" s="26" t="str">
        <f>Orders!A501</f>
        <v>ORD-00500</v>
      </c>
      <c r="B501" s="33">
        <f>Orders!B501</f>
        <v>45577</v>
      </c>
      <c r="C501" t="str">
        <f>Orders!C501</f>
        <v>CUST-0203</v>
      </c>
      <c r="D501" t="str">
        <f>Orders!D501</f>
        <v>PROD-059</v>
      </c>
      <c r="E501" t="str">
        <f>Orders!E501</f>
        <v>R012</v>
      </c>
      <c r="F501">
        <f>Orders!F501</f>
        <v>10</v>
      </c>
      <c r="G501" s="35">
        <f>Orders!G501</f>
        <v>3780</v>
      </c>
      <c r="H501" s="37">
        <f>Orders!H501</f>
        <v>24.1</v>
      </c>
      <c r="I501" s="39">
        <f>Orders!I501</f>
        <v>28690.2</v>
      </c>
      <c r="J501" t="str">
        <f>Orders!J501</f>
        <v>Refunded</v>
      </c>
      <c r="K501" t="str">
        <f>Orders!K501</f>
        <v>Chennai</v>
      </c>
      <c r="L501" t="str">
        <f>IFERROR(VLOOKUP(D501,Products!$A$2:$F$61,3,FALSE),"")</f>
        <v>Sports</v>
      </c>
      <c r="M501">
        <f>IFERROR(VLOOKUP(D501,Products!$A$2:$F$61,4,FALSE),"")</f>
        <v>1860</v>
      </c>
      <c r="N501" t="str">
        <f>IFERROR(VLOOKUP(E501,Sales_Reps!$A$2:$E$31,3,FALSE),"")</f>
        <v>South</v>
      </c>
      <c r="O501" t="str">
        <f>IFERROR(VLOOKUP(C501,Customers!$A$2:$F$301,5,FALSE),"")</f>
        <v>SMB</v>
      </c>
      <c r="P501">
        <f>IFERROR(VLOOKUP(C501,Customers!$A$2:$F$301,3,FALSE),"")</f>
        <v>55</v>
      </c>
      <c r="Q501" s="41">
        <f t="shared" si="16"/>
        <v>0.50793650793650791</v>
      </c>
      <c r="R501" t="str">
        <f>IFERROR(VLOOKUP(C501,Customers!$A$2:$F$301,1,FALSE),"")</f>
        <v>CUST-0203</v>
      </c>
      <c r="S501" s="27" t="b">
        <f>IFERROR(VLOOKUP(D501,Products!$A$2:$F$61,6,FALSE),"")</f>
        <v>1</v>
      </c>
      <c r="BL501">
        <v>0</v>
      </c>
      <c r="BO501">
        <v>0</v>
      </c>
      <c r="BP501">
        <v>0</v>
      </c>
    </row>
    <row r="502" spans="1:68" x14ac:dyDescent="0.35">
      <c r="A502" s="26" t="str">
        <f>Orders!A502</f>
        <v>ORD-00501</v>
      </c>
      <c r="B502" s="33">
        <f>Orders!B502</f>
        <v>45355</v>
      </c>
      <c r="C502" t="str">
        <f>Orders!C502</f>
        <v>CUST-0069</v>
      </c>
      <c r="D502" t="str">
        <f>Orders!D502</f>
        <v>PROD-041</v>
      </c>
      <c r="E502" t="str">
        <f>Orders!E502</f>
        <v>R020</v>
      </c>
      <c r="F502">
        <f>Orders!F502</f>
        <v>4</v>
      </c>
      <c r="G502" s="35">
        <f>Orders!G502</f>
        <v>1540</v>
      </c>
      <c r="H502" s="37">
        <f>Orders!H502</f>
        <v>14.2</v>
      </c>
      <c r="I502" s="39">
        <f>Orders!I502</f>
        <v>5285.28</v>
      </c>
      <c r="J502" t="str">
        <f>Orders!J502</f>
        <v>Cancelled</v>
      </c>
      <c r="K502" t="str">
        <f>Orders!K502</f>
        <v>Chennai</v>
      </c>
      <c r="L502" t="str">
        <f>IFERROR(VLOOKUP(D502,Products!$A$2:$F$61,3,FALSE),"")</f>
        <v>Beauty</v>
      </c>
      <c r="M502">
        <f>IFERROR(VLOOKUP(D502,Products!$A$2:$F$61,4,FALSE),"")</f>
        <v>647</v>
      </c>
      <c r="N502" t="str">
        <f>IFERROR(VLOOKUP(E502,Sales_Reps!$A$2:$E$31,3,FALSE),"")</f>
        <v>East</v>
      </c>
      <c r="O502" t="str">
        <f>IFERROR(VLOOKUP(C502,Customers!$A$2:$F$301,5,FALSE),"")</f>
        <v>Retail</v>
      </c>
      <c r="P502">
        <f>IFERROR(VLOOKUP(C502,Customers!$A$2:$F$301,3,FALSE),"")</f>
        <v>51</v>
      </c>
      <c r="Q502" s="41">
        <f t="shared" si="16"/>
        <v>0.57987012987012987</v>
      </c>
      <c r="R502" t="str">
        <f>IFERROR(VLOOKUP(C502,Customers!$A$2:$F$301,1,FALSE),"")</f>
        <v>CUST-0069</v>
      </c>
      <c r="S502" s="27" t="b">
        <f>IFERROR(VLOOKUP(D502,Products!$A$2:$F$61,6,FALSE),"")</f>
        <v>0</v>
      </c>
      <c r="BL502">
        <v>0</v>
      </c>
      <c r="BO502">
        <v>0</v>
      </c>
      <c r="BP502">
        <v>1</v>
      </c>
    </row>
    <row r="503" spans="1:68" x14ac:dyDescent="0.35">
      <c r="A503" s="26" t="str">
        <f>Orders!A503</f>
        <v>ORD-00502</v>
      </c>
      <c r="B503" s="33">
        <f>Orders!B503</f>
        <v>45463</v>
      </c>
      <c r="C503" t="str">
        <f>Orders!C503</f>
        <v>CUST-0037</v>
      </c>
      <c r="D503" t="str">
        <f>Orders!D503</f>
        <v>PROD-017</v>
      </c>
      <c r="E503" t="str">
        <f>Orders!E503</f>
        <v>R005</v>
      </c>
      <c r="F503">
        <f>Orders!F503</f>
        <v>10</v>
      </c>
      <c r="G503" s="35">
        <f>Orders!G503</f>
        <v>2510</v>
      </c>
      <c r="H503" s="37">
        <f>Orders!H503</f>
        <v>20.8</v>
      </c>
      <c r="I503" s="39">
        <f>Orders!I503</f>
        <v>19879.2</v>
      </c>
      <c r="J503" t="str">
        <f>Orders!J503</f>
        <v>Completed</v>
      </c>
      <c r="K503" t="str">
        <f>Orders!K503</f>
        <v>Bengaluru</v>
      </c>
      <c r="L503" t="str">
        <f>IFERROR(VLOOKUP(D503,Products!$A$2:$F$61,3,FALSE),"")</f>
        <v>Apparel</v>
      </c>
      <c r="M503">
        <f>IFERROR(VLOOKUP(D503,Products!$A$2:$F$61,4,FALSE),"")</f>
        <v>1075</v>
      </c>
      <c r="N503" t="str">
        <f>IFERROR(VLOOKUP(E503,Sales_Reps!$A$2:$E$31,3,FALSE),"")</f>
        <v>North</v>
      </c>
      <c r="O503" t="str">
        <f>IFERROR(VLOOKUP(C503,Customers!$A$2:$F$301,5,FALSE),"")</f>
        <v>Retail</v>
      </c>
      <c r="P503">
        <f>IFERROR(VLOOKUP(C503,Customers!$A$2:$F$301,3,FALSE),"")</f>
        <v>52</v>
      </c>
      <c r="Q503" s="41">
        <f t="shared" si="16"/>
        <v>0.57171314741035861</v>
      </c>
      <c r="R503" t="str">
        <f>IFERROR(VLOOKUP(C503,Customers!$A$2:$F$301,1,FALSE),"")</f>
        <v>CUST-0037</v>
      </c>
      <c r="S503" s="27" t="b">
        <f>IFERROR(VLOOKUP(D503,Products!$A$2:$F$61,6,FALSE),"")</f>
        <v>0</v>
      </c>
      <c r="BL503">
        <v>0</v>
      </c>
      <c r="BO503">
        <v>0</v>
      </c>
      <c r="BP503">
        <v>1</v>
      </c>
    </row>
    <row r="504" spans="1:68" x14ac:dyDescent="0.35">
      <c r="A504" s="26" t="str">
        <f>Orders!A504</f>
        <v>ORD-00503</v>
      </c>
      <c r="B504" s="33">
        <f>Orders!B504</f>
        <v>45374</v>
      </c>
      <c r="C504" t="str">
        <f>Orders!C504</f>
        <v>CUST-0149</v>
      </c>
      <c r="D504" t="str">
        <f>Orders!D504</f>
        <v>PROD-025</v>
      </c>
      <c r="E504" t="str">
        <f>Orders!E504</f>
        <v>R014</v>
      </c>
      <c r="F504">
        <f>Orders!F504</f>
        <v>9</v>
      </c>
      <c r="G504" s="35">
        <f>Orders!G504</f>
        <v>4060</v>
      </c>
      <c r="H504" s="37">
        <f>Orders!H504</f>
        <v>27.1</v>
      </c>
      <c r="I504" s="39">
        <f>Orders!I504</f>
        <v>26637.66</v>
      </c>
      <c r="J504" t="str">
        <f>Orders!J504</f>
        <v>Completed</v>
      </c>
      <c r="K504" t="str">
        <f>Orders!K504</f>
        <v>Hyderabad</v>
      </c>
      <c r="L504" t="str">
        <f>IFERROR(VLOOKUP(D504,Products!$A$2:$F$61,3,FALSE),"")</f>
        <v>Grocery</v>
      </c>
      <c r="M504">
        <f>IFERROR(VLOOKUP(D504,Products!$A$2:$F$61,4,FALSE),"")</f>
        <v>2911</v>
      </c>
      <c r="N504" t="str">
        <f>IFERROR(VLOOKUP(E504,Sales_Reps!$A$2:$E$31,3,FALSE),"")</f>
        <v>South</v>
      </c>
      <c r="O504" t="str">
        <f>IFERROR(VLOOKUP(C504,Customers!$A$2:$F$301,5,FALSE),"")</f>
        <v>Retail</v>
      </c>
      <c r="P504">
        <f>IFERROR(VLOOKUP(C504,Customers!$A$2:$F$301,3,FALSE),"")</f>
        <v>44</v>
      </c>
      <c r="Q504" s="41">
        <f t="shared" si="16"/>
        <v>0.28300492610837441</v>
      </c>
      <c r="R504" t="str">
        <f>IFERROR(VLOOKUP(C504,Customers!$A$2:$F$301,1,FALSE),"")</f>
        <v>CUST-0149</v>
      </c>
      <c r="S504" s="27" t="b">
        <f>IFERROR(VLOOKUP(D504,Products!$A$2:$F$61,6,FALSE),"")</f>
        <v>1</v>
      </c>
      <c r="BL504">
        <v>0</v>
      </c>
      <c r="BO504">
        <v>0</v>
      </c>
      <c r="BP504">
        <v>0</v>
      </c>
    </row>
    <row r="505" spans="1:68" x14ac:dyDescent="0.35">
      <c r="A505" s="26" t="str">
        <f>Orders!A505</f>
        <v>ORD-00504</v>
      </c>
      <c r="B505" s="33">
        <f>Orders!B505</f>
        <v>45638</v>
      </c>
      <c r="C505" t="str">
        <f>Orders!C505</f>
        <v>CUST-0131</v>
      </c>
      <c r="D505" t="str">
        <f>Orders!D505</f>
        <v>PROD-058</v>
      </c>
      <c r="E505" t="str">
        <f>Orders!E505</f>
        <v>R025</v>
      </c>
      <c r="F505">
        <f>Orders!F505</f>
        <v>4</v>
      </c>
      <c r="G505" s="35">
        <f>Orders!G505</f>
        <v>2400</v>
      </c>
      <c r="H505" s="37">
        <f>Orders!H505</f>
        <v>19.100000000000001</v>
      </c>
      <c r="I505" s="39">
        <f>Orders!I505</f>
        <v>7766.4</v>
      </c>
      <c r="J505" t="str">
        <f>Orders!J505</f>
        <v>Completed</v>
      </c>
      <c r="K505" t="str">
        <f>Orders!K505</f>
        <v>Delhi</v>
      </c>
      <c r="L505" t="str">
        <f>IFERROR(VLOOKUP(D505,Products!$A$2:$F$61,3,FALSE),"")</f>
        <v>Sports</v>
      </c>
      <c r="M505">
        <f>IFERROR(VLOOKUP(D505,Products!$A$2:$F$61,4,FALSE),"")</f>
        <v>974</v>
      </c>
      <c r="N505" t="str">
        <f>IFERROR(VLOOKUP(E505,Sales_Reps!$A$2:$E$31,3,FALSE),"")</f>
        <v>West</v>
      </c>
      <c r="O505" t="str">
        <f>IFERROR(VLOOKUP(C505,Customers!$A$2:$F$301,5,FALSE),"")</f>
        <v>SMB</v>
      </c>
      <c r="P505">
        <f>IFERROR(VLOOKUP(C505,Customers!$A$2:$F$301,3,FALSE),"")</f>
        <v>28</v>
      </c>
      <c r="Q505" s="41">
        <f t="shared" si="16"/>
        <v>0.59416666666666662</v>
      </c>
      <c r="R505" t="str">
        <f>IFERROR(VLOOKUP(C505,Customers!$A$2:$F$301,1,FALSE),"")</f>
        <v>CUST-0131</v>
      </c>
      <c r="S505" s="27" t="b">
        <f>IFERROR(VLOOKUP(D505,Products!$A$2:$F$61,6,FALSE),"")</f>
        <v>1</v>
      </c>
      <c r="BL505">
        <v>0</v>
      </c>
      <c r="BO505">
        <v>0</v>
      </c>
      <c r="BP505">
        <v>0</v>
      </c>
    </row>
    <row r="506" spans="1:68" x14ac:dyDescent="0.35">
      <c r="A506" s="26" t="str">
        <f>Orders!A506</f>
        <v>ORD-00505</v>
      </c>
      <c r="B506" s="33">
        <f>Orders!B506</f>
        <v>45525</v>
      </c>
      <c r="C506" t="str">
        <f>Orders!C506</f>
        <v>CUST-0071</v>
      </c>
      <c r="D506" t="str">
        <f>Orders!D506</f>
        <v>PROD-046</v>
      </c>
      <c r="E506" t="str">
        <f>Orders!E506</f>
        <v>R022</v>
      </c>
      <c r="F506">
        <f>Orders!F506</f>
        <v>8</v>
      </c>
      <c r="G506" s="35">
        <f>Orders!G506</f>
        <v>4880</v>
      </c>
      <c r="H506" s="37">
        <f>Orders!H506</f>
        <v>9.1999999999999993</v>
      </c>
      <c r="I506" s="39">
        <f>Orders!I506</f>
        <v>35448.32</v>
      </c>
      <c r="J506" t="str">
        <f>Orders!J506</f>
        <v>Cancelled</v>
      </c>
      <c r="K506" t="str">
        <f>Orders!K506</f>
        <v>Delhi</v>
      </c>
      <c r="L506" t="str">
        <f>IFERROR(VLOOKUP(D506,Products!$A$2:$F$61,3,FALSE),"")</f>
        <v>Beauty</v>
      </c>
      <c r="M506">
        <f>IFERROR(VLOOKUP(D506,Products!$A$2:$F$61,4,FALSE),"")</f>
        <v>2768</v>
      </c>
      <c r="N506" t="str">
        <f>IFERROR(VLOOKUP(E506,Sales_Reps!$A$2:$E$31,3,FALSE),"")</f>
        <v>East</v>
      </c>
      <c r="O506" t="str">
        <f>IFERROR(VLOOKUP(C506,Customers!$A$2:$F$301,5,FALSE),"")</f>
        <v>Corporate</v>
      </c>
      <c r="P506">
        <f>IFERROR(VLOOKUP(C506,Customers!$A$2:$F$301,3,FALSE),"")</f>
        <v>46</v>
      </c>
      <c r="Q506" s="41">
        <f t="shared" si="16"/>
        <v>0.43278688524590164</v>
      </c>
      <c r="R506" t="str">
        <f>IFERROR(VLOOKUP(C506,Customers!$A$2:$F$301,1,FALSE),"")</f>
        <v>CUST-0071</v>
      </c>
      <c r="S506" s="27" t="b">
        <f>IFERROR(VLOOKUP(D506,Products!$A$2:$F$61,6,FALSE),"")</f>
        <v>1</v>
      </c>
      <c r="BL506">
        <v>0</v>
      </c>
      <c r="BO506">
        <v>0</v>
      </c>
      <c r="BP506">
        <v>0</v>
      </c>
    </row>
    <row r="507" spans="1:68" x14ac:dyDescent="0.35">
      <c r="A507" s="26" t="str">
        <f>Orders!A507</f>
        <v>ORD-00506</v>
      </c>
      <c r="B507" s="33">
        <f>Orders!B507</f>
        <v>45586</v>
      </c>
      <c r="C507" t="str">
        <f>Orders!C507</f>
        <v>CUST-0249</v>
      </c>
      <c r="D507" t="str">
        <f>Orders!D507</f>
        <v>PROD-048</v>
      </c>
      <c r="E507" t="str">
        <f>Orders!E507</f>
        <v>R019</v>
      </c>
      <c r="F507">
        <f>Orders!F507</f>
        <v>9</v>
      </c>
      <c r="G507" s="35">
        <f>Orders!G507</f>
        <v>5100</v>
      </c>
      <c r="H507" s="37">
        <f>Orders!H507</f>
        <v>11.1</v>
      </c>
      <c r="I507" s="39">
        <f>Orders!I507</f>
        <v>40805.1</v>
      </c>
      <c r="J507" t="str">
        <f>Orders!J507</f>
        <v>Cancelled</v>
      </c>
      <c r="K507" t="str">
        <f>Orders!K507</f>
        <v>Mumbai</v>
      </c>
      <c r="L507" t="str">
        <f>IFERROR(VLOOKUP(D507,Products!$A$2:$F$61,3,FALSE),"")</f>
        <v>Beauty</v>
      </c>
      <c r="M507">
        <f>IFERROR(VLOOKUP(D507,Products!$A$2:$F$61,4,FALSE),"")</f>
        <v>2237</v>
      </c>
      <c r="N507" t="str">
        <f>IFERROR(VLOOKUP(E507,Sales_Reps!$A$2:$E$31,3,FALSE),"")</f>
        <v>East</v>
      </c>
      <c r="O507" t="str">
        <f>IFERROR(VLOOKUP(C507,Customers!$A$2:$F$301,5,FALSE),"")</f>
        <v>Retail</v>
      </c>
      <c r="P507">
        <f>IFERROR(VLOOKUP(C507,Customers!$A$2:$F$301,3,FALSE),"")</f>
        <v>44</v>
      </c>
      <c r="Q507" s="41">
        <f t="shared" si="16"/>
        <v>0.56137254901960787</v>
      </c>
      <c r="R507" t="str">
        <f>IFERROR(VLOOKUP(C507,Customers!$A$2:$F$301,1,FALSE),"")</f>
        <v>CUST-0249</v>
      </c>
      <c r="S507" s="27" t="b">
        <f>IFERROR(VLOOKUP(D507,Products!$A$2:$F$61,6,FALSE),"")</f>
        <v>1</v>
      </c>
      <c r="BL507">
        <v>0</v>
      </c>
      <c r="BO507">
        <v>0</v>
      </c>
      <c r="BP507">
        <v>0</v>
      </c>
    </row>
    <row r="508" spans="1:68" x14ac:dyDescent="0.35">
      <c r="A508" s="26" t="str">
        <f>Orders!A508</f>
        <v>ORD-00507</v>
      </c>
      <c r="B508" s="33">
        <f>Orders!B508</f>
        <v>45637</v>
      </c>
      <c r="C508" t="str">
        <f>Orders!C508</f>
        <v>CUST-0181</v>
      </c>
      <c r="D508" t="str">
        <f>Orders!D508</f>
        <v>PROD-005</v>
      </c>
      <c r="E508" t="str">
        <f>Orders!E508</f>
        <v>R028</v>
      </c>
      <c r="F508">
        <f>Orders!F508</f>
        <v>4</v>
      </c>
      <c r="G508" s="35">
        <f>Orders!G508</f>
        <v>300</v>
      </c>
      <c r="H508" s="37">
        <f>Orders!H508</f>
        <v>16.7</v>
      </c>
      <c r="I508" s="39">
        <f>Orders!I508</f>
        <v>999.6</v>
      </c>
      <c r="J508" t="str">
        <f>Orders!J508</f>
        <v>Completed</v>
      </c>
      <c r="K508" t="str">
        <f>Orders!K508</f>
        <v>Delhi</v>
      </c>
      <c r="L508" t="str">
        <f>IFERROR(VLOOKUP(D508,Products!$A$2:$F$61,3,FALSE),"")</f>
        <v>Electronics</v>
      </c>
      <c r="M508">
        <f>IFERROR(VLOOKUP(D508,Products!$A$2:$F$61,4,FALSE),"")</f>
        <v>128</v>
      </c>
      <c r="N508" t="str">
        <f>IFERROR(VLOOKUP(E508,Sales_Reps!$A$2:$E$31,3,FALSE),"")</f>
        <v>West</v>
      </c>
      <c r="O508" t="str">
        <f>IFERROR(VLOOKUP(C508,Customers!$A$2:$F$301,5,FALSE),"")</f>
        <v>SMB</v>
      </c>
      <c r="P508">
        <f>IFERROR(VLOOKUP(C508,Customers!$A$2:$F$301,3,FALSE),"")</f>
        <v>38</v>
      </c>
      <c r="Q508" s="41">
        <f t="shared" si="16"/>
        <v>0.57333333333333336</v>
      </c>
      <c r="R508" t="str">
        <f>IFERROR(VLOOKUP(C508,Customers!$A$2:$F$301,1,FALSE),"")</f>
        <v>CUST-0181</v>
      </c>
      <c r="S508" s="27" t="b">
        <f>IFERROR(VLOOKUP(D508,Products!$A$2:$F$61,6,FALSE),"")</f>
        <v>1</v>
      </c>
      <c r="BL508">
        <v>0</v>
      </c>
      <c r="BO508">
        <v>0</v>
      </c>
      <c r="BP508">
        <v>0</v>
      </c>
    </row>
    <row r="509" spans="1:68" x14ac:dyDescent="0.35">
      <c r="A509" s="26" t="str">
        <f>Orders!A509</f>
        <v>ORD-00508</v>
      </c>
      <c r="B509" s="33">
        <f>Orders!B509</f>
        <v>45443</v>
      </c>
      <c r="C509" t="str">
        <f>Orders!C509</f>
        <v>CUST-0085</v>
      </c>
      <c r="D509" t="str">
        <f>Orders!D509</f>
        <v>PROD-019</v>
      </c>
      <c r="E509" t="str">
        <f>Orders!E509</f>
        <v>R014</v>
      </c>
      <c r="F509">
        <f>Orders!F509</f>
        <v>6</v>
      </c>
      <c r="G509" s="35">
        <f>Orders!G509</f>
        <v>2480</v>
      </c>
      <c r="H509" s="37">
        <f>Orders!H509</f>
        <v>3.3</v>
      </c>
      <c r="I509" s="39">
        <f>Orders!I509</f>
        <v>14388.96</v>
      </c>
      <c r="J509" t="str">
        <f>Orders!J509</f>
        <v>Completed</v>
      </c>
      <c r="K509" t="str">
        <f>Orders!K509</f>
        <v>Chennai</v>
      </c>
      <c r="L509" t="str">
        <f>IFERROR(VLOOKUP(D509,Products!$A$2:$F$61,3,FALSE),"")</f>
        <v>Apparel</v>
      </c>
      <c r="M509">
        <f>IFERROR(VLOOKUP(D509,Products!$A$2:$F$61,4,FALSE),"")</f>
        <v>1173</v>
      </c>
      <c r="N509" t="str">
        <f>IFERROR(VLOOKUP(E509,Sales_Reps!$A$2:$E$31,3,FALSE),"")</f>
        <v>South</v>
      </c>
      <c r="O509" t="str">
        <f>IFERROR(VLOOKUP(C509,Customers!$A$2:$F$301,5,FALSE),"")</f>
        <v>Retail</v>
      </c>
      <c r="P509">
        <f>IFERROR(VLOOKUP(C509,Customers!$A$2:$F$301,3,FALSE),"")</f>
        <v>26</v>
      </c>
      <c r="Q509" s="41">
        <f t="shared" si="16"/>
        <v>0.52701612903225803</v>
      </c>
      <c r="R509" t="str">
        <f>IFERROR(VLOOKUP(C509,Customers!$A$2:$F$301,1,FALSE),"")</f>
        <v>CUST-0085</v>
      </c>
      <c r="S509" s="27" t="b">
        <f>IFERROR(VLOOKUP(D509,Products!$A$2:$F$61,6,FALSE),"")</f>
        <v>1</v>
      </c>
      <c r="BL509">
        <v>0</v>
      </c>
      <c r="BO509">
        <v>0</v>
      </c>
      <c r="BP509">
        <v>0</v>
      </c>
    </row>
    <row r="510" spans="1:68" x14ac:dyDescent="0.35">
      <c r="A510" s="26" t="str">
        <f>Orders!A510</f>
        <v>ORD-00509</v>
      </c>
      <c r="B510" s="33">
        <f>Orders!B510</f>
        <v>45569</v>
      </c>
      <c r="C510" t="str">
        <f>Orders!C510</f>
        <v>CUST-0180</v>
      </c>
      <c r="D510" t="str">
        <f>Orders!D510</f>
        <v>PROD-044</v>
      </c>
      <c r="E510" t="str">
        <f>Orders!E510</f>
        <v>R023</v>
      </c>
      <c r="F510">
        <f>Orders!F510</f>
        <v>10</v>
      </c>
      <c r="G510" s="35">
        <f>Orders!G510</f>
        <v>1650</v>
      </c>
      <c r="H510" s="37">
        <f>Orders!H510</f>
        <v>22.9</v>
      </c>
      <c r="I510" s="39">
        <f>Orders!I510</f>
        <v>12721.5</v>
      </c>
      <c r="J510" t="str">
        <f>Orders!J510</f>
        <v>Refunded</v>
      </c>
      <c r="K510" t="str">
        <f>Orders!K510</f>
        <v>Chennai</v>
      </c>
      <c r="L510" t="str">
        <f>IFERROR(VLOOKUP(D510,Products!$A$2:$F$61,3,FALSE),"")</f>
        <v>Beauty</v>
      </c>
      <c r="M510">
        <f>IFERROR(VLOOKUP(D510,Products!$A$2:$F$61,4,FALSE),"")</f>
        <v>1222</v>
      </c>
      <c r="N510" t="str">
        <f>IFERROR(VLOOKUP(E510,Sales_Reps!$A$2:$E$31,3,FALSE),"")</f>
        <v>East</v>
      </c>
      <c r="O510" t="str">
        <f>IFERROR(VLOOKUP(C510,Customers!$A$2:$F$301,5,FALSE),"")</f>
        <v>Retail</v>
      </c>
      <c r="P510">
        <f>IFERROR(VLOOKUP(C510,Customers!$A$2:$F$301,3,FALSE),"")</f>
        <v>36</v>
      </c>
      <c r="Q510" s="41">
        <f t="shared" si="16"/>
        <v>0.2593939393939394</v>
      </c>
      <c r="R510" t="str">
        <f>IFERROR(VLOOKUP(C510,Customers!$A$2:$F$301,1,FALSE),"")</f>
        <v>CUST-0180</v>
      </c>
      <c r="S510" s="27" t="b">
        <f>IFERROR(VLOOKUP(D510,Products!$A$2:$F$61,6,FALSE),"")</f>
        <v>1</v>
      </c>
      <c r="BL510">
        <v>0</v>
      </c>
      <c r="BO510">
        <v>0</v>
      </c>
      <c r="BP510">
        <v>0</v>
      </c>
    </row>
    <row r="511" spans="1:68" x14ac:dyDescent="0.35">
      <c r="A511" s="26" t="str">
        <f>Orders!A511</f>
        <v>ORD-00510</v>
      </c>
      <c r="B511" s="33">
        <f>Orders!B511</f>
        <v>45319</v>
      </c>
      <c r="C511" t="str">
        <f>Orders!C511</f>
        <v>CUST-0103</v>
      </c>
      <c r="D511" t="str">
        <f>Orders!D511</f>
        <v>PROD-029</v>
      </c>
      <c r="E511" t="str">
        <f>Orders!E511</f>
        <v>R012</v>
      </c>
      <c r="F511">
        <f>Orders!F511</f>
        <v>3</v>
      </c>
      <c r="G511" s="35">
        <f>Orders!G511</f>
        <v>2210</v>
      </c>
      <c r="H511" s="37">
        <f>Orders!H511</f>
        <v>11.1</v>
      </c>
      <c r="I511" s="39">
        <f>Orders!I511</f>
        <v>5894.07</v>
      </c>
      <c r="J511" t="str">
        <f>Orders!J511</f>
        <v>Completed</v>
      </c>
      <c r="K511" t="str">
        <f>Orders!K511</f>
        <v>Hyderabad</v>
      </c>
      <c r="L511" t="str">
        <f>IFERROR(VLOOKUP(D511,Products!$A$2:$F$61,3,FALSE),"")</f>
        <v>Grocery</v>
      </c>
      <c r="M511">
        <f>IFERROR(VLOOKUP(D511,Products!$A$2:$F$61,4,FALSE),"")</f>
        <v>1010</v>
      </c>
      <c r="N511" t="str">
        <f>IFERROR(VLOOKUP(E511,Sales_Reps!$A$2:$E$31,3,FALSE),"")</f>
        <v>South</v>
      </c>
      <c r="O511" t="str">
        <f>IFERROR(VLOOKUP(C511,Customers!$A$2:$F$301,5,FALSE),"")</f>
        <v>Corporate</v>
      </c>
      <c r="P511">
        <f>IFERROR(VLOOKUP(C511,Customers!$A$2:$F$301,3,FALSE),"")</f>
        <v>54</v>
      </c>
      <c r="Q511" s="41">
        <f t="shared" si="16"/>
        <v>0.54298642533936647</v>
      </c>
      <c r="R511" t="str">
        <f>IFERROR(VLOOKUP(C511,Customers!$A$2:$F$301,1,FALSE),"")</f>
        <v>CUST-0103</v>
      </c>
      <c r="S511" s="27" t="b">
        <f>IFERROR(VLOOKUP(D511,Products!$A$2:$F$61,6,FALSE),"")</f>
        <v>1</v>
      </c>
      <c r="BL511">
        <v>0</v>
      </c>
      <c r="BO511">
        <v>0</v>
      </c>
      <c r="BP511">
        <v>0</v>
      </c>
    </row>
    <row r="512" spans="1:68" x14ac:dyDescent="0.35">
      <c r="A512" s="26" t="str">
        <f>Orders!A512</f>
        <v>ORD-00511</v>
      </c>
      <c r="B512" s="33">
        <f>Orders!B512</f>
        <v>45406</v>
      </c>
      <c r="C512" t="str">
        <f>Orders!C512</f>
        <v>CUST-0174</v>
      </c>
      <c r="D512" t="str">
        <f>Orders!D512</f>
        <v>PROD-019</v>
      </c>
      <c r="E512" t="str">
        <f>Orders!E512</f>
        <v>R005</v>
      </c>
      <c r="F512">
        <f>Orders!F512</f>
        <v>10</v>
      </c>
      <c r="G512" s="35">
        <f>Orders!G512</f>
        <v>2480</v>
      </c>
      <c r="H512" s="37">
        <f>Orders!H512</f>
        <v>13</v>
      </c>
      <c r="I512" s="39">
        <f>Orders!I512</f>
        <v>21576</v>
      </c>
      <c r="J512" t="str">
        <f>Orders!J512</f>
        <v>Pending</v>
      </c>
      <c r="K512" t="str">
        <f>Orders!K512</f>
        <v>Pune</v>
      </c>
      <c r="L512" t="str">
        <f>IFERROR(VLOOKUP(D512,Products!$A$2:$F$61,3,FALSE),"")</f>
        <v>Apparel</v>
      </c>
      <c r="M512">
        <f>IFERROR(VLOOKUP(D512,Products!$A$2:$F$61,4,FALSE),"")</f>
        <v>1173</v>
      </c>
      <c r="N512" t="str">
        <f>IFERROR(VLOOKUP(E512,Sales_Reps!$A$2:$E$31,3,FALSE),"")</f>
        <v>North</v>
      </c>
      <c r="O512" t="str">
        <f>IFERROR(VLOOKUP(C512,Customers!$A$2:$F$301,5,FALSE),"")</f>
        <v>Retail</v>
      </c>
      <c r="P512">
        <f>IFERROR(VLOOKUP(C512,Customers!$A$2:$F$301,3,FALSE),"")</f>
        <v>54</v>
      </c>
      <c r="Q512" s="41">
        <f t="shared" si="16"/>
        <v>0.52701612903225803</v>
      </c>
      <c r="R512" t="str">
        <f>IFERROR(VLOOKUP(C512,Customers!$A$2:$F$301,1,FALSE),"")</f>
        <v>CUST-0174</v>
      </c>
      <c r="S512" s="27" t="b">
        <f>IFERROR(VLOOKUP(D512,Products!$A$2:$F$61,6,FALSE),"")</f>
        <v>1</v>
      </c>
      <c r="BL512">
        <v>0</v>
      </c>
      <c r="BO512">
        <v>0</v>
      </c>
      <c r="BP512">
        <v>0</v>
      </c>
    </row>
    <row r="513" spans="1:68" x14ac:dyDescent="0.35">
      <c r="A513" s="26" t="str">
        <f>Orders!A513</f>
        <v>ORD-00512</v>
      </c>
      <c r="B513" s="33">
        <f>Orders!B513</f>
        <v>45629</v>
      </c>
      <c r="C513" t="str">
        <f>Orders!C513</f>
        <v>CUST-0071</v>
      </c>
      <c r="D513" t="str">
        <f>Orders!D513</f>
        <v>PROD-001</v>
      </c>
      <c r="E513" t="str">
        <f>Orders!E513</f>
        <v>R023</v>
      </c>
      <c r="F513">
        <f>Orders!F513</f>
        <v>10</v>
      </c>
      <c r="G513" s="35">
        <f>Orders!G513</f>
        <v>5330</v>
      </c>
      <c r="H513" s="37">
        <f>Orders!H513</f>
        <v>0.7</v>
      </c>
      <c r="I513" s="39">
        <f>Orders!I513</f>
        <v>52926.9</v>
      </c>
      <c r="J513" t="str">
        <f>Orders!J513</f>
        <v>Completed</v>
      </c>
      <c r="K513" t="str">
        <f>Orders!K513</f>
        <v>Delhi</v>
      </c>
      <c r="L513" t="str">
        <f>IFERROR(VLOOKUP(D513,Products!$A$2:$F$61,3,FALSE),"")</f>
        <v>Electronics</v>
      </c>
      <c r="M513">
        <f>IFERROR(VLOOKUP(D513,Products!$A$2:$F$61,4,FALSE),"")</f>
        <v>2405</v>
      </c>
      <c r="N513" t="str">
        <f>IFERROR(VLOOKUP(E513,Sales_Reps!$A$2:$E$31,3,FALSE),"")</f>
        <v>East</v>
      </c>
      <c r="O513" t="str">
        <f>IFERROR(VLOOKUP(C513,Customers!$A$2:$F$301,5,FALSE),"")</f>
        <v>Corporate</v>
      </c>
      <c r="P513">
        <f>IFERROR(VLOOKUP(C513,Customers!$A$2:$F$301,3,FALSE),"")</f>
        <v>46</v>
      </c>
      <c r="Q513" s="41">
        <f t="shared" si="16"/>
        <v>0.54878048780487809</v>
      </c>
      <c r="R513" t="str">
        <f>IFERROR(VLOOKUP(C513,Customers!$A$2:$F$301,1,FALSE),"")</f>
        <v>CUST-0071</v>
      </c>
      <c r="S513" s="27" t="b">
        <f>IFERROR(VLOOKUP(D513,Products!$A$2:$F$61,6,FALSE),"")</f>
        <v>1</v>
      </c>
      <c r="BL513">
        <v>0</v>
      </c>
      <c r="BO513">
        <v>0</v>
      </c>
      <c r="BP513">
        <v>0</v>
      </c>
    </row>
    <row r="514" spans="1:68" x14ac:dyDescent="0.35">
      <c r="A514" s="26" t="str">
        <f>Orders!A514</f>
        <v>ORD-00513</v>
      </c>
      <c r="B514" s="33">
        <f>Orders!B514</f>
        <v>45612</v>
      </c>
      <c r="C514" t="str">
        <f>Orders!C514</f>
        <v>CUST-0266</v>
      </c>
      <c r="D514" t="str">
        <f>Orders!D514</f>
        <v>PROD-026</v>
      </c>
      <c r="E514" t="str">
        <f>Orders!E514</f>
        <v>R012</v>
      </c>
      <c r="F514">
        <f>Orders!F514</f>
        <v>9</v>
      </c>
      <c r="G514" s="35">
        <f>Orders!G514</f>
        <v>4070</v>
      </c>
      <c r="H514" s="37">
        <f>Orders!H514</f>
        <v>15.6</v>
      </c>
      <c r="I514" s="39">
        <f>Orders!I514</f>
        <v>30915.72</v>
      </c>
      <c r="J514" t="str">
        <f>Orders!J514</f>
        <v>Completed</v>
      </c>
      <c r="K514" t="str">
        <f>Orders!K514</f>
        <v>Pune</v>
      </c>
      <c r="L514" t="str">
        <f>IFERROR(VLOOKUP(D514,Products!$A$2:$F$61,3,FALSE),"")</f>
        <v>Grocery</v>
      </c>
      <c r="M514">
        <f>IFERROR(VLOOKUP(D514,Products!$A$2:$F$61,4,FALSE),"")</f>
        <v>2027</v>
      </c>
      <c r="N514" t="str">
        <f>IFERROR(VLOOKUP(E514,Sales_Reps!$A$2:$E$31,3,FALSE),"")</f>
        <v>South</v>
      </c>
      <c r="O514" t="str">
        <f>IFERROR(VLOOKUP(C514,Customers!$A$2:$F$301,5,FALSE),"")</f>
        <v>Retail</v>
      </c>
      <c r="P514">
        <f>IFERROR(VLOOKUP(C514,Customers!$A$2:$F$301,3,FALSE),"")</f>
        <v>65</v>
      </c>
      <c r="Q514" s="41">
        <f t="shared" ref="Q514:Q577" si="17">IFERROR((G514-M514)/G514,0)</f>
        <v>0.50196560196560192</v>
      </c>
      <c r="R514" t="str">
        <f>IFERROR(VLOOKUP(C514,Customers!$A$2:$F$301,1,FALSE),"")</f>
        <v>CUST-0266</v>
      </c>
      <c r="S514" s="27" t="b">
        <f>IFERROR(VLOOKUP(D514,Products!$A$2:$F$61,6,FALSE),"")</f>
        <v>1</v>
      </c>
      <c r="BL514">
        <v>0</v>
      </c>
      <c r="BO514">
        <v>0</v>
      </c>
      <c r="BP514">
        <v>0</v>
      </c>
    </row>
    <row r="515" spans="1:68" x14ac:dyDescent="0.35">
      <c r="A515" s="26" t="str">
        <f>Orders!A515</f>
        <v>ORD-00514</v>
      </c>
      <c r="B515" s="33">
        <f>Orders!B515</f>
        <v>45613</v>
      </c>
      <c r="C515" t="str">
        <f>Orders!C515</f>
        <v>CUST-0148</v>
      </c>
      <c r="D515" t="str">
        <f>Orders!D515</f>
        <v>PROD-015</v>
      </c>
      <c r="E515" t="str">
        <f>Orders!E515</f>
        <v>R001</v>
      </c>
      <c r="F515">
        <f>Orders!F515</f>
        <v>5</v>
      </c>
      <c r="G515" s="35">
        <f>Orders!G515</f>
        <v>2720</v>
      </c>
      <c r="H515" s="37">
        <f>Orders!H515</f>
        <v>10.3</v>
      </c>
      <c r="I515" s="39">
        <f>Orders!I515</f>
        <v>12199.2</v>
      </c>
      <c r="J515" t="str">
        <f>Orders!J515</f>
        <v>Cancelled</v>
      </c>
      <c r="K515" t="str">
        <f>Orders!K515</f>
        <v>Chennai</v>
      </c>
      <c r="L515" t="str">
        <f>IFERROR(VLOOKUP(D515,Products!$A$2:$F$61,3,FALSE),"")</f>
        <v>Apparel</v>
      </c>
      <c r="M515">
        <f>IFERROR(VLOOKUP(D515,Products!$A$2:$F$61,4,FALSE),"")</f>
        <v>1962</v>
      </c>
      <c r="N515" t="str">
        <f>IFERROR(VLOOKUP(E515,Sales_Reps!$A$2:$E$31,3,FALSE),"")</f>
        <v>North</v>
      </c>
      <c r="O515" t="str">
        <f>IFERROR(VLOOKUP(C515,Customers!$A$2:$F$301,5,FALSE),"")</f>
        <v>Retail</v>
      </c>
      <c r="P515">
        <f>IFERROR(VLOOKUP(C515,Customers!$A$2:$F$301,3,FALSE),"")</f>
        <v>32</v>
      </c>
      <c r="Q515" s="41">
        <f t="shared" si="17"/>
        <v>0.2786764705882353</v>
      </c>
      <c r="R515" t="str">
        <f>IFERROR(VLOOKUP(C515,Customers!$A$2:$F$301,1,FALSE),"")</f>
        <v>CUST-0148</v>
      </c>
      <c r="S515" s="27" t="b">
        <f>IFERROR(VLOOKUP(D515,Products!$A$2:$F$61,6,FALSE),"")</f>
        <v>1</v>
      </c>
      <c r="BL515">
        <v>0</v>
      </c>
      <c r="BO515">
        <v>0</v>
      </c>
      <c r="BP515">
        <v>0</v>
      </c>
    </row>
    <row r="516" spans="1:68" x14ac:dyDescent="0.35">
      <c r="A516" s="26" t="str">
        <f>Orders!A516</f>
        <v>ORD-00515</v>
      </c>
      <c r="B516" s="33">
        <f>Orders!B516</f>
        <v>45484</v>
      </c>
      <c r="C516" t="str">
        <f>Orders!C516</f>
        <v>CUST-0030</v>
      </c>
      <c r="D516" t="str">
        <f>Orders!D516</f>
        <v>PROD-055</v>
      </c>
      <c r="E516" t="str">
        <f>Orders!E516</f>
        <v>R029</v>
      </c>
      <c r="F516">
        <f>Orders!F516</f>
        <v>6</v>
      </c>
      <c r="G516" s="35">
        <f>Orders!G516</f>
        <v>2860</v>
      </c>
      <c r="H516" s="37">
        <f>Orders!H516</f>
        <v>28.9</v>
      </c>
      <c r="I516" s="39">
        <f>Orders!I516</f>
        <v>12200.76</v>
      </c>
      <c r="J516" t="str">
        <f>Orders!J516</f>
        <v>Completed</v>
      </c>
      <c r="K516" t="str">
        <f>Orders!K516</f>
        <v>Bengaluru</v>
      </c>
      <c r="L516" t="str">
        <f>IFERROR(VLOOKUP(D516,Products!$A$2:$F$61,3,FALSE),"")</f>
        <v>Sports</v>
      </c>
      <c r="M516">
        <f>IFERROR(VLOOKUP(D516,Products!$A$2:$F$61,4,FALSE),"")</f>
        <v>2028</v>
      </c>
      <c r="N516" t="str">
        <f>IFERROR(VLOOKUP(E516,Sales_Reps!$A$2:$E$31,3,FALSE),"")</f>
        <v>West</v>
      </c>
      <c r="O516" t="str">
        <f>IFERROR(VLOOKUP(C516,Customers!$A$2:$F$301,5,FALSE),"")</f>
        <v>Corporate</v>
      </c>
      <c r="P516">
        <f>IFERROR(VLOOKUP(C516,Customers!$A$2:$F$301,3,FALSE),"")</f>
        <v>43</v>
      </c>
      <c r="Q516" s="41">
        <f t="shared" si="17"/>
        <v>0.29090909090909089</v>
      </c>
      <c r="R516" t="str">
        <f>IFERROR(VLOOKUP(C516,Customers!$A$2:$F$301,1,FALSE),"")</f>
        <v>CUST-0030</v>
      </c>
      <c r="S516" s="27" t="b">
        <f>IFERROR(VLOOKUP(D516,Products!$A$2:$F$61,6,FALSE),"")</f>
        <v>1</v>
      </c>
      <c r="BL516">
        <v>0</v>
      </c>
      <c r="BO516">
        <v>0</v>
      </c>
      <c r="BP516">
        <v>0</v>
      </c>
    </row>
    <row r="517" spans="1:68" x14ac:dyDescent="0.35">
      <c r="A517" s="26" t="str">
        <f>Orders!A517</f>
        <v>ORD-00516</v>
      </c>
      <c r="B517" s="33">
        <f>Orders!B517</f>
        <v>45656</v>
      </c>
      <c r="C517" t="str">
        <f>Orders!C517</f>
        <v>CUST-0128</v>
      </c>
      <c r="D517" t="str">
        <f>Orders!D517</f>
        <v>PROD-014</v>
      </c>
      <c r="E517" t="str">
        <f>Orders!E517</f>
        <v>R012</v>
      </c>
      <c r="F517">
        <f>Orders!F517</f>
        <v>5</v>
      </c>
      <c r="G517" s="35">
        <f>Orders!G517</f>
        <v>3620</v>
      </c>
      <c r="H517" s="37">
        <f>Orders!H517</f>
        <v>18.2</v>
      </c>
      <c r="I517" s="39">
        <f>Orders!I517</f>
        <v>14805.8</v>
      </c>
      <c r="J517" t="str">
        <f>Orders!J517</f>
        <v>Completed</v>
      </c>
      <c r="K517" t="str">
        <f>Orders!K517</f>
        <v>Hyderabad</v>
      </c>
      <c r="L517" t="str">
        <f>IFERROR(VLOOKUP(D517,Products!$A$2:$F$61,3,FALSE),"")</f>
        <v>Apparel</v>
      </c>
      <c r="M517">
        <f>IFERROR(VLOOKUP(D517,Products!$A$2:$F$61,4,FALSE),"")</f>
        <v>2509</v>
      </c>
      <c r="N517" t="str">
        <f>IFERROR(VLOOKUP(E517,Sales_Reps!$A$2:$E$31,3,FALSE),"")</f>
        <v>South</v>
      </c>
      <c r="O517" t="str">
        <f>IFERROR(VLOOKUP(C517,Customers!$A$2:$F$301,5,FALSE),"")</f>
        <v>Retail</v>
      </c>
      <c r="P517">
        <f>IFERROR(VLOOKUP(C517,Customers!$A$2:$F$301,3,FALSE),"")</f>
        <v>35</v>
      </c>
      <c r="Q517" s="41">
        <f t="shared" si="17"/>
        <v>0.3069060773480663</v>
      </c>
      <c r="R517" t="str">
        <f>IFERROR(VLOOKUP(C517,Customers!$A$2:$F$301,1,FALSE),"")</f>
        <v>CUST-0128</v>
      </c>
      <c r="S517" s="27" t="b">
        <f>IFERROR(VLOOKUP(D517,Products!$A$2:$F$61,6,FALSE),"")</f>
        <v>1</v>
      </c>
      <c r="BL517">
        <v>0</v>
      </c>
      <c r="BO517">
        <v>0</v>
      </c>
      <c r="BP517">
        <v>0</v>
      </c>
    </row>
    <row r="518" spans="1:68" x14ac:dyDescent="0.35">
      <c r="A518" s="26" t="str">
        <f>Orders!A518</f>
        <v>ORD-00517</v>
      </c>
      <c r="B518" s="33">
        <f>Orders!B518</f>
        <v>45432</v>
      </c>
      <c r="C518" t="str">
        <f>Orders!C518</f>
        <v>CUST-0056</v>
      </c>
      <c r="D518" t="str">
        <f>Orders!D518</f>
        <v>PROD-044</v>
      </c>
      <c r="E518" t="str">
        <f>Orders!E518</f>
        <v>R018</v>
      </c>
      <c r="F518">
        <f>Orders!F518</f>
        <v>3</v>
      </c>
      <c r="G518" s="35">
        <f>Orders!G518</f>
        <v>1650</v>
      </c>
      <c r="H518" s="37">
        <f>Orders!H518</f>
        <v>10.7</v>
      </c>
      <c r="I518" s="39">
        <f>Orders!I518</f>
        <v>4420.3500000000004</v>
      </c>
      <c r="J518" t="str">
        <f>Orders!J518</f>
        <v>Completed</v>
      </c>
      <c r="K518" t="str">
        <f>Orders!K518</f>
        <v>Bengaluru</v>
      </c>
      <c r="L518" t="str">
        <f>IFERROR(VLOOKUP(D518,Products!$A$2:$F$61,3,FALSE),"")</f>
        <v>Beauty</v>
      </c>
      <c r="M518">
        <f>IFERROR(VLOOKUP(D518,Products!$A$2:$F$61,4,FALSE),"")</f>
        <v>1222</v>
      </c>
      <c r="N518" t="str">
        <f>IFERROR(VLOOKUP(E518,Sales_Reps!$A$2:$E$31,3,FALSE),"")</f>
        <v>East</v>
      </c>
      <c r="O518" t="str">
        <f>IFERROR(VLOOKUP(C518,Customers!$A$2:$F$301,5,FALSE),"")</f>
        <v>SMB</v>
      </c>
      <c r="P518">
        <f>IFERROR(VLOOKUP(C518,Customers!$A$2:$F$301,3,FALSE),"")</f>
        <v>46</v>
      </c>
      <c r="Q518" s="41">
        <f t="shared" si="17"/>
        <v>0.2593939393939394</v>
      </c>
      <c r="R518" t="str">
        <f>IFERROR(VLOOKUP(C518,Customers!$A$2:$F$301,1,FALSE),"")</f>
        <v>CUST-0056</v>
      </c>
      <c r="S518" s="27" t="b">
        <f>IFERROR(VLOOKUP(D518,Products!$A$2:$F$61,6,FALSE),"")</f>
        <v>1</v>
      </c>
      <c r="BL518">
        <v>0</v>
      </c>
      <c r="BO518">
        <v>0</v>
      </c>
      <c r="BP518">
        <v>0</v>
      </c>
    </row>
    <row r="519" spans="1:68" x14ac:dyDescent="0.35">
      <c r="A519" s="26" t="str">
        <f>Orders!A519</f>
        <v>ORD-00518</v>
      </c>
      <c r="B519" s="33">
        <f>Orders!B519</f>
        <v>45495</v>
      </c>
      <c r="C519" t="str">
        <f>Orders!C519</f>
        <v>CUST-0178</v>
      </c>
      <c r="D519" t="str">
        <f>Orders!D519</f>
        <v>PROD-060</v>
      </c>
      <c r="E519" t="str">
        <f>Orders!E519</f>
        <v>R029</v>
      </c>
      <c r="F519">
        <f>Orders!F519</f>
        <v>8</v>
      </c>
      <c r="G519" s="35">
        <f>Orders!G519</f>
        <v>190</v>
      </c>
      <c r="H519" s="37">
        <f>Orders!H519</f>
        <v>18</v>
      </c>
      <c r="I519" s="39">
        <f>Orders!I519</f>
        <v>1246.4000000000001</v>
      </c>
      <c r="J519" t="str">
        <f>Orders!J519</f>
        <v>Pending</v>
      </c>
      <c r="K519" t="str">
        <f>Orders!K519</f>
        <v>Hyderabad</v>
      </c>
      <c r="L519" t="str">
        <f>IFERROR(VLOOKUP(D519,Products!$A$2:$F$61,3,FALSE),"")</f>
        <v>Sports</v>
      </c>
      <c r="M519">
        <f>IFERROR(VLOOKUP(D519,Products!$A$2:$F$61,4,FALSE),"")</f>
        <v>147</v>
      </c>
      <c r="N519" t="str">
        <f>IFERROR(VLOOKUP(E519,Sales_Reps!$A$2:$E$31,3,FALSE),"")</f>
        <v>West</v>
      </c>
      <c r="O519" t="str">
        <f>IFERROR(VLOOKUP(C519,Customers!$A$2:$F$301,5,FALSE),"")</f>
        <v>Retail</v>
      </c>
      <c r="P519">
        <f>IFERROR(VLOOKUP(C519,Customers!$A$2:$F$301,3,FALSE),"")</f>
        <v>25</v>
      </c>
      <c r="Q519" s="41">
        <f t="shared" si="17"/>
        <v>0.22631578947368422</v>
      </c>
      <c r="R519" t="str">
        <f>IFERROR(VLOOKUP(C519,Customers!$A$2:$F$301,1,FALSE),"")</f>
        <v>CUST-0178</v>
      </c>
      <c r="S519" s="27" t="b">
        <f>IFERROR(VLOOKUP(D519,Products!$A$2:$F$61,6,FALSE),"")</f>
        <v>1</v>
      </c>
      <c r="BL519">
        <v>0</v>
      </c>
      <c r="BO519">
        <v>0</v>
      </c>
      <c r="BP519">
        <v>0</v>
      </c>
    </row>
    <row r="520" spans="1:68" x14ac:dyDescent="0.35">
      <c r="A520" s="26" t="str">
        <f>Orders!A520</f>
        <v>ORD-00519</v>
      </c>
      <c r="B520" s="33">
        <f>Orders!B520</f>
        <v>45443</v>
      </c>
      <c r="C520" t="str">
        <f>Orders!C520</f>
        <v>CUST-0237</v>
      </c>
      <c r="D520" t="str">
        <f>Orders!D520</f>
        <v>PROD-042</v>
      </c>
      <c r="E520" t="str">
        <f>Orders!E520</f>
        <v>R029</v>
      </c>
      <c r="F520">
        <f>Orders!F520</f>
        <v>7</v>
      </c>
      <c r="G520" s="35">
        <f>Orders!G520</f>
        <v>2290</v>
      </c>
      <c r="H520" s="37">
        <f>Orders!H520</f>
        <v>12.5</v>
      </c>
      <c r="I520" s="39">
        <f>Orders!I520</f>
        <v>14026.25</v>
      </c>
      <c r="J520" t="str">
        <f>Orders!J520</f>
        <v>Completed</v>
      </c>
      <c r="K520" t="str">
        <f>Orders!K520</f>
        <v>Mumbai</v>
      </c>
      <c r="L520" t="str">
        <f>IFERROR(VLOOKUP(D520,Products!$A$2:$F$61,3,FALSE),"")</f>
        <v>Beauty</v>
      </c>
      <c r="M520">
        <f>IFERROR(VLOOKUP(D520,Products!$A$2:$F$61,4,FALSE),"")</f>
        <v>1219</v>
      </c>
      <c r="N520" t="str">
        <f>IFERROR(VLOOKUP(E520,Sales_Reps!$A$2:$E$31,3,FALSE),"")</f>
        <v>West</v>
      </c>
      <c r="O520" t="str">
        <f>IFERROR(VLOOKUP(C520,Customers!$A$2:$F$301,5,FALSE),"")</f>
        <v>Retail</v>
      </c>
      <c r="P520">
        <f>IFERROR(VLOOKUP(C520,Customers!$A$2:$F$301,3,FALSE),"")</f>
        <v>49</v>
      </c>
      <c r="Q520" s="41">
        <f t="shared" si="17"/>
        <v>0.46768558951965067</v>
      </c>
      <c r="R520" t="str">
        <f>IFERROR(VLOOKUP(C520,Customers!$A$2:$F$301,1,FALSE),"")</f>
        <v>CUST-0237</v>
      </c>
      <c r="S520" s="27" t="b">
        <f>IFERROR(VLOOKUP(D520,Products!$A$2:$F$61,6,FALSE),"")</f>
        <v>1</v>
      </c>
      <c r="BL520">
        <v>0</v>
      </c>
      <c r="BO520">
        <v>0</v>
      </c>
      <c r="BP520">
        <v>0</v>
      </c>
    </row>
    <row r="521" spans="1:68" x14ac:dyDescent="0.35">
      <c r="A521" s="26" t="str">
        <f>Orders!A521</f>
        <v>ORD-00520</v>
      </c>
      <c r="B521" s="33">
        <f>Orders!B521</f>
        <v>45638</v>
      </c>
      <c r="C521" t="str">
        <f>Orders!C521</f>
        <v>CUST-0143</v>
      </c>
      <c r="D521" t="str">
        <f>Orders!D521</f>
        <v>PROD-001</v>
      </c>
      <c r="E521" t="str">
        <f>Orders!E521</f>
        <v>R017</v>
      </c>
      <c r="F521">
        <f>Orders!F521</f>
        <v>2</v>
      </c>
      <c r="G521" s="35">
        <f>Orders!G521</f>
        <v>5330</v>
      </c>
      <c r="H521" s="37">
        <f>Orders!H521</f>
        <v>26.5</v>
      </c>
      <c r="I521" s="39">
        <f>Orders!I521</f>
        <v>7835.1</v>
      </c>
      <c r="J521" t="str">
        <f>Orders!J521</f>
        <v>Completed</v>
      </c>
      <c r="K521" t="str">
        <f>Orders!K521</f>
        <v>Chennai</v>
      </c>
      <c r="L521" t="str">
        <f>IFERROR(VLOOKUP(D521,Products!$A$2:$F$61,3,FALSE),"")</f>
        <v>Electronics</v>
      </c>
      <c r="M521">
        <f>IFERROR(VLOOKUP(D521,Products!$A$2:$F$61,4,FALSE),"")</f>
        <v>2405</v>
      </c>
      <c r="N521" t="str">
        <f>IFERROR(VLOOKUP(E521,Sales_Reps!$A$2:$E$31,3,FALSE),"")</f>
        <v>East</v>
      </c>
      <c r="O521" t="str">
        <f>IFERROR(VLOOKUP(C521,Customers!$A$2:$F$301,5,FALSE),"")</f>
        <v>SMB</v>
      </c>
      <c r="P521">
        <f>IFERROR(VLOOKUP(C521,Customers!$A$2:$F$301,3,FALSE),"")</f>
        <v>52</v>
      </c>
      <c r="Q521" s="41">
        <f t="shared" si="17"/>
        <v>0.54878048780487809</v>
      </c>
      <c r="R521" t="str">
        <f>IFERROR(VLOOKUP(C521,Customers!$A$2:$F$301,1,FALSE),"")</f>
        <v>CUST-0143</v>
      </c>
      <c r="S521" s="27" t="b">
        <f>IFERROR(VLOOKUP(D521,Products!$A$2:$F$61,6,FALSE),"")</f>
        <v>1</v>
      </c>
      <c r="BL521">
        <v>0</v>
      </c>
      <c r="BO521">
        <v>0</v>
      </c>
      <c r="BP521">
        <v>0</v>
      </c>
    </row>
    <row r="522" spans="1:68" x14ac:dyDescent="0.35">
      <c r="A522" s="26" t="str">
        <f>Orders!A522</f>
        <v>ORD-00521</v>
      </c>
      <c r="B522" s="33">
        <f>Orders!B522</f>
        <v>45476</v>
      </c>
      <c r="C522" t="str">
        <f>Orders!C522</f>
        <v>CUST-0233</v>
      </c>
      <c r="D522" t="str">
        <f>Orders!D522</f>
        <v>PROD-001</v>
      </c>
      <c r="E522" t="str">
        <f>Orders!E522</f>
        <v>R015</v>
      </c>
      <c r="F522">
        <f>Orders!F522</f>
        <v>4</v>
      </c>
      <c r="G522" s="35">
        <f>Orders!G522</f>
        <v>5330</v>
      </c>
      <c r="H522" s="37">
        <f>Orders!H522</f>
        <v>25.6</v>
      </c>
      <c r="I522" s="39">
        <f>Orders!I522</f>
        <v>15862.08</v>
      </c>
      <c r="J522" t="str">
        <f>Orders!J522</f>
        <v>Completed</v>
      </c>
      <c r="K522" t="str">
        <f>Orders!K522</f>
        <v>Mumbai</v>
      </c>
      <c r="L522" t="str">
        <f>IFERROR(VLOOKUP(D522,Products!$A$2:$F$61,3,FALSE),"")</f>
        <v>Electronics</v>
      </c>
      <c r="M522">
        <f>IFERROR(VLOOKUP(D522,Products!$A$2:$F$61,4,FALSE),"")</f>
        <v>2405</v>
      </c>
      <c r="N522" t="str">
        <f>IFERROR(VLOOKUP(E522,Sales_Reps!$A$2:$E$31,3,FALSE),"")</f>
        <v>South</v>
      </c>
      <c r="O522" t="str">
        <f>IFERROR(VLOOKUP(C522,Customers!$A$2:$F$301,5,FALSE),"")</f>
        <v>SMB</v>
      </c>
      <c r="P522">
        <f>IFERROR(VLOOKUP(C522,Customers!$A$2:$F$301,3,FALSE),"")</f>
        <v>65</v>
      </c>
      <c r="Q522" s="41">
        <f t="shared" si="17"/>
        <v>0.54878048780487809</v>
      </c>
      <c r="R522" t="str">
        <f>IFERROR(VLOOKUP(C522,Customers!$A$2:$F$301,1,FALSE),"")</f>
        <v>CUST-0233</v>
      </c>
      <c r="S522" s="27" t="b">
        <f>IFERROR(VLOOKUP(D522,Products!$A$2:$F$61,6,FALSE),"")</f>
        <v>1</v>
      </c>
      <c r="BL522">
        <v>0</v>
      </c>
      <c r="BO522">
        <v>0</v>
      </c>
      <c r="BP522">
        <v>0</v>
      </c>
    </row>
    <row r="523" spans="1:68" x14ac:dyDescent="0.35">
      <c r="A523" s="26" t="str">
        <f>Orders!A523</f>
        <v>ORD-00522</v>
      </c>
      <c r="B523" s="33">
        <f>Orders!B523</f>
        <v>45566</v>
      </c>
      <c r="C523" t="str">
        <f>Orders!C523</f>
        <v>CUST-0161</v>
      </c>
      <c r="D523" t="str">
        <f>Orders!D523</f>
        <v>PROD-034</v>
      </c>
      <c r="E523" t="str">
        <f>Orders!E523</f>
        <v>R006</v>
      </c>
      <c r="F523">
        <f>Orders!F523</f>
        <v>4</v>
      </c>
      <c r="G523" s="35">
        <f>Orders!G523</f>
        <v>5080</v>
      </c>
      <c r="H523" s="37">
        <f>Orders!H523</f>
        <v>28.6</v>
      </c>
      <c r="I523" s="39">
        <f>Orders!I523</f>
        <v>14508.48</v>
      </c>
      <c r="J523" t="str">
        <f>Orders!J523</f>
        <v>Completed</v>
      </c>
      <c r="K523" t="str">
        <f>Orders!K523</f>
        <v>Chennai</v>
      </c>
      <c r="L523" t="str">
        <f>IFERROR(VLOOKUP(D523,Products!$A$2:$F$61,3,FALSE),"")</f>
        <v>Home</v>
      </c>
      <c r="M523">
        <f>IFERROR(VLOOKUP(D523,Products!$A$2:$F$61,4,FALSE),"")</f>
        <v>2459</v>
      </c>
      <c r="N523" t="str">
        <f>IFERROR(VLOOKUP(E523,Sales_Reps!$A$2:$E$31,3,FALSE),"")</f>
        <v>North</v>
      </c>
      <c r="O523" t="str">
        <f>IFERROR(VLOOKUP(C523,Customers!$A$2:$F$301,5,FALSE),"")</f>
        <v>Retail</v>
      </c>
      <c r="P523">
        <f>IFERROR(VLOOKUP(C523,Customers!$A$2:$F$301,3,FALSE),"")</f>
        <v>38</v>
      </c>
      <c r="Q523" s="41">
        <f t="shared" si="17"/>
        <v>0.51594488188976373</v>
      </c>
      <c r="R523" t="str">
        <f>IFERROR(VLOOKUP(C523,Customers!$A$2:$F$301,1,FALSE),"")</f>
        <v>CUST-0161</v>
      </c>
      <c r="S523" s="27" t="b">
        <f>IFERROR(VLOOKUP(D523,Products!$A$2:$F$61,6,FALSE),"")</f>
        <v>1</v>
      </c>
      <c r="BL523">
        <v>0</v>
      </c>
      <c r="BO523">
        <v>0</v>
      </c>
      <c r="BP523">
        <v>0</v>
      </c>
    </row>
    <row r="524" spans="1:68" x14ac:dyDescent="0.35">
      <c r="A524" s="26" t="str">
        <f>Orders!A524</f>
        <v>ORD-00523</v>
      </c>
      <c r="B524" s="33">
        <f>Orders!B524</f>
        <v>45392</v>
      </c>
      <c r="C524" t="str">
        <f>Orders!C524</f>
        <v>CUST-0087</v>
      </c>
      <c r="D524" t="str">
        <f>Orders!D524</f>
        <v>PROD-032</v>
      </c>
      <c r="E524" t="str">
        <f>Orders!E524</f>
        <v>R002</v>
      </c>
      <c r="F524">
        <f>Orders!F524</f>
        <v>4</v>
      </c>
      <c r="G524" s="35">
        <f>Orders!G524</f>
        <v>370</v>
      </c>
      <c r="H524" s="37">
        <f>Orders!H524</f>
        <v>12.6</v>
      </c>
      <c r="I524" s="39">
        <f>Orders!I524</f>
        <v>1293.52</v>
      </c>
      <c r="J524" t="str">
        <f>Orders!J524</f>
        <v>Pending</v>
      </c>
      <c r="K524" t="str">
        <f>Orders!K524</f>
        <v>Pune</v>
      </c>
      <c r="L524" t="str">
        <f>IFERROR(VLOOKUP(D524,Products!$A$2:$F$61,3,FALSE),"")</f>
        <v>Home</v>
      </c>
      <c r="M524">
        <f>IFERROR(VLOOKUP(D524,Products!$A$2:$F$61,4,FALSE),"")</f>
        <v>288</v>
      </c>
      <c r="N524" t="str">
        <f>IFERROR(VLOOKUP(E524,Sales_Reps!$A$2:$E$31,3,FALSE),"")</f>
        <v>North</v>
      </c>
      <c r="O524" t="str">
        <f>IFERROR(VLOOKUP(C524,Customers!$A$2:$F$301,5,FALSE),"")</f>
        <v>SMB</v>
      </c>
      <c r="P524">
        <f>IFERROR(VLOOKUP(C524,Customers!$A$2:$F$301,3,FALSE),"")</f>
        <v>49</v>
      </c>
      <c r="Q524" s="41">
        <f t="shared" si="17"/>
        <v>0.22162162162162163</v>
      </c>
      <c r="R524" t="str">
        <f>IFERROR(VLOOKUP(C524,Customers!$A$2:$F$301,1,FALSE),"")</f>
        <v>CUST-0087</v>
      </c>
      <c r="S524" s="27" t="b">
        <f>IFERROR(VLOOKUP(D524,Products!$A$2:$F$61,6,FALSE),"")</f>
        <v>1</v>
      </c>
      <c r="BL524">
        <v>0</v>
      </c>
      <c r="BO524">
        <v>0</v>
      </c>
      <c r="BP524">
        <v>0</v>
      </c>
    </row>
    <row r="525" spans="1:68" x14ac:dyDescent="0.35">
      <c r="A525" s="26" t="str">
        <f>Orders!A525</f>
        <v>ORD-00524</v>
      </c>
      <c r="B525" s="33">
        <f>Orders!B525</f>
        <v>45561</v>
      </c>
      <c r="C525" t="str">
        <f>Orders!C525</f>
        <v>CUST-0235</v>
      </c>
      <c r="D525" t="str">
        <f>Orders!D525</f>
        <v>PROD-053</v>
      </c>
      <c r="E525" t="str">
        <f>Orders!E525</f>
        <v>R013</v>
      </c>
      <c r="F525">
        <f>Orders!F525</f>
        <v>9</v>
      </c>
      <c r="G525" s="35">
        <f>Orders!G525</f>
        <v>470</v>
      </c>
      <c r="H525" s="37">
        <f>Orders!H525</f>
        <v>3.6</v>
      </c>
      <c r="I525" s="39">
        <f>Orders!I525</f>
        <v>4077.72</v>
      </c>
      <c r="J525" t="str">
        <f>Orders!J525</f>
        <v>Completed</v>
      </c>
      <c r="K525" t="str">
        <f>Orders!K525</f>
        <v>Chennai</v>
      </c>
      <c r="L525" t="str">
        <f>IFERROR(VLOOKUP(D525,Products!$A$2:$F$61,3,FALSE),"")</f>
        <v>Sports</v>
      </c>
      <c r="M525">
        <f>IFERROR(VLOOKUP(D525,Products!$A$2:$F$61,4,FALSE),"")</f>
        <v>302</v>
      </c>
      <c r="N525" t="str">
        <f>IFERROR(VLOOKUP(E525,Sales_Reps!$A$2:$E$31,3,FALSE),"")</f>
        <v>South</v>
      </c>
      <c r="O525" t="str">
        <f>IFERROR(VLOOKUP(C525,Customers!$A$2:$F$301,5,FALSE),"")</f>
        <v>Retail</v>
      </c>
      <c r="P525">
        <f>IFERROR(VLOOKUP(C525,Customers!$A$2:$F$301,3,FALSE),"")</f>
        <v>31</v>
      </c>
      <c r="Q525" s="41">
        <f t="shared" si="17"/>
        <v>0.35744680851063831</v>
      </c>
      <c r="R525" t="str">
        <f>IFERROR(VLOOKUP(C525,Customers!$A$2:$F$301,1,FALSE),"")</f>
        <v>CUST-0235</v>
      </c>
      <c r="S525" s="27" t="b">
        <f>IFERROR(VLOOKUP(D525,Products!$A$2:$F$61,6,FALSE),"")</f>
        <v>0</v>
      </c>
      <c r="BL525">
        <v>0</v>
      </c>
      <c r="BO525">
        <v>0</v>
      </c>
      <c r="BP525">
        <v>1</v>
      </c>
    </row>
    <row r="526" spans="1:68" x14ac:dyDescent="0.35">
      <c r="A526" s="26" t="str">
        <f>Orders!A526</f>
        <v>ORD-00525</v>
      </c>
      <c r="B526" s="33">
        <f>Orders!B526</f>
        <v>45634</v>
      </c>
      <c r="C526" t="str">
        <f>Orders!C526</f>
        <v>CUST-0183</v>
      </c>
      <c r="D526" t="str">
        <f>Orders!D526</f>
        <v>PROD-052</v>
      </c>
      <c r="E526" t="str">
        <f>Orders!E526</f>
        <v>R027</v>
      </c>
      <c r="F526">
        <f>Orders!F526</f>
        <v>4</v>
      </c>
      <c r="G526" s="35">
        <f>Orders!G526</f>
        <v>5410</v>
      </c>
      <c r="H526" s="37">
        <f>Orders!H526</f>
        <v>11.3</v>
      </c>
      <c r="I526" s="39">
        <f>Orders!I526</f>
        <v>19194.68</v>
      </c>
      <c r="J526" t="str">
        <f>Orders!J526</f>
        <v>Refunded</v>
      </c>
      <c r="K526" t="str">
        <f>Orders!K526</f>
        <v>Mumbai</v>
      </c>
      <c r="L526" t="str">
        <f>IFERROR(VLOOKUP(D526,Products!$A$2:$F$61,3,FALSE),"")</f>
        <v>Sports</v>
      </c>
      <c r="M526">
        <f>IFERROR(VLOOKUP(D526,Products!$A$2:$F$61,4,FALSE),"")</f>
        <v>2265</v>
      </c>
      <c r="N526" t="str">
        <f>IFERROR(VLOOKUP(E526,Sales_Reps!$A$2:$E$31,3,FALSE),"")</f>
        <v>West</v>
      </c>
      <c r="O526" t="str">
        <f>IFERROR(VLOOKUP(C526,Customers!$A$2:$F$301,5,FALSE),"")</f>
        <v>SMB</v>
      </c>
      <c r="P526">
        <f>IFERROR(VLOOKUP(C526,Customers!$A$2:$F$301,3,FALSE),"")</f>
        <v>27</v>
      </c>
      <c r="Q526" s="41">
        <f t="shared" si="17"/>
        <v>0.58133086876155271</v>
      </c>
      <c r="R526" t="str">
        <f>IFERROR(VLOOKUP(C526,Customers!$A$2:$F$301,1,FALSE),"")</f>
        <v>CUST-0183</v>
      </c>
      <c r="S526" s="27" t="b">
        <f>IFERROR(VLOOKUP(D526,Products!$A$2:$F$61,6,FALSE),"")</f>
        <v>1</v>
      </c>
      <c r="BL526">
        <v>0</v>
      </c>
      <c r="BO526">
        <v>0</v>
      </c>
      <c r="BP526">
        <v>0</v>
      </c>
    </row>
    <row r="527" spans="1:68" x14ac:dyDescent="0.35">
      <c r="A527" s="26" t="str">
        <f>Orders!A527</f>
        <v>ORD-00526</v>
      </c>
      <c r="B527" s="33">
        <f>Orders!B527</f>
        <v>45311</v>
      </c>
      <c r="C527" t="str">
        <f>Orders!C527</f>
        <v>CUST-0199</v>
      </c>
      <c r="D527" t="str">
        <f>Orders!D527</f>
        <v>PROD-014</v>
      </c>
      <c r="E527" t="str">
        <f>Orders!E527</f>
        <v>R007</v>
      </c>
      <c r="F527">
        <f>Orders!F527</f>
        <v>10</v>
      </c>
      <c r="G527" s="35">
        <f>Orders!G527</f>
        <v>3620</v>
      </c>
      <c r="H527" s="37">
        <f>Orders!H527</f>
        <v>2.5</v>
      </c>
      <c r="I527" s="39">
        <f>Orders!I527</f>
        <v>35295</v>
      </c>
      <c r="J527" t="str">
        <f>Orders!J527</f>
        <v>Completed</v>
      </c>
      <c r="K527" t="str">
        <f>Orders!K527</f>
        <v>Hyderabad</v>
      </c>
      <c r="L527" t="str">
        <f>IFERROR(VLOOKUP(D527,Products!$A$2:$F$61,3,FALSE),"")</f>
        <v>Apparel</v>
      </c>
      <c r="M527">
        <f>IFERROR(VLOOKUP(D527,Products!$A$2:$F$61,4,FALSE),"")</f>
        <v>2509</v>
      </c>
      <c r="N527" t="str">
        <f>IFERROR(VLOOKUP(E527,Sales_Reps!$A$2:$E$31,3,FALSE),"")</f>
        <v>North</v>
      </c>
      <c r="O527" t="str">
        <f>IFERROR(VLOOKUP(C527,Customers!$A$2:$F$301,5,FALSE),"")</f>
        <v>SMB</v>
      </c>
      <c r="P527">
        <f>IFERROR(VLOOKUP(C527,Customers!$A$2:$F$301,3,FALSE),"")</f>
        <v>31</v>
      </c>
      <c r="Q527" s="41">
        <f t="shared" si="17"/>
        <v>0.3069060773480663</v>
      </c>
      <c r="R527" t="str">
        <f>IFERROR(VLOOKUP(C527,Customers!$A$2:$F$301,1,FALSE),"")</f>
        <v>CUST-0199</v>
      </c>
      <c r="S527" s="27" t="b">
        <f>IFERROR(VLOOKUP(D527,Products!$A$2:$F$61,6,FALSE),"")</f>
        <v>1</v>
      </c>
      <c r="BL527">
        <v>0</v>
      </c>
      <c r="BO527">
        <v>0</v>
      </c>
      <c r="BP527">
        <v>0</v>
      </c>
    </row>
    <row r="528" spans="1:68" x14ac:dyDescent="0.35">
      <c r="A528" s="26" t="str">
        <f>Orders!A528</f>
        <v>ORD-00527</v>
      </c>
      <c r="B528" s="33">
        <f>Orders!B528</f>
        <v>45380</v>
      </c>
      <c r="C528" t="str">
        <f>Orders!C528</f>
        <v>CUST-0034</v>
      </c>
      <c r="D528" t="str">
        <f>Orders!D528</f>
        <v>PROD-021</v>
      </c>
      <c r="E528" t="str">
        <f>Orders!E528</f>
        <v>R030</v>
      </c>
      <c r="F528">
        <f>Orders!F528</f>
        <v>1</v>
      </c>
      <c r="G528" s="35">
        <f>Orders!G528</f>
        <v>2760</v>
      </c>
      <c r="H528" s="37">
        <f>Orders!H528</f>
        <v>22.2</v>
      </c>
      <c r="I528" s="39">
        <f>Orders!I528</f>
        <v>2147.2800000000002</v>
      </c>
      <c r="J528" t="str">
        <f>Orders!J528</f>
        <v>Completed</v>
      </c>
      <c r="K528" t="str">
        <f>Orders!K528</f>
        <v>Delhi</v>
      </c>
      <c r="L528" t="str">
        <f>IFERROR(VLOOKUP(D528,Products!$A$2:$F$61,3,FALSE),"")</f>
        <v>Grocery</v>
      </c>
      <c r="M528">
        <f>IFERROR(VLOOKUP(D528,Products!$A$2:$F$61,4,FALSE),"")</f>
        <v>1435</v>
      </c>
      <c r="N528" t="str">
        <f>IFERROR(VLOOKUP(E528,Sales_Reps!$A$2:$E$31,3,FALSE),"")</f>
        <v>West</v>
      </c>
      <c r="O528" t="str">
        <f>IFERROR(VLOOKUP(C528,Customers!$A$2:$F$301,5,FALSE),"")</f>
        <v>Retail</v>
      </c>
      <c r="P528">
        <f>IFERROR(VLOOKUP(C528,Customers!$A$2:$F$301,3,FALSE),"")</f>
        <v>47</v>
      </c>
      <c r="Q528" s="41">
        <f t="shared" si="17"/>
        <v>0.48007246376811596</v>
      </c>
      <c r="R528" t="str">
        <f>IFERROR(VLOOKUP(C528,Customers!$A$2:$F$301,1,FALSE),"")</f>
        <v>CUST-0034</v>
      </c>
      <c r="S528" s="27" t="b">
        <f>IFERROR(VLOOKUP(D528,Products!$A$2:$F$61,6,FALSE),"")</f>
        <v>1</v>
      </c>
      <c r="BL528">
        <v>0</v>
      </c>
      <c r="BO528">
        <v>0</v>
      </c>
      <c r="BP528">
        <v>0</v>
      </c>
    </row>
    <row r="529" spans="1:68" x14ac:dyDescent="0.35">
      <c r="A529" s="26" t="str">
        <f>Orders!A529</f>
        <v>ORD-00528</v>
      </c>
      <c r="B529" s="33">
        <f>Orders!B529</f>
        <v>45549</v>
      </c>
      <c r="C529" t="str">
        <f>Orders!C529</f>
        <v>CUST-0206</v>
      </c>
      <c r="D529" t="str">
        <f>Orders!D529</f>
        <v>PROD-047</v>
      </c>
      <c r="E529" t="str">
        <f>Orders!E529</f>
        <v>R001</v>
      </c>
      <c r="F529">
        <f>Orders!F529</f>
        <v>7</v>
      </c>
      <c r="G529" s="35">
        <f>Orders!G529</f>
        <v>3450</v>
      </c>
      <c r="H529" s="37">
        <f>Orders!H529</f>
        <v>8.6</v>
      </c>
      <c r="I529" s="39">
        <f>Orders!I529</f>
        <v>22073.1</v>
      </c>
      <c r="J529" t="str">
        <f>Orders!J529</f>
        <v>Completed</v>
      </c>
      <c r="K529" t="str">
        <f>Orders!K529</f>
        <v>Mumbai</v>
      </c>
      <c r="L529" t="str">
        <f>IFERROR(VLOOKUP(D529,Products!$A$2:$F$61,3,FALSE),"")</f>
        <v>Beauty</v>
      </c>
      <c r="M529">
        <f>IFERROR(VLOOKUP(D529,Products!$A$2:$F$61,4,FALSE),"")</f>
        <v>2420</v>
      </c>
      <c r="N529" t="str">
        <f>IFERROR(VLOOKUP(E529,Sales_Reps!$A$2:$E$31,3,FALSE),"")</f>
        <v>North</v>
      </c>
      <c r="O529" t="str">
        <f>IFERROR(VLOOKUP(C529,Customers!$A$2:$F$301,5,FALSE),"")</f>
        <v>Retail</v>
      </c>
      <c r="P529">
        <f>IFERROR(VLOOKUP(C529,Customers!$A$2:$F$301,3,FALSE),"")</f>
        <v>40</v>
      </c>
      <c r="Q529" s="41">
        <f t="shared" si="17"/>
        <v>0.29855072463768118</v>
      </c>
      <c r="R529" t="str">
        <f>IFERROR(VLOOKUP(C529,Customers!$A$2:$F$301,1,FALSE),"")</f>
        <v>CUST-0206</v>
      </c>
      <c r="S529" s="27" t="b">
        <f>IFERROR(VLOOKUP(D529,Products!$A$2:$F$61,6,FALSE),"")</f>
        <v>1</v>
      </c>
      <c r="BL529">
        <v>0</v>
      </c>
      <c r="BO529">
        <v>0</v>
      </c>
      <c r="BP529">
        <v>0</v>
      </c>
    </row>
    <row r="530" spans="1:68" x14ac:dyDescent="0.35">
      <c r="A530" s="26" t="str">
        <f>Orders!A530</f>
        <v>ORD-00529</v>
      </c>
      <c r="B530" s="33">
        <f>Orders!B530</f>
        <v>45418</v>
      </c>
      <c r="C530" t="str">
        <f>Orders!C530</f>
        <v>CUST-0246</v>
      </c>
      <c r="D530" t="str">
        <f>Orders!D530</f>
        <v>PROD-028</v>
      </c>
      <c r="E530" t="str">
        <f>Orders!E530</f>
        <v>R028</v>
      </c>
      <c r="F530">
        <f>Orders!F530</f>
        <v>6</v>
      </c>
      <c r="G530" s="35">
        <f>Orders!G530</f>
        <v>3660</v>
      </c>
      <c r="H530" s="37">
        <f>Orders!H530</f>
        <v>10.6</v>
      </c>
      <c r="I530" s="39">
        <f>Orders!I530</f>
        <v>19632.240000000002</v>
      </c>
      <c r="J530" t="str">
        <f>Orders!J530</f>
        <v>Completed</v>
      </c>
      <c r="K530" t="str">
        <f>Orders!K530</f>
        <v>Delhi</v>
      </c>
      <c r="L530" t="str">
        <f>IFERROR(VLOOKUP(D530,Products!$A$2:$F$61,3,FALSE),"")</f>
        <v>Grocery</v>
      </c>
      <c r="M530">
        <f>IFERROR(VLOOKUP(D530,Products!$A$2:$F$61,4,FALSE),"")</f>
        <v>2214</v>
      </c>
      <c r="N530" t="str">
        <f>IFERROR(VLOOKUP(E530,Sales_Reps!$A$2:$E$31,3,FALSE),"")</f>
        <v>West</v>
      </c>
      <c r="O530" t="str">
        <f>IFERROR(VLOOKUP(C530,Customers!$A$2:$F$301,5,FALSE),"")</f>
        <v>SMB</v>
      </c>
      <c r="P530">
        <f>IFERROR(VLOOKUP(C530,Customers!$A$2:$F$301,3,FALSE),"")</f>
        <v>29</v>
      </c>
      <c r="Q530" s="41">
        <f t="shared" si="17"/>
        <v>0.39508196721311473</v>
      </c>
      <c r="R530" t="str">
        <f>IFERROR(VLOOKUP(C530,Customers!$A$2:$F$301,1,FALSE),"")</f>
        <v>CUST-0246</v>
      </c>
      <c r="S530" s="27" t="b">
        <f>IFERROR(VLOOKUP(D530,Products!$A$2:$F$61,6,FALSE),"")</f>
        <v>0</v>
      </c>
      <c r="BL530">
        <v>0</v>
      </c>
      <c r="BO530">
        <v>0</v>
      </c>
      <c r="BP530">
        <v>1</v>
      </c>
    </row>
    <row r="531" spans="1:68" x14ac:dyDescent="0.35">
      <c r="A531" s="26" t="str">
        <f>Orders!A531</f>
        <v>ORD-00530</v>
      </c>
      <c r="B531" s="33">
        <f>Orders!B531</f>
        <v>45532</v>
      </c>
      <c r="C531" t="str">
        <f>Orders!C531</f>
        <v>CUST-0075</v>
      </c>
      <c r="D531" t="str">
        <f>Orders!D531</f>
        <v>PROD-003</v>
      </c>
      <c r="E531" t="str">
        <f>Orders!E531</f>
        <v>R028</v>
      </c>
      <c r="F531">
        <f>Orders!F531</f>
        <v>10</v>
      </c>
      <c r="G531" s="35">
        <f>Orders!G531</f>
        <v>3570</v>
      </c>
      <c r="H531" s="37">
        <f>Orders!H531</f>
        <v>1.2</v>
      </c>
      <c r="I531" s="39">
        <f>Orders!I531</f>
        <v>35271.599999999999</v>
      </c>
      <c r="J531" t="str">
        <f>Orders!J531</f>
        <v>Completed</v>
      </c>
      <c r="K531" t="str">
        <f>Orders!K531</f>
        <v>Mumbai</v>
      </c>
      <c r="L531" t="str">
        <f>IFERROR(VLOOKUP(D531,Products!$A$2:$F$61,3,FALSE),"")</f>
        <v>Electronics</v>
      </c>
      <c r="M531">
        <f>IFERROR(VLOOKUP(D531,Products!$A$2:$F$61,4,FALSE),"")</f>
        <v>1665</v>
      </c>
      <c r="N531" t="str">
        <f>IFERROR(VLOOKUP(E531,Sales_Reps!$A$2:$E$31,3,FALSE),"")</f>
        <v>West</v>
      </c>
      <c r="O531" t="str">
        <f>IFERROR(VLOOKUP(C531,Customers!$A$2:$F$301,5,FALSE),"")</f>
        <v>Corporate</v>
      </c>
      <c r="P531">
        <f>IFERROR(VLOOKUP(C531,Customers!$A$2:$F$301,3,FALSE),"")</f>
        <v>55</v>
      </c>
      <c r="Q531" s="41">
        <f t="shared" si="17"/>
        <v>0.53361344537815125</v>
      </c>
      <c r="R531" t="str">
        <f>IFERROR(VLOOKUP(C531,Customers!$A$2:$F$301,1,FALSE),"")</f>
        <v>CUST-0075</v>
      </c>
      <c r="S531" s="27" t="b">
        <f>IFERROR(VLOOKUP(D531,Products!$A$2:$F$61,6,FALSE),"")</f>
        <v>1</v>
      </c>
      <c r="BL531">
        <v>0</v>
      </c>
      <c r="BO531">
        <v>0</v>
      </c>
      <c r="BP531">
        <v>0</v>
      </c>
    </row>
    <row r="532" spans="1:68" x14ac:dyDescent="0.35">
      <c r="A532" s="26" t="str">
        <f>Orders!A532</f>
        <v>ORD-00531</v>
      </c>
      <c r="B532" s="33">
        <f>Orders!B532</f>
        <v>45542</v>
      </c>
      <c r="C532" t="str">
        <f>Orders!C532</f>
        <v>CUST-0298</v>
      </c>
      <c r="D532" t="str">
        <f>Orders!D532</f>
        <v>PROD-035</v>
      </c>
      <c r="E532" t="str">
        <f>Orders!E532</f>
        <v>R009</v>
      </c>
      <c r="F532">
        <f>Orders!F532</f>
        <v>8</v>
      </c>
      <c r="G532" s="35">
        <f>Orders!G532</f>
        <v>1090</v>
      </c>
      <c r="H532" s="37">
        <f>Orders!H532</f>
        <v>13.2</v>
      </c>
      <c r="I532" s="39">
        <f>Orders!I532</f>
        <v>7568.96</v>
      </c>
      <c r="J532" t="str">
        <f>Orders!J532</f>
        <v>Refunded</v>
      </c>
      <c r="K532" t="str">
        <f>Orders!K532</f>
        <v>Delhi</v>
      </c>
      <c r="L532" t="str">
        <f>IFERROR(VLOOKUP(D532,Products!$A$2:$F$61,3,FALSE),"")</f>
        <v>Home</v>
      </c>
      <c r="M532">
        <f>IFERROR(VLOOKUP(D532,Products!$A$2:$F$61,4,FALSE),"")</f>
        <v>464</v>
      </c>
      <c r="N532" t="str">
        <f>IFERROR(VLOOKUP(E532,Sales_Reps!$A$2:$E$31,3,FALSE),"")</f>
        <v>South</v>
      </c>
      <c r="O532" t="str">
        <f>IFERROR(VLOOKUP(C532,Customers!$A$2:$F$301,5,FALSE),"")</f>
        <v>Retail</v>
      </c>
      <c r="P532">
        <f>IFERROR(VLOOKUP(C532,Customers!$A$2:$F$301,3,FALSE),"")</f>
        <v>44</v>
      </c>
      <c r="Q532" s="41">
        <f t="shared" si="17"/>
        <v>0.57431192660550456</v>
      </c>
      <c r="R532" t="str">
        <f>IFERROR(VLOOKUP(C532,Customers!$A$2:$F$301,1,FALSE),"")</f>
        <v>CUST-0298</v>
      </c>
      <c r="S532" s="27" t="b">
        <f>IFERROR(VLOOKUP(D532,Products!$A$2:$F$61,6,FALSE),"")</f>
        <v>1</v>
      </c>
      <c r="BL532">
        <v>0</v>
      </c>
      <c r="BO532">
        <v>0</v>
      </c>
      <c r="BP532">
        <v>0</v>
      </c>
    </row>
    <row r="533" spans="1:68" x14ac:dyDescent="0.35">
      <c r="A533" s="26" t="str">
        <f>Orders!A533</f>
        <v>ORD-00532</v>
      </c>
      <c r="B533" s="33">
        <f>Orders!B533</f>
        <v>45320</v>
      </c>
      <c r="C533" t="str">
        <f>Orders!C533</f>
        <v>CUST-0165</v>
      </c>
      <c r="D533" t="str">
        <f>Orders!D533</f>
        <v>PROD-014</v>
      </c>
      <c r="E533" t="str">
        <f>Orders!E533</f>
        <v>R018</v>
      </c>
      <c r="F533">
        <f>Orders!F533</f>
        <v>8</v>
      </c>
      <c r="G533" s="35">
        <f>Orders!G533</f>
        <v>3620</v>
      </c>
      <c r="H533" s="37">
        <f>Orders!H533</f>
        <v>29</v>
      </c>
      <c r="I533" s="39">
        <f>Orders!I533</f>
        <v>20561.599999999999</v>
      </c>
      <c r="J533" t="str">
        <f>Orders!J533</f>
        <v>Completed</v>
      </c>
      <c r="K533" t="str">
        <f>Orders!K533</f>
        <v>Pune</v>
      </c>
      <c r="L533" t="str">
        <f>IFERROR(VLOOKUP(D533,Products!$A$2:$F$61,3,FALSE),"")</f>
        <v>Apparel</v>
      </c>
      <c r="M533">
        <f>IFERROR(VLOOKUP(D533,Products!$A$2:$F$61,4,FALSE),"")</f>
        <v>2509</v>
      </c>
      <c r="N533" t="str">
        <f>IFERROR(VLOOKUP(E533,Sales_Reps!$A$2:$E$31,3,FALSE),"")</f>
        <v>East</v>
      </c>
      <c r="O533" t="str">
        <f>IFERROR(VLOOKUP(C533,Customers!$A$2:$F$301,5,FALSE),"")</f>
        <v>Retail</v>
      </c>
      <c r="P533">
        <f>IFERROR(VLOOKUP(C533,Customers!$A$2:$F$301,3,FALSE),"")</f>
        <v>29</v>
      </c>
      <c r="Q533" s="41">
        <f t="shared" si="17"/>
        <v>0.3069060773480663</v>
      </c>
      <c r="R533" t="str">
        <f>IFERROR(VLOOKUP(C533,Customers!$A$2:$F$301,1,FALSE),"")</f>
        <v>CUST-0165</v>
      </c>
      <c r="S533" s="27" t="b">
        <f>IFERROR(VLOOKUP(D533,Products!$A$2:$F$61,6,FALSE),"")</f>
        <v>1</v>
      </c>
      <c r="BL533">
        <v>0</v>
      </c>
      <c r="BO533">
        <v>0</v>
      </c>
      <c r="BP533">
        <v>0</v>
      </c>
    </row>
    <row r="534" spans="1:68" x14ac:dyDescent="0.35">
      <c r="A534" s="26" t="str">
        <f>Orders!A534</f>
        <v>ORD-00533</v>
      </c>
      <c r="B534" s="33">
        <f>Orders!B534</f>
        <v>45548</v>
      </c>
      <c r="C534" t="str">
        <f>Orders!C534</f>
        <v>CUST-0033</v>
      </c>
      <c r="D534" t="str">
        <f>Orders!D534</f>
        <v>PROD-046</v>
      </c>
      <c r="E534" t="str">
        <f>Orders!E534</f>
        <v>R010</v>
      </c>
      <c r="F534">
        <f>Orders!F534</f>
        <v>7</v>
      </c>
      <c r="G534" s="35">
        <f>Orders!G534</f>
        <v>4880</v>
      </c>
      <c r="H534" s="37">
        <f>Orders!H534</f>
        <v>25.6</v>
      </c>
      <c r="I534" s="39">
        <f>Orders!I534</f>
        <v>25415.040000000001</v>
      </c>
      <c r="J534" t="str">
        <f>Orders!J534</f>
        <v>Refunded</v>
      </c>
      <c r="K534" t="str">
        <f>Orders!K534</f>
        <v>Delhi</v>
      </c>
      <c r="L534" t="str">
        <f>IFERROR(VLOOKUP(D534,Products!$A$2:$F$61,3,FALSE),"")</f>
        <v>Beauty</v>
      </c>
      <c r="M534">
        <f>IFERROR(VLOOKUP(D534,Products!$A$2:$F$61,4,FALSE),"")</f>
        <v>2768</v>
      </c>
      <c r="N534" t="str">
        <f>IFERROR(VLOOKUP(E534,Sales_Reps!$A$2:$E$31,3,FALSE),"")</f>
        <v>South</v>
      </c>
      <c r="O534" t="str">
        <f>IFERROR(VLOOKUP(C534,Customers!$A$2:$F$301,5,FALSE),"")</f>
        <v>Retail</v>
      </c>
      <c r="P534">
        <f>IFERROR(VLOOKUP(C534,Customers!$A$2:$F$301,3,FALSE),"")</f>
        <v>35</v>
      </c>
      <c r="Q534" s="41">
        <f t="shared" si="17"/>
        <v>0.43278688524590164</v>
      </c>
      <c r="R534" t="str">
        <f>IFERROR(VLOOKUP(C534,Customers!$A$2:$F$301,1,FALSE),"")</f>
        <v>CUST-0033</v>
      </c>
      <c r="S534" s="27" t="b">
        <f>IFERROR(VLOOKUP(D534,Products!$A$2:$F$61,6,FALSE),"")</f>
        <v>1</v>
      </c>
      <c r="BL534">
        <v>0</v>
      </c>
      <c r="BO534">
        <v>0</v>
      </c>
      <c r="BP534">
        <v>0</v>
      </c>
    </row>
    <row r="535" spans="1:68" x14ac:dyDescent="0.35">
      <c r="A535" s="26" t="str">
        <f>Orders!A535</f>
        <v>ORD-00534</v>
      </c>
      <c r="B535" s="33">
        <f>Orders!B535</f>
        <v>45434</v>
      </c>
      <c r="C535" t="str">
        <f>Orders!C535</f>
        <v>CUST-0205</v>
      </c>
      <c r="D535" t="str">
        <f>Orders!D535</f>
        <v>PROD-053</v>
      </c>
      <c r="E535" t="str">
        <f>Orders!E535</f>
        <v>R028</v>
      </c>
      <c r="F535">
        <f>Orders!F535</f>
        <v>2</v>
      </c>
      <c r="G535" s="35">
        <f>Orders!G535</f>
        <v>470</v>
      </c>
      <c r="H535" s="37">
        <f>Orders!H535</f>
        <v>9.6999999999999993</v>
      </c>
      <c r="I535" s="39">
        <f>Orders!I535</f>
        <v>848.82</v>
      </c>
      <c r="J535" t="str">
        <f>Orders!J535</f>
        <v>Completed</v>
      </c>
      <c r="K535" t="str">
        <f>Orders!K535</f>
        <v>Pune</v>
      </c>
      <c r="L535" t="str">
        <f>IFERROR(VLOOKUP(D535,Products!$A$2:$F$61,3,FALSE),"")</f>
        <v>Sports</v>
      </c>
      <c r="M535">
        <f>IFERROR(VLOOKUP(D535,Products!$A$2:$F$61,4,FALSE),"")</f>
        <v>302</v>
      </c>
      <c r="N535" t="str">
        <f>IFERROR(VLOOKUP(E535,Sales_Reps!$A$2:$E$31,3,FALSE),"")</f>
        <v>West</v>
      </c>
      <c r="O535" t="str">
        <f>IFERROR(VLOOKUP(C535,Customers!$A$2:$F$301,5,FALSE),"")</f>
        <v>Corporate</v>
      </c>
      <c r="P535">
        <f>IFERROR(VLOOKUP(C535,Customers!$A$2:$F$301,3,FALSE),"")</f>
        <v>29</v>
      </c>
      <c r="Q535" s="41">
        <f t="shared" si="17"/>
        <v>0.35744680851063831</v>
      </c>
      <c r="R535" t="str">
        <f>IFERROR(VLOOKUP(C535,Customers!$A$2:$F$301,1,FALSE),"")</f>
        <v>CUST-0205</v>
      </c>
      <c r="S535" s="27" t="b">
        <f>IFERROR(VLOOKUP(D535,Products!$A$2:$F$61,6,FALSE),"")</f>
        <v>0</v>
      </c>
      <c r="BL535">
        <v>0</v>
      </c>
      <c r="BO535">
        <v>0</v>
      </c>
      <c r="BP535">
        <v>1</v>
      </c>
    </row>
    <row r="536" spans="1:68" x14ac:dyDescent="0.35">
      <c r="A536" s="26" t="str">
        <f>Orders!A536</f>
        <v>ORD-00535</v>
      </c>
      <c r="B536" s="33">
        <f>Orders!B536</f>
        <v>45539</v>
      </c>
      <c r="C536" t="str">
        <f>Orders!C536</f>
        <v>CUST-0037</v>
      </c>
      <c r="D536" t="str">
        <f>Orders!D536</f>
        <v>PROD-042</v>
      </c>
      <c r="E536" t="str">
        <f>Orders!E536</f>
        <v>R022</v>
      </c>
      <c r="F536">
        <f>Orders!F536</f>
        <v>6</v>
      </c>
      <c r="G536" s="35">
        <f>Orders!G536</f>
        <v>2290</v>
      </c>
      <c r="H536" s="37">
        <f>Orders!H536</f>
        <v>8.9</v>
      </c>
      <c r="I536" s="39">
        <f>Orders!I536</f>
        <v>12517.14</v>
      </c>
      <c r="J536" t="str">
        <f>Orders!J536</f>
        <v>Completed</v>
      </c>
      <c r="K536" t="str">
        <f>Orders!K536</f>
        <v>Bengaluru</v>
      </c>
      <c r="L536" t="str">
        <f>IFERROR(VLOOKUP(D536,Products!$A$2:$F$61,3,FALSE),"")</f>
        <v>Beauty</v>
      </c>
      <c r="M536">
        <f>IFERROR(VLOOKUP(D536,Products!$A$2:$F$61,4,FALSE),"")</f>
        <v>1219</v>
      </c>
      <c r="N536" t="str">
        <f>IFERROR(VLOOKUP(E536,Sales_Reps!$A$2:$E$31,3,FALSE),"")</f>
        <v>East</v>
      </c>
      <c r="O536" t="str">
        <f>IFERROR(VLOOKUP(C536,Customers!$A$2:$F$301,5,FALSE),"")</f>
        <v>Retail</v>
      </c>
      <c r="P536">
        <f>IFERROR(VLOOKUP(C536,Customers!$A$2:$F$301,3,FALSE),"")</f>
        <v>52</v>
      </c>
      <c r="Q536" s="41">
        <f t="shared" si="17"/>
        <v>0.46768558951965067</v>
      </c>
      <c r="R536" t="str">
        <f>IFERROR(VLOOKUP(C536,Customers!$A$2:$F$301,1,FALSE),"")</f>
        <v>CUST-0037</v>
      </c>
      <c r="S536" s="27" t="b">
        <f>IFERROR(VLOOKUP(D536,Products!$A$2:$F$61,6,FALSE),"")</f>
        <v>1</v>
      </c>
      <c r="BL536">
        <v>0</v>
      </c>
      <c r="BO536">
        <v>0</v>
      </c>
      <c r="BP536">
        <v>0</v>
      </c>
    </row>
    <row r="537" spans="1:68" x14ac:dyDescent="0.35">
      <c r="A537" s="26" t="str">
        <f>Orders!A537</f>
        <v>ORD-00536</v>
      </c>
      <c r="B537" s="33">
        <f>Orders!B537</f>
        <v>45468</v>
      </c>
      <c r="C537" t="str">
        <f>Orders!C537</f>
        <v>CUST-0228</v>
      </c>
      <c r="D537" t="str">
        <f>Orders!D537</f>
        <v>PROD-023</v>
      </c>
      <c r="E537" t="str">
        <f>Orders!E537</f>
        <v>R010</v>
      </c>
      <c r="F537">
        <f>Orders!F537</f>
        <v>3</v>
      </c>
      <c r="G537" s="35">
        <f>Orders!G537</f>
        <v>2380</v>
      </c>
      <c r="H537" s="37">
        <f>Orders!H537</f>
        <v>2.7</v>
      </c>
      <c r="I537" s="39">
        <f>Orders!I537</f>
        <v>6947.22</v>
      </c>
      <c r="J537" t="str">
        <f>Orders!J537</f>
        <v>Pending</v>
      </c>
      <c r="K537" t="str">
        <f>Orders!K537</f>
        <v>Pune</v>
      </c>
      <c r="L537" t="str">
        <f>IFERROR(VLOOKUP(D537,Products!$A$2:$F$61,3,FALSE),"")</f>
        <v>Grocery</v>
      </c>
      <c r="M537">
        <f>IFERROR(VLOOKUP(D537,Products!$A$2:$F$61,4,FALSE),"")</f>
        <v>1182</v>
      </c>
      <c r="N537" t="str">
        <f>IFERROR(VLOOKUP(E537,Sales_Reps!$A$2:$E$31,3,FALSE),"")</f>
        <v>South</v>
      </c>
      <c r="O537" t="str">
        <f>IFERROR(VLOOKUP(C537,Customers!$A$2:$F$301,5,FALSE),"")</f>
        <v>Corporate</v>
      </c>
      <c r="P537">
        <f>IFERROR(VLOOKUP(C537,Customers!$A$2:$F$301,3,FALSE),"")</f>
        <v>37</v>
      </c>
      <c r="Q537" s="41">
        <f t="shared" si="17"/>
        <v>0.50336134453781511</v>
      </c>
      <c r="R537" t="str">
        <f>IFERROR(VLOOKUP(C537,Customers!$A$2:$F$301,1,FALSE),"")</f>
        <v>CUST-0228</v>
      </c>
      <c r="S537" s="27" t="b">
        <f>IFERROR(VLOOKUP(D537,Products!$A$2:$F$61,6,FALSE),"")</f>
        <v>1</v>
      </c>
      <c r="BL537">
        <v>0</v>
      </c>
      <c r="BO537">
        <v>0</v>
      </c>
      <c r="BP537">
        <v>0</v>
      </c>
    </row>
    <row r="538" spans="1:68" x14ac:dyDescent="0.35">
      <c r="A538" s="26" t="str">
        <f>Orders!A538</f>
        <v>ORD-00537</v>
      </c>
      <c r="B538" s="33">
        <f>Orders!B538</f>
        <v>45485</v>
      </c>
      <c r="C538" t="str">
        <f>Orders!C538</f>
        <v>CUST-0279</v>
      </c>
      <c r="D538" t="str">
        <f>Orders!D538</f>
        <v>PROD-023</v>
      </c>
      <c r="E538" t="str">
        <f>Orders!E538</f>
        <v>R008</v>
      </c>
      <c r="F538">
        <f>Orders!F538</f>
        <v>9</v>
      </c>
      <c r="G538" s="35">
        <f>Orders!G538</f>
        <v>2380</v>
      </c>
      <c r="H538" s="37">
        <f>Orders!H538</f>
        <v>20.100000000000001</v>
      </c>
      <c r="I538" s="39">
        <f>Orders!I538</f>
        <v>17114.580000000002</v>
      </c>
      <c r="J538" t="str">
        <f>Orders!J538</f>
        <v>Completed</v>
      </c>
      <c r="K538" t="str">
        <f>Orders!K538</f>
        <v>Mumbai</v>
      </c>
      <c r="L538" t="str">
        <f>IFERROR(VLOOKUP(D538,Products!$A$2:$F$61,3,FALSE),"")</f>
        <v>Grocery</v>
      </c>
      <c r="M538">
        <f>IFERROR(VLOOKUP(D538,Products!$A$2:$F$61,4,FALSE),"")</f>
        <v>1182</v>
      </c>
      <c r="N538" t="str">
        <f>IFERROR(VLOOKUP(E538,Sales_Reps!$A$2:$E$31,3,FALSE),"")</f>
        <v>North</v>
      </c>
      <c r="O538" t="str">
        <f>IFERROR(VLOOKUP(C538,Customers!$A$2:$F$301,5,FALSE),"")</f>
        <v>Retail</v>
      </c>
      <c r="P538">
        <f>IFERROR(VLOOKUP(C538,Customers!$A$2:$F$301,3,FALSE),"")</f>
        <v>56</v>
      </c>
      <c r="Q538" s="41">
        <f t="shared" si="17"/>
        <v>0.50336134453781511</v>
      </c>
      <c r="R538" t="str">
        <f>IFERROR(VLOOKUP(C538,Customers!$A$2:$F$301,1,FALSE),"")</f>
        <v>CUST-0279</v>
      </c>
      <c r="S538" s="27" t="b">
        <f>IFERROR(VLOOKUP(D538,Products!$A$2:$F$61,6,FALSE),"")</f>
        <v>1</v>
      </c>
      <c r="BL538">
        <v>0</v>
      </c>
      <c r="BO538">
        <v>0</v>
      </c>
      <c r="BP538">
        <v>0</v>
      </c>
    </row>
    <row r="539" spans="1:68" x14ac:dyDescent="0.35">
      <c r="A539" s="26" t="str">
        <f>Orders!A539</f>
        <v>ORD-00538</v>
      </c>
      <c r="B539" s="33">
        <f>Orders!B539</f>
        <v>45303</v>
      </c>
      <c r="C539" t="str">
        <f>Orders!C539</f>
        <v>CUST-0271</v>
      </c>
      <c r="D539" t="str">
        <f>Orders!D539</f>
        <v>PROD-052</v>
      </c>
      <c r="E539" t="str">
        <f>Orders!E539</f>
        <v>R014</v>
      </c>
      <c r="F539">
        <f>Orders!F539</f>
        <v>8</v>
      </c>
      <c r="G539" s="35">
        <f>Orders!G539</f>
        <v>5410</v>
      </c>
      <c r="H539" s="37">
        <f>Orders!H539</f>
        <v>11.2</v>
      </c>
      <c r="I539" s="39">
        <f>Orders!I539</f>
        <v>38432.639999999999</v>
      </c>
      <c r="J539" t="str">
        <f>Orders!J539</f>
        <v>Completed</v>
      </c>
      <c r="K539" t="str">
        <f>Orders!K539</f>
        <v>Bengaluru</v>
      </c>
      <c r="L539" t="str">
        <f>IFERROR(VLOOKUP(D539,Products!$A$2:$F$61,3,FALSE),"")</f>
        <v>Sports</v>
      </c>
      <c r="M539">
        <f>IFERROR(VLOOKUP(D539,Products!$A$2:$F$61,4,FALSE),"")</f>
        <v>2265</v>
      </c>
      <c r="N539" t="str">
        <f>IFERROR(VLOOKUP(E539,Sales_Reps!$A$2:$E$31,3,FALSE),"")</f>
        <v>South</v>
      </c>
      <c r="O539" t="str">
        <f>IFERROR(VLOOKUP(C539,Customers!$A$2:$F$301,5,FALSE),"")</f>
        <v>Corporate</v>
      </c>
      <c r="P539">
        <f>IFERROR(VLOOKUP(C539,Customers!$A$2:$F$301,3,FALSE),"")</f>
        <v>41</v>
      </c>
      <c r="Q539" s="41">
        <f t="shared" si="17"/>
        <v>0.58133086876155271</v>
      </c>
      <c r="R539" t="str">
        <f>IFERROR(VLOOKUP(C539,Customers!$A$2:$F$301,1,FALSE),"")</f>
        <v>CUST-0271</v>
      </c>
      <c r="S539" s="27" t="b">
        <f>IFERROR(VLOOKUP(D539,Products!$A$2:$F$61,6,FALSE),"")</f>
        <v>1</v>
      </c>
      <c r="BL539">
        <v>0</v>
      </c>
      <c r="BO539">
        <v>0</v>
      </c>
      <c r="BP539">
        <v>0</v>
      </c>
    </row>
    <row r="540" spans="1:68" x14ac:dyDescent="0.35">
      <c r="A540" s="26" t="str">
        <f>Orders!A540</f>
        <v>ORD-00539</v>
      </c>
      <c r="B540" s="33">
        <f>Orders!B540</f>
        <v>45605</v>
      </c>
      <c r="C540" t="str">
        <f>Orders!C540</f>
        <v>CUST-0127</v>
      </c>
      <c r="D540" t="str">
        <f>Orders!D540</f>
        <v>PROD-007</v>
      </c>
      <c r="E540" t="str">
        <f>Orders!E540</f>
        <v>R008</v>
      </c>
      <c r="F540">
        <f>Orders!F540</f>
        <v>1</v>
      </c>
      <c r="G540" s="35">
        <f>Orders!G540</f>
        <v>1430</v>
      </c>
      <c r="H540" s="37">
        <f>Orders!H540</f>
        <v>19.600000000000001</v>
      </c>
      <c r="I540" s="39">
        <f>Orders!I540</f>
        <v>1149.72</v>
      </c>
      <c r="J540" t="str">
        <f>Orders!J540</f>
        <v>Completed</v>
      </c>
      <c r="K540" t="str">
        <f>Orders!K540</f>
        <v>Bengaluru</v>
      </c>
      <c r="L540" t="str">
        <f>IFERROR(VLOOKUP(D540,Products!$A$2:$F$61,3,FALSE),"")</f>
        <v>Electronics</v>
      </c>
      <c r="M540">
        <f>IFERROR(VLOOKUP(D540,Products!$A$2:$F$61,4,FALSE),"")</f>
        <v>861</v>
      </c>
      <c r="N540" t="str">
        <f>IFERROR(VLOOKUP(E540,Sales_Reps!$A$2:$E$31,3,FALSE),"")</f>
        <v>North</v>
      </c>
      <c r="O540" t="str">
        <f>IFERROR(VLOOKUP(C540,Customers!$A$2:$F$301,5,FALSE),"")</f>
        <v>SMB</v>
      </c>
      <c r="P540">
        <f>IFERROR(VLOOKUP(C540,Customers!$A$2:$F$301,3,FALSE),"")</f>
        <v>36</v>
      </c>
      <c r="Q540" s="41">
        <f t="shared" si="17"/>
        <v>0.39790209790209791</v>
      </c>
      <c r="R540" t="str">
        <f>IFERROR(VLOOKUP(C540,Customers!$A$2:$F$301,1,FALSE),"")</f>
        <v>CUST-0127</v>
      </c>
      <c r="S540" s="27" t="b">
        <f>IFERROR(VLOOKUP(D540,Products!$A$2:$F$61,6,FALSE),"")</f>
        <v>1</v>
      </c>
      <c r="BL540">
        <v>0</v>
      </c>
      <c r="BO540">
        <v>0</v>
      </c>
      <c r="BP540">
        <v>0</v>
      </c>
    </row>
    <row r="541" spans="1:68" x14ac:dyDescent="0.35">
      <c r="A541" s="26" t="str">
        <f>Orders!A541</f>
        <v>ORD-00540</v>
      </c>
      <c r="B541" s="33">
        <f>Orders!B541</f>
        <v>45421</v>
      </c>
      <c r="C541" t="str">
        <f>Orders!C541</f>
        <v>CUST-0007</v>
      </c>
      <c r="D541" t="str">
        <f>Orders!D541</f>
        <v>PROD-058</v>
      </c>
      <c r="E541" t="str">
        <f>Orders!E541</f>
        <v>R027</v>
      </c>
      <c r="F541">
        <f>Orders!F541</f>
        <v>9</v>
      </c>
      <c r="G541" s="35">
        <f>Orders!G541</f>
        <v>2400</v>
      </c>
      <c r="H541" s="37">
        <f>Orders!H541</f>
        <v>5</v>
      </c>
      <c r="I541" s="39">
        <f>Orders!I541</f>
        <v>20520</v>
      </c>
      <c r="J541" t="str">
        <f>Orders!J541</f>
        <v>Completed</v>
      </c>
      <c r="K541" t="str">
        <f>Orders!K541</f>
        <v>Bengaluru</v>
      </c>
      <c r="L541" t="str">
        <f>IFERROR(VLOOKUP(D541,Products!$A$2:$F$61,3,FALSE),"")</f>
        <v>Sports</v>
      </c>
      <c r="M541">
        <f>IFERROR(VLOOKUP(D541,Products!$A$2:$F$61,4,FALSE),"")</f>
        <v>974</v>
      </c>
      <c r="N541" t="str">
        <f>IFERROR(VLOOKUP(E541,Sales_Reps!$A$2:$E$31,3,FALSE),"")</f>
        <v>West</v>
      </c>
      <c r="O541" t="str">
        <f>IFERROR(VLOOKUP(C541,Customers!$A$2:$F$301,5,FALSE),"")</f>
        <v>Retail</v>
      </c>
      <c r="P541">
        <f>IFERROR(VLOOKUP(C541,Customers!$A$2:$F$301,3,FALSE),"")</f>
        <v>47</v>
      </c>
      <c r="Q541" s="41">
        <f t="shared" si="17"/>
        <v>0.59416666666666662</v>
      </c>
      <c r="R541" t="str">
        <f>IFERROR(VLOOKUP(C541,Customers!$A$2:$F$301,1,FALSE),"")</f>
        <v>CUST-0007</v>
      </c>
      <c r="S541" s="27" t="b">
        <f>IFERROR(VLOOKUP(D541,Products!$A$2:$F$61,6,FALSE),"")</f>
        <v>1</v>
      </c>
      <c r="BL541">
        <v>0</v>
      </c>
      <c r="BO541">
        <v>0</v>
      </c>
      <c r="BP541">
        <v>0</v>
      </c>
    </row>
    <row r="542" spans="1:68" x14ac:dyDescent="0.35">
      <c r="A542" s="26" t="str">
        <f>Orders!A542</f>
        <v>ORD-00541</v>
      </c>
      <c r="B542" s="33">
        <f>Orders!B542</f>
        <v>45493</v>
      </c>
      <c r="C542" t="str">
        <f>Orders!C542</f>
        <v>CUST-0005</v>
      </c>
      <c r="D542" t="str">
        <f>Orders!D542</f>
        <v>PROD-027</v>
      </c>
      <c r="E542" t="str">
        <f>Orders!E542</f>
        <v>R001</v>
      </c>
      <c r="F542">
        <f>Orders!F542</f>
        <v>1</v>
      </c>
      <c r="G542" s="35">
        <f>Orders!G542</f>
        <v>3780</v>
      </c>
      <c r="H542" s="37">
        <f>Orders!H542</f>
        <v>4.7</v>
      </c>
      <c r="I542" s="39">
        <f>Orders!I542</f>
        <v>3602.34</v>
      </c>
      <c r="J542" t="str">
        <f>Orders!J542</f>
        <v>Completed</v>
      </c>
      <c r="K542" t="str">
        <f>Orders!K542</f>
        <v>Chennai</v>
      </c>
      <c r="L542" t="str">
        <f>IFERROR(VLOOKUP(D542,Products!$A$2:$F$61,3,FALSE),"")</f>
        <v>Grocery</v>
      </c>
      <c r="M542">
        <f>IFERROR(VLOOKUP(D542,Products!$A$2:$F$61,4,FALSE),"")</f>
        <v>2436</v>
      </c>
      <c r="N542" t="str">
        <f>IFERROR(VLOOKUP(E542,Sales_Reps!$A$2:$E$31,3,FALSE),"")</f>
        <v>North</v>
      </c>
      <c r="O542" t="str">
        <f>IFERROR(VLOOKUP(C542,Customers!$A$2:$F$301,5,FALSE),"")</f>
        <v>Corporate</v>
      </c>
      <c r="P542">
        <f>IFERROR(VLOOKUP(C542,Customers!$A$2:$F$301,3,FALSE),"")</f>
        <v>52</v>
      </c>
      <c r="Q542" s="41">
        <f t="shared" si="17"/>
        <v>0.35555555555555557</v>
      </c>
      <c r="R542" t="str">
        <f>IFERROR(VLOOKUP(C542,Customers!$A$2:$F$301,1,FALSE),"")</f>
        <v>CUST-0005</v>
      </c>
      <c r="S542" s="27" t="b">
        <f>IFERROR(VLOOKUP(D542,Products!$A$2:$F$61,6,FALSE),"")</f>
        <v>1</v>
      </c>
      <c r="BL542">
        <v>0</v>
      </c>
      <c r="BO542">
        <v>0</v>
      </c>
      <c r="BP542">
        <v>0</v>
      </c>
    </row>
    <row r="543" spans="1:68" x14ac:dyDescent="0.35">
      <c r="A543" s="26" t="str">
        <f>Orders!A543</f>
        <v>ORD-00542</v>
      </c>
      <c r="B543" s="33">
        <f>Orders!B543</f>
        <v>45592</v>
      </c>
      <c r="C543" t="str">
        <f>Orders!C543</f>
        <v>CUST-0072</v>
      </c>
      <c r="D543" t="str">
        <f>Orders!D543</f>
        <v>PROD-016</v>
      </c>
      <c r="E543" t="str">
        <f>Orders!E543</f>
        <v>R019</v>
      </c>
      <c r="F543">
        <f>Orders!F543</f>
        <v>2</v>
      </c>
      <c r="G543" s="35">
        <f>Orders!G543</f>
        <v>620</v>
      </c>
      <c r="H543" s="37">
        <f>Orders!H543</f>
        <v>8</v>
      </c>
      <c r="I543" s="39">
        <f>Orders!I543</f>
        <v>1140.8</v>
      </c>
      <c r="J543" t="str">
        <f>Orders!J543</f>
        <v>Completed</v>
      </c>
      <c r="K543" t="str">
        <f>Orders!K543</f>
        <v>Mumbai</v>
      </c>
      <c r="L543" t="str">
        <f>IFERROR(VLOOKUP(D543,Products!$A$2:$F$61,3,FALSE),"")</f>
        <v>Apparel</v>
      </c>
      <c r="M543">
        <f>IFERROR(VLOOKUP(D543,Products!$A$2:$F$61,4,FALSE),"")</f>
        <v>396</v>
      </c>
      <c r="N543" t="str">
        <f>IFERROR(VLOOKUP(E543,Sales_Reps!$A$2:$E$31,3,FALSE),"")</f>
        <v>East</v>
      </c>
      <c r="O543" t="str">
        <f>IFERROR(VLOOKUP(C543,Customers!$A$2:$F$301,5,FALSE),"")</f>
        <v>Corporate</v>
      </c>
      <c r="P543">
        <f>IFERROR(VLOOKUP(C543,Customers!$A$2:$F$301,3,FALSE),"")</f>
        <v>62</v>
      </c>
      <c r="Q543" s="41">
        <f t="shared" si="17"/>
        <v>0.36129032258064514</v>
      </c>
      <c r="R543" t="str">
        <f>IFERROR(VLOOKUP(C543,Customers!$A$2:$F$301,1,FALSE),"")</f>
        <v>CUST-0072</v>
      </c>
      <c r="S543" s="27" t="b">
        <f>IFERROR(VLOOKUP(D543,Products!$A$2:$F$61,6,FALSE),"")</f>
        <v>1</v>
      </c>
      <c r="BL543">
        <v>0</v>
      </c>
      <c r="BO543">
        <v>0</v>
      </c>
      <c r="BP543">
        <v>0</v>
      </c>
    </row>
    <row r="544" spans="1:68" x14ac:dyDescent="0.35">
      <c r="A544" s="26" t="str">
        <f>Orders!A544</f>
        <v>ORD-00543</v>
      </c>
      <c r="B544" s="33">
        <f>Orders!B544</f>
        <v>45379</v>
      </c>
      <c r="C544" t="str">
        <f>Orders!C544</f>
        <v>CUST-0167</v>
      </c>
      <c r="D544" t="str">
        <f>Orders!D544</f>
        <v>PROD-060</v>
      </c>
      <c r="E544" t="str">
        <f>Orders!E544</f>
        <v>R007</v>
      </c>
      <c r="F544">
        <f>Orders!F544</f>
        <v>3</v>
      </c>
      <c r="G544" s="35">
        <f>Orders!G544</f>
        <v>190</v>
      </c>
      <c r="H544" s="37">
        <f>Orders!H544</f>
        <v>17.899999999999999</v>
      </c>
      <c r="I544" s="39">
        <f>Orders!I544</f>
        <v>467.97</v>
      </c>
      <c r="J544" t="str">
        <f>Orders!J544</f>
        <v>Pending</v>
      </c>
      <c r="K544" t="str">
        <f>Orders!K544</f>
        <v>Delhi</v>
      </c>
      <c r="L544" t="str">
        <f>IFERROR(VLOOKUP(D544,Products!$A$2:$F$61,3,FALSE),"")</f>
        <v>Sports</v>
      </c>
      <c r="M544">
        <f>IFERROR(VLOOKUP(D544,Products!$A$2:$F$61,4,FALSE),"")</f>
        <v>147</v>
      </c>
      <c r="N544" t="str">
        <f>IFERROR(VLOOKUP(E544,Sales_Reps!$A$2:$E$31,3,FALSE),"")</f>
        <v>North</v>
      </c>
      <c r="O544" t="str">
        <f>IFERROR(VLOOKUP(C544,Customers!$A$2:$F$301,5,FALSE),"")</f>
        <v>Retail</v>
      </c>
      <c r="P544">
        <f>IFERROR(VLOOKUP(C544,Customers!$A$2:$F$301,3,FALSE),"")</f>
        <v>43</v>
      </c>
      <c r="Q544" s="41">
        <f t="shared" si="17"/>
        <v>0.22631578947368422</v>
      </c>
      <c r="R544" t="str">
        <f>IFERROR(VLOOKUP(C544,Customers!$A$2:$F$301,1,FALSE),"")</f>
        <v>CUST-0167</v>
      </c>
      <c r="S544" s="27" t="b">
        <f>IFERROR(VLOOKUP(D544,Products!$A$2:$F$61,6,FALSE),"")</f>
        <v>1</v>
      </c>
      <c r="BL544">
        <v>0</v>
      </c>
      <c r="BO544">
        <v>0</v>
      </c>
      <c r="BP544">
        <v>0</v>
      </c>
    </row>
    <row r="545" spans="1:68" x14ac:dyDescent="0.35">
      <c r="A545" s="26" t="str">
        <f>Orders!A545</f>
        <v>ORD-00544</v>
      </c>
      <c r="B545" s="33">
        <f>Orders!B545</f>
        <v>45332</v>
      </c>
      <c r="C545" t="str">
        <f>Orders!C545</f>
        <v>CUST-0244</v>
      </c>
      <c r="D545" t="str">
        <f>Orders!D545</f>
        <v>PROD-014</v>
      </c>
      <c r="E545" t="str">
        <f>Orders!E545</f>
        <v>R019</v>
      </c>
      <c r="F545">
        <f>Orders!F545</f>
        <v>2</v>
      </c>
      <c r="G545" s="35">
        <f>Orders!G545</f>
        <v>3620</v>
      </c>
      <c r="H545" s="37">
        <f>Orders!H545</f>
        <v>15.5</v>
      </c>
      <c r="I545" s="39">
        <f>Orders!I545</f>
        <v>6117.8</v>
      </c>
      <c r="J545" t="str">
        <f>Orders!J545</f>
        <v>Completed</v>
      </c>
      <c r="K545" t="str">
        <f>Orders!K545</f>
        <v>Bengaluru</v>
      </c>
      <c r="L545" t="str">
        <f>IFERROR(VLOOKUP(D545,Products!$A$2:$F$61,3,FALSE),"")</f>
        <v>Apparel</v>
      </c>
      <c r="M545">
        <f>IFERROR(VLOOKUP(D545,Products!$A$2:$F$61,4,FALSE),"")</f>
        <v>2509</v>
      </c>
      <c r="N545" t="str">
        <f>IFERROR(VLOOKUP(E545,Sales_Reps!$A$2:$E$31,3,FALSE),"")</f>
        <v>East</v>
      </c>
      <c r="O545" t="str">
        <f>IFERROR(VLOOKUP(C545,Customers!$A$2:$F$301,5,FALSE),"")</f>
        <v>Retail</v>
      </c>
      <c r="P545">
        <f>IFERROR(VLOOKUP(C545,Customers!$A$2:$F$301,3,FALSE),"")</f>
        <v>61</v>
      </c>
      <c r="Q545" s="41">
        <f t="shared" si="17"/>
        <v>0.3069060773480663</v>
      </c>
      <c r="R545" t="str">
        <f>IFERROR(VLOOKUP(C545,Customers!$A$2:$F$301,1,FALSE),"")</f>
        <v>CUST-0244</v>
      </c>
      <c r="S545" s="27" t="b">
        <f>IFERROR(VLOOKUP(D545,Products!$A$2:$F$61,6,FALSE),"")</f>
        <v>1</v>
      </c>
      <c r="BL545">
        <v>0</v>
      </c>
      <c r="BO545">
        <v>0</v>
      </c>
      <c r="BP545">
        <v>0</v>
      </c>
    </row>
    <row r="546" spans="1:68" x14ac:dyDescent="0.35">
      <c r="A546" s="26" t="str">
        <f>Orders!A546</f>
        <v>ORD-00545</v>
      </c>
      <c r="B546" s="33">
        <f>Orders!B546</f>
        <v>45610</v>
      </c>
      <c r="C546" t="str">
        <f>Orders!C546</f>
        <v>CUST-0086</v>
      </c>
      <c r="D546" t="str">
        <f>Orders!D546</f>
        <v>PROD-055</v>
      </c>
      <c r="E546" t="str">
        <f>Orders!E546</f>
        <v>R018</v>
      </c>
      <c r="F546">
        <f>Orders!F546</f>
        <v>5</v>
      </c>
      <c r="G546" s="35">
        <f>Orders!G546</f>
        <v>2860</v>
      </c>
      <c r="H546" s="37">
        <f>Orders!H546</f>
        <v>26.8</v>
      </c>
      <c r="I546" s="39">
        <f>Orders!I546</f>
        <v>10467.6</v>
      </c>
      <c r="J546" t="str">
        <f>Orders!J546</f>
        <v>Completed</v>
      </c>
      <c r="K546" t="str">
        <f>Orders!K546</f>
        <v>Hyderabad</v>
      </c>
      <c r="L546" t="str">
        <f>IFERROR(VLOOKUP(D546,Products!$A$2:$F$61,3,FALSE),"")</f>
        <v>Sports</v>
      </c>
      <c r="M546">
        <f>IFERROR(VLOOKUP(D546,Products!$A$2:$F$61,4,FALSE),"")</f>
        <v>2028</v>
      </c>
      <c r="N546" t="str">
        <f>IFERROR(VLOOKUP(E546,Sales_Reps!$A$2:$E$31,3,FALSE),"")</f>
        <v>East</v>
      </c>
      <c r="O546" t="str">
        <f>IFERROR(VLOOKUP(C546,Customers!$A$2:$F$301,5,FALSE),"")</f>
        <v>Corporate</v>
      </c>
      <c r="P546">
        <f>IFERROR(VLOOKUP(C546,Customers!$A$2:$F$301,3,FALSE),"")</f>
        <v>56</v>
      </c>
      <c r="Q546" s="41">
        <f t="shared" si="17"/>
        <v>0.29090909090909089</v>
      </c>
      <c r="R546" t="str">
        <f>IFERROR(VLOOKUP(C546,Customers!$A$2:$F$301,1,FALSE),"")</f>
        <v>CUST-0086</v>
      </c>
      <c r="S546" s="27" t="b">
        <f>IFERROR(VLOOKUP(D546,Products!$A$2:$F$61,6,FALSE),"")</f>
        <v>1</v>
      </c>
      <c r="BL546">
        <v>0</v>
      </c>
      <c r="BO546">
        <v>0</v>
      </c>
      <c r="BP546">
        <v>0</v>
      </c>
    </row>
    <row r="547" spans="1:68" x14ac:dyDescent="0.35">
      <c r="A547" s="26" t="str">
        <f>Orders!A547</f>
        <v>ORD-00546</v>
      </c>
      <c r="B547" s="33">
        <f>Orders!B547</f>
        <v>45638</v>
      </c>
      <c r="C547" t="str">
        <f>Orders!C547</f>
        <v>CUST-0091</v>
      </c>
      <c r="D547" t="str">
        <f>Orders!D547</f>
        <v>PROD-058</v>
      </c>
      <c r="E547" t="str">
        <f>Orders!E547</f>
        <v>R023</v>
      </c>
      <c r="F547">
        <f>Orders!F547</f>
        <v>6</v>
      </c>
      <c r="G547" s="35">
        <f>Orders!G547</f>
        <v>2400</v>
      </c>
      <c r="H547" s="37">
        <f>Orders!H547</f>
        <v>19.2</v>
      </c>
      <c r="I547" s="39">
        <f>Orders!I547</f>
        <v>11635.2</v>
      </c>
      <c r="J547" t="str">
        <f>Orders!J547</f>
        <v>Cancelled</v>
      </c>
      <c r="K547" t="str">
        <f>Orders!K547</f>
        <v>Delhi</v>
      </c>
      <c r="L547" t="str">
        <f>IFERROR(VLOOKUP(D547,Products!$A$2:$F$61,3,FALSE),"")</f>
        <v>Sports</v>
      </c>
      <c r="M547">
        <f>IFERROR(VLOOKUP(D547,Products!$A$2:$F$61,4,FALSE),"")</f>
        <v>974</v>
      </c>
      <c r="N547" t="str">
        <f>IFERROR(VLOOKUP(E547,Sales_Reps!$A$2:$E$31,3,FALSE),"")</f>
        <v>East</v>
      </c>
      <c r="O547" t="str">
        <f>IFERROR(VLOOKUP(C547,Customers!$A$2:$F$301,5,FALSE),"")</f>
        <v>Retail</v>
      </c>
      <c r="P547">
        <f>IFERROR(VLOOKUP(C547,Customers!$A$2:$F$301,3,FALSE),"")</f>
        <v>55</v>
      </c>
      <c r="Q547" s="41">
        <f t="shared" si="17"/>
        <v>0.59416666666666662</v>
      </c>
      <c r="R547" t="str">
        <f>IFERROR(VLOOKUP(C547,Customers!$A$2:$F$301,1,FALSE),"")</f>
        <v>CUST-0091</v>
      </c>
      <c r="S547" s="27" t="b">
        <f>IFERROR(VLOOKUP(D547,Products!$A$2:$F$61,6,FALSE),"")</f>
        <v>1</v>
      </c>
      <c r="BL547">
        <v>0</v>
      </c>
      <c r="BO547">
        <v>0</v>
      </c>
      <c r="BP547">
        <v>0</v>
      </c>
    </row>
    <row r="548" spans="1:68" x14ac:dyDescent="0.35">
      <c r="A548" s="26" t="str">
        <f>Orders!A548</f>
        <v>ORD-00547</v>
      </c>
      <c r="B548" s="33">
        <f>Orders!B548</f>
        <v>45546</v>
      </c>
      <c r="C548" t="str">
        <f>Orders!C548</f>
        <v>CUST-0169</v>
      </c>
      <c r="D548" t="str">
        <f>Orders!D548</f>
        <v>PROD-034</v>
      </c>
      <c r="E548" t="str">
        <f>Orders!E548</f>
        <v>R009</v>
      </c>
      <c r="F548">
        <f>Orders!F548</f>
        <v>7</v>
      </c>
      <c r="G548" s="35">
        <f>Orders!G548</f>
        <v>5080</v>
      </c>
      <c r="H548" s="37">
        <f>Orders!H548</f>
        <v>16.600000000000001</v>
      </c>
      <c r="I548" s="39">
        <f>Orders!I548</f>
        <v>29657.040000000001</v>
      </c>
      <c r="J548" t="str">
        <f>Orders!J548</f>
        <v>Pending</v>
      </c>
      <c r="K548" t="str">
        <f>Orders!K548</f>
        <v>Bengaluru</v>
      </c>
      <c r="L548" t="str">
        <f>IFERROR(VLOOKUP(D548,Products!$A$2:$F$61,3,FALSE),"")</f>
        <v>Home</v>
      </c>
      <c r="M548">
        <f>IFERROR(VLOOKUP(D548,Products!$A$2:$F$61,4,FALSE),"")</f>
        <v>2459</v>
      </c>
      <c r="N548" t="str">
        <f>IFERROR(VLOOKUP(E548,Sales_Reps!$A$2:$E$31,3,FALSE),"")</f>
        <v>South</v>
      </c>
      <c r="O548" t="str">
        <f>IFERROR(VLOOKUP(C548,Customers!$A$2:$F$301,5,FALSE),"")</f>
        <v>SMB</v>
      </c>
      <c r="P548">
        <f>IFERROR(VLOOKUP(C548,Customers!$A$2:$F$301,3,FALSE),"")</f>
        <v>42</v>
      </c>
      <c r="Q548" s="41">
        <f t="shared" si="17"/>
        <v>0.51594488188976373</v>
      </c>
      <c r="R548" t="str">
        <f>IFERROR(VLOOKUP(C548,Customers!$A$2:$F$301,1,FALSE),"")</f>
        <v>CUST-0169</v>
      </c>
      <c r="S548" s="27" t="b">
        <f>IFERROR(VLOOKUP(D548,Products!$A$2:$F$61,6,FALSE),"")</f>
        <v>1</v>
      </c>
      <c r="BL548">
        <v>0</v>
      </c>
      <c r="BO548">
        <v>0</v>
      </c>
      <c r="BP548">
        <v>0</v>
      </c>
    </row>
    <row r="549" spans="1:68" x14ac:dyDescent="0.35">
      <c r="A549" s="26" t="str">
        <f>Orders!A549</f>
        <v>ORD-00548</v>
      </c>
      <c r="B549" s="33">
        <f>Orders!B549</f>
        <v>45436</v>
      </c>
      <c r="C549" t="str">
        <f>Orders!C549</f>
        <v>CUST-0273</v>
      </c>
      <c r="D549" t="str">
        <f>Orders!D549</f>
        <v>PROD-034</v>
      </c>
      <c r="E549" t="str">
        <f>Orders!E549</f>
        <v>R015</v>
      </c>
      <c r="F549">
        <f>Orders!F549</f>
        <v>10</v>
      </c>
      <c r="G549" s="35">
        <f>Orders!G549</f>
        <v>5080</v>
      </c>
      <c r="H549" s="37">
        <f>Orders!H549</f>
        <v>24.6</v>
      </c>
      <c r="I549" s="39">
        <f>Orders!I549</f>
        <v>38303.199999999997</v>
      </c>
      <c r="J549" t="str">
        <f>Orders!J549</f>
        <v>Completed</v>
      </c>
      <c r="K549" t="str">
        <f>Orders!K549</f>
        <v>Hyderabad</v>
      </c>
      <c r="L549" t="str">
        <f>IFERROR(VLOOKUP(D549,Products!$A$2:$F$61,3,FALSE),"")</f>
        <v>Home</v>
      </c>
      <c r="M549">
        <f>IFERROR(VLOOKUP(D549,Products!$A$2:$F$61,4,FALSE),"")</f>
        <v>2459</v>
      </c>
      <c r="N549" t="str">
        <f>IFERROR(VLOOKUP(E549,Sales_Reps!$A$2:$E$31,3,FALSE),"")</f>
        <v>South</v>
      </c>
      <c r="O549" t="str">
        <f>IFERROR(VLOOKUP(C549,Customers!$A$2:$F$301,5,FALSE),"")</f>
        <v>Corporate</v>
      </c>
      <c r="P549">
        <f>IFERROR(VLOOKUP(C549,Customers!$A$2:$F$301,3,FALSE),"")</f>
        <v>32</v>
      </c>
      <c r="Q549" s="41">
        <f t="shared" si="17"/>
        <v>0.51594488188976373</v>
      </c>
      <c r="R549" t="str">
        <f>IFERROR(VLOOKUP(C549,Customers!$A$2:$F$301,1,FALSE),"")</f>
        <v>CUST-0273</v>
      </c>
      <c r="S549" s="27" t="b">
        <f>IFERROR(VLOOKUP(D549,Products!$A$2:$F$61,6,FALSE),"")</f>
        <v>1</v>
      </c>
      <c r="BL549">
        <v>0</v>
      </c>
      <c r="BO549">
        <v>0</v>
      </c>
      <c r="BP549">
        <v>0</v>
      </c>
    </row>
    <row r="550" spans="1:68" x14ac:dyDescent="0.35">
      <c r="A550" s="26" t="str">
        <f>Orders!A550</f>
        <v>ORD-00549</v>
      </c>
      <c r="B550" s="33">
        <f>Orders!B550</f>
        <v>45532</v>
      </c>
      <c r="C550" t="str">
        <f>Orders!C550</f>
        <v>CUST-0233</v>
      </c>
      <c r="D550" t="str">
        <f>Orders!D550</f>
        <v>PROD-057</v>
      </c>
      <c r="E550" t="str">
        <f>Orders!E550</f>
        <v>R008</v>
      </c>
      <c r="F550">
        <f>Orders!F550</f>
        <v>7</v>
      </c>
      <c r="G550" s="35">
        <f>Orders!G550</f>
        <v>960</v>
      </c>
      <c r="H550" s="37">
        <f>Orders!H550</f>
        <v>16.600000000000001</v>
      </c>
      <c r="I550" s="39">
        <f>Orders!I550</f>
        <v>5604.48</v>
      </c>
      <c r="J550" t="str">
        <f>Orders!J550</f>
        <v>Completed</v>
      </c>
      <c r="K550" t="str">
        <f>Orders!K550</f>
        <v>Mumbai</v>
      </c>
      <c r="L550" t="str">
        <f>IFERROR(VLOOKUP(D550,Products!$A$2:$F$61,3,FALSE),"")</f>
        <v>Sports</v>
      </c>
      <c r="M550">
        <f>IFERROR(VLOOKUP(D550,Products!$A$2:$F$61,4,FALSE),"")</f>
        <v>705</v>
      </c>
      <c r="N550" t="str">
        <f>IFERROR(VLOOKUP(E550,Sales_Reps!$A$2:$E$31,3,FALSE),"")</f>
        <v>North</v>
      </c>
      <c r="O550" t="str">
        <f>IFERROR(VLOOKUP(C550,Customers!$A$2:$F$301,5,FALSE),"")</f>
        <v>SMB</v>
      </c>
      <c r="P550">
        <f>IFERROR(VLOOKUP(C550,Customers!$A$2:$F$301,3,FALSE),"")</f>
        <v>65</v>
      </c>
      <c r="Q550" s="41">
        <f t="shared" si="17"/>
        <v>0.265625</v>
      </c>
      <c r="R550" t="str">
        <f>IFERROR(VLOOKUP(C550,Customers!$A$2:$F$301,1,FALSE),"")</f>
        <v>CUST-0233</v>
      </c>
      <c r="S550" s="27" t="b">
        <f>IFERROR(VLOOKUP(D550,Products!$A$2:$F$61,6,FALSE),"")</f>
        <v>1</v>
      </c>
      <c r="BL550">
        <v>0</v>
      </c>
      <c r="BO550">
        <v>0</v>
      </c>
      <c r="BP550">
        <v>0</v>
      </c>
    </row>
    <row r="551" spans="1:68" x14ac:dyDescent="0.35">
      <c r="A551" s="26" t="str">
        <f>Orders!A551</f>
        <v>ORD-00550</v>
      </c>
      <c r="B551" s="33">
        <f>Orders!B551</f>
        <v>45568</v>
      </c>
      <c r="C551" t="str">
        <f>Orders!C551</f>
        <v>CUST-0175</v>
      </c>
      <c r="D551" t="str">
        <f>Orders!D551</f>
        <v>PROD-028</v>
      </c>
      <c r="E551" t="str">
        <f>Orders!E551</f>
        <v>R028</v>
      </c>
      <c r="F551">
        <f>Orders!F551</f>
        <v>3</v>
      </c>
      <c r="G551" s="35">
        <f>Orders!G551</f>
        <v>3660</v>
      </c>
      <c r="H551" s="37">
        <f>Orders!H551</f>
        <v>3.2</v>
      </c>
      <c r="I551" s="39">
        <f>Orders!I551</f>
        <v>10628.64</v>
      </c>
      <c r="J551" t="str">
        <f>Orders!J551</f>
        <v>Pending</v>
      </c>
      <c r="K551" t="str">
        <f>Orders!K551</f>
        <v>Delhi</v>
      </c>
      <c r="L551" t="str">
        <f>IFERROR(VLOOKUP(D551,Products!$A$2:$F$61,3,FALSE),"")</f>
        <v>Grocery</v>
      </c>
      <c r="M551">
        <f>IFERROR(VLOOKUP(D551,Products!$A$2:$F$61,4,FALSE),"")</f>
        <v>2214</v>
      </c>
      <c r="N551" t="str">
        <f>IFERROR(VLOOKUP(E551,Sales_Reps!$A$2:$E$31,3,FALSE),"")</f>
        <v>West</v>
      </c>
      <c r="O551" t="str">
        <f>IFERROR(VLOOKUP(C551,Customers!$A$2:$F$301,5,FALSE),"")</f>
        <v>Corporate</v>
      </c>
      <c r="P551">
        <f>IFERROR(VLOOKUP(C551,Customers!$A$2:$F$301,3,FALSE),"")</f>
        <v>55</v>
      </c>
      <c r="Q551" s="41">
        <f t="shared" si="17"/>
        <v>0.39508196721311473</v>
      </c>
      <c r="R551" t="str">
        <f>IFERROR(VLOOKUP(C551,Customers!$A$2:$F$301,1,FALSE),"")</f>
        <v>CUST-0175</v>
      </c>
      <c r="S551" s="27" t="b">
        <f>IFERROR(VLOOKUP(D551,Products!$A$2:$F$61,6,FALSE),"")</f>
        <v>0</v>
      </c>
      <c r="BL551">
        <v>0</v>
      </c>
      <c r="BO551">
        <v>0</v>
      </c>
      <c r="BP551">
        <v>1</v>
      </c>
    </row>
    <row r="552" spans="1:68" x14ac:dyDescent="0.35">
      <c r="A552" s="26" t="str">
        <f>Orders!A552</f>
        <v>ORD-00551</v>
      </c>
      <c r="B552" s="33">
        <f>Orders!B552</f>
        <v>45572</v>
      </c>
      <c r="C552" t="str">
        <f>Orders!C552</f>
        <v>CUST-0241</v>
      </c>
      <c r="D552" t="str">
        <f>Orders!D552</f>
        <v>PROD-010</v>
      </c>
      <c r="E552" t="str">
        <f>Orders!E552</f>
        <v>R009</v>
      </c>
      <c r="F552">
        <f>Orders!F552</f>
        <v>6</v>
      </c>
      <c r="G552" s="35">
        <f>Orders!G552</f>
        <v>2640</v>
      </c>
      <c r="H552" s="37">
        <f>Orders!H552</f>
        <v>26.3</v>
      </c>
      <c r="I552" s="39">
        <f>Orders!I552</f>
        <v>11674.08</v>
      </c>
      <c r="J552" t="str">
        <f>Orders!J552</f>
        <v>Completed</v>
      </c>
      <c r="K552" t="str">
        <f>Orders!K552</f>
        <v>Pune</v>
      </c>
      <c r="L552" t="str">
        <f>IFERROR(VLOOKUP(D552,Products!$A$2:$F$61,3,FALSE),"")</f>
        <v>Electronics</v>
      </c>
      <c r="M552">
        <f>IFERROR(VLOOKUP(D552,Products!$A$2:$F$61,4,FALSE),"")</f>
        <v>1149</v>
      </c>
      <c r="N552" t="str">
        <f>IFERROR(VLOOKUP(E552,Sales_Reps!$A$2:$E$31,3,FALSE),"")</f>
        <v>South</v>
      </c>
      <c r="O552" t="str">
        <f>IFERROR(VLOOKUP(C552,Customers!$A$2:$F$301,5,FALSE),"")</f>
        <v>Corporate</v>
      </c>
      <c r="P552">
        <f>IFERROR(VLOOKUP(C552,Customers!$A$2:$F$301,3,FALSE),"")</f>
        <v>47</v>
      </c>
      <c r="Q552" s="41">
        <f t="shared" si="17"/>
        <v>0.56477272727272732</v>
      </c>
      <c r="R552" t="str">
        <f>IFERROR(VLOOKUP(C552,Customers!$A$2:$F$301,1,FALSE),"")</f>
        <v>CUST-0241</v>
      </c>
      <c r="S552" s="27" t="b">
        <f>IFERROR(VLOOKUP(D552,Products!$A$2:$F$61,6,FALSE),"")</f>
        <v>1</v>
      </c>
      <c r="BL552">
        <v>0</v>
      </c>
      <c r="BO552">
        <v>0</v>
      </c>
      <c r="BP552">
        <v>0</v>
      </c>
    </row>
    <row r="553" spans="1:68" x14ac:dyDescent="0.35">
      <c r="A553" s="26" t="str">
        <f>Orders!A553</f>
        <v>ORD-00552</v>
      </c>
      <c r="B553" s="33">
        <f>Orders!B553</f>
        <v>45562</v>
      </c>
      <c r="C553" t="str">
        <f>Orders!C553</f>
        <v>CUST-0024</v>
      </c>
      <c r="D553" t="str">
        <f>Orders!D553</f>
        <v>PROD-009</v>
      </c>
      <c r="E553" t="str">
        <f>Orders!E553</f>
        <v>R009</v>
      </c>
      <c r="F553">
        <f>Orders!F553</f>
        <v>6</v>
      </c>
      <c r="G553" s="35">
        <f>Orders!G553</f>
        <v>1220</v>
      </c>
      <c r="H553" s="37">
        <f>Orders!H553</f>
        <v>22.3</v>
      </c>
      <c r="I553" s="39">
        <f>Orders!I553</f>
        <v>5687.64</v>
      </c>
      <c r="J553" t="str">
        <f>Orders!J553</f>
        <v>Cancelled</v>
      </c>
      <c r="K553" t="str">
        <f>Orders!K553</f>
        <v>Chennai</v>
      </c>
      <c r="L553" t="str">
        <f>IFERROR(VLOOKUP(D553,Products!$A$2:$F$61,3,FALSE),"")</f>
        <v>Electronics</v>
      </c>
      <c r="M553">
        <f>IFERROR(VLOOKUP(D553,Products!$A$2:$F$61,4,FALSE),"")</f>
        <v>517</v>
      </c>
      <c r="N553" t="str">
        <f>IFERROR(VLOOKUP(E553,Sales_Reps!$A$2:$E$31,3,FALSE),"")</f>
        <v>South</v>
      </c>
      <c r="O553" t="str">
        <f>IFERROR(VLOOKUP(C553,Customers!$A$2:$F$301,5,FALSE),"")</f>
        <v>SMB</v>
      </c>
      <c r="P553">
        <f>IFERROR(VLOOKUP(C553,Customers!$A$2:$F$301,3,FALSE),"")</f>
        <v>64</v>
      </c>
      <c r="Q553" s="41">
        <f t="shared" si="17"/>
        <v>0.57622950819672136</v>
      </c>
      <c r="R553" t="str">
        <f>IFERROR(VLOOKUP(C553,Customers!$A$2:$F$301,1,FALSE),"")</f>
        <v>CUST-0024</v>
      </c>
      <c r="S553" s="27" t="b">
        <f>IFERROR(VLOOKUP(D553,Products!$A$2:$F$61,6,FALSE),"")</f>
        <v>1</v>
      </c>
      <c r="BL553">
        <v>0</v>
      </c>
      <c r="BO553">
        <v>0</v>
      </c>
      <c r="BP553">
        <v>0</v>
      </c>
    </row>
    <row r="554" spans="1:68" x14ac:dyDescent="0.35">
      <c r="A554" s="26" t="str">
        <f>Orders!A554</f>
        <v>ORD-00553</v>
      </c>
      <c r="B554" s="33">
        <f>Orders!B554</f>
        <v>45345</v>
      </c>
      <c r="C554" t="str">
        <f>Orders!C554</f>
        <v>CUST-0252</v>
      </c>
      <c r="D554" t="str">
        <f>Orders!D554</f>
        <v>PROD-005</v>
      </c>
      <c r="E554" t="str">
        <f>Orders!E554</f>
        <v>R013</v>
      </c>
      <c r="F554">
        <f>Orders!F554</f>
        <v>1</v>
      </c>
      <c r="G554" s="35">
        <f>Orders!G554</f>
        <v>300</v>
      </c>
      <c r="H554" s="37">
        <f>Orders!H554</f>
        <v>0.7</v>
      </c>
      <c r="I554" s="39">
        <f>Orders!I554</f>
        <v>297.89999999999998</v>
      </c>
      <c r="J554" t="str">
        <f>Orders!J554</f>
        <v>Completed</v>
      </c>
      <c r="K554" t="str">
        <f>Orders!K554</f>
        <v>Bengaluru</v>
      </c>
      <c r="L554" t="str">
        <f>IFERROR(VLOOKUP(D554,Products!$A$2:$F$61,3,FALSE),"")</f>
        <v>Electronics</v>
      </c>
      <c r="M554">
        <f>IFERROR(VLOOKUP(D554,Products!$A$2:$F$61,4,FALSE),"")</f>
        <v>128</v>
      </c>
      <c r="N554" t="str">
        <f>IFERROR(VLOOKUP(E554,Sales_Reps!$A$2:$E$31,3,FALSE),"")</f>
        <v>South</v>
      </c>
      <c r="O554" t="str">
        <f>IFERROR(VLOOKUP(C554,Customers!$A$2:$F$301,5,FALSE),"")</f>
        <v>Retail</v>
      </c>
      <c r="P554">
        <f>IFERROR(VLOOKUP(C554,Customers!$A$2:$F$301,3,FALSE),"")</f>
        <v>27</v>
      </c>
      <c r="Q554" s="41">
        <f t="shared" si="17"/>
        <v>0.57333333333333336</v>
      </c>
      <c r="R554" t="str">
        <f>IFERROR(VLOOKUP(C554,Customers!$A$2:$F$301,1,FALSE),"")</f>
        <v>CUST-0252</v>
      </c>
      <c r="S554" s="27" t="b">
        <f>IFERROR(VLOOKUP(D554,Products!$A$2:$F$61,6,FALSE),"")</f>
        <v>1</v>
      </c>
      <c r="BL554">
        <v>0</v>
      </c>
      <c r="BO554">
        <v>0</v>
      </c>
      <c r="BP554">
        <v>0</v>
      </c>
    </row>
    <row r="555" spans="1:68" x14ac:dyDescent="0.35">
      <c r="A555" s="26" t="str">
        <f>Orders!A555</f>
        <v>ORD-00554</v>
      </c>
      <c r="B555" s="33">
        <f>Orders!B555</f>
        <v>45370</v>
      </c>
      <c r="C555" t="str">
        <f>Orders!C555</f>
        <v>CUST-0245</v>
      </c>
      <c r="D555" t="str">
        <f>Orders!D555</f>
        <v>PROD-054</v>
      </c>
      <c r="E555" t="str">
        <f>Orders!E555</f>
        <v>R020</v>
      </c>
      <c r="F555">
        <f>Orders!F555</f>
        <v>2</v>
      </c>
      <c r="G555" s="35">
        <f>Orders!G555</f>
        <v>1010</v>
      </c>
      <c r="H555" s="37">
        <f>Orders!H555</f>
        <v>28</v>
      </c>
      <c r="I555" s="39">
        <f>Orders!I555</f>
        <v>1454.4</v>
      </c>
      <c r="J555" t="str">
        <f>Orders!J555</f>
        <v>Completed</v>
      </c>
      <c r="K555" t="str">
        <f>Orders!K555</f>
        <v>Hyderabad</v>
      </c>
      <c r="L555" t="str">
        <f>IFERROR(VLOOKUP(D555,Products!$A$2:$F$61,3,FALSE),"")</f>
        <v>Sports</v>
      </c>
      <c r="M555">
        <f>IFERROR(VLOOKUP(D555,Products!$A$2:$F$61,4,FALSE),"")</f>
        <v>516</v>
      </c>
      <c r="N555" t="str">
        <f>IFERROR(VLOOKUP(E555,Sales_Reps!$A$2:$E$31,3,FALSE),"")</f>
        <v>East</v>
      </c>
      <c r="O555" t="str">
        <f>IFERROR(VLOOKUP(C555,Customers!$A$2:$F$301,5,FALSE),"")</f>
        <v>Retail</v>
      </c>
      <c r="P555">
        <f>IFERROR(VLOOKUP(C555,Customers!$A$2:$F$301,3,FALSE),"")</f>
        <v>65</v>
      </c>
      <c r="Q555" s="41">
        <f t="shared" si="17"/>
        <v>0.4891089108910891</v>
      </c>
      <c r="R555" t="str">
        <f>IFERROR(VLOOKUP(C555,Customers!$A$2:$F$301,1,FALSE),"")</f>
        <v>CUST-0245</v>
      </c>
      <c r="S555" s="27" t="b">
        <f>IFERROR(VLOOKUP(D555,Products!$A$2:$F$61,6,FALSE),"")</f>
        <v>1</v>
      </c>
      <c r="BL555">
        <v>0</v>
      </c>
      <c r="BO555">
        <v>0</v>
      </c>
      <c r="BP555">
        <v>0</v>
      </c>
    </row>
    <row r="556" spans="1:68" x14ac:dyDescent="0.35">
      <c r="A556" s="26" t="str">
        <f>Orders!A556</f>
        <v>ORD-00555</v>
      </c>
      <c r="B556" s="33">
        <f>Orders!B556</f>
        <v>45407</v>
      </c>
      <c r="C556" t="str">
        <f>Orders!C556</f>
        <v>CUST-0046</v>
      </c>
      <c r="D556" t="str">
        <f>Orders!D556</f>
        <v>PROD-002</v>
      </c>
      <c r="E556" t="str">
        <f>Orders!E556</f>
        <v>R011</v>
      </c>
      <c r="F556">
        <f>Orders!F556</f>
        <v>5</v>
      </c>
      <c r="G556" s="35">
        <f>Orders!G556</f>
        <v>2600</v>
      </c>
      <c r="H556" s="37">
        <f>Orders!H556</f>
        <v>0.8</v>
      </c>
      <c r="I556" s="39">
        <f>Orders!I556</f>
        <v>12896</v>
      </c>
      <c r="J556" t="str">
        <f>Orders!J556</f>
        <v>Cancelled</v>
      </c>
      <c r="K556" t="str">
        <f>Orders!K556</f>
        <v>Delhi</v>
      </c>
      <c r="L556" t="str">
        <f>IFERROR(VLOOKUP(D556,Products!$A$2:$F$61,3,FALSE),"")</f>
        <v>Electronics</v>
      </c>
      <c r="M556">
        <f>IFERROR(VLOOKUP(D556,Products!$A$2:$F$61,4,FALSE),"")</f>
        <v>1052</v>
      </c>
      <c r="N556" t="str">
        <f>IFERROR(VLOOKUP(E556,Sales_Reps!$A$2:$E$31,3,FALSE),"")</f>
        <v>South</v>
      </c>
      <c r="O556" t="str">
        <f>IFERROR(VLOOKUP(C556,Customers!$A$2:$F$301,5,FALSE),"")</f>
        <v>SMB</v>
      </c>
      <c r="P556">
        <f>IFERROR(VLOOKUP(C556,Customers!$A$2:$F$301,3,FALSE),"")</f>
        <v>45</v>
      </c>
      <c r="Q556" s="41">
        <f t="shared" si="17"/>
        <v>0.5953846153846154</v>
      </c>
      <c r="R556" t="str">
        <f>IFERROR(VLOOKUP(C556,Customers!$A$2:$F$301,1,FALSE),"")</f>
        <v>CUST-0046</v>
      </c>
      <c r="S556" s="27" t="b">
        <f>IFERROR(VLOOKUP(D556,Products!$A$2:$F$61,6,FALSE),"")</f>
        <v>1</v>
      </c>
      <c r="BL556">
        <v>0</v>
      </c>
      <c r="BO556">
        <v>0</v>
      </c>
      <c r="BP556">
        <v>0</v>
      </c>
    </row>
    <row r="557" spans="1:68" x14ac:dyDescent="0.35">
      <c r="A557" s="26" t="str">
        <f>Orders!A557</f>
        <v>ORD-00556</v>
      </c>
      <c r="B557" s="33">
        <f>Orders!B557</f>
        <v>45337</v>
      </c>
      <c r="C557" t="str">
        <f>Orders!C557</f>
        <v>CUST-0050</v>
      </c>
      <c r="D557" t="str">
        <f>Orders!D557</f>
        <v>PROD-056</v>
      </c>
      <c r="E557" t="str">
        <f>Orders!E557</f>
        <v>R026</v>
      </c>
      <c r="F557">
        <f>Orders!F557</f>
        <v>3</v>
      </c>
      <c r="G557" s="35">
        <f>Orders!G557</f>
        <v>6940</v>
      </c>
      <c r="H557" s="37">
        <f>Orders!H557</f>
        <v>10.7</v>
      </c>
      <c r="I557" s="39">
        <f>Orders!I557</f>
        <v>18592.259999999998</v>
      </c>
      <c r="J557" t="str">
        <f>Orders!J557</f>
        <v>Cancelled</v>
      </c>
      <c r="K557" t="str">
        <f>Orders!K557</f>
        <v>Mumbai</v>
      </c>
      <c r="L557" t="str">
        <f>IFERROR(VLOOKUP(D557,Products!$A$2:$F$61,3,FALSE),"")</f>
        <v>Sports</v>
      </c>
      <c r="M557">
        <f>IFERROR(VLOOKUP(D557,Products!$A$2:$F$61,4,FALSE),"")</f>
        <v>2827</v>
      </c>
      <c r="N557" t="str">
        <f>IFERROR(VLOOKUP(E557,Sales_Reps!$A$2:$E$31,3,FALSE),"")</f>
        <v>West</v>
      </c>
      <c r="O557" t="str">
        <f>IFERROR(VLOOKUP(C557,Customers!$A$2:$F$301,5,FALSE),"")</f>
        <v>Retail</v>
      </c>
      <c r="P557">
        <f>IFERROR(VLOOKUP(C557,Customers!$A$2:$F$301,3,FALSE),"")</f>
        <v>37</v>
      </c>
      <c r="Q557" s="41">
        <f t="shared" si="17"/>
        <v>0.5926512968299712</v>
      </c>
      <c r="R557" t="str">
        <f>IFERROR(VLOOKUP(C557,Customers!$A$2:$F$301,1,FALSE),"")</f>
        <v>CUST-0050</v>
      </c>
      <c r="S557" s="27" t="b">
        <f>IFERROR(VLOOKUP(D557,Products!$A$2:$F$61,6,FALSE),"")</f>
        <v>1</v>
      </c>
      <c r="BL557">
        <v>0</v>
      </c>
      <c r="BO557">
        <v>0</v>
      </c>
      <c r="BP557">
        <v>0</v>
      </c>
    </row>
    <row r="558" spans="1:68" x14ac:dyDescent="0.35">
      <c r="A558" s="26" t="str">
        <f>Orders!A558</f>
        <v>ORD-00557</v>
      </c>
      <c r="B558" s="33">
        <f>Orders!B558</f>
        <v>45571</v>
      </c>
      <c r="C558" t="str">
        <f>Orders!C558</f>
        <v>CUST-0227</v>
      </c>
      <c r="D558" t="str">
        <f>Orders!D558</f>
        <v>PROD-032</v>
      </c>
      <c r="E558" t="str">
        <f>Orders!E558</f>
        <v>R011</v>
      </c>
      <c r="F558">
        <f>Orders!F558</f>
        <v>1</v>
      </c>
      <c r="G558" s="35">
        <f>Orders!G558</f>
        <v>370</v>
      </c>
      <c r="H558" s="37">
        <f>Orders!H558</f>
        <v>10.3</v>
      </c>
      <c r="I558" s="39">
        <f>Orders!I558</f>
        <v>331.89</v>
      </c>
      <c r="J558" t="str">
        <f>Orders!J558</f>
        <v>Refunded</v>
      </c>
      <c r="K558" t="str">
        <f>Orders!K558</f>
        <v>Bengaluru</v>
      </c>
      <c r="L558" t="str">
        <f>IFERROR(VLOOKUP(D558,Products!$A$2:$F$61,3,FALSE),"")</f>
        <v>Home</v>
      </c>
      <c r="M558">
        <f>IFERROR(VLOOKUP(D558,Products!$A$2:$F$61,4,FALSE),"")</f>
        <v>288</v>
      </c>
      <c r="N558" t="str">
        <f>IFERROR(VLOOKUP(E558,Sales_Reps!$A$2:$E$31,3,FALSE),"")</f>
        <v>South</v>
      </c>
      <c r="O558" t="str">
        <f>IFERROR(VLOOKUP(C558,Customers!$A$2:$F$301,5,FALSE),"")</f>
        <v>SMB</v>
      </c>
      <c r="P558">
        <f>IFERROR(VLOOKUP(C558,Customers!$A$2:$F$301,3,FALSE),"")</f>
        <v>44</v>
      </c>
      <c r="Q558" s="41">
        <f t="shared" si="17"/>
        <v>0.22162162162162163</v>
      </c>
      <c r="R558" t="str">
        <f>IFERROR(VLOOKUP(C558,Customers!$A$2:$F$301,1,FALSE),"")</f>
        <v>CUST-0227</v>
      </c>
      <c r="S558" s="27" t="b">
        <f>IFERROR(VLOOKUP(D558,Products!$A$2:$F$61,6,FALSE),"")</f>
        <v>1</v>
      </c>
      <c r="BL558">
        <v>0</v>
      </c>
      <c r="BO558">
        <v>0</v>
      </c>
      <c r="BP558">
        <v>0</v>
      </c>
    </row>
    <row r="559" spans="1:68" x14ac:dyDescent="0.35">
      <c r="A559" s="26" t="str">
        <f>Orders!A559</f>
        <v>ORD-00558</v>
      </c>
      <c r="B559" s="33">
        <f>Orders!B559</f>
        <v>45357</v>
      </c>
      <c r="C559" t="str">
        <f>Orders!C559</f>
        <v>CUST-0218</v>
      </c>
      <c r="D559" t="str">
        <f>Orders!D559</f>
        <v>PROD-027</v>
      </c>
      <c r="E559" t="str">
        <f>Orders!E559</f>
        <v>R029</v>
      </c>
      <c r="F559">
        <f>Orders!F559</f>
        <v>2</v>
      </c>
      <c r="G559" s="35">
        <f>Orders!G559</f>
        <v>3780</v>
      </c>
      <c r="H559" s="37">
        <f>Orders!H559</f>
        <v>29.4</v>
      </c>
      <c r="I559" s="39">
        <f>Orders!I559</f>
        <v>5337.36</v>
      </c>
      <c r="J559" t="str">
        <f>Orders!J559</f>
        <v>Completed</v>
      </c>
      <c r="K559" t="str">
        <f>Orders!K559</f>
        <v>Mumbai</v>
      </c>
      <c r="L559" t="str">
        <f>IFERROR(VLOOKUP(D559,Products!$A$2:$F$61,3,FALSE),"")</f>
        <v>Grocery</v>
      </c>
      <c r="M559">
        <f>IFERROR(VLOOKUP(D559,Products!$A$2:$F$61,4,FALSE),"")</f>
        <v>2436</v>
      </c>
      <c r="N559" t="str">
        <f>IFERROR(VLOOKUP(E559,Sales_Reps!$A$2:$E$31,3,FALSE),"")</f>
        <v>West</v>
      </c>
      <c r="O559" t="str">
        <f>IFERROR(VLOOKUP(C559,Customers!$A$2:$F$301,5,FALSE),"")</f>
        <v>Retail</v>
      </c>
      <c r="P559">
        <f>IFERROR(VLOOKUP(C559,Customers!$A$2:$F$301,3,FALSE),"")</f>
        <v>39</v>
      </c>
      <c r="Q559" s="41">
        <f t="shared" si="17"/>
        <v>0.35555555555555557</v>
      </c>
      <c r="R559" t="str">
        <f>IFERROR(VLOOKUP(C559,Customers!$A$2:$F$301,1,FALSE),"")</f>
        <v>CUST-0218</v>
      </c>
      <c r="S559" s="27" t="b">
        <f>IFERROR(VLOOKUP(D559,Products!$A$2:$F$61,6,FALSE),"")</f>
        <v>1</v>
      </c>
      <c r="BL559">
        <v>0</v>
      </c>
      <c r="BO559">
        <v>0</v>
      </c>
      <c r="BP559">
        <v>0</v>
      </c>
    </row>
    <row r="560" spans="1:68" x14ac:dyDescent="0.35">
      <c r="A560" s="26" t="str">
        <f>Orders!A560</f>
        <v>ORD-00559</v>
      </c>
      <c r="B560" s="33">
        <f>Orders!B560</f>
        <v>45432</v>
      </c>
      <c r="C560" t="str">
        <f>Orders!C560</f>
        <v>CUST-0087</v>
      </c>
      <c r="D560" t="str">
        <f>Orders!D560</f>
        <v>PROD-030</v>
      </c>
      <c r="E560" t="str">
        <f>Orders!E560</f>
        <v>R022</v>
      </c>
      <c r="F560">
        <f>Orders!F560</f>
        <v>5</v>
      </c>
      <c r="G560" s="35">
        <f>Orders!G560</f>
        <v>970</v>
      </c>
      <c r="H560" s="37">
        <f>Orders!H560</f>
        <v>14.6</v>
      </c>
      <c r="I560" s="39">
        <f>Orders!I560</f>
        <v>4141.8999999999996</v>
      </c>
      <c r="J560" t="str">
        <f>Orders!J560</f>
        <v>Completed</v>
      </c>
      <c r="K560" t="str">
        <f>Orders!K560</f>
        <v>Pune</v>
      </c>
      <c r="L560" t="str">
        <f>IFERROR(VLOOKUP(D560,Products!$A$2:$F$61,3,FALSE),"")</f>
        <v>Grocery</v>
      </c>
      <c r="M560">
        <f>IFERROR(VLOOKUP(D560,Products!$A$2:$F$61,4,FALSE),"")</f>
        <v>434</v>
      </c>
      <c r="N560" t="str">
        <f>IFERROR(VLOOKUP(E560,Sales_Reps!$A$2:$E$31,3,FALSE),"")</f>
        <v>East</v>
      </c>
      <c r="O560" t="str">
        <f>IFERROR(VLOOKUP(C560,Customers!$A$2:$F$301,5,FALSE),"")</f>
        <v>SMB</v>
      </c>
      <c r="P560">
        <f>IFERROR(VLOOKUP(C560,Customers!$A$2:$F$301,3,FALSE),"")</f>
        <v>49</v>
      </c>
      <c r="Q560" s="41">
        <f t="shared" si="17"/>
        <v>0.5525773195876289</v>
      </c>
      <c r="R560" t="str">
        <f>IFERROR(VLOOKUP(C560,Customers!$A$2:$F$301,1,FALSE),"")</f>
        <v>CUST-0087</v>
      </c>
      <c r="S560" s="27" t="b">
        <f>IFERROR(VLOOKUP(D560,Products!$A$2:$F$61,6,FALSE),"")</f>
        <v>1</v>
      </c>
      <c r="BL560">
        <v>0</v>
      </c>
      <c r="BO560">
        <v>0</v>
      </c>
      <c r="BP560">
        <v>0</v>
      </c>
    </row>
    <row r="561" spans="1:68" x14ac:dyDescent="0.35">
      <c r="A561" s="26" t="str">
        <f>Orders!A561</f>
        <v>ORD-00560</v>
      </c>
      <c r="B561" s="33">
        <f>Orders!B561</f>
        <v>45604</v>
      </c>
      <c r="C561" t="str">
        <f>Orders!C561</f>
        <v>CUST-0209</v>
      </c>
      <c r="D561" t="str">
        <f>Orders!D561</f>
        <v>PROD-022</v>
      </c>
      <c r="E561" t="str">
        <f>Orders!E561</f>
        <v>R002</v>
      </c>
      <c r="F561">
        <f>Orders!F561</f>
        <v>3</v>
      </c>
      <c r="G561" s="35">
        <f>Orders!G561</f>
        <v>2270</v>
      </c>
      <c r="H561" s="37">
        <f>Orders!H561</f>
        <v>6.5</v>
      </c>
      <c r="I561" s="39">
        <f>Orders!I561</f>
        <v>6367.35</v>
      </c>
      <c r="J561" t="str">
        <f>Orders!J561</f>
        <v>Completed</v>
      </c>
      <c r="K561" t="str">
        <f>Orders!K561</f>
        <v>Pune</v>
      </c>
      <c r="L561" t="str">
        <f>IFERROR(VLOOKUP(D561,Products!$A$2:$F$61,3,FALSE),"")</f>
        <v>Grocery</v>
      </c>
      <c r="M561">
        <f>IFERROR(VLOOKUP(D561,Products!$A$2:$F$61,4,FALSE),"")</f>
        <v>1412</v>
      </c>
      <c r="N561" t="str">
        <f>IFERROR(VLOOKUP(E561,Sales_Reps!$A$2:$E$31,3,FALSE),"")</f>
        <v>North</v>
      </c>
      <c r="O561" t="str">
        <f>IFERROR(VLOOKUP(C561,Customers!$A$2:$F$301,5,FALSE),"")</f>
        <v>Retail</v>
      </c>
      <c r="P561">
        <f>IFERROR(VLOOKUP(C561,Customers!$A$2:$F$301,3,FALSE),"")</f>
        <v>31</v>
      </c>
      <c r="Q561" s="41">
        <f t="shared" si="17"/>
        <v>0.37797356828193834</v>
      </c>
      <c r="R561" t="str">
        <f>IFERROR(VLOOKUP(C561,Customers!$A$2:$F$301,1,FALSE),"")</f>
        <v>CUST-0209</v>
      </c>
      <c r="S561" s="27" t="b">
        <f>IFERROR(VLOOKUP(D561,Products!$A$2:$F$61,6,FALSE),"")</f>
        <v>1</v>
      </c>
      <c r="BL561">
        <v>0</v>
      </c>
      <c r="BO561">
        <v>0</v>
      </c>
      <c r="BP561">
        <v>0</v>
      </c>
    </row>
    <row r="562" spans="1:68" x14ac:dyDescent="0.35">
      <c r="A562" s="26" t="str">
        <f>Orders!A562</f>
        <v>ORD-00561</v>
      </c>
      <c r="B562" s="33">
        <f>Orders!B562</f>
        <v>45467</v>
      </c>
      <c r="C562" t="str">
        <f>Orders!C562</f>
        <v>CUST-0212</v>
      </c>
      <c r="D562" t="str">
        <f>Orders!D562</f>
        <v>PROD-041</v>
      </c>
      <c r="E562" t="str">
        <f>Orders!E562</f>
        <v>R029</v>
      </c>
      <c r="F562">
        <f>Orders!F562</f>
        <v>10</v>
      </c>
      <c r="G562" s="35">
        <f>Orders!G562</f>
        <v>1540</v>
      </c>
      <c r="H562" s="37">
        <f>Orders!H562</f>
        <v>16.5</v>
      </c>
      <c r="I562" s="39">
        <f>Orders!I562</f>
        <v>12859</v>
      </c>
      <c r="J562" t="str">
        <f>Orders!J562</f>
        <v>Completed</v>
      </c>
      <c r="K562" t="str">
        <f>Orders!K562</f>
        <v>Chennai</v>
      </c>
      <c r="L562" t="str">
        <f>IFERROR(VLOOKUP(D562,Products!$A$2:$F$61,3,FALSE),"")</f>
        <v>Beauty</v>
      </c>
      <c r="M562">
        <f>IFERROR(VLOOKUP(D562,Products!$A$2:$F$61,4,FALSE),"")</f>
        <v>647</v>
      </c>
      <c r="N562" t="str">
        <f>IFERROR(VLOOKUP(E562,Sales_Reps!$A$2:$E$31,3,FALSE),"")</f>
        <v>West</v>
      </c>
      <c r="O562" t="str">
        <f>IFERROR(VLOOKUP(C562,Customers!$A$2:$F$301,5,FALSE),"")</f>
        <v>SMB</v>
      </c>
      <c r="P562">
        <f>IFERROR(VLOOKUP(C562,Customers!$A$2:$F$301,3,FALSE),"")</f>
        <v>46</v>
      </c>
      <c r="Q562" s="41">
        <f t="shared" si="17"/>
        <v>0.57987012987012987</v>
      </c>
      <c r="R562" t="str">
        <f>IFERROR(VLOOKUP(C562,Customers!$A$2:$F$301,1,FALSE),"")</f>
        <v>CUST-0212</v>
      </c>
      <c r="S562" s="27" t="b">
        <f>IFERROR(VLOOKUP(D562,Products!$A$2:$F$61,6,FALSE),"")</f>
        <v>0</v>
      </c>
      <c r="BL562">
        <v>0</v>
      </c>
      <c r="BO562">
        <v>0</v>
      </c>
      <c r="BP562">
        <v>1</v>
      </c>
    </row>
    <row r="563" spans="1:68" x14ac:dyDescent="0.35">
      <c r="A563" s="26" t="str">
        <f>Orders!A563</f>
        <v>ORD-00562</v>
      </c>
      <c r="B563" s="33">
        <f>Orders!B563</f>
        <v>45649</v>
      </c>
      <c r="C563" t="str">
        <f>Orders!C563</f>
        <v>CUST-0180</v>
      </c>
      <c r="D563" t="str">
        <f>Orders!D563</f>
        <v>PROD-021</v>
      </c>
      <c r="E563" t="str">
        <f>Orders!E563</f>
        <v>R017</v>
      </c>
      <c r="F563">
        <f>Orders!F563</f>
        <v>4</v>
      </c>
      <c r="G563" s="35">
        <f>Orders!G563</f>
        <v>2760</v>
      </c>
      <c r="H563" s="37">
        <f>Orders!H563</f>
        <v>19.8</v>
      </c>
      <c r="I563" s="39">
        <f>Orders!I563</f>
        <v>8854.08</v>
      </c>
      <c r="J563" t="str">
        <f>Orders!J563</f>
        <v>Completed</v>
      </c>
      <c r="K563" t="str">
        <f>Orders!K563</f>
        <v>Chennai</v>
      </c>
      <c r="L563" t="str">
        <f>IFERROR(VLOOKUP(D563,Products!$A$2:$F$61,3,FALSE),"")</f>
        <v>Grocery</v>
      </c>
      <c r="M563">
        <f>IFERROR(VLOOKUP(D563,Products!$A$2:$F$61,4,FALSE),"")</f>
        <v>1435</v>
      </c>
      <c r="N563" t="str">
        <f>IFERROR(VLOOKUP(E563,Sales_Reps!$A$2:$E$31,3,FALSE),"")</f>
        <v>East</v>
      </c>
      <c r="O563" t="str">
        <f>IFERROR(VLOOKUP(C563,Customers!$A$2:$F$301,5,FALSE),"")</f>
        <v>Retail</v>
      </c>
      <c r="P563">
        <f>IFERROR(VLOOKUP(C563,Customers!$A$2:$F$301,3,FALSE),"")</f>
        <v>36</v>
      </c>
      <c r="Q563" s="41">
        <f t="shared" si="17"/>
        <v>0.48007246376811596</v>
      </c>
      <c r="R563" t="str">
        <f>IFERROR(VLOOKUP(C563,Customers!$A$2:$F$301,1,FALSE),"")</f>
        <v>CUST-0180</v>
      </c>
      <c r="S563" s="27" t="b">
        <f>IFERROR(VLOOKUP(D563,Products!$A$2:$F$61,6,FALSE),"")</f>
        <v>1</v>
      </c>
      <c r="BL563">
        <v>0</v>
      </c>
      <c r="BO563">
        <v>0</v>
      </c>
      <c r="BP563">
        <v>0</v>
      </c>
    </row>
    <row r="564" spans="1:68" x14ac:dyDescent="0.35">
      <c r="A564" s="26" t="str">
        <f>Orders!A564</f>
        <v>ORD-00563</v>
      </c>
      <c r="B564" s="33">
        <f>Orders!B564</f>
        <v>45332</v>
      </c>
      <c r="C564" t="str">
        <f>Orders!C564</f>
        <v>CUST-0025</v>
      </c>
      <c r="D564" t="str">
        <f>Orders!D564</f>
        <v>PROD-024</v>
      </c>
      <c r="E564" t="str">
        <f>Orders!E564</f>
        <v>R030</v>
      </c>
      <c r="F564">
        <f>Orders!F564</f>
        <v>3</v>
      </c>
      <c r="G564" s="35">
        <f>Orders!G564</f>
        <v>2270</v>
      </c>
      <c r="H564" s="37">
        <f>Orders!H564</f>
        <v>29.5</v>
      </c>
      <c r="I564" s="39">
        <f>Orders!I564</f>
        <v>4801.05</v>
      </c>
      <c r="J564" t="str">
        <f>Orders!J564</f>
        <v>Refunded</v>
      </c>
      <c r="K564" t="str">
        <f>Orders!K564</f>
        <v>Bengaluru</v>
      </c>
      <c r="L564" t="str">
        <f>IFERROR(VLOOKUP(D564,Products!$A$2:$F$61,3,FALSE),"")</f>
        <v>Grocery</v>
      </c>
      <c r="M564">
        <f>IFERROR(VLOOKUP(D564,Products!$A$2:$F$61,4,FALSE),"")</f>
        <v>1203</v>
      </c>
      <c r="N564" t="str">
        <f>IFERROR(VLOOKUP(E564,Sales_Reps!$A$2:$E$31,3,FALSE),"")</f>
        <v>West</v>
      </c>
      <c r="O564" t="str">
        <f>IFERROR(VLOOKUP(C564,Customers!$A$2:$F$301,5,FALSE),"")</f>
        <v>Retail</v>
      </c>
      <c r="P564">
        <f>IFERROR(VLOOKUP(C564,Customers!$A$2:$F$301,3,FALSE),"")</f>
        <v>23</v>
      </c>
      <c r="Q564" s="41">
        <f t="shared" si="17"/>
        <v>0.47004405286343615</v>
      </c>
      <c r="R564" t="str">
        <f>IFERROR(VLOOKUP(C564,Customers!$A$2:$F$301,1,FALSE),"")</f>
        <v>CUST-0025</v>
      </c>
      <c r="S564" s="27" t="b">
        <f>IFERROR(VLOOKUP(D564,Products!$A$2:$F$61,6,FALSE),"")</f>
        <v>1</v>
      </c>
      <c r="BL564">
        <v>0</v>
      </c>
      <c r="BO564">
        <v>0</v>
      </c>
      <c r="BP564">
        <v>0</v>
      </c>
    </row>
    <row r="565" spans="1:68" x14ac:dyDescent="0.35">
      <c r="A565" s="26" t="str">
        <f>Orders!A565</f>
        <v>ORD-00564</v>
      </c>
      <c r="B565" s="33">
        <f>Orders!B565</f>
        <v>45418</v>
      </c>
      <c r="C565" t="str">
        <f>Orders!C565</f>
        <v>CUST-0271</v>
      </c>
      <c r="D565" t="str">
        <f>Orders!D565</f>
        <v>PROD-045</v>
      </c>
      <c r="E565" t="str">
        <f>Orders!E565</f>
        <v>R015</v>
      </c>
      <c r="F565">
        <f>Orders!F565</f>
        <v>8</v>
      </c>
      <c r="G565" s="35">
        <f>Orders!G565</f>
        <v>3020</v>
      </c>
      <c r="H565" s="37">
        <f>Orders!H565</f>
        <v>1.2</v>
      </c>
      <c r="I565" s="39">
        <f>Orders!I565</f>
        <v>23870.080000000002</v>
      </c>
      <c r="J565" t="str">
        <f>Orders!J565</f>
        <v>Completed</v>
      </c>
      <c r="K565" t="str">
        <f>Orders!K565</f>
        <v>Bengaluru</v>
      </c>
      <c r="L565" t="str">
        <f>IFERROR(VLOOKUP(D565,Products!$A$2:$F$61,3,FALSE),"")</f>
        <v>Beauty</v>
      </c>
      <c r="M565">
        <f>IFERROR(VLOOKUP(D565,Products!$A$2:$F$61,4,FALSE),"")</f>
        <v>1626</v>
      </c>
      <c r="N565" t="str">
        <f>IFERROR(VLOOKUP(E565,Sales_Reps!$A$2:$E$31,3,FALSE),"")</f>
        <v>South</v>
      </c>
      <c r="O565" t="str">
        <f>IFERROR(VLOOKUP(C565,Customers!$A$2:$F$301,5,FALSE),"")</f>
        <v>Corporate</v>
      </c>
      <c r="P565">
        <f>IFERROR(VLOOKUP(C565,Customers!$A$2:$F$301,3,FALSE),"")</f>
        <v>41</v>
      </c>
      <c r="Q565" s="41">
        <f t="shared" si="17"/>
        <v>0.46158940397350995</v>
      </c>
      <c r="R565" t="str">
        <f>IFERROR(VLOOKUP(C565,Customers!$A$2:$F$301,1,FALSE),"")</f>
        <v>CUST-0271</v>
      </c>
      <c r="S565" s="27" t="b">
        <f>IFERROR(VLOOKUP(D565,Products!$A$2:$F$61,6,FALSE),"")</f>
        <v>1</v>
      </c>
      <c r="BL565">
        <v>0</v>
      </c>
      <c r="BO565">
        <v>0</v>
      </c>
      <c r="BP565">
        <v>0</v>
      </c>
    </row>
    <row r="566" spans="1:68" x14ac:dyDescent="0.35">
      <c r="A566" s="26" t="str">
        <f>Orders!A566</f>
        <v>ORD-00565</v>
      </c>
      <c r="B566" s="33">
        <f>Orders!B566</f>
        <v>45490</v>
      </c>
      <c r="C566" t="str">
        <f>Orders!C566</f>
        <v>CUST-0026</v>
      </c>
      <c r="D566" t="str">
        <f>Orders!D566</f>
        <v>PROD-023</v>
      </c>
      <c r="E566" t="str">
        <f>Orders!E566</f>
        <v>R018</v>
      </c>
      <c r="F566">
        <f>Orders!F566</f>
        <v>6</v>
      </c>
      <c r="G566" s="35">
        <f>Orders!G566</f>
        <v>2380</v>
      </c>
      <c r="H566" s="37">
        <f>Orders!H566</f>
        <v>20.399999999999999</v>
      </c>
      <c r="I566" s="39">
        <f>Orders!I566</f>
        <v>11366.88</v>
      </c>
      <c r="J566" t="str">
        <f>Orders!J566</f>
        <v>Completed</v>
      </c>
      <c r="K566" t="str">
        <f>Orders!K566</f>
        <v>Pune</v>
      </c>
      <c r="L566" t="str">
        <f>IFERROR(VLOOKUP(D566,Products!$A$2:$F$61,3,FALSE),"")</f>
        <v>Grocery</v>
      </c>
      <c r="M566">
        <f>IFERROR(VLOOKUP(D566,Products!$A$2:$F$61,4,FALSE),"")</f>
        <v>1182</v>
      </c>
      <c r="N566" t="str">
        <f>IFERROR(VLOOKUP(E566,Sales_Reps!$A$2:$E$31,3,FALSE),"")</f>
        <v>East</v>
      </c>
      <c r="O566" t="str">
        <f>IFERROR(VLOOKUP(C566,Customers!$A$2:$F$301,5,FALSE),"")</f>
        <v>Retail</v>
      </c>
      <c r="P566">
        <f>IFERROR(VLOOKUP(C566,Customers!$A$2:$F$301,3,FALSE),"")</f>
        <v>62</v>
      </c>
      <c r="Q566" s="41">
        <f t="shared" si="17"/>
        <v>0.50336134453781511</v>
      </c>
      <c r="R566" t="str">
        <f>IFERROR(VLOOKUP(C566,Customers!$A$2:$F$301,1,FALSE),"")</f>
        <v>CUST-0026</v>
      </c>
      <c r="S566" s="27" t="b">
        <f>IFERROR(VLOOKUP(D566,Products!$A$2:$F$61,6,FALSE),"")</f>
        <v>1</v>
      </c>
      <c r="BL566">
        <v>0</v>
      </c>
      <c r="BO566">
        <v>0</v>
      </c>
      <c r="BP566">
        <v>0</v>
      </c>
    </row>
    <row r="567" spans="1:68" x14ac:dyDescent="0.35">
      <c r="A567" s="26" t="str">
        <f>Orders!A567</f>
        <v>ORD-00566</v>
      </c>
      <c r="B567" s="33">
        <f>Orders!B567</f>
        <v>45470</v>
      </c>
      <c r="C567" t="str">
        <f>Orders!C567</f>
        <v>CUST-0058</v>
      </c>
      <c r="D567" t="str">
        <f>Orders!D567</f>
        <v>PROD-056</v>
      </c>
      <c r="E567" t="str">
        <f>Orders!E567</f>
        <v>R028</v>
      </c>
      <c r="F567">
        <f>Orders!F567</f>
        <v>1</v>
      </c>
      <c r="G567" s="35">
        <f>Orders!G567</f>
        <v>6940</v>
      </c>
      <c r="H567" s="37">
        <f>Orders!H567</f>
        <v>15</v>
      </c>
      <c r="I567" s="39">
        <f>Orders!I567</f>
        <v>5899</v>
      </c>
      <c r="J567" t="str">
        <f>Orders!J567</f>
        <v>Cancelled</v>
      </c>
      <c r="K567" t="str">
        <f>Orders!K567</f>
        <v>Bengaluru</v>
      </c>
      <c r="L567" t="str">
        <f>IFERROR(VLOOKUP(D567,Products!$A$2:$F$61,3,FALSE),"")</f>
        <v>Sports</v>
      </c>
      <c r="M567">
        <f>IFERROR(VLOOKUP(D567,Products!$A$2:$F$61,4,FALSE),"")</f>
        <v>2827</v>
      </c>
      <c r="N567" t="str">
        <f>IFERROR(VLOOKUP(E567,Sales_Reps!$A$2:$E$31,3,FALSE),"")</f>
        <v>West</v>
      </c>
      <c r="O567" t="str">
        <f>IFERROR(VLOOKUP(C567,Customers!$A$2:$F$301,5,FALSE),"")</f>
        <v>SMB</v>
      </c>
      <c r="P567">
        <f>IFERROR(VLOOKUP(C567,Customers!$A$2:$F$301,3,FALSE),"")</f>
        <v>49</v>
      </c>
      <c r="Q567" s="41">
        <f t="shared" si="17"/>
        <v>0.5926512968299712</v>
      </c>
      <c r="R567" t="str">
        <f>IFERROR(VLOOKUP(C567,Customers!$A$2:$F$301,1,FALSE),"")</f>
        <v>CUST-0058</v>
      </c>
      <c r="S567" s="27" t="b">
        <f>IFERROR(VLOOKUP(D567,Products!$A$2:$F$61,6,FALSE),"")</f>
        <v>1</v>
      </c>
      <c r="BL567">
        <v>0</v>
      </c>
      <c r="BO567">
        <v>0</v>
      </c>
      <c r="BP567">
        <v>0</v>
      </c>
    </row>
    <row r="568" spans="1:68" x14ac:dyDescent="0.35">
      <c r="A568" s="26" t="str">
        <f>Orders!A568</f>
        <v>ORD-00567</v>
      </c>
      <c r="B568" s="33">
        <f>Orders!B568</f>
        <v>45654</v>
      </c>
      <c r="C568" t="str">
        <f>Orders!C568</f>
        <v>CUST-0033</v>
      </c>
      <c r="D568" t="str">
        <f>Orders!D568</f>
        <v>PROD-008</v>
      </c>
      <c r="E568" t="str">
        <f>Orders!E568</f>
        <v>R010</v>
      </c>
      <c r="F568">
        <f>Orders!F568</f>
        <v>1</v>
      </c>
      <c r="G568" s="35">
        <f>Orders!G568</f>
        <v>2660</v>
      </c>
      <c r="H568" s="37">
        <f>Orders!H568</f>
        <v>11.6</v>
      </c>
      <c r="I568" s="39">
        <f>Orders!I568</f>
        <v>2351.44</v>
      </c>
      <c r="J568" t="str">
        <f>Orders!J568</f>
        <v>Completed</v>
      </c>
      <c r="K568" t="str">
        <f>Orders!K568</f>
        <v>Delhi</v>
      </c>
      <c r="L568" t="str">
        <f>IFERROR(VLOOKUP(D568,Products!$A$2:$F$61,3,FALSE),"")</f>
        <v>Electronics</v>
      </c>
      <c r="M568">
        <f>IFERROR(VLOOKUP(D568,Products!$A$2:$F$61,4,FALSE),"")</f>
        <v>1259</v>
      </c>
      <c r="N568" t="str">
        <f>IFERROR(VLOOKUP(E568,Sales_Reps!$A$2:$E$31,3,FALSE),"")</f>
        <v>South</v>
      </c>
      <c r="O568" t="str">
        <f>IFERROR(VLOOKUP(C568,Customers!$A$2:$F$301,5,FALSE),"")</f>
        <v>Retail</v>
      </c>
      <c r="P568">
        <f>IFERROR(VLOOKUP(C568,Customers!$A$2:$F$301,3,FALSE),"")</f>
        <v>35</v>
      </c>
      <c r="Q568" s="41">
        <f t="shared" si="17"/>
        <v>0.52669172932330832</v>
      </c>
      <c r="R568" t="str">
        <f>IFERROR(VLOOKUP(C568,Customers!$A$2:$F$301,1,FALSE),"")</f>
        <v>CUST-0033</v>
      </c>
      <c r="S568" s="27" t="b">
        <f>IFERROR(VLOOKUP(D568,Products!$A$2:$F$61,6,FALSE),"")</f>
        <v>0</v>
      </c>
      <c r="BL568">
        <v>0</v>
      </c>
      <c r="BO568">
        <v>0</v>
      </c>
      <c r="BP568">
        <v>1</v>
      </c>
    </row>
    <row r="569" spans="1:68" x14ac:dyDescent="0.35">
      <c r="A569" s="26" t="str">
        <f>Orders!A569</f>
        <v>ORD-00568</v>
      </c>
      <c r="B569" s="33">
        <f>Orders!B569</f>
        <v>45548</v>
      </c>
      <c r="C569" t="str">
        <f>Orders!C569</f>
        <v>CUST-0057</v>
      </c>
      <c r="D569" t="str">
        <f>Orders!D569</f>
        <v>PROD-030</v>
      </c>
      <c r="E569" t="str">
        <f>Orders!E569</f>
        <v>R013</v>
      </c>
      <c r="F569">
        <f>Orders!F569</f>
        <v>4</v>
      </c>
      <c r="G569" s="35">
        <f>Orders!G569</f>
        <v>970</v>
      </c>
      <c r="H569" s="37">
        <f>Orders!H569</f>
        <v>11.6</v>
      </c>
      <c r="I569" s="39">
        <f>Orders!I569</f>
        <v>3429.92</v>
      </c>
      <c r="J569" t="str">
        <f>Orders!J569</f>
        <v>Completed</v>
      </c>
      <c r="K569" t="str">
        <f>Orders!K569</f>
        <v>Pune</v>
      </c>
      <c r="L569" t="str">
        <f>IFERROR(VLOOKUP(D569,Products!$A$2:$F$61,3,FALSE),"")</f>
        <v>Grocery</v>
      </c>
      <c r="M569">
        <f>IFERROR(VLOOKUP(D569,Products!$A$2:$F$61,4,FALSE),"")</f>
        <v>434</v>
      </c>
      <c r="N569" t="str">
        <f>IFERROR(VLOOKUP(E569,Sales_Reps!$A$2:$E$31,3,FALSE),"")</f>
        <v>South</v>
      </c>
      <c r="O569" t="str">
        <f>IFERROR(VLOOKUP(C569,Customers!$A$2:$F$301,5,FALSE),"")</f>
        <v>Retail</v>
      </c>
      <c r="P569">
        <f>IFERROR(VLOOKUP(C569,Customers!$A$2:$F$301,3,FALSE),"")</f>
        <v>35</v>
      </c>
      <c r="Q569" s="41">
        <f t="shared" si="17"/>
        <v>0.5525773195876289</v>
      </c>
      <c r="R569" t="str">
        <f>IFERROR(VLOOKUP(C569,Customers!$A$2:$F$301,1,FALSE),"")</f>
        <v>CUST-0057</v>
      </c>
      <c r="S569" s="27" t="b">
        <f>IFERROR(VLOOKUP(D569,Products!$A$2:$F$61,6,FALSE),"")</f>
        <v>1</v>
      </c>
      <c r="BL569">
        <v>0</v>
      </c>
      <c r="BO569">
        <v>0</v>
      </c>
      <c r="BP569">
        <v>0</v>
      </c>
    </row>
    <row r="570" spans="1:68" x14ac:dyDescent="0.35">
      <c r="A570" s="26" t="str">
        <f>Orders!A570</f>
        <v>ORD-00569</v>
      </c>
      <c r="B570" s="33">
        <f>Orders!B570</f>
        <v>45632</v>
      </c>
      <c r="C570" t="str">
        <f>Orders!C570</f>
        <v>CUST-0231</v>
      </c>
      <c r="D570" t="str">
        <f>Orders!D570</f>
        <v>PROD-022</v>
      </c>
      <c r="E570" t="str">
        <f>Orders!E570</f>
        <v>R002</v>
      </c>
      <c r="F570">
        <f>Orders!F570</f>
        <v>7</v>
      </c>
      <c r="G570" s="35">
        <f>Orders!G570</f>
        <v>2270</v>
      </c>
      <c r="H570" s="37">
        <f>Orders!H570</f>
        <v>27.9</v>
      </c>
      <c r="I570" s="39">
        <f>Orders!I570</f>
        <v>11456.69</v>
      </c>
      <c r="J570" t="str">
        <f>Orders!J570</f>
        <v>Completed</v>
      </c>
      <c r="K570" t="str">
        <f>Orders!K570</f>
        <v>Chennai</v>
      </c>
      <c r="L570" t="str">
        <f>IFERROR(VLOOKUP(D570,Products!$A$2:$F$61,3,FALSE),"")</f>
        <v>Grocery</v>
      </c>
      <c r="M570">
        <f>IFERROR(VLOOKUP(D570,Products!$A$2:$F$61,4,FALSE),"")</f>
        <v>1412</v>
      </c>
      <c r="N570" t="str">
        <f>IFERROR(VLOOKUP(E570,Sales_Reps!$A$2:$E$31,3,FALSE),"")</f>
        <v>North</v>
      </c>
      <c r="O570" t="str">
        <f>IFERROR(VLOOKUP(C570,Customers!$A$2:$F$301,5,FALSE),"")</f>
        <v>Retail</v>
      </c>
      <c r="P570">
        <f>IFERROR(VLOOKUP(C570,Customers!$A$2:$F$301,3,FALSE),"")</f>
        <v>61</v>
      </c>
      <c r="Q570" s="41">
        <f t="shared" si="17"/>
        <v>0.37797356828193834</v>
      </c>
      <c r="R570" t="str">
        <f>IFERROR(VLOOKUP(C570,Customers!$A$2:$F$301,1,FALSE),"")</f>
        <v>CUST-0231</v>
      </c>
      <c r="S570" s="27" t="b">
        <f>IFERROR(VLOOKUP(D570,Products!$A$2:$F$61,6,FALSE),"")</f>
        <v>1</v>
      </c>
      <c r="BL570">
        <v>0</v>
      </c>
      <c r="BO570">
        <v>0</v>
      </c>
      <c r="BP570">
        <v>0</v>
      </c>
    </row>
    <row r="571" spans="1:68" x14ac:dyDescent="0.35">
      <c r="A571" s="26" t="str">
        <f>Orders!A571</f>
        <v>ORD-00570</v>
      </c>
      <c r="B571" s="33">
        <f>Orders!B571</f>
        <v>45304</v>
      </c>
      <c r="C571" t="str">
        <f>Orders!C571</f>
        <v>CUST-0031</v>
      </c>
      <c r="D571" t="str">
        <f>Orders!D571</f>
        <v>PROD-054</v>
      </c>
      <c r="E571" t="str">
        <f>Orders!E571</f>
        <v>R016</v>
      </c>
      <c r="F571">
        <f>Orders!F571</f>
        <v>8</v>
      </c>
      <c r="G571" s="35">
        <f>Orders!G571</f>
        <v>1010</v>
      </c>
      <c r="H571" s="37">
        <f>Orders!H571</f>
        <v>13.7</v>
      </c>
      <c r="I571" s="39">
        <f>Orders!I571</f>
        <v>6973.04</v>
      </c>
      <c r="J571" t="str">
        <f>Orders!J571</f>
        <v>Cancelled</v>
      </c>
      <c r="K571" t="str">
        <f>Orders!K571</f>
        <v>Hyderabad</v>
      </c>
      <c r="L571" t="str">
        <f>IFERROR(VLOOKUP(D571,Products!$A$2:$F$61,3,FALSE),"")</f>
        <v>Sports</v>
      </c>
      <c r="M571">
        <f>IFERROR(VLOOKUP(D571,Products!$A$2:$F$61,4,FALSE),"")</f>
        <v>516</v>
      </c>
      <c r="N571" t="str">
        <f>IFERROR(VLOOKUP(E571,Sales_Reps!$A$2:$E$31,3,FALSE),"")</f>
        <v>South</v>
      </c>
      <c r="O571" t="str">
        <f>IFERROR(VLOOKUP(C571,Customers!$A$2:$F$301,5,FALSE),"")</f>
        <v>Retail</v>
      </c>
      <c r="P571">
        <f>IFERROR(VLOOKUP(C571,Customers!$A$2:$F$301,3,FALSE),"")</f>
        <v>53</v>
      </c>
      <c r="Q571" s="41">
        <f t="shared" si="17"/>
        <v>0.4891089108910891</v>
      </c>
      <c r="R571" t="str">
        <f>IFERROR(VLOOKUP(C571,Customers!$A$2:$F$301,1,FALSE),"")</f>
        <v>CUST-0031</v>
      </c>
      <c r="S571" s="27" t="b">
        <f>IFERROR(VLOOKUP(D571,Products!$A$2:$F$61,6,FALSE),"")</f>
        <v>1</v>
      </c>
      <c r="BL571">
        <v>0</v>
      </c>
      <c r="BO571">
        <v>0</v>
      </c>
      <c r="BP571">
        <v>0</v>
      </c>
    </row>
    <row r="572" spans="1:68" x14ac:dyDescent="0.35">
      <c r="A572" s="26" t="str">
        <f>Orders!A572</f>
        <v>ORD-00571</v>
      </c>
      <c r="B572" s="33">
        <f>Orders!B572</f>
        <v>45330</v>
      </c>
      <c r="C572" t="str">
        <f>Orders!C572</f>
        <v>CUST-0228</v>
      </c>
      <c r="D572" t="str">
        <f>Orders!D572</f>
        <v>PROD-023</v>
      </c>
      <c r="E572" t="str">
        <f>Orders!E572</f>
        <v>R001</v>
      </c>
      <c r="F572">
        <f>Orders!F572</f>
        <v>8</v>
      </c>
      <c r="G572" s="35">
        <f>Orders!G572</f>
        <v>2380</v>
      </c>
      <c r="H572" s="37">
        <f>Orders!H572</f>
        <v>15.3</v>
      </c>
      <c r="I572" s="39">
        <f>Orders!I572</f>
        <v>16126.88</v>
      </c>
      <c r="J572" t="str">
        <f>Orders!J572</f>
        <v>Cancelled</v>
      </c>
      <c r="K572" t="str">
        <f>Orders!K572</f>
        <v>Pune</v>
      </c>
      <c r="L572" t="str">
        <f>IFERROR(VLOOKUP(D572,Products!$A$2:$F$61,3,FALSE),"")</f>
        <v>Grocery</v>
      </c>
      <c r="M572">
        <f>IFERROR(VLOOKUP(D572,Products!$A$2:$F$61,4,FALSE),"")</f>
        <v>1182</v>
      </c>
      <c r="N572" t="str">
        <f>IFERROR(VLOOKUP(E572,Sales_Reps!$A$2:$E$31,3,FALSE),"")</f>
        <v>North</v>
      </c>
      <c r="O572" t="str">
        <f>IFERROR(VLOOKUP(C572,Customers!$A$2:$F$301,5,FALSE),"")</f>
        <v>Corporate</v>
      </c>
      <c r="P572">
        <f>IFERROR(VLOOKUP(C572,Customers!$A$2:$F$301,3,FALSE),"")</f>
        <v>37</v>
      </c>
      <c r="Q572" s="41">
        <f t="shared" si="17"/>
        <v>0.50336134453781511</v>
      </c>
      <c r="R572" t="str">
        <f>IFERROR(VLOOKUP(C572,Customers!$A$2:$F$301,1,FALSE),"")</f>
        <v>CUST-0228</v>
      </c>
      <c r="S572" s="27" t="b">
        <f>IFERROR(VLOOKUP(D572,Products!$A$2:$F$61,6,FALSE),"")</f>
        <v>1</v>
      </c>
      <c r="BL572">
        <v>0</v>
      </c>
      <c r="BO572">
        <v>0</v>
      </c>
      <c r="BP572">
        <v>0</v>
      </c>
    </row>
    <row r="573" spans="1:68" x14ac:dyDescent="0.35">
      <c r="A573" s="26" t="str">
        <f>Orders!A573</f>
        <v>ORD-00572</v>
      </c>
      <c r="B573" s="33">
        <f>Orders!B573</f>
        <v>45633</v>
      </c>
      <c r="C573" t="str">
        <f>Orders!C573</f>
        <v>CUST-0127</v>
      </c>
      <c r="D573" t="str">
        <f>Orders!D573</f>
        <v>PROD-053</v>
      </c>
      <c r="E573" t="str">
        <f>Orders!E573</f>
        <v>R018</v>
      </c>
      <c r="F573">
        <f>Orders!F573</f>
        <v>10</v>
      </c>
      <c r="G573" s="35">
        <f>Orders!G573</f>
        <v>470</v>
      </c>
      <c r="H573" s="37">
        <f>Orders!H573</f>
        <v>2.1</v>
      </c>
      <c r="I573" s="39">
        <f>Orders!I573</f>
        <v>4601.3</v>
      </c>
      <c r="J573" t="str">
        <f>Orders!J573</f>
        <v>Completed</v>
      </c>
      <c r="K573" t="str">
        <f>Orders!K573</f>
        <v>Bengaluru</v>
      </c>
      <c r="L573" t="str">
        <f>IFERROR(VLOOKUP(D573,Products!$A$2:$F$61,3,FALSE),"")</f>
        <v>Sports</v>
      </c>
      <c r="M573">
        <f>IFERROR(VLOOKUP(D573,Products!$A$2:$F$61,4,FALSE),"")</f>
        <v>302</v>
      </c>
      <c r="N573" t="str">
        <f>IFERROR(VLOOKUP(E573,Sales_Reps!$A$2:$E$31,3,FALSE),"")</f>
        <v>East</v>
      </c>
      <c r="O573" t="str">
        <f>IFERROR(VLOOKUP(C573,Customers!$A$2:$F$301,5,FALSE),"")</f>
        <v>SMB</v>
      </c>
      <c r="P573">
        <f>IFERROR(VLOOKUP(C573,Customers!$A$2:$F$301,3,FALSE),"")</f>
        <v>36</v>
      </c>
      <c r="Q573" s="41">
        <f t="shared" si="17"/>
        <v>0.35744680851063831</v>
      </c>
      <c r="R573" t="str">
        <f>IFERROR(VLOOKUP(C573,Customers!$A$2:$F$301,1,FALSE),"")</f>
        <v>CUST-0127</v>
      </c>
      <c r="S573" s="27" t="b">
        <f>IFERROR(VLOOKUP(D573,Products!$A$2:$F$61,6,FALSE),"")</f>
        <v>0</v>
      </c>
      <c r="BL573">
        <v>0</v>
      </c>
      <c r="BO573">
        <v>0</v>
      </c>
      <c r="BP573">
        <v>1</v>
      </c>
    </row>
    <row r="574" spans="1:68" x14ac:dyDescent="0.35">
      <c r="A574" s="26" t="str">
        <f>Orders!A574</f>
        <v>ORD-00573</v>
      </c>
      <c r="B574" s="33">
        <f>Orders!B574</f>
        <v>45480</v>
      </c>
      <c r="C574" t="str">
        <f>Orders!C574</f>
        <v>CUST-0117</v>
      </c>
      <c r="D574" t="str">
        <f>Orders!D574</f>
        <v>PROD-048</v>
      </c>
      <c r="E574" t="str">
        <f>Orders!E574</f>
        <v>R025</v>
      </c>
      <c r="F574">
        <f>Orders!F574</f>
        <v>5</v>
      </c>
      <c r="G574" s="35">
        <f>Orders!G574</f>
        <v>5100</v>
      </c>
      <c r="H574" s="37">
        <f>Orders!H574</f>
        <v>9.6999999999999993</v>
      </c>
      <c r="I574" s="39">
        <f>Orders!I574</f>
        <v>23026.5</v>
      </c>
      <c r="J574" t="str">
        <f>Orders!J574</f>
        <v>Completed</v>
      </c>
      <c r="K574" t="str">
        <f>Orders!K574</f>
        <v>Delhi</v>
      </c>
      <c r="L574" t="str">
        <f>IFERROR(VLOOKUP(D574,Products!$A$2:$F$61,3,FALSE),"")</f>
        <v>Beauty</v>
      </c>
      <c r="M574">
        <f>IFERROR(VLOOKUP(D574,Products!$A$2:$F$61,4,FALSE),"")</f>
        <v>2237</v>
      </c>
      <c r="N574" t="str">
        <f>IFERROR(VLOOKUP(E574,Sales_Reps!$A$2:$E$31,3,FALSE),"")</f>
        <v>West</v>
      </c>
      <c r="O574" t="str">
        <f>IFERROR(VLOOKUP(C574,Customers!$A$2:$F$301,5,FALSE),"")</f>
        <v>SMB</v>
      </c>
      <c r="P574">
        <f>IFERROR(VLOOKUP(C574,Customers!$A$2:$F$301,3,FALSE),"")</f>
        <v>34</v>
      </c>
      <c r="Q574" s="41">
        <f t="shared" si="17"/>
        <v>0.56137254901960787</v>
      </c>
      <c r="R574" t="str">
        <f>IFERROR(VLOOKUP(C574,Customers!$A$2:$F$301,1,FALSE),"")</f>
        <v>CUST-0117</v>
      </c>
      <c r="S574" s="27" t="b">
        <f>IFERROR(VLOOKUP(D574,Products!$A$2:$F$61,6,FALSE),"")</f>
        <v>1</v>
      </c>
      <c r="BL574">
        <v>0</v>
      </c>
      <c r="BO574">
        <v>0</v>
      </c>
      <c r="BP574">
        <v>0</v>
      </c>
    </row>
    <row r="575" spans="1:68" x14ac:dyDescent="0.35">
      <c r="A575" s="26" t="str">
        <f>Orders!A575</f>
        <v>ORD-00574</v>
      </c>
      <c r="B575" s="33">
        <f>Orders!B575</f>
        <v>45402</v>
      </c>
      <c r="C575" t="str">
        <f>Orders!C575</f>
        <v>CUST-0159</v>
      </c>
      <c r="D575" t="str">
        <f>Orders!D575</f>
        <v>PROD-049</v>
      </c>
      <c r="E575" t="str">
        <f>Orders!E575</f>
        <v>R026</v>
      </c>
      <c r="F575">
        <f>Orders!F575</f>
        <v>9</v>
      </c>
      <c r="G575" s="35">
        <f>Orders!G575</f>
        <v>960</v>
      </c>
      <c r="H575" s="37">
        <f>Orders!H575</f>
        <v>17.7</v>
      </c>
      <c r="I575" s="39">
        <f>Orders!I575</f>
        <v>7110.72</v>
      </c>
      <c r="J575" t="str">
        <f>Orders!J575</f>
        <v>Completed</v>
      </c>
      <c r="K575" t="str">
        <f>Orders!K575</f>
        <v>Hyderabad</v>
      </c>
      <c r="L575" t="str">
        <f>IFERROR(VLOOKUP(D575,Products!$A$2:$F$61,3,FALSE),"")</f>
        <v>Beauty</v>
      </c>
      <c r="M575">
        <f>IFERROR(VLOOKUP(D575,Products!$A$2:$F$61,4,FALSE),"")</f>
        <v>675</v>
      </c>
      <c r="N575" t="str">
        <f>IFERROR(VLOOKUP(E575,Sales_Reps!$A$2:$E$31,3,FALSE),"")</f>
        <v>West</v>
      </c>
      <c r="O575" t="str">
        <f>IFERROR(VLOOKUP(C575,Customers!$A$2:$F$301,5,FALSE),"")</f>
        <v>Retail</v>
      </c>
      <c r="P575">
        <f>IFERROR(VLOOKUP(C575,Customers!$A$2:$F$301,3,FALSE),"")</f>
        <v>32</v>
      </c>
      <c r="Q575" s="41">
        <f t="shared" si="17"/>
        <v>0.296875</v>
      </c>
      <c r="R575" t="str">
        <f>IFERROR(VLOOKUP(C575,Customers!$A$2:$F$301,1,FALSE),"")</f>
        <v>CUST-0159</v>
      </c>
      <c r="S575" s="27" t="b">
        <f>IFERROR(VLOOKUP(D575,Products!$A$2:$F$61,6,FALSE),"")</f>
        <v>1</v>
      </c>
      <c r="BL575">
        <v>0</v>
      </c>
      <c r="BO575">
        <v>0</v>
      </c>
      <c r="BP575">
        <v>0</v>
      </c>
    </row>
    <row r="576" spans="1:68" x14ac:dyDescent="0.35">
      <c r="A576" s="26" t="str">
        <f>Orders!A576</f>
        <v>ORD-00575</v>
      </c>
      <c r="B576" s="33">
        <f>Orders!B576</f>
        <v>45478</v>
      </c>
      <c r="C576" t="str">
        <f>Orders!C576</f>
        <v>CUST-0064</v>
      </c>
      <c r="D576" t="str">
        <f>Orders!D576</f>
        <v>PROD-026</v>
      </c>
      <c r="E576" t="str">
        <f>Orders!E576</f>
        <v>R007</v>
      </c>
      <c r="F576">
        <f>Orders!F576</f>
        <v>2</v>
      </c>
      <c r="G576" s="35">
        <f>Orders!G576</f>
        <v>4070</v>
      </c>
      <c r="H576" s="37">
        <f>Orders!H576</f>
        <v>2.1</v>
      </c>
      <c r="I576" s="39">
        <f>Orders!I576</f>
        <v>7969.06</v>
      </c>
      <c r="J576" t="str">
        <f>Orders!J576</f>
        <v>Completed</v>
      </c>
      <c r="K576" t="str">
        <f>Orders!K576</f>
        <v>Hyderabad</v>
      </c>
      <c r="L576" t="str">
        <f>IFERROR(VLOOKUP(D576,Products!$A$2:$F$61,3,FALSE),"")</f>
        <v>Grocery</v>
      </c>
      <c r="M576">
        <f>IFERROR(VLOOKUP(D576,Products!$A$2:$F$61,4,FALSE),"")</f>
        <v>2027</v>
      </c>
      <c r="N576" t="str">
        <f>IFERROR(VLOOKUP(E576,Sales_Reps!$A$2:$E$31,3,FALSE),"")</f>
        <v>North</v>
      </c>
      <c r="O576" t="str">
        <f>IFERROR(VLOOKUP(C576,Customers!$A$2:$F$301,5,FALSE),"")</f>
        <v>SMB</v>
      </c>
      <c r="P576">
        <f>IFERROR(VLOOKUP(C576,Customers!$A$2:$F$301,3,FALSE),"")</f>
        <v>40</v>
      </c>
      <c r="Q576" s="41">
        <f t="shared" si="17"/>
        <v>0.50196560196560192</v>
      </c>
      <c r="R576" t="str">
        <f>IFERROR(VLOOKUP(C576,Customers!$A$2:$F$301,1,FALSE),"")</f>
        <v>CUST-0064</v>
      </c>
      <c r="S576" s="27" t="b">
        <f>IFERROR(VLOOKUP(D576,Products!$A$2:$F$61,6,FALSE),"")</f>
        <v>1</v>
      </c>
      <c r="BL576">
        <v>0</v>
      </c>
      <c r="BO576">
        <v>0</v>
      </c>
      <c r="BP576">
        <v>0</v>
      </c>
    </row>
    <row r="577" spans="1:68" x14ac:dyDescent="0.35">
      <c r="A577" s="26" t="str">
        <f>Orders!A577</f>
        <v>ORD-00576</v>
      </c>
      <c r="B577" s="33">
        <f>Orders!B577</f>
        <v>45358</v>
      </c>
      <c r="C577" t="str">
        <f>Orders!C577</f>
        <v>CUST-0272</v>
      </c>
      <c r="D577" t="str">
        <f>Orders!D577</f>
        <v>PROD-031</v>
      </c>
      <c r="E577" t="str">
        <f>Orders!E577</f>
        <v>R021</v>
      </c>
      <c r="F577">
        <f>Orders!F577</f>
        <v>5</v>
      </c>
      <c r="G577" s="35">
        <f>Orders!G577</f>
        <v>3730</v>
      </c>
      <c r="H577" s="37">
        <f>Orders!H577</f>
        <v>16.5</v>
      </c>
      <c r="I577" s="39">
        <f>Orders!I577</f>
        <v>15572.75</v>
      </c>
      <c r="J577" t="str">
        <f>Orders!J577</f>
        <v>Completed</v>
      </c>
      <c r="K577" t="str">
        <f>Orders!K577</f>
        <v>Mumbai</v>
      </c>
      <c r="L577" t="str">
        <f>IFERROR(VLOOKUP(D577,Products!$A$2:$F$61,3,FALSE),"")</f>
        <v>Home</v>
      </c>
      <c r="M577">
        <f>IFERROR(VLOOKUP(D577,Products!$A$2:$F$61,4,FALSE),"")</f>
        <v>2135</v>
      </c>
      <c r="N577" t="str">
        <f>IFERROR(VLOOKUP(E577,Sales_Reps!$A$2:$E$31,3,FALSE),"")</f>
        <v>East</v>
      </c>
      <c r="O577" t="str">
        <f>IFERROR(VLOOKUP(C577,Customers!$A$2:$F$301,5,FALSE),"")</f>
        <v>SMB</v>
      </c>
      <c r="P577">
        <f>IFERROR(VLOOKUP(C577,Customers!$A$2:$F$301,3,FALSE),"")</f>
        <v>47</v>
      </c>
      <c r="Q577" s="41">
        <f t="shared" si="17"/>
        <v>0.42761394101876676</v>
      </c>
      <c r="R577" t="str">
        <f>IFERROR(VLOOKUP(C577,Customers!$A$2:$F$301,1,FALSE),"")</f>
        <v>CUST-0272</v>
      </c>
      <c r="S577" s="27" t="b">
        <f>IFERROR(VLOOKUP(D577,Products!$A$2:$F$61,6,FALSE),"")</f>
        <v>1</v>
      </c>
      <c r="BL577">
        <v>0</v>
      </c>
      <c r="BO577">
        <v>0</v>
      </c>
      <c r="BP577">
        <v>0</v>
      </c>
    </row>
    <row r="578" spans="1:68" x14ac:dyDescent="0.35">
      <c r="A578" s="26" t="str">
        <f>Orders!A578</f>
        <v>ORD-00577</v>
      </c>
      <c r="B578" s="33">
        <f>Orders!B578</f>
        <v>45589</v>
      </c>
      <c r="C578" t="str">
        <f>Orders!C578</f>
        <v>CUST-0071</v>
      </c>
      <c r="D578" t="str">
        <f>Orders!D578</f>
        <v>PROD-055</v>
      </c>
      <c r="E578" t="str">
        <f>Orders!E578</f>
        <v>R022</v>
      </c>
      <c r="F578">
        <f>Orders!F578</f>
        <v>1</v>
      </c>
      <c r="G578" s="35">
        <f>Orders!G578</f>
        <v>2860</v>
      </c>
      <c r="H578" s="37">
        <f>Orders!H578</f>
        <v>10.4</v>
      </c>
      <c r="I578" s="39">
        <f>Orders!I578</f>
        <v>2562.56</v>
      </c>
      <c r="J578" t="str">
        <f>Orders!J578</f>
        <v>Cancelled</v>
      </c>
      <c r="K578" t="str">
        <f>Orders!K578</f>
        <v>Delhi</v>
      </c>
      <c r="L578" t="str">
        <f>IFERROR(VLOOKUP(D578,Products!$A$2:$F$61,3,FALSE),"")</f>
        <v>Sports</v>
      </c>
      <c r="M578">
        <f>IFERROR(VLOOKUP(D578,Products!$A$2:$F$61,4,FALSE),"")</f>
        <v>2028</v>
      </c>
      <c r="N578" t="str">
        <f>IFERROR(VLOOKUP(E578,Sales_Reps!$A$2:$E$31,3,FALSE),"")</f>
        <v>East</v>
      </c>
      <c r="O578" t="str">
        <f>IFERROR(VLOOKUP(C578,Customers!$A$2:$F$301,5,FALSE),"")</f>
        <v>Corporate</v>
      </c>
      <c r="P578">
        <f>IFERROR(VLOOKUP(C578,Customers!$A$2:$F$301,3,FALSE),"")</f>
        <v>46</v>
      </c>
      <c r="Q578" s="41">
        <f t="shared" ref="Q578:Q641" si="18">IFERROR((G578-M578)/G578,0)</f>
        <v>0.29090909090909089</v>
      </c>
      <c r="R578" t="str">
        <f>IFERROR(VLOOKUP(C578,Customers!$A$2:$F$301,1,FALSE),"")</f>
        <v>CUST-0071</v>
      </c>
      <c r="S578" s="27" t="b">
        <f>IFERROR(VLOOKUP(D578,Products!$A$2:$F$61,6,FALSE),"")</f>
        <v>1</v>
      </c>
      <c r="BL578">
        <v>0</v>
      </c>
      <c r="BO578">
        <v>0</v>
      </c>
      <c r="BP578">
        <v>0</v>
      </c>
    </row>
    <row r="579" spans="1:68" x14ac:dyDescent="0.35">
      <c r="A579" s="26" t="str">
        <f>Orders!A579</f>
        <v>ORD-00578</v>
      </c>
      <c r="B579" s="33">
        <f>Orders!B579</f>
        <v>45507</v>
      </c>
      <c r="C579" t="str">
        <f>Orders!C579</f>
        <v>CUST-0045</v>
      </c>
      <c r="D579" t="str">
        <f>Orders!D579</f>
        <v>PROD-046</v>
      </c>
      <c r="E579" t="str">
        <f>Orders!E579</f>
        <v>R018</v>
      </c>
      <c r="F579">
        <f>Orders!F579</f>
        <v>4</v>
      </c>
      <c r="G579" s="35">
        <f>Orders!G579</f>
        <v>4880</v>
      </c>
      <c r="H579" s="37">
        <f>Orders!H579</f>
        <v>27.5</v>
      </c>
      <c r="I579" s="39">
        <f>Orders!I579</f>
        <v>14152</v>
      </c>
      <c r="J579" t="str">
        <f>Orders!J579</f>
        <v>Pending</v>
      </c>
      <c r="K579" t="str">
        <f>Orders!K579</f>
        <v>Chennai</v>
      </c>
      <c r="L579" t="str">
        <f>IFERROR(VLOOKUP(D579,Products!$A$2:$F$61,3,FALSE),"")</f>
        <v>Beauty</v>
      </c>
      <c r="M579">
        <f>IFERROR(VLOOKUP(D579,Products!$A$2:$F$61,4,FALSE),"")</f>
        <v>2768</v>
      </c>
      <c r="N579" t="str">
        <f>IFERROR(VLOOKUP(E579,Sales_Reps!$A$2:$E$31,3,FALSE),"")</f>
        <v>East</v>
      </c>
      <c r="O579" t="str">
        <f>IFERROR(VLOOKUP(C579,Customers!$A$2:$F$301,5,FALSE),"")</f>
        <v>SMB</v>
      </c>
      <c r="P579">
        <f>IFERROR(VLOOKUP(C579,Customers!$A$2:$F$301,3,FALSE),"")</f>
        <v>39</v>
      </c>
      <c r="Q579" s="41">
        <f t="shared" si="18"/>
        <v>0.43278688524590164</v>
      </c>
      <c r="R579" t="str">
        <f>IFERROR(VLOOKUP(C579,Customers!$A$2:$F$301,1,FALSE),"")</f>
        <v>CUST-0045</v>
      </c>
      <c r="S579" s="27" t="b">
        <f>IFERROR(VLOOKUP(D579,Products!$A$2:$F$61,6,FALSE),"")</f>
        <v>1</v>
      </c>
      <c r="BL579">
        <v>0</v>
      </c>
      <c r="BO579">
        <v>0</v>
      </c>
      <c r="BP579">
        <v>0</v>
      </c>
    </row>
    <row r="580" spans="1:68" x14ac:dyDescent="0.35">
      <c r="A580" s="26" t="str">
        <f>Orders!A580</f>
        <v>ORD-00579</v>
      </c>
      <c r="B580" s="33">
        <f>Orders!B580</f>
        <v>45470</v>
      </c>
      <c r="C580" t="str">
        <f>Orders!C580</f>
        <v>CUST-0148</v>
      </c>
      <c r="D580" t="str">
        <f>Orders!D580</f>
        <v>PROD-022</v>
      </c>
      <c r="E580" t="str">
        <f>Orders!E580</f>
        <v>R022</v>
      </c>
      <c r="F580">
        <f>Orders!F580</f>
        <v>3</v>
      </c>
      <c r="G580" s="35">
        <f>Orders!G580</f>
        <v>2270</v>
      </c>
      <c r="H580" s="37">
        <f>Orders!H580</f>
        <v>6.7</v>
      </c>
      <c r="I580" s="39">
        <f>Orders!I580</f>
        <v>6353.73</v>
      </c>
      <c r="J580" t="str">
        <f>Orders!J580</f>
        <v>Completed</v>
      </c>
      <c r="K580" t="str">
        <f>Orders!K580</f>
        <v>Chennai</v>
      </c>
      <c r="L580" t="str">
        <f>IFERROR(VLOOKUP(D580,Products!$A$2:$F$61,3,FALSE),"")</f>
        <v>Grocery</v>
      </c>
      <c r="M580">
        <f>IFERROR(VLOOKUP(D580,Products!$A$2:$F$61,4,FALSE),"")</f>
        <v>1412</v>
      </c>
      <c r="N580" t="str">
        <f>IFERROR(VLOOKUP(E580,Sales_Reps!$A$2:$E$31,3,FALSE),"")</f>
        <v>East</v>
      </c>
      <c r="O580" t="str">
        <f>IFERROR(VLOOKUP(C580,Customers!$A$2:$F$301,5,FALSE),"")</f>
        <v>Retail</v>
      </c>
      <c r="P580">
        <f>IFERROR(VLOOKUP(C580,Customers!$A$2:$F$301,3,FALSE),"")</f>
        <v>32</v>
      </c>
      <c r="Q580" s="41">
        <f t="shared" si="18"/>
        <v>0.37797356828193834</v>
      </c>
      <c r="R580" t="str">
        <f>IFERROR(VLOOKUP(C580,Customers!$A$2:$F$301,1,FALSE),"")</f>
        <v>CUST-0148</v>
      </c>
      <c r="S580" s="27" t="b">
        <f>IFERROR(VLOOKUP(D580,Products!$A$2:$F$61,6,FALSE),"")</f>
        <v>1</v>
      </c>
      <c r="BL580">
        <v>0</v>
      </c>
      <c r="BO580">
        <v>0</v>
      </c>
      <c r="BP580">
        <v>0</v>
      </c>
    </row>
    <row r="581" spans="1:68" x14ac:dyDescent="0.35">
      <c r="A581" s="26" t="str">
        <f>Orders!A581</f>
        <v>ORD-00580</v>
      </c>
      <c r="B581" s="33">
        <f>Orders!B581</f>
        <v>45589</v>
      </c>
      <c r="C581" t="str">
        <f>Orders!C581</f>
        <v>CUST-0097</v>
      </c>
      <c r="D581" t="str">
        <f>Orders!D581</f>
        <v>PROD-025</v>
      </c>
      <c r="E581" t="str">
        <f>Orders!E581</f>
        <v>R007</v>
      </c>
      <c r="F581">
        <f>Orders!F581</f>
        <v>10</v>
      </c>
      <c r="G581" s="35">
        <f>Orders!G581</f>
        <v>4060</v>
      </c>
      <c r="H581" s="37">
        <f>Orders!H581</f>
        <v>3.6</v>
      </c>
      <c r="I581" s="39">
        <f>Orders!I581</f>
        <v>39138.400000000001</v>
      </c>
      <c r="J581" t="str">
        <f>Orders!J581</f>
        <v>Pending</v>
      </c>
      <c r="K581" t="str">
        <f>Orders!K581</f>
        <v>Mumbai</v>
      </c>
      <c r="L581" t="str">
        <f>IFERROR(VLOOKUP(D581,Products!$A$2:$F$61,3,FALSE),"")</f>
        <v>Grocery</v>
      </c>
      <c r="M581">
        <f>IFERROR(VLOOKUP(D581,Products!$A$2:$F$61,4,FALSE),"")</f>
        <v>2911</v>
      </c>
      <c r="N581" t="str">
        <f>IFERROR(VLOOKUP(E581,Sales_Reps!$A$2:$E$31,3,FALSE),"")</f>
        <v>North</v>
      </c>
      <c r="O581" t="str">
        <f>IFERROR(VLOOKUP(C581,Customers!$A$2:$F$301,5,FALSE),"")</f>
        <v>Retail</v>
      </c>
      <c r="P581">
        <f>IFERROR(VLOOKUP(C581,Customers!$A$2:$F$301,3,FALSE),"")</f>
        <v>65</v>
      </c>
      <c r="Q581" s="41">
        <f t="shared" si="18"/>
        <v>0.28300492610837441</v>
      </c>
      <c r="R581" t="str">
        <f>IFERROR(VLOOKUP(C581,Customers!$A$2:$F$301,1,FALSE),"")</f>
        <v>CUST-0097</v>
      </c>
      <c r="S581" s="27" t="b">
        <f>IFERROR(VLOOKUP(D581,Products!$A$2:$F$61,6,FALSE),"")</f>
        <v>1</v>
      </c>
      <c r="BL581">
        <v>0</v>
      </c>
      <c r="BO581">
        <v>0</v>
      </c>
      <c r="BP581">
        <v>0</v>
      </c>
    </row>
    <row r="582" spans="1:68" x14ac:dyDescent="0.35">
      <c r="A582" s="26" t="str">
        <f>Orders!A582</f>
        <v>ORD-00581</v>
      </c>
      <c r="B582" s="33">
        <f>Orders!B582</f>
        <v>45433</v>
      </c>
      <c r="C582" t="str">
        <f>Orders!C582</f>
        <v>CUST-0151</v>
      </c>
      <c r="D582" t="str">
        <f>Orders!D582</f>
        <v>PROD-010</v>
      </c>
      <c r="E582" t="str">
        <f>Orders!E582</f>
        <v>R004</v>
      </c>
      <c r="F582">
        <f>Orders!F582</f>
        <v>8</v>
      </c>
      <c r="G582" s="35">
        <f>Orders!G582</f>
        <v>2640</v>
      </c>
      <c r="H582" s="37">
        <f>Orders!H582</f>
        <v>28.8</v>
      </c>
      <c r="I582" s="39">
        <f>Orders!I582</f>
        <v>15037.44</v>
      </c>
      <c r="J582" t="str">
        <f>Orders!J582</f>
        <v>Completed</v>
      </c>
      <c r="K582" t="str">
        <f>Orders!K582</f>
        <v>Mumbai</v>
      </c>
      <c r="L582" t="str">
        <f>IFERROR(VLOOKUP(D582,Products!$A$2:$F$61,3,FALSE),"")</f>
        <v>Electronics</v>
      </c>
      <c r="M582">
        <f>IFERROR(VLOOKUP(D582,Products!$A$2:$F$61,4,FALSE),"")</f>
        <v>1149</v>
      </c>
      <c r="N582" t="str">
        <f>IFERROR(VLOOKUP(E582,Sales_Reps!$A$2:$E$31,3,FALSE),"")</f>
        <v>North</v>
      </c>
      <c r="O582" t="str">
        <f>IFERROR(VLOOKUP(C582,Customers!$A$2:$F$301,5,FALSE),"")</f>
        <v>Retail</v>
      </c>
      <c r="P582">
        <f>IFERROR(VLOOKUP(C582,Customers!$A$2:$F$301,3,FALSE),"")</f>
        <v>53</v>
      </c>
      <c r="Q582" s="41">
        <f t="shared" si="18"/>
        <v>0.56477272727272732</v>
      </c>
      <c r="R582" t="str">
        <f>IFERROR(VLOOKUP(C582,Customers!$A$2:$F$301,1,FALSE),"")</f>
        <v>CUST-0151</v>
      </c>
      <c r="S582" s="27" t="b">
        <f>IFERROR(VLOOKUP(D582,Products!$A$2:$F$61,6,FALSE),"")</f>
        <v>1</v>
      </c>
      <c r="BL582">
        <v>0</v>
      </c>
      <c r="BO582">
        <v>0</v>
      </c>
      <c r="BP582">
        <v>0</v>
      </c>
    </row>
    <row r="583" spans="1:68" x14ac:dyDescent="0.35">
      <c r="A583" s="26" t="str">
        <f>Orders!A583</f>
        <v>ORD-00582</v>
      </c>
      <c r="B583" s="33">
        <f>Orders!B583</f>
        <v>45477</v>
      </c>
      <c r="C583" t="str">
        <f>Orders!C583</f>
        <v>CUST-0048</v>
      </c>
      <c r="D583" t="str">
        <f>Orders!D583</f>
        <v>PROD-031</v>
      </c>
      <c r="E583" t="str">
        <f>Orders!E583</f>
        <v>R012</v>
      </c>
      <c r="F583">
        <f>Orders!F583</f>
        <v>6</v>
      </c>
      <c r="G583" s="35">
        <f>Orders!G583</f>
        <v>3730</v>
      </c>
      <c r="H583" s="37">
        <f>Orders!H583</f>
        <v>21.9</v>
      </c>
      <c r="I583" s="39">
        <f>Orders!I583</f>
        <v>17478.78</v>
      </c>
      <c r="J583" t="str">
        <f>Orders!J583</f>
        <v>Completed</v>
      </c>
      <c r="K583" t="str">
        <f>Orders!K583</f>
        <v>Delhi</v>
      </c>
      <c r="L583" t="str">
        <f>IFERROR(VLOOKUP(D583,Products!$A$2:$F$61,3,FALSE),"")</f>
        <v>Home</v>
      </c>
      <c r="M583">
        <f>IFERROR(VLOOKUP(D583,Products!$A$2:$F$61,4,FALSE),"")</f>
        <v>2135</v>
      </c>
      <c r="N583" t="str">
        <f>IFERROR(VLOOKUP(E583,Sales_Reps!$A$2:$E$31,3,FALSE),"")</f>
        <v>South</v>
      </c>
      <c r="O583" t="str">
        <f>IFERROR(VLOOKUP(C583,Customers!$A$2:$F$301,5,FALSE),"")</f>
        <v>Retail</v>
      </c>
      <c r="P583">
        <f>IFERROR(VLOOKUP(C583,Customers!$A$2:$F$301,3,FALSE),"")</f>
        <v>59</v>
      </c>
      <c r="Q583" s="41">
        <f t="shared" si="18"/>
        <v>0.42761394101876676</v>
      </c>
      <c r="R583" t="str">
        <f>IFERROR(VLOOKUP(C583,Customers!$A$2:$F$301,1,FALSE),"")</f>
        <v>CUST-0048</v>
      </c>
      <c r="S583" s="27" t="b">
        <f>IFERROR(VLOOKUP(D583,Products!$A$2:$F$61,6,FALSE),"")</f>
        <v>1</v>
      </c>
      <c r="BL583">
        <v>0</v>
      </c>
      <c r="BO583">
        <v>0</v>
      </c>
      <c r="BP583">
        <v>0</v>
      </c>
    </row>
    <row r="584" spans="1:68" x14ac:dyDescent="0.35">
      <c r="A584" s="26" t="str">
        <f>Orders!A584</f>
        <v>ORD-00583</v>
      </c>
      <c r="B584" s="33">
        <f>Orders!B584</f>
        <v>45443</v>
      </c>
      <c r="C584" t="str">
        <f>Orders!C584</f>
        <v>CUST-0048</v>
      </c>
      <c r="D584" t="str">
        <f>Orders!D584</f>
        <v>PROD-001</v>
      </c>
      <c r="E584" t="str">
        <f>Orders!E584</f>
        <v>R006</v>
      </c>
      <c r="F584">
        <f>Orders!F584</f>
        <v>9</v>
      </c>
      <c r="G584" s="35">
        <f>Orders!G584</f>
        <v>5330</v>
      </c>
      <c r="H584" s="37">
        <f>Orders!H584</f>
        <v>29.4</v>
      </c>
      <c r="I584" s="39">
        <f>Orders!I584</f>
        <v>33866.82</v>
      </c>
      <c r="J584" t="str">
        <f>Orders!J584</f>
        <v>Cancelled</v>
      </c>
      <c r="K584" t="str">
        <f>Orders!K584</f>
        <v>Delhi</v>
      </c>
      <c r="L584" t="str">
        <f>IFERROR(VLOOKUP(D584,Products!$A$2:$F$61,3,FALSE),"")</f>
        <v>Electronics</v>
      </c>
      <c r="M584">
        <f>IFERROR(VLOOKUP(D584,Products!$A$2:$F$61,4,FALSE),"")</f>
        <v>2405</v>
      </c>
      <c r="N584" t="str">
        <f>IFERROR(VLOOKUP(E584,Sales_Reps!$A$2:$E$31,3,FALSE),"")</f>
        <v>North</v>
      </c>
      <c r="O584" t="str">
        <f>IFERROR(VLOOKUP(C584,Customers!$A$2:$F$301,5,FALSE),"")</f>
        <v>Retail</v>
      </c>
      <c r="P584">
        <f>IFERROR(VLOOKUP(C584,Customers!$A$2:$F$301,3,FALSE),"")</f>
        <v>59</v>
      </c>
      <c r="Q584" s="41">
        <f t="shared" si="18"/>
        <v>0.54878048780487809</v>
      </c>
      <c r="R584" t="str">
        <f>IFERROR(VLOOKUP(C584,Customers!$A$2:$F$301,1,FALSE),"")</f>
        <v>CUST-0048</v>
      </c>
      <c r="S584" s="27" t="b">
        <f>IFERROR(VLOOKUP(D584,Products!$A$2:$F$61,6,FALSE),"")</f>
        <v>1</v>
      </c>
      <c r="BL584">
        <v>0</v>
      </c>
      <c r="BO584">
        <v>0</v>
      </c>
      <c r="BP584">
        <v>0</v>
      </c>
    </row>
    <row r="585" spans="1:68" x14ac:dyDescent="0.35">
      <c r="A585" s="26" t="str">
        <f>Orders!A585</f>
        <v>ORD-00584</v>
      </c>
      <c r="B585" s="33">
        <f>Orders!B585</f>
        <v>45322</v>
      </c>
      <c r="C585" t="str">
        <f>Orders!C585</f>
        <v>CUST-0156</v>
      </c>
      <c r="D585" t="str">
        <f>Orders!D585</f>
        <v>PROD-011</v>
      </c>
      <c r="E585" t="str">
        <f>Orders!E585</f>
        <v>R027</v>
      </c>
      <c r="F585">
        <f>Orders!F585</f>
        <v>1</v>
      </c>
      <c r="G585" s="35">
        <f>Orders!G585</f>
        <v>3450</v>
      </c>
      <c r="H585" s="37">
        <f>Orders!H585</f>
        <v>23.3</v>
      </c>
      <c r="I585" s="39">
        <f>Orders!I585</f>
        <v>2646.15</v>
      </c>
      <c r="J585" t="str">
        <f>Orders!J585</f>
        <v>Completed</v>
      </c>
      <c r="K585" t="str">
        <f>Orders!K585</f>
        <v>Mumbai</v>
      </c>
      <c r="L585" t="str">
        <f>IFERROR(VLOOKUP(D585,Products!$A$2:$F$61,3,FALSE),"")</f>
        <v>Apparel</v>
      </c>
      <c r="M585">
        <f>IFERROR(VLOOKUP(D585,Products!$A$2:$F$61,4,FALSE),"")</f>
        <v>1748</v>
      </c>
      <c r="N585" t="str">
        <f>IFERROR(VLOOKUP(E585,Sales_Reps!$A$2:$E$31,3,FALSE),"")</f>
        <v>West</v>
      </c>
      <c r="O585" t="str">
        <f>IFERROR(VLOOKUP(C585,Customers!$A$2:$F$301,5,FALSE),"")</f>
        <v>Retail</v>
      </c>
      <c r="P585">
        <f>IFERROR(VLOOKUP(C585,Customers!$A$2:$F$301,3,FALSE),"")</f>
        <v>33</v>
      </c>
      <c r="Q585" s="41">
        <f t="shared" si="18"/>
        <v>0.49333333333333335</v>
      </c>
      <c r="R585" t="str">
        <f>IFERROR(VLOOKUP(C585,Customers!$A$2:$F$301,1,FALSE),"")</f>
        <v>CUST-0156</v>
      </c>
      <c r="S585" s="27" t="b">
        <f>IFERROR(VLOOKUP(D585,Products!$A$2:$F$61,6,FALSE),"")</f>
        <v>1</v>
      </c>
      <c r="BL585">
        <v>0</v>
      </c>
      <c r="BO585">
        <v>0</v>
      </c>
      <c r="BP585">
        <v>0</v>
      </c>
    </row>
    <row r="586" spans="1:68" x14ac:dyDescent="0.35">
      <c r="A586" s="26" t="str">
        <f>Orders!A586</f>
        <v>ORD-00585</v>
      </c>
      <c r="B586" s="33">
        <f>Orders!B586</f>
        <v>45544</v>
      </c>
      <c r="C586" t="str">
        <f>Orders!C586</f>
        <v>CUST-0022</v>
      </c>
      <c r="D586" t="str">
        <f>Orders!D586</f>
        <v>PROD-050</v>
      </c>
      <c r="E586" t="str">
        <f>Orders!E586</f>
        <v>R017</v>
      </c>
      <c r="F586">
        <f>Orders!F586</f>
        <v>3</v>
      </c>
      <c r="G586" s="35">
        <f>Orders!G586</f>
        <v>6080</v>
      </c>
      <c r="H586" s="37">
        <f>Orders!H586</f>
        <v>14.5</v>
      </c>
      <c r="I586" s="39">
        <f>Orders!I586</f>
        <v>15595.2</v>
      </c>
      <c r="J586" t="str">
        <f>Orders!J586</f>
        <v>Completed</v>
      </c>
      <c r="K586" t="str">
        <f>Orders!K586</f>
        <v>Bengaluru</v>
      </c>
      <c r="L586" t="str">
        <f>IFERROR(VLOOKUP(D586,Products!$A$2:$F$61,3,FALSE),"")</f>
        <v>Beauty</v>
      </c>
      <c r="M586">
        <f>IFERROR(VLOOKUP(D586,Products!$A$2:$F$61,4,FALSE),"")</f>
        <v>2617</v>
      </c>
      <c r="N586" t="str">
        <f>IFERROR(VLOOKUP(E586,Sales_Reps!$A$2:$E$31,3,FALSE),"")</f>
        <v>East</v>
      </c>
      <c r="O586" t="str">
        <f>IFERROR(VLOOKUP(C586,Customers!$A$2:$F$301,5,FALSE),"")</f>
        <v>Corporate</v>
      </c>
      <c r="P586">
        <f>IFERROR(VLOOKUP(C586,Customers!$A$2:$F$301,3,FALSE),"")</f>
        <v>55</v>
      </c>
      <c r="Q586" s="41">
        <f t="shared" si="18"/>
        <v>0.56957236842105263</v>
      </c>
      <c r="R586" t="str">
        <f>IFERROR(VLOOKUP(C586,Customers!$A$2:$F$301,1,FALSE),"")</f>
        <v>CUST-0022</v>
      </c>
      <c r="S586" s="27" t="b">
        <f>IFERROR(VLOOKUP(D586,Products!$A$2:$F$61,6,FALSE),"")</f>
        <v>1</v>
      </c>
      <c r="BL586">
        <v>0</v>
      </c>
      <c r="BO586">
        <v>0</v>
      </c>
      <c r="BP586">
        <v>0</v>
      </c>
    </row>
    <row r="587" spans="1:68" x14ac:dyDescent="0.35">
      <c r="A587" s="26" t="str">
        <f>Orders!A587</f>
        <v>ORD-00586</v>
      </c>
      <c r="B587" s="33">
        <f>Orders!B587</f>
        <v>45609</v>
      </c>
      <c r="C587" t="str">
        <f>Orders!C587</f>
        <v>CUST-0193</v>
      </c>
      <c r="D587" t="str">
        <f>Orders!D587</f>
        <v>PROD-031</v>
      </c>
      <c r="E587" t="str">
        <f>Orders!E587</f>
        <v>R002</v>
      </c>
      <c r="F587">
        <f>Orders!F587</f>
        <v>4</v>
      </c>
      <c r="G587" s="35">
        <f>Orders!G587</f>
        <v>3730</v>
      </c>
      <c r="H587" s="37">
        <f>Orders!H587</f>
        <v>3.4</v>
      </c>
      <c r="I587" s="39">
        <f>Orders!I587</f>
        <v>14412.72</v>
      </c>
      <c r="J587" t="str">
        <f>Orders!J587</f>
        <v>Cancelled</v>
      </c>
      <c r="K587" t="str">
        <f>Orders!K587</f>
        <v>Bengaluru</v>
      </c>
      <c r="L587" t="str">
        <f>IFERROR(VLOOKUP(D587,Products!$A$2:$F$61,3,FALSE),"")</f>
        <v>Home</v>
      </c>
      <c r="M587">
        <f>IFERROR(VLOOKUP(D587,Products!$A$2:$F$61,4,FALSE),"")</f>
        <v>2135</v>
      </c>
      <c r="N587" t="str">
        <f>IFERROR(VLOOKUP(E587,Sales_Reps!$A$2:$E$31,3,FALSE),"")</f>
        <v>North</v>
      </c>
      <c r="O587" t="str">
        <f>IFERROR(VLOOKUP(C587,Customers!$A$2:$F$301,5,FALSE),"")</f>
        <v>Retail</v>
      </c>
      <c r="P587">
        <f>IFERROR(VLOOKUP(C587,Customers!$A$2:$F$301,3,FALSE),"")</f>
        <v>42</v>
      </c>
      <c r="Q587" s="41">
        <f t="shared" si="18"/>
        <v>0.42761394101876676</v>
      </c>
      <c r="R587" t="str">
        <f>IFERROR(VLOOKUP(C587,Customers!$A$2:$F$301,1,FALSE),"")</f>
        <v>CUST-0193</v>
      </c>
      <c r="S587" s="27" t="b">
        <f>IFERROR(VLOOKUP(D587,Products!$A$2:$F$61,6,FALSE),"")</f>
        <v>1</v>
      </c>
      <c r="BL587">
        <v>0</v>
      </c>
      <c r="BO587">
        <v>0</v>
      </c>
      <c r="BP587">
        <v>0</v>
      </c>
    </row>
    <row r="588" spans="1:68" x14ac:dyDescent="0.35">
      <c r="A588" s="26" t="str">
        <f>Orders!A588</f>
        <v>ORD-00587</v>
      </c>
      <c r="B588" s="33">
        <f>Orders!B588</f>
        <v>45491</v>
      </c>
      <c r="C588" t="str">
        <f>Orders!C588</f>
        <v>CUST-0189</v>
      </c>
      <c r="D588" t="str">
        <f>Orders!D588</f>
        <v>PROD-008</v>
      </c>
      <c r="E588" t="str">
        <f>Orders!E588</f>
        <v>R022</v>
      </c>
      <c r="F588">
        <f>Orders!F588</f>
        <v>10</v>
      </c>
      <c r="G588" s="35">
        <f>Orders!G588</f>
        <v>2660</v>
      </c>
      <c r="H588" s="37">
        <f>Orders!H588</f>
        <v>2.1</v>
      </c>
      <c r="I588" s="39">
        <f>Orders!I588</f>
        <v>26041.4</v>
      </c>
      <c r="J588" t="str">
        <f>Orders!J588</f>
        <v>Completed</v>
      </c>
      <c r="K588" t="str">
        <f>Orders!K588</f>
        <v>Chennai</v>
      </c>
      <c r="L588" t="str">
        <f>IFERROR(VLOOKUP(D588,Products!$A$2:$F$61,3,FALSE),"")</f>
        <v>Electronics</v>
      </c>
      <c r="M588">
        <f>IFERROR(VLOOKUP(D588,Products!$A$2:$F$61,4,FALSE),"")</f>
        <v>1259</v>
      </c>
      <c r="N588" t="str">
        <f>IFERROR(VLOOKUP(E588,Sales_Reps!$A$2:$E$31,3,FALSE),"")</f>
        <v>East</v>
      </c>
      <c r="O588" t="str">
        <f>IFERROR(VLOOKUP(C588,Customers!$A$2:$F$301,5,FALSE),"")</f>
        <v>Retail</v>
      </c>
      <c r="P588">
        <f>IFERROR(VLOOKUP(C588,Customers!$A$2:$F$301,3,FALSE),"")</f>
        <v>41</v>
      </c>
      <c r="Q588" s="41">
        <f t="shared" si="18"/>
        <v>0.52669172932330832</v>
      </c>
      <c r="R588" t="str">
        <f>IFERROR(VLOOKUP(C588,Customers!$A$2:$F$301,1,FALSE),"")</f>
        <v>CUST-0189</v>
      </c>
      <c r="S588" s="27" t="b">
        <f>IFERROR(VLOOKUP(D588,Products!$A$2:$F$61,6,FALSE),"")</f>
        <v>0</v>
      </c>
      <c r="BL588">
        <v>0</v>
      </c>
      <c r="BO588">
        <v>0</v>
      </c>
      <c r="BP588">
        <v>1</v>
      </c>
    </row>
    <row r="589" spans="1:68" x14ac:dyDescent="0.35">
      <c r="A589" s="26" t="str">
        <f>Orders!A589</f>
        <v>ORD-00588</v>
      </c>
      <c r="B589" s="33">
        <f>Orders!B589</f>
        <v>45373</v>
      </c>
      <c r="C589" t="str">
        <f>Orders!C589</f>
        <v>CUST-0101</v>
      </c>
      <c r="D589" t="str">
        <f>Orders!D589</f>
        <v>PROD-029</v>
      </c>
      <c r="E589" t="str">
        <f>Orders!E589</f>
        <v>R021</v>
      </c>
      <c r="F589">
        <f>Orders!F589</f>
        <v>7</v>
      </c>
      <c r="G589" s="35">
        <f>Orders!G589</f>
        <v>2210</v>
      </c>
      <c r="H589" s="37">
        <f>Orders!H589</f>
        <v>17.100000000000001</v>
      </c>
      <c r="I589" s="39">
        <f>Orders!I589</f>
        <v>12824.63</v>
      </c>
      <c r="J589" t="str">
        <f>Orders!J589</f>
        <v>Completed</v>
      </c>
      <c r="K589" t="str">
        <f>Orders!K589</f>
        <v>Hyderabad</v>
      </c>
      <c r="L589" t="str">
        <f>IFERROR(VLOOKUP(D589,Products!$A$2:$F$61,3,FALSE),"")</f>
        <v>Grocery</v>
      </c>
      <c r="M589">
        <f>IFERROR(VLOOKUP(D589,Products!$A$2:$F$61,4,FALSE),"")</f>
        <v>1010</v>
      </c>
      <c r="N589" t="str">
        <f>IFERROR(VLOOKUP(E589,Sales_Reps!$A$2:$E$31,3,FALSE),"")</f>
        <v>East</v>
      </c>
      <c r="O589" t="str">
        <f>IFERROR(VLOOKUP(C589,Customers!$A$2:$F$301,5,FALSE),"")</f>
        <v>SMB</v>
      </c>
      <c r="P589">
        <f>IFERROR(VLOOKUP(C589,Customers!$A$2:$F$301,3,FALSE),"")</f>
        <v>40</v>
      </c>
      <c r="Q589" s="41">
        <f t="shared" si="18"/>
        <v>0.54298642533936647</v>
      </c>
      <c r="R589" t="str">
        <f>IFERROR(VLOOKUP(C589,Customers!$A$2:$F$301,1,FALSE),"")</f>
        <v>CUST-0101</v>
      </c>
      <c r="S589" s="27" t="b">
        <f>IFERROR(VLOOKUP(D589,Products!$A$2:$F$61,6,FALSE),"")</f>
        <v>1</v>
      </c>
      <c r="BL589">
        <v>0</v>
      </c>
      <c r="BO589">
        <v>0</v>
      </c>
      <c r="BP589">
        <v>0</v>
      </c>
    </row>
    <row r="590" spans="1:68" x14ac:dyDescent="0.35">
      <c r="A590" s="26" t="str">
        <f>Orders!A590</f>
        <v>ORD-00589</v>
      </c>
      <c r="B590" s="33">
        <f>Orders!B590</f>
        <v>45607</v>
      </c>
      <c r="C590" t="str">
        <f>Orders!C590</f>
        <v>CUST-0006</v>
      </c>
      <c r="D590" t="str">
        <f>Orders!D590</f>
        <v>PROD-059</v>
      </c>
      <c r="E590" t="str">
        <f>Orders!E590</f>
        <v>R013</v>
      </c>
      <c r="F590">
        <f>Orders!F590</f>
        <v>6</v>
      </c>
      <c r="G590" s="35">
        <f>Orders!G590</f>
        <v>3780</v>
      </c>
      <c r="H590" s="37">
        <f>Orders!H590</f>
        <v>12.7</v>
      </c>
      <c r="I590" s="39">
        <f>Orders!I590</f>
        <v>19799.64</v>
      </c>
      <c r="J590" t="str">
        <f>Orders!J590</f>
        <v>Completed</v>
      </c>
      <c r="K590" t="str">
        <f>Orders!K590</f>
        <v>Pune</v>
      </c>
      <c r="L590" t="str">
        <f>IFERROR(VLOOKUP(D590,Products!$A$2:$F$61,3,FALSE),"")</f>
        <v>Sports</v>
      </c>
      <c r="M590">
        <f>IFERROR(VLOOKUP(D590,Products!$A$2:$F$61,4,FALSE),"")</f>
        <v>1860</v>
      </c>
      <c r="N590" t="str">
        <f>IFERROR(VLOOKUP(E590,Sales_Reps!$A$2:$E$31,3,FALSE),"")</f>
        <v>South</v>
      </c>
      <c r="O590" t="str">
        <f>IFERROR(VLOOKUP(C590,Customers!$A$2:$F$301,5,FALSE),"")</f>
        <v>SMB</v>
      </c>
      <c r="P590">
        <f>IFERROR(VLOOKUP(C590,Customers!$A$2:$F$301,3,FALSE),"")</f>
        <v>44</v>
      </c>
      <c r="Q590" s="41">
        <f t="shared" si="18"/>
        <v>0.50793650793650791</v>
      </c>
      <c r="R590" t="str">
        <f>IFERROR(VLOOKUP(C590,Customers!$A$2:$F$301,1,FALSE),"")</f>
        <v>CUST-0006</v>
      </c>
      <c r="S590" s="27" t="b">
        <f>IFERROR(VLOOKUP(D590,Products!$A$2:$F$61,6,FALSE),"")</f>
        <v>1</v>
      </c>
      <c r="BL590">
        <v>0</v>
      </c>
      <c r="BO590">
        <v>0</v>
      </c>
      <c r="BP590">
        <v>0</v>
      </c>
    </row>
    <row r="591" spans="1:68" x14ac:dyDescent="0.35">
      <c r="A591" s="26" t="str">
        <f>Orders!A591</f>
        <v>ORD-00590</v>
      </c>
      <c r="B591" s="33">
        <f>Orders!B591</f>
        <v>45412</v>
      </c>
      <c r="C591" t="str">
        <f>Orders!C591</f>
        <v>CUST-0235</v>
      </c>
      <c r="D591" t="str">
        <f>Orders!D591</f>
        <v>PROD-038</v>
      </c>
      <c r="E591" t="str">
        <f>Orders!E591</f>
        <v>R029</v>
      </c>
      <c r="F591">
        <f>Orders!F591</f>
        <v>4</v>
      </c>
      <c r="G591" s="35">
        <f>Orders!G591</f>
        <v>5490</v>
      </c>
      <c r="H591" s="37">
        <f>Orders!H591</f>
        <v>26.9</v>
      </c>
      <c r="I591" s="39">
        <f>Orders!I591</f>
        <v>16052.76</v>
      </c>
      <c r="J591" t="str">
        <f>Orders!J591</f>
        <v>Completed</v>
      </c>
      <c r="K591" t="str">
        <f>Orders!K591</f>
        <v>Chennai</v>
      </c>
      <c r="L591" t="str">
        <f>IFERROR(VLOOKUP(D591,Products!$A$2:$F$61,3,FALSE),"")</f>
        <v>Home</v>
      </c>
      <c r="M591">
        <f>IFERROR(VLOOKUP(D591,Products!$A$2:$F$61,4,FALSE),"")</f>
        <v>2549</v>
      </c>
      <c r="N591" t="str">
        <f>IFERROR(VLOOKUP(E591,Sales_Reps!$A$2:$E$31,3,FALSE),"")</f>
        <v>West</v>
      </c>
      <c r="O591" t="str">
        <f>IFERROR(VLOOKUP(C591,Customers!$A$2:$F$301,5,FALSE),"")</f>
        <v>Retail</v>
      </c>
      <c r="P591">
        <f>IFERROR(VLOOKUP(C591,Customers!$A$2:$F$301,3,FALSE),"")</f>
        <v>31</v>
      </c>
      <c r="Q591" s="41">
        <f t="shared" si="18"/>
        <v>0.53570127504553733</v>
      </c>
      <c r="R591" t="str">
        <f>IFERROR(VLOOKUP(C591,Customers!$A$2:$F$301,1,FALSE),"")</f>
        <v>CUST-0235</v>
      </c>
      <c r="S591" s="27" t="b">
        <f>IFERROR(VLOOKUP(D591,Products!$A$2:$F$61,6,FALSE),"")</f>
        <v>1</v>
      </c>
      <c r="BL591">
        <v>0</v>
      </c>
      <c r="BO591">
        <v>0</v>
      </c>
      <c r="BP591">
        <v>0</v>
      </c>
    </row>
    <row r="592" spans="1:68" x14ac:dyDescent="0.35">
      <c r="A592" s="26" t="str">
        <f>Orders!A592</f>
        <v>ORD-00591</v>
      </c>
      <c r="B592" s="33">
        <f>Orders!B592</f>
        <v>45351</v>
      </c>
      <c r="C592" t="str">
        <f>Orders!C592</f>
        <v>CUST-0045</v>
      </c>
      <c r="D592" t="str">
        <f>Orders!D592</f>
        <v>PROD-008</v>
      </c>
      <c r="E592" t="str">
        <f>Orders!E592</f>
        <v>R013</v>
      </c>
      <c r="F592">
        <f>Orders!F592</f>
        <v>9</v>
      </c>
      <c r="G592" s="35">
        <f>Orders!G592</f>
        <v>2660</v>
      </c>
      <c r="H592" s="37">
        <f>Orders!H592</f>
        <v>21.9</v>
      </c>
      <c r="I592" s="39">
        <f>Orders!I592</f>
        <v>18697.14</v>
      </c>
      <c r="J592" t="str">
        <f>Orders!J592</f>
        <v>Completed</v>
      </c>
      <c r="K592" t="str">
        <f>Orders!K592</f>
        <v>Chennai</v>
      </c>
      <c r="L592" t="str">
        <f>IFERROR(VLOOKUP(D592,Products!$A$2:$F$61,3,FALSE),"")</f>
        <v>Electronics</v>
      </c>
      <c r="M592">
        <f>IFERROR(VLOOKUP(D592,Products!$A$2:$F$61,4,FALSE),"")</f>
        <v>1259</v>
      </c>
      <c r="N592" t="str">
        <f>IFERROR(VLOOKUP(E592,Sales_Reps!$A$2:$E$31,3,FALSE),"")</f>
        <v>South</v>
      </c>
      <c r="O592" t="str">
        <f>IFERROR(VLOOKUP(C592,Customers!$A$2:$F$301,5,FALSE),"")</f>
        <v>SMB</v>
      </c>
      <c r="P592">
        <f>IFERROR(VLOOKUP(C592,Customers!$A$2:$F$301,3,FALSE),"")</f>
        <v>39</v>
      </c>
      <c r="Q592" s="41">
        <f t="shared" si="18"/>
        <v>0.52669172932330832</v>
      </c>
      <c r="R592" t="str">
        <f>IFERROR(VLOOKUP(C592,Customers!$A$2:$F$301,1,FALSE),"")</f>
        <v>CUST-0045</v>
      </c>
      <c r="S592" s="27" t="b">
        <f>IFERROR(VLOOKUP(D592,Products!$A$2:$F$61,6,FALSE),"")</f>
        <v>0</v>
      </c>
      <c r="BL592">
        <v>0</v>
      </c>
      <c r="BO592">
        <v>0</v>
      </c>
      <c r="BP592">
        <v>1</v>
      </c>
    </row>
    <row r="593" spans="1:68" x14ac:dyDescent="0.35">
      <c r="A593" s="26" t="str">
        <f>Orders!A593</f>
        <v>ORD-00592</v>
      </c>
      <c r="B593" s="33">
        <f>Orders!B593</f>
        <v>45572</v>
      </c>
      <c r="C593" t="str">
        <f>Orders!C593</f>
        <v>CUST-0028</v>
      </c>
      <c r="D593" t="str">
        <f>Orders!D593</f>
        <v>PROD-056</v>
      </c>
      <c r="E593" t="str">
        <f>Orders!E593</f>
        <v>R028</v>
      </c>
      <c r="F593">
        <f>Orders!F593</f>
        <v>9</v>
      </c>
      <c r="G593" s="35">
        <f>Orders!G593</f>
        <v>6940</v>
      </c>
      <c r="H593" s="37">
        <f>Orders!H593</f>
        <v>8</v>
      </c>
      <c r="I593" s="39">
        <f>Orders!I593</f>
        <v>57463.199999999997</v>
      </c>
      <c r="J593" t="str">
        <f>Orders!J593</f>
        <v>Completed</v>
      </c>
      <c r="K593" t="str">
        <f>Orders!K593</f>
        <v>Bengaluru</v>
      </c>
      <c r="L593" t="str">
        <f>IFERROR(VLOOKUP(D593,Products!$A$2:$F$61,3,FALSE),"")</f>
        <v>Sports</v>
      </c>
      <c r="M593">
        <f>IFERROR(VLOOKUP(D593,Products!$A$2:$F$61,4,FALSE),"")</f>
        <v>2827</v>
      </c>
      <c r="N593" t="str">
        <f>IFERROR(VLOOKUP(E593,Sales_Reps!$A$2:$E$31,3,FALSE),"")</f>
        <v>West</v>
      </c>
      <c r="O593" t="str">
        <f>IFERROR(VLOOKUP(C593,Customers!$A$2:$F$301,5,FALSE),"")</f>
        <v>Retail</v>
      </c>
      <c r="P593">
        <f>IFERROR(VLOOKUP(C593,Customers!$A$2:$F$301,3,FALSE),"")</f>
        <v>59</v>
      </c>
      <c r="Q593" s="41">
        <f t="shared" si="18"/>
        <v>0.5926512968299712</v>
      </c>
      <c r="R593" t="str">
        <f>IFERROR(VLOOKUP(C593,Customers!$A$2:$F$301,1,FALSE),"")</f>
        <v>CUST-0028</v>
      </c>
      <c r="S593" s="27" t="b">
        <f>IFERROR(VLOOKUP(D593,Products!$A$2:$F$61,6,FALSE),"")</f>
        <v>1</v>
      </c>
      <c r="BL593">
        <v>0</v>
      </c>
      <c r="BO593">
        <v>0</v>
      </c>
      <c r="BP593">
        <v>0</v>
      </c>
    </row>
    <row r="594" spans="1:68" x14ac:dyDescent="0.35">
      <c r="A594" s="26" t="str">
        <f>Orders!A594</f>
        <v>ORD-00593</v>
      </c>
      <c r="B594" s="33">
        <f>Orders!B594</f>
        <v>45402</v>
      </c>
      <c r="C594" t="str">
        <f>Orders!C594</f>
        <v>CUST-0241</v>
      </c>
      <c r="D594" t="str">
        <f>Orders!D594</f>
        <v>PROD-004</v>
      </c>
      <c r="E594" t="str">
        <f>Orders!E594</f>
        <v>R006</v>
      </c>
      <c r="F594">
        <f>Orders!F594</f>
        <v>1</v>
      </c>
      <c r="G594" s="35">
        <f>Orders!G594</f>
        <v>3870</v>
      </c>
      <c r="H594" s="37">
        <f>Orders!H594</f>
        <v>22.6</v>
      </c>
      <c r="I594" s="39">
        <f>Orders!I594</f>
        <v>2995.38</v>
      </c>
      <c r="J594" t="str">
        <f>Orders!J594</f>
        <v>Completed</v>
      </c>
      <c r="K594" t="str">
        <f>Orders!K594</f>
        <v>Pune</v>
      </c>
      <c r="L594" t="str">
        <f>IFERROR(VLOOKUP(D594,Products!$A$2:$F$61,3,FALSE),"")</f>
        <v>Electronics</v>
      </c>
      <c r="M594">
        <f>IFERROR(VLOOKUP(D594,Products!$A$2:$F$61,4,FALSE),"")</f>
        <v>1559</v>
      </c>
      <c r="N594" t="str">
        <f>IFERROR(VLOOKUP(E594,Sales_Reps!$A$2:$E$31,3,FALSE),"")</f>
        <v>North</v>
      </c>
      <c r="O594" t="str">
        <f>IFERROR(VLOOKUP(C594,Customers!$A$2:$F$301,5,FALSE),"")</f>
        <v>Corporate</v>
      </c>
      <c r="P594">
        <f>IFERROR(VLOOKUP(C594,Customers!$A$2:$F$301,3,FALSE),"")</f>
        <v>47</v>
      </c>
      <c r="Q594" s="41">
        <f t="shared" si="18"/>
        <v>0.59715762273901807</v>
      </c>
      <c r="R594" t="str">
        <f>IFERROR(VLOOKUP(C594,Customers!$A$2:$F$301,1,FALSE),"")</f>
        <v>CUST-0241</v>
      </c>
      <c r="S594" s="27" t="b">
        <f>IFERROR(VLOOKUP(D594,Products!$A$2:$F$61,6,FALSE),"")</f>
        <v>1</v>
      </c>
      <c r="BL594">
        <v>0.5</v>
      </c>
      <c r="BO594">
        <v>0</v>
      </c>
      <c r="BP594">
        <v>0</v>
      </c>
    </row>
    <row r="595" spans="1:68" x14ac:dyDescent="0.35">
      <c r="A595" s="26" t="str">
        <f>Orders!A595</f>
        <v>ORD-00594</v>
      </c>
      <c r="B595" s="33">
        <f>Orders!B595</f>
        <v>45503</v>
      </c>
      <c r="C595" t="str">
        <f>Orders!C595</f>
        <v>CUST-0278</v>
      </c>
      <c r="D595" t="str">
        <f>Orders!D595</f>
        <v>PROD-035</v>
      </c>
      <c r="E595" t="str">
        <f>Orders!E595</f>
        <v>R008</v>
      </c>
      <c r="F595">
        <f>Orders!F595</f>
        <v>3</v>
      </c>
      <c r="G595" s="35">
        <f>Orders!G595</f>
        <v>1090</v>
      </c>
      <c r="H595" s="37">
        <f>Orders!H595</f>
        <v>28.1</v>
      </c>
      <c r="I595" s="39">
        <f>Orders!I595</f>
        <v>2351.13</v>
      </c>
      <c r="J595" t="str">
        <f>Orders!J595</f>
        <v>Completed</v>
      </c>
      <c r="K595" t="str">
        <f>Orders!K595</f>
        <v>Hyderabad</v>
      </c>
      <c r="L595" t="str">
        <f>IFERROR(VLOOKUP(D595,Products!$A$2:$F$61,3,FALSE),"")</f>
        <v>Home</v>
      </c>
      <c r="M595">
        <f>IFERROR(VLOOKUP(D595,Products!$A$2:$F$61,4,FALSE),"")</f>
        <v>464</v>
      </c>
      <c r="N595" t="str">
        <f>IFERROR(VLOOKUP(E595,Sales_Reps!$A$2:$E$31,3,FALSE),"")</f>
        <v>North</v>
      </c>
      <c r="O595" t="str">
        <f>IFERROR(VLOOKUP(C595,Customers!$A$2:$F$301,5,FALSE),"")</f>
        <v>Retail</v>
      </c>
      <c r="P595">
        <f>IFERROR(VLOOKUP(C595,Customers!$A$2:$F$301,3,FALSE),"")</f>
        <v>41</v>
      </c>
      <c r="Q595" s="41">
        <f t="shared" si="18"/>
        <v>0.57431192660550456</v>
      </c>
      <c r="R595" t="str">
        <f>IFERROR(VLOOKUP(C595,Customers!$A$2:$F$301,1,FALSE),"")</f>
        <v>CUST-0278</v>
      </c>
      <c r="S595" s="27" t="b">
        <f>IFERROR(VLOOKUP(D595,Products!$A$2:$F$61,6,FALSE),"")</f>
        <v>1</v>
      </c>
      <c r="BL595">
        <v>0</v>
      </c>
      <c r="BO595">
        <v>0</v>
      </c>
      <c r="BP595">
        <v>0</v>
      </c>
    </row>
    <row r="596" spans="1:68" x14ac:dyDescent="0.35">
      <c r="A596" s="26" t="str">
        <f>Orders!A596</f>
        <v>ORD-00595</v>
      </c>
      <c r="B596" s="33">
        <f>Orders!B596</f>
        <v>45524</v>
      </c>
      <c r="C596" t="str">
        <f>Orders!C596</f>
        <v>CUST-0009</v>
      </c>
      <c r="D596" t="str">
        <f>Orders!D596</f>
        <v>PROD-002</v>
      </c>
      <c r="E596" t="str">
        <f>Orders!E596</f>
        <v>R001</v>
      </c>
      <c r="F596">
        <f>Orders!F596</f>
        <v>2</v>
      </c>
      <c r="G596" s="35">
        <f>Orders!G596</f>
        <v>2600</v>
      </c>
      <c r="H596" s="37">
        <f>Orders!H596</f>
        <v>5.6</v>
      </c>
      <c r="I596" s="39">
        <f>Orders!I596</f>
        <v>4908.8</v>
      </c>
      <c r="J596" t="str">
        <f>Orders!J596</f>
        <v>Completed</v>
      </c>
      <c r="K596" t="str">
        <f>Orders!K596</f>
        <v>Mumbai</v>
      </c>
      <c r="L596" t="str">
        <f>IFERROR(VLOOKUP(D596,Products!$A$2:$F$61,3,FALSE),"")</f>
        <v>Electronics</v>
      </c>
      <c r="M596">
        <f>IFERROR(VLOOKUP(D596,Products!$A$2:$F$61,4,FALSE),"")</f>
        <v>1052</v>
      </c>
      <c r="N596" t="str">
        <f>IFERROR(VLOOKUP(E596,Sales_Reps!$A$2:$E$31,3,FALSE),"")</f>
        <v>North</v>
      </c>
      <c r="O596" t="str">
        <f>IFERROR(VLOOKUP(C596,Customers!$A$2:$F$301,5,FALSE),"")</f>
        <v>Retail</v>
      </c>
      <c r="P596">
        <f>IFERROR(VLOOKUP(C596,Customers!$A$2:$F$301,3,FALSE),"")</f>
        <v>61</v>
      </c>
      <c r="Q596" s="41">
        <f t="shared" si="18"/>
        <v>0.5953846153846154</v>
      </c>
      <c r="R596" t="str">
        <f>IFERROR(VLOOKUP(C596,Customers!$A$2:$F$301,1,FALSE),"")</f>
        <v>CUST-0009</v>
      </c>
      <c r="S596" s="27" t="b">
        <f>IFERROR(VLOOKUP(D596,Products!$A$2:$F$61,6,FALSE),"")</f>
        <v>1</v>
      </c>
      <c r="BL596">
        <v>0</v>
      </c>
      <c r="BO596">
        <v>0</v>
      </c>
      <c r="BP596">
        <v>0</v>
      </c>
    </row>
    <row r="597" spans="1:68" x14ac:dyDescent="0.35">
      <c r="A597" s="26" t="str">
        <f>Orders!A597</f>
        <v>ORD-00596</v>
      </c>
      <c r="B597" s="33">
        <f>Orders!B597</f>
        <v>45425</v>
      </c>
      <c r="C597" t="str">
        <f>Orders!C597</f>
        <v>CUST-0217</v>
      </c>
      <c r="D597" t="str">
        <f>Orders!D597</f>
        <v>PROD-057</v>
      </c>
      <c r="E597" t="str">
        <f>Orders!E597</f>
        <v>R020</v>
      </c>
      <c r="F597">
        <f>Orders!F597</f>
        <v>4</v>
      </c>
      <c r="G597" s="35">
        <f>Orders!G597</f>
        <v>960</v>
      </c>
      <c r="H597" s="37">
        <f>Orders!H597</f>
        <v>21.7</v>
      </c>
      <c r="I597" s="39">
        <f>Orders!I597</f>
        <v>3006.72</v>
      </c>
      <c r="J597" t="str">
        <f>Orders!J597</f>
        <v>Completed</v>
      </c>
      <c r="K597" t="str">
        <f>Orders!K597</f>
        <v>Pune</v>
      </c>
      <c r="L597" t="str">
        <f>IFERROR(VLOOKUP(D597,Products!$A$2:$F$61,3,FALSE),"")</f>
        <v>Sports</v>
      </c>
      <c r="M597">
        <f>IFERROR(VLOOKUP(D597,Products!$A$2:$F$61,4,FALSE),"")</f>
        <v>705</v>
      </c>
      <c r="N597" t="str">
        <f>IFERROR(VLOOKUP(E597,Sales_Reps!$A$2:$E$31,3,FALSE),"")</f>
        <v>East</v>
      </c>
      <c r="O597" t="str">
        <f>IFERROR(VLOOKUP(C597,Customers!$A$2:$F$301,5,FALSE),"")</f>
        <v>SMB</v>
      </c>
      <c r="P597">
        <f>IFERROR(VLOOKUP(C597,Customers!$A$2:$F$301,3,FALSE),"")</f>
        <v>59</v>
      </c>
      <c r="Q597" s="41">
        <f t="shared" si="18"/>
        <v>0.265625</v>
      </c>
      <c r="R597" t="str">
        <f>IFERROR(VLOOKUP(C597,Customers!$A$2:$F$301,1,FALSE),"")</f>
        <v>CUST-0217</v>
      </c>
      <c r="S597" s="27" t="b">
        <f>IFERROR(VLOOKUP(D597,Products!$A$2:$F$61,6,FALSE),"")</f>
        <v>1</v>
      </c>
      <c r="BL597">
        <v>0</v>
      </c>
      <c r="BO597">
        <v>0</v>
      </c>
      <c r="BP597">
        <v>0</v>
      </c>
    </row>
    <row r="598" spans="1:68" x14ac:dyDescent="0.35">
      <c r="A598" s="26" t="str">
        <f>Orders!A598</f>
        <v>ORD-00597</v>
      </c>
      <c r="B598" s="33">
        <f>Orders!B598</f>
        <v>45533</v>
      </c>
      <c r="C598" t="str">
        <f>Orders!C598</f>
        <v>CUST-0289</v>
      </c>
      <c r="D598" t="str">
        <f>Orders!D598</f>
        <v>PROD-032</v>
      </c>
      <c r="E598" t="str">
        <f>Orders!E598</f>
        <v>R026</v>
      </c>
      <c r="F598">
        <f>Orders!F598</f>
        <v>6</v>
      </c>
      <c r="G598" s="35">
        <f>Orders!G598</f>
        <v>370</v>
      </c>
      <c r="H598" s="37">
        <f>Orders!H598</f>
        <v>22.5</v>
      </c>
      <c r="I598" s="39">
        <f>Orders!I598</f>
        <v>1720.5</v>
      </c>
      <c r="J598" t="str">
        <f>Orders!J598</f>
        <v>Completed</v>
      </c>
      <c r="K598" t="str">
        <f>Orders!K598</f>
        <v>Mumbai</v>
      </c>
      <c r="L598" t="str">
        <f>IFERROR(VLOOKUP(D598,Products!$A$2:$F$61,3,FALSE),"")</f>
        <v>Home</v>
      </c>
      <c r="M598">
        <f>IFERROR(VLOOKUP(D598,Products!$A$2:$F$61,4,FALSE),"")</f>
        <v>288</v>
      </c>
      <c r="N598" t="str">
        <f>IFERROR(VLOOKUP(E598,Sales_Reps!$A$2:$E$31,3,FALSE),"")</f>
        <v>West</v>
      </c>
      <c r="O598" t="str">
        <f>IFERROR(VLOOKUP(C598,Customers!$A$2:$F$301,5,FALSE),"")</f>
        <v>Retail</v>
      </c>
      <c r="P598">
        <f>IFERROR(VLOOKUP(C598,Customers!$A$2:$F$301,3,FALSE),"")</f>
        <v>54</v>
      </c>
      <c r="Q598" s="41">
        <f t="shared" si="18"/>
        <v>0.22162162162162163</v>
      </c>
      <c r="R598" t="str">
        <f>IFERROR(VLOOKUP(C598,Customers!$A$2:$F$301,1,FALSE),"")</f>
        <v>CUST-0289</v>
      </c>
      <c r="S598" s="27" t="b">
        <f>IFERROR(VLOOKUP(D598,Products!$A$2:$F$61,6,FALSE),"")</f>
        <v>1</v>
      </c>
      <c r="BL598">
        <v>0</v>
      </c>
      <c r="BO598">
        <v>0</v>
      </c>
      <c r="BP598">
        <v>0</v>
      </c>
    </row>
    <row r="599" spans="1:68" x14ac:dyDescent="0.35">
      <c r="A599" s="26" t="str">
        <f>Orders!A599</f>
        <v>ORD-00598</v>
      </c>
      <c r="B599" s="33">
        <f>Orders!B599</f>
        <v>45649</v>
      </c>
      <c r="C599" t="str">
        <f>Orders!C599</f>
        <v>CUST-0176</v>
      </c>
      <c r="D599" t="str">
        <f>Orders!D599</f>
        <v>PROD-034</v>
      </c>
      <c r="E599" t="str">
        <f>Orders!E599</f>
        <v>R006</v>
      </c>
      <c r="F599">
        <f>Orders!F599</f>
        <v>5</v>
      </c>
      <c r="G599" s="35">
        <f>Orders!G599</f>
        <v>5080</v>
      </c>
      <c r="H599" s="37">
        <f>Orders!H599</f>
        <v>23.8</v>
      </c>
      <c r="I599" s="39">
        <f>Orders!I599</f>
        <v>19354.8</v>
      </c>
      <c r="J599" t="str">
        <f>Orders!J599</f>
        <v>Completed</v>
      </c>
      <c r="K599" t="str">
        <f>Orders!K599</f>
        <v>Bengaluru</v>
      </c>
      <c r="L599" t="str">
        <f>IFERROR(VLOOKUP(D599,Products!$A$2:$F$61,3,FALSE),"")</f>
        <v>Home</v>
      </c>
      <c r="M599">
        <f>IFERROR(VLOOKUP(D599,Products!$A$2:$F$61,4,FALSE),"")</f>
        <v>2459</v>
      </c>
      <c r="N599" t="str">
        <f>IFERROR(VLOOKUP(E599,Sales_Reps!$A$2:$E$31,3,FALSE),"")</f>
        <v>North</v>
      </c>
      <c r="O599" t="str">
        <f>IFERROR(VLOOKUP(C599,Customers!$A$2:$F$301,5,FALSE),"")</f>
        <v>SMB</v>
      </c>
      <c r="P599">
        <f>IFERROR(VLOOKUP(C599,Customers!$A$2:$F$301,3,FALSE),"")</f>
        <v>34</v>
      </c>
      <c r="Q599" s="41">
        <f t="shared" si="18"/>
        <v>0.51594488188976373</v>
      </c>
      <c r="R599" t="str">
        <f>IFERROR(VLOOKUP(C599,Customers!$A$2:$F$301,1,FALSE),"")</f>
        <v>CUST-0176</v>
      </c>
      <c r="S599" s="27" t="b">
        <f>IFERROR(VLOOKUP(D599,Products!$A$2:$F$61,6,FALSE),"")</f>
        <v>1</v>
      </c>
      <c r="BL599">
        <v>0</v>
      </c>
      <c r="BO599">
        <v>0</v>
      </c>
      <c r="BP599">
        <v>0</v>
      </c>
    </row>
    <row r="600" spans="1:68" x14ac:dyDescent="0.35">
      <c r="A600" s="26" t="str">
        <f>Orders!A600</f>
        <v>ORD-00599</v>
      </c>
      <c r="B600" s="33">
        <f>Orders!B600</f>
        <v>45375</v>
      </c>
      <c r="C600" t="str">
        <f>Orders!C600</f>
        <v>CUST-0026</v>
      </c>
      <c r="D600" t="str">
        <f>Orders!D600</f>
        <v>PROD-041</v>
      </c>
      <c r="E600" t="str">
        <f>Orders!E600</f>
        <v>R003</v>
      </c>
      <c r="F600">
        <f>Orders!F600</f>
        <v>5</v>
      </c>
      <c r="G600" s="35">
        <f>Orders!G600</f>
        <v>1540</v>
      </c>
      <c r="H600" s="37">
        <f>Orders!H600</f>
        <v>6.1</v>
      </c>
      <c r="I600" s="39">
        <f>Orders!I600</f>
        <v>7230.3</v>
      </c>
      <c r="J600" t="str">
        <f>Orders!J600</f>
        <v>Completed</v>
      </c>
      <c r="K600" t="str">
        <f>Orders!K600</f>
        <v>Pune</v>
      </c>
      <c r="L600" t="str">
        <f>IFERROR(VLOOKUP(D600,Products!$A$2:$F$61,3,FALSE),"")</f>
        <v>Beauty</v>
      </c>
      <c r="M600">
        <f>IFERROR(VLOOKUP(D600,Products!$A$2:$F$61,4,FALSE),"")</f>
        <v>647</v>
      </c>
      <c r="N600" t="str">
        <f>IFERROR(VLOOKUP(E600,Sales_Reps!$A$2:$E$31,3,FALSE),"")</f>
        <v>North</v>
      </c>
      <c r="O600" t="str">
        <f>IFERROR(VLOOKUP(C600,Customers!$A$2:$F$301,5,FALSE),"")</f>
        <v>Retail</v>
      </c>
      <c r="P600">
        <f>IFERROR(VLOOKUP(C600,Customers!$A$2:$F$301,3,FALSE),"")</f>
        <v>62</v>
      </c>
      <c r="Q600" s="41">
        <f t="shared" si="18"/>
        <v>0.57987012987012987</v>
      </c>
      <c r="R600" t="str">
        <f>IFERROR(VLOOKUP(C600,Customers!$A$2:$F$301,1,FALSE),"")</f>
        <v>CUST-0026</v>
      </c>
      <c r="S600" s="27" t="b">
        <f>IFERROR(VLOOKUP(D600,Products!$A$2:$F$61,6,FALSE),"")</f>
        <v>0</v>
      </c>
      <c r="BL600">
        <v>0</v>
      </c>
      <c r="BO600">
        <v>0</v>
      </c>
      <c r="BP600">
        <v>1</v>
      </c>
    </row>
    <row r="601" spans="1:68" x14ac:dyDescent="0.35">
      <c r="A601" s="26" t="str">
        <f>Orders!A601</f>
        <v>ORD-00600</v>
      </c>
      <c r="B601" s="33">
        <f>Orders!B601</f>
        <v>45342</v>
      </c>
      <c r="C601" t="str">
        <f>Orders!C601</f>
        <v>CUST-0213</v>
      </c>
      <c r="D601" t="str">
        <f>Orders!D601</f>
        <v>PROD-024</v>
      </c>
      <c r="E601" t="str">
        <f>Orders!E601</f>
        <v>R015</v>
      </c>
      <c r="F601">
        <f>Orders!F601</f>
        <v>7</v>
      </c>
      <c r="G601" s="35">
        <f>Orders!G601</f>
        <v>2270</v>
      </c>
      <c r="H601" s="37">
        <f>Orders!H601</f>
        <v>0.4</v>
      </c>
      <c r="I601" s="39">
        <f>Orders!I601</f>
        <v>15826.44</v>
      </c>
      <c r="J601" t="str">
        <f>Orders!J601</f>
        <v>Completed</v>
      </c>
      <c r="K601" t="str">
        <f>Orders!K601</f>
        <v>Mumbai</v>
      </c>
      <c r="L601" t="str">
        <f>IFERROR(VLOOKUP(D601,Products!$A$2:$F$61,3,FALSE),"")</f>
        <v>Grocery</v>
      </c>
      <c r="M601">
        <f>IFERROR(VLOOKUP(D601,Products!$A$2:$F$61,4,FALSE),"")</f>
        <v>1203</v>
      </c>
      <c r="N601" t="str">
        <f>IFERROR(VLOOKUP(E601,Sales_Reps!$A$2:$E$31,3,FALSE),"")</f>
        <v>South</v>
      </c>
      <c r="O601" t="str">
        <f>IFERROR(VLOOKUP(C601,Customers!$A$2:$F$301,5,FALSE),"")</f>
        <v>Retail</v>
      </c>
      <c r="P601">
        <f>IFERROR(VLOOKUP(C601,Customers!$A$2:$F$301,3,FALSE),"")</f>
        <v>37</v>
      </c>
      <c r="Q601" s="41">
        <f t="shared" si="18"/>
        <v>0.47004405286343615</v>
      </c>
      <c r="R601" t="str">
        <f>IFERROR(VLOOKUP(C601,Customers!$A$2:$F$301,1,FALSE),"")</f>
        <v>CUST-0213</v>
      </c>
      <c r="S601" s="27" t="b">
        <f>IFERROR(VLOOKUP(D601,Products!$A$2:$F$61,6,FALSE),"")</f>
        <v>1</v>
      </c>
      <c r="BL601">
        <v>0.5</v>
      </c>
      <c r="BO601">
        <v>0</v>
      </c>
      <c r="BP601">
        <v>0</v>
      </c>
    </row>
    <row r="602" spans="1:68" x14ac:dyDescent="0.35">
      <c r="A602" s="26" t="str">
        <f>Orders!A602</f>
        <v>ORD-00601</v>
      </c>
      <c r="B602" s="33">
        <f>Orders!B602</f>
        <v>45441</v>
      </c>
      <c r="C602" t="str">
        <f>Orders!C602</f>
        <v>CUST-0190</v>
      </c>
      <c r="D602" t="str">
        <f>Orders!D602</f>
        <v>PROD-057</v>
      </c>
      <c r="E602" t="str">
        <f>Orders!E602</f>
        <v>R015</v>
      </c>
      <c r="F602">
        <f>Orders!F602</f>
        <v>2</v>
      </c>
      <c r="G602" s="35">
        <f>Orders!G602</f>
        <v>960</v>
      </c>
      <c r="H602" s="37">
        <f>Orders!H602</f>
        <v>3.7</v>
      </c>
      <c r="I602" s="39">
        <f>Orders!I602</f>
        <v>1848.96</v>
      </c>
      <c r="J602" t="str">
        <f>Orders!J602</f>
        <v>Completed</v>
      </c>
      <c r="K602" t="str">
        <f>Orders!K602</f>
        <v>Hyderabad</v>
      </c>
      <c r="L602" t="str">
        <f>IFERROR(VLOOKUP(D602,Products!$A$2:$F$61,3,FALSE),"")</f>
        <v>Sports</v>
      </c>
      <c r="M602">
        <f>IFERROR(VLOOKUP(D602,Products!$A$2:$F$61,4,FALSE),"")</f>
        <v>705</v>
      </c>
      <c r="N602" t="str">
        <f>IFERROR(VLOOKUP(E602,Sales_Reps!$A$2:$E$31,3,FALSE),"")</f>
        <v>South</v>
      </c>
      <c r="O602" t="str">
        <f>IFERROR(VLOOKUP(C602,Customers!$A$2:$F$301,5,FALSE),"")</f>
        <v>Retail</v>
      </c>
      <c r="P602">
        <f>IFERROR(VLOOKUP(C602,Customers!$A$2:$F$301,3,FALSE),"")</f>
        <v>52</v>
      </c>
      <c r="Q602" s="41">
        <f t="shared" si="18"/>
        <v>0.265625</v>
      </c>
      <c r="R602" t="str">
        <f>IFERROR(VLOOKUP(C602,Customers!$A$2:$F$301,1,FALSE),"")</f>
        <v>CUST-0190</v>
      </c>
      <c r="S602" s="27" t="b">
        <f>IFERROR(VLOOKUP(D602,Products!$A$2:$F$61,6,FALSE),"")</f>
        <v>1</v>
      </c>
      <c r="BL602">
        <v>0</v>
      </c>
      <c r="BO602">
        <v>0</v>
      </c>
      <c r="BP602">
        <v>0</v>
      </c>
    </row>
    <row r="603" spans="1:68" x14ac:dyDescent="0.35">
      <c r="A603" s="26" t="str">
        <f>Orders!A603</f>
        <v>ORD-00602</v>
      </c>
      <c r="B603" s="33">
        <f>Orders!B603</f>
        <v>45410</v>
      </c>
      <c r="C603" t="str">
        <f>Orders!C603</f>
        <v>CUST-0150</v>
      </c>
      <c r="D603" t="str">
        <f>Orders!D603</f>
        <v>PROD-007</v>
      </c>
      <c r="E603" t="str">
        <f>Orders!E603</f>
        <v>R027</v>
      </c>
      <c r="F603">
        <f>Orders!F603</f>
        <v>6</v>
      </c>
      <c r="G603" s="35">
        <f>Orders!G603</f>
        <v>1430</v>
      </c>
      <c r="H603" s="37">
        <f>Orders!H603</f>
        <v>2</v>
      </c>
      <c r="I603" s="39">
        <f>Orders!I603</f>
        <v>8408.4</v>
      </c>
      <c r="J603" t="str">
        <f>Orders!J603</f>
        <v>Pending</v>
      </c>
      <c r="K603" t="str">
        <f>Orders!K603</f>
        <v>Pune</v>
      </c>
      <c r="L603" t="str">
        <f>IFERROR(VLOOKUP(D603,Products!$A$2:$F$61,3,FALSE),"")</f>
        <v>Electronics</v>
      </c>
      <c r="M603">
        <f>IFERROR(VLOOKUP(D603,Products!$A$2:$F$61,4,FALSE),"")</f>
        <v>861</v>
      </c>
      <c r="N603" t="str">
        <f>IFERROR(VLOOKUP(E603,Sales_Reps!$A$2:$E$31,3,FALSE),"")</f>
        <v>West</v>
      </c>
      <c r="O603" t="str">
        <f>IFERROR(VLOOKUP(C603,Customers!$A$2:$F$301,5,FALSE),"")</f>
        <v>SMB</v>
      </c>
      <c r="P603">
        <f>IFERROR(VLOOKUP(C603,Customers!$A$2:$F$301,3,FALSE),"")</f>
        <v>53</v>
      </c>
      <c r="Q603" s="41">
        <f t="shared" si="18"/>
        <v>0.39790209790209791</v>
      </c>
      <c r="R603" t="str">
        <f>IFERROR(VLOOKUP(C603,Customers!$A$2:$F$301,1,FALSE),"")</f>
        <v>CUST-0150</v>
      </c>
      <c r="S603" s="27" t="b">
        <f>IFERROR(VLOOKUP(D603,Products!$A$2:$F$61,6,FALSE),"")</f>
        <v>1</v>
      </c>
      <c r="BL603">
        <v>0</v>
      </c>
      <c r="BO603">
        <v>0</v>
      </c>
      <c r="BP603">
        <v>0</v>
      </c>
    </row>
    <row r="604" spans="1:68" x14ac:dyDescent="0.35">
      <c r="A604" s="26" t="str">
        <f>Orders!A604</f>
        <v>ORD-00603</v>
      </c>
      <c r="B604" s="33">
        <f>Orders!B604</f>
        <v>45588</v>
      </c>
      <c r="C604" t="str">
        <f>Orders!C604</f>
        <v>CUST-0129</v>
      </c>
      <c r="D604" t="str">
        <f>Orders!D604</f>
        <v>PROD-047</v>
      </c>
      <c r="E604" t="str">
        <f>Orders!E604</f>
        <v>R006</v>
      </c>
      <c r="F604">
        <f>Orders!F604</f>
        <v>10</v>
      </c>
      <c r="G604" s="35">
        <f>Orders!G604</f>
        <v>3450</v>
      </c>
      <c r="H604" s="37">
        <f>Orders!H604</f>
        <v>19.100000000000001</v>
      </c>
      <c r="I604" s="39">
        <f>Orders!I604</f>
        <v>27910.5</v>
      </c>
      <c r="J604" t="str">
        <f>Orders!J604</f>
        <v>Completed</v>
      </c>
      <c r="K604" t="str">
        <f>Orders!K604</f>
        <v>Hyderabad</v>
      </c>
      <c r="L604" t="str">
        <f>IFERROR(VLOOKUP(D604,Products!$A$2:$F$61,3,FALSE),"")</f>
        <v>Beauty</v>
      </c>
      <c r="M604">
        <f>IFERROR(VLOOKUP(D604,Products!$A$2:$F$61,4,FALSE),"")</f>
        <v>2420</v>
      </c>
      <c r="N604" t="str">
        <f>IFERROR(VLOOKUP(E604,Sales_Reps!$A$2:$E$31,3,FALSE),"")</f>
        <v>North</v>
      </c>
      <c r="O604" t="str">
        <f>IFERROR(VLOOKUP(C604,Customers!$A$2:$F$301,5,FALSE),"")</f>
        <v>Retail</v>
      </c>
      <c r="P604">
        <f>IFERROR(VLOOKUP(C604,Customers!$A$2:$F$301,3,FALSE),"")</f>
        <v>29</v>
      </c>
      <c r="Q604" s="41">
        <f t="shared" si="18"/>
        <v>0.29855072463768118</v>
      </c>
      <c r="R604" t="str">
        <f>IFERROR(VLOOKUP(C604,Customers!$A$2:$F$301,1,FALSE),"")</f>
        <v>CUST-0129</v>
      </c>
      <c r="S604" s="27" t="b">
        <f>IFERROR(VLOOKUP(D604,Products!$A$2:$F$61,6,FALSE),"")</f>
        <v>1</v>
      </c>
      <c r="BL604">
        <v>0</v>
      </c>
      <c r="BO604">
        <v>0</v>
      </c>
      <c r="BP604">
        <v>0</v>
      </c>
    </row>
    <row r="605" spans="1:68" x14ac:dyDescent="0.35">
      <c r="A605" s="26" t="str">
        <f>Orders!A605</f>
        <v>ORD-00604</v>
      </c>
      <c r="B605" s="33">
        <f>Orders!B605</f>
        <v>45412</v>
      </c>
      <c r="C605" t="str">
        <f>Orders!C605</f>
        <v>CUST-0080</v>
      </c>
      <c r="D605" t="str">
        <f>Orders!D605</f>
        <v>PROD-009</v>
      </c>
      <c r="E605" t="str">
        <f>Orders!E605</f>
        <v>R026</v>
      </c>
      <c r="F605">
        <f>Orders!F605</f>
        <v>8</v>
      </c>
      <c r="G605" s="35">
        <f>Orders!G605</f>
        <v>1220</v>
      </c>
      <c r="H605" s="37">
        <f>Orders!H605</f>
        <v>16.899999999999999</v>
      </c>
      <c r="I605" s="39">
        <f>Orders!I605</f>
        <v>8110.56</v>
      </c>
      <c r="J605" t="str">
        <f>Orders!J605</f>
        <v>Completed</v>
      </c>
      <c r="K605" t="str">
        <f>Orders!K605</f>
        <v>Pune</v>
      </c>
      <c r="L605" t="str">
        <f>IFERROR(VLOOKUP(D605,Products!$A$2:$F$61,3,FALSE),"")</f>
        <v>Electronics</v>
      </c>
      <c r="M605">
        <f>IFERROR(VLOOKUP(D605,Products!$A$2:$F$61,4,FALSE),"")</f>
        <v>517</v>
      </c>
      <c r="N605" t="str">
        <f>IFERROR(VLOOKUP(E605,Sales_Reps!$A$2:$E$31,3,FALSE),"")</f>
        <v>West</v>
      </c>
      <c r="O605" t="str">
        <f>IFERROR(VLOOKUP(C605,Customers!$A$2:$F$301,5,FALSE),"")</f>
        <v>SMB</v>
      </c>
      <c r="P605">
        <f>IFERROR(VLOOKUP(C605,Customers!$A$2:$F$301,3,FALSE),"")</f>
        <v>30</v>
      </c>
      <c r="Q605" s="41">
        <f t="shared" si="18"/>
        <v>0.57622950819672136</v>
      </c>
      <c r="R605" t="str">
        <f>IFERROR(VLOOKUP(C605,Customers!$A$2:$F$301,1,FALSE),"")</f>
        <v>CUST-0080</v>
      </c>
      <c r="S605" s="27" t="b">
        <f>IFERROR(VLOOKUP(D605,Products!$A$2:$F$61,6,FALSE),"")</f>
        <v>1</v>
      </c>
      <c r="BL605">
        <v>0</v>
      </c>
      <c r="BO605">
        <v>0</v>
      </c>
      <c r="BP605">
        <v>0</v>
      </c>
    </row>
    <row r="606" spans="1:68" x14ac:dyDescent="0.35">
      <c r="A606" s="26" t="str">
        <f>Orders!A606</f>
        <v>ORD-00605</v>
      </c>
      <c r="B606" s="33">
        <f>Orders!B606</f>
        <v>45439</v>
      </c>
      <c r="C606" t="str">
        <f>Orders!C606</f>
        <v>CUST-0034</v>
      </c>
      <c r="D606" t="str">
        <f>Orders!D606</f>
        <v>PROD-021</v>
      </c>
      <c r="E606" t="str">
        <f>Orders!E606</f>
        <v>R020</v>
      </c>
      <c r="F606">
        <f>Orders!F606</f>
        <v>9</v>
      </c>
      <c r="G606" s="35">
        <f>Orders!G606</f>
        <v>2760</v>
      </c>
      <c r="H606" s="37">
        <f>Orders!H606</f>
        <v>16.899999999999999</v>
      </c>
      <c r="I606" s="39">
        <f>Orders!I606</f>
        <v>20642.04</v>
      </c>
      <c r="J606" t="str">
        <f>Orders!J606</f>
        <v>Completed</v>
      </c>
      <c r="K606" t="str">
        <f>Orders!K606</f>
        <v>Delhi</v>
      </c>
      <c r="L606" t="str">
        <f>IFERROR(VLOOKUP(D606,Products!$A$2:$F$61,3,FALSE),"")</f>
        <v>Grocery</v>
      </c>
      <c r="M606">
        <f>IFERROR(VLOOKUP(D606,Products!$A$2:$F$61,4,FALSE),"")</f>
        <v>1435</v>
      </c>
      <c r="N606" t="str">
        <f>IFERROR(VLOOKUP(E606,Sales_Reps!$A$2:$E$31,3,FALSE),"")</f>
        <v>East</v>
      </c>
      <c r="O606" t="str">
        <f>IFERROR(VLOOKUP(C606,Customers!$A$2:$F$301,5,FALSE),"")</f>
        <v>Retail</v>
      </c>
      <c r="P606">
        <f>IFERROR(VLOOKUP(C606,Customers!$A$2:$F$301,3,FALSE),"")</f>
        <v>47</v>
      </c>
      <c r="Q606" s="41">
        <f t="shared" si="18"/>
        <v>0.48007246376811596</v>
      </c>
      <c r="R606" t="str">
        <f>IFERROR(VLOOKUP(C606,Customers!$A$2:$F$301,1,FALSE),"")</f>
        <v>CUST-0034</v>
      </c>
      <c r="S606" s="27" t="b">
        <f>IFERROR(VLOOKUP(D606,Products!$A$2:$F$61,6,FALSE),"")</f>
        <v>1</v>
      </c>
      <c r="BL606">
        <v>0</v>
      </c>
      <c r="BO606">
        <v>0</v>
      </c>
      <c r="BP606">
        <v>0</v>
      </c>
    </row>
    <row r="607" spans="1:68" x14ac:dyDescent="0.35">
      <c r="A607" s="26" t="str">
        <f>Orders!A607</f>
        <v>ORD-00606</v>
      </c>
      <c r="B607" s="33">
        <f>Orders!B607</f>
        <v>45593</v>
      </c>
      <c r="C607" t="str">
        <f>Orders!C607</f>
        <v>CUST-0179</v>
      </c>
      <c r="D607" t="str">
        <f>Orders!D607</f>
        <v>PROD-043</v>
      </c>
      <c r="E607" t="str">
        <f>Orders!E607</f>
        <v>R017</v>
      </c>
      <c r="F607">
        <f>Orders!F607</f>
        <v>6</v>
      </c>
      <c r="G607" s="35">
        <f>Orders!G607</f>
        <v>3350</v>
      </c>
      <c r="H607" s="37">
        <f>Orders!H607</f>
        <v>11.8</v>
      </c>
      <c r="I607" s="39">
        <f>Orders!I607</f>
        <v>17728.2</v>
      </c>
      <c r="J607" t="str">
        <f>Orders!J607</f>
        <v>Pending</v>
      </c>
      <c r="K607" t="str">
        <f>Orders!K607</f>
        <v>Mumbai</v>
      </c>
      <c r="L607" t="str">
        <f>IFERROR(VLOOKUP(D607,Products!$A$2:$F$61,3,FALSE),"")</f>
        <v>Beauty</v>
      </c>
      <c r="M607">
        <f>IFERROR(VLOOKUP(D607,Products!$A$2:$F$61,4,FALSE),"")</f>
        <v>1728</v>
      </c>
      <c r="N607" t="str">
        <f>IFERROR(VLOOKUP(E607,Sales_Reps!$A$2:$E$31,3,FALSE),"")</f>
        <v>East</v>
      </c>
      <c r="O607" t="str">
        <f>IFERROR(VLOOKUP(C607,Customers!$A$2:$F$301,5,FALSE),"")</f>
        <v>SMB</v>
      </c>
      <c r="P607">
        <f>IFERROR(VLOOKUP(C607,Customers!$A$2:$F$301,3,FALSE),"")</f>
        <v>54</v>
      </c>
      <c r="Q607" s="41">
        <f t="shared" si="18"/>
        <v>0.48417910447761192</v>
      </c>
      <c r="R607" t="str">
        <f>IFERROR(VLOOKUP(C607,Customers!$A$2:$F$301,1,FALSE),"")</f>
        <v>CUST-0179</v>
      </c>
      <c r="S607" s="27" t="b">
        <f>IFERROR(VLOOKUP(D607,Products!$A$2:$F$61,6,FALSE),"")</f>
        <v>1</v>
      </c>
      <c r="BL607">
        <v>0</v>
      </c>
      <c r="BO607">
        <v>0</v>
      </c>
      <c r="BP607">
        <v>0</v>
      </c>
    </row>
    <row r="608" spans="1:68" x14ac:dyDescent="0.35">
      <c r="A608" s="26" t="str">
        <f>Orders!A608</f>
        <v>ORD-00607</v>
      </c>
      <c r="B608" s="33">
        <f>Orders!B608</f>
        <v>45570</v>
      </c>
      <c r="C608" t="str">
        <f>Orders!C608</f>
        <v>CUST-0176</v>
      </c>
      <c r="D608" t="str">
        <f>Orders!D608</f>
        <v>PROD-048</v>
      </c>
      <c r="E608" t="str">
        <f>Orders!E608</f>
        <v>R013</v>
      </c>
      <c r="F608">
        <f>Orders!F608</f>
        <v>6</v>
      </c>
      <c r="G608" s="35">
        <f>Orders!G608</f>
        <v>5100</v>
      </c>
      <c r="H608" s="37">
        <f>Orders!H608</f>
        <v>13.2</v>
      </c>
      <c r="I608" s="39">
        <f>Orders!I608</f>
        <v>26560.799999999999</v>
      </c>
      <c r="J608" t="str">
        <f>Orders!J608</f>
        <v>Completed</v>
      </c>
      <c r="K608" t="str">
        <f>Orders!K608</f>
        <v>Bengaluru</v>
      </c>
      <c r="L608" t="str">
        <f>IFERROR(VLOOKUP(D608,Products!$A$2:$F$61,3,FALSE),"")</f>
        <v>Beauty</v>
      </c>
      <c r="M608">
        <f>IFERROR(VLOOKUP(D608,Products!$A$2:$F$61,4,FALSE),"")</f>
        <v>2237</v>
      </c>
      <c r="N608" t="str">
        <f>IFERROR(VLOOKUP(E608,Sales_Reps!$A$2:$E$31,3,FALSE),"")</f>
        <v>South</v>
      </c>
      <c r="O608" t="str">
        <f>IFERROR(VLOOKUP(C608,Customers!$A$2:$F$301,5,FALSE),"")</f>
        <v>SMB</v>
      </c>
      <c r="P608">
        <f>IFERROR(VLOOKUP(C608,Customers!$A$2:$F$301,3,FALSE),"")</f>
        <v>34</v>
      </c>
      <c r="Q608" s="41">
        <f t="shared" si="18"/>
        <v>0.56137254901960787</v>
      </c>
      <c r="R608" t="str">
        <f>IFERROR(VLOOKUP(C608,Customers!$A$2:$F$301,1,FALSE),"")</f>
        <v>CUST-0176</v>
      </c>
      <c r="S608" s="27" t="b">
        <f>IFERROR(VLOOKUP(D608,Products!$A$2:$F$61,6,FALSE),"")</f>
        <v>1</v>
      </c>
      <c r="BL608">
        <v>0</v>
      </c>
      <c r="BO608">
        <v>0</v>
      </c>
      <c r="BP608">
        <v>0</v>
      </c>
    </row>
    <row r="609" spans="1:68" x14ac:dyDescent="0.35">
      <c r="A609" s="26" t="str">
        <f>Orders!A609</f>
        <v>ORD-00608</v>
      </c>
      <c r="B609" s="33">
        <f>Orders!B609</f>
        <v>45474</v>
      </c>
      <c r="C609" t="str">
        <f>Orders!C609</f>
        <v>CUST-0144</v>
      </c>
      <c r="D609" t="str">
        <f>Orders!D609</f>
        <v>PROD-010</v>
      </c>
      <c r="E609" t="str">
        <f>Orders!E609</f>
        <v>R027</v>
      </c>
      <c r="F609">
        <f>Orders!F609</f>
        <v>6</v>
      </c>
      <c r="G609" s="35">
        <f>Orders!G609</f>
        <v>2640</v>
      </c>
      <c r="H609" s="37">
        <f>Orders!H609</f>
        <v>26.2</v>
      </c>
      <c r="I609" s="39">
        <f>Orders!I609</f>
        <v>11689.92</v>
      </c>
      <c r="J609" t="str">
        <f>Orders!J609</f>
        <v>Completed</v>
      </c>
      <c r="K609" t="str">
        <f>Orders!K609</f>
        <v>Chennai</v>
      </c>
      <c r="L609" t="str">
        <f>IFERROR(VLOOKUP(D609,Products!$A$2:$F$61,3,FALSE),"")</f>
        <v>Electronics</v>
      </c>
      <c r="M609">
        <f>IFERROR(VLOOKUP(D609,Products!$A$2:$F$61,4,FALSE),"")</f>
        <v>1149</v>
      </c>
      <c r="N609" t="str">
        <f>IFERROR(VLOOKUP(E609,Sales_Reps!$A$2:$E$31,3,FALSE),"")</f>
        <v>West</v>
      </c>
      <c r="O609" t="str">
        <f>IFERROR(VLOOKUP(C609,Customers!$A$2:$F$301,5,FALSE),"")</f>
        <v>Retail</v>
      </c>
      <c r="P609">
        <f>IFERROR(VLOOKUP(C609,Customers!$A$2:$F$301,3,FALSE),"")</f>
        <v>49</v>
      </c>
      <c r="Q609" s="41">
        <f t="shared" si="18"/>
        <v>0.56477272727272732</v>
      </c>
      <c r="R609" t="str">
        <f>IFERROR(VLOOKUP(C609,Customers!$A$2:$F$301,1,FALSE),"")</f>
        <v>CUST-0144</v>
      </c>
      <c r="S609" s="27" t="b">
        <f>IFERROR(VLOOKUP(D609,Products!$A$2:$F$61,6,FALSE),"")</f>
        <v>1</v>
      </c>
      <c r="BL609">
        <v>0</v>
      </c>
      <c r="BO609">
        <v>0</v>
      </c>
      <c r="BP609">
        <v>0</v>
      </c>
    </row>
    <row r="610" spans="1:68" x14ac:dyDescent="0.35">
      <c r="A610" s="26" t="str">
        <f>Orders!A610</f>
        <v>ORD-00609</v>
      </c>
      <c r="B610" s="33">
        <f>Orders!B610</f>
        <v>45524</v>
      </c>
      <c r="C610" t="str">
        <f>Orders!C610</f>
        <v>CUST-0218</v>
      </c>
      <c r="D610" t="str">
        <f>Orders!D610</f>
        <v>PROD-028</v>
      </c>
      <c r="E610" t="str">
        <f>Orders!E610</f>
        <v>R016</v>
      </c>
      <c r="F610">
        <f>Orders!F610</f>
        <v>1</v>
      </c>
      <c r="G610" s="35">
        <f>Orders!G610</f>
        <v>3660</v>
      </c>
      <c r="H610" s="37">
        <f>Orders!H610</f>
        <v>19.7</v>
      </c>
      <c r="I610" s="39">
        <f>Orders!I610</f>
        <v>2938.98</v>
      </c>
      <c r="J610" t="str">
        <f>Orders!J610</f>
        <v>Completed</v>
      </c>
      <c r="K610" t="str">
        <f>Orders!K610</f>
        <v>Mumbai</v>
      </c>
      <c r="L610" t="str">
        <f>IFERROR(VLOOKUP(D610,Products!$A$2:$F$61,3,FALSE),"")</f>
        <v>Grocery</v>
      </c>
      <c r="M610">
        <f>IFERROR(VLOOKUP(D610,Products!$A$2:$F$61,4,FALSE),"")</f>
        <v>2214</v>
      </c>
      <c r="N610" t="str">
        <f>IFERROR(VLOOKUP(E610,Sales_Reps!$A$2:$E$31,3,FALSE),"")</f>
        <v>South</v>
      </c>
      <c r="O610" t="str">
        <f>IFERROR(VLOOKUP(C610,Customers!$A$2:$F$301,5,FALSE),"")</f>
        <v>Retail</v>
      </c>
      <c r="P610">
        <f>IFERROR(VLOOKUP(C610,Customers!$A$2:$F$301,3,FALSE),"")</f>
        <v>39</v>
      </c>
      <c r="Q610" s="41">
        <f t="shared" si="18"/>
        <v>0.39508196721311473</v>
      </c>
      <c r="R610" t="str">
        <f>IFERROR(VLOOKUP(C610,Customers!$A$2:$F$301,1,FALSE),"")</f>
        <v>CUST-0218</v>
      </c>
      <c r="S610" s="27" t="b">
        <f>IFERROR(VLOOKUP(D610,Products!$A$2:$F$61,6,FALSE),"")</f>
        <v>0</v>
      </c>
      <c r="BL610">
        <v>0</v>
      </c>
      <c r="BO610">
        <v>0</v>
      </c>
      <c r="BP610">
        <v>1</v>
      </c>
    </row>
    <row r="611" spans="1:68" x14ac:dyDescent="0.35">
      <c r="A611" s="26" t="str">
        <f>Orders!A611</f>
        <v>ORD-00610</v>
      </c>
      <c r="B611" s="33">
        <f>Orders!B611</f>
        <v>45468</v>
      </c>
      <c r="C611" t="str">
        <f>Orders!C611</f>
        <v>CUST-0249</v>
      </c>
      <c r="D611" t="str">
        <f>Orders!D611</f>
        <v>PROD-032</v>
      </c>
      <c r="E611" t="str">
        <f>Orders!E611</f>
        <v>R027</v>
      </c>
      <c r="F611">
        <f>Orders!F611</f>
        <v>5</v>
      </c>
      <c r="G611" s="35">
        <f>Orders!G611</f>
        <v>370</v>
      </c>
      <c r="H611" s="37">
        <f>Orders!H611</f>
        <v>21.7</v>
      </c>
      <c r="I611" s="39">
        <f>Orders!I611</f>
        <v>1448.55</v>
      </c>
      <c r="J611" t="str">
        <f>Orders!J611</f>
        <v>Completed</v>
      </c>
      <c r="K611" t="str">
        <f>Orders!K611</f>
        <v>Mumbai</v>
      </c>
      <c r="L611" t="str">
        <f>IFERROR(VLOOKUP(D611,Products!$A$2:$F$61,3,FALSE),"")</f>
        <v>Home</v>
      </c>
      <c r="M611">
        <f>IFERROR(VLOOKUP(D611,Products!$A$2:$F$61,4,FALSE),"")</f>
        <v>288</v>
      </c>
      <c r="N611" t="str">
        <f>IFERROR(VLOOKUP(E611,Sales_Reps!$A$2:$E$31,3,FALSE),"")</f>
        <v>West</v>
      </c>
      <c r="O611" t="str">
        <f>IFERROR(VLOOKUP(C611,Customers!$A$2:$F$301,5,FALSE),"")</f>
        <v>Retail</v>
      </c>
      <c r="P611">
        <f>IFERROR(VLOOKUP(C611,Customers!$A$2:$F$301,3,FALSE),"")</f>
        <v>44</v>
      </c>
      <c r="Q611" s="41">
        <f t="shared" si="18"/>
        <v>0.22162162162162163</v>
      </c>
      <c r="R611" t="str">
        <f>IFERROR(VLOOKUP(C611,Customers!$A$2:$F$301,1,FALSE),"")</f>
        <v>CUST-0249</v>
      </c>
      <c r="S611" s="27" t="b">
        <f>IFERROR(VLOOKUP(D611,Products!$A$2:$F$61,6,FALSE),"")</f>
        <v>1</v>
      </c>
      <c r="BL611">
        <v>0</v>
      </c>
      <c r="BO611">
        <v>0</v>
      </c>
      <c r="BP611">
        <v>0</v>
      </c>
    </row>
    <row r="612" spans="1:68" x14ac:dyDescent="0.35">
      <c r="A612" s="26" t="str">
        <f>Orders!A612</f>
        <v>ORD-00611</v>
      </c>
      <c r="B612" s="33">
        <f>Orders!B612</f>
        <v>45336</v>
      </c>
      <c r="C612" t="str">
        <f>Orders!C612</f>
        <v>CUST-0092</v>
      </c>
      <c r="D612" t="str">
        <f>Orders!D612</f>
        <v>PROD-016</v>
      </c>
      <c r="E612" t="str">
        <f>Orders!E612</f>
        <v>R025</v>
      </c>
      <c r="F612">
        <f>Orders!F612</f>
        <v>5</v>
      </c>
      <c r="G612" s="35">
        <f>Orders!G612</f>
        <v>620</v>
      </c>
      <c r="H612" s="37">
        <f>Orders!H612</f>
        <v>10.199999999999999</v>
      </c>
      <c r="I612" s="39">
        <f>Orders!I612</f>
        <v>2783.8</v>
      </c>
      <c r="J612" t="str">
        <f>Orders!J612</f>
        <v>Completed</v>
      </c>
      <c r="K612" t="str">
        <f>Orders!K612</f>
        <v>Bengaluru</v>
      </c>
      <c r="L612" t="str">
        <f>IFERROR(VLOOKUP(D612,Products!$A$2:$F$61,3,FALSE),"")</f>
        <v>Apparel</v>
      </c>
      <c r="M612">
        <f>IFERROR(VLOOKUP(D612,Products!$A$2:$F$61,4,FALSE),"")</f>
        <v>396</v>
      </c>
      <c r="N612" t="str">
        <f>IFERROR(VLOOKUP(E612,Sales_Reps!$A$2:$E$31,3,FALSE),"")</f>
        <v>West</v>
      </c>
      <c r="O612" t="str">
        <f>IFERROR(VLOOKUP(C612,Customers!$A$2:$F$301,5,FALSE),"")</f>
        <v>SMB</v>
      </c>
      <c r="P612">
        <f>IFERROR(VLOOKUP(C612,Customers!$A$2:$F$301,3,FALSE),"")</f>
        <v>28</v>
      </c>
      <c r="Q612" s="41">
        <f t="shared" si="18"/>
        <v>0.36129032258064514</v>
      </c>
      <c r="R612" t="str">
        <f>IFERROR(VLOOKUP(C612,Customers!$A$2:$F$301,1,FALSE),"")</f>
        <v>CUST-0092</v>
      </c>
      <c r="S612" s="27" t="b">
        <f>IFERROR(VLOOKUP(D612,Products!$A$2:$F$61,6,FALSE),"")</f>
        <v>1</v>
      </c>
      <c r="BL612">
        <v>0</v>
      </c>
      <c r="BO612">
        <v>0</v>
      </c>
      <c r="BP612">
        <v>0</v>
      </c>
    </row>
    <row r="613" spans="1:68" x14ac:dyDescent="0.35">
      <c r="A613" s="26" t="str">
        <f>Orders!A613</f>
        <v>ORD-00612</v>
      </c>
      <c r="B613" s="33">
        <f>Orders!B613</f>
        <v>45392</v>
      </c>
      <c r="C613" t="str">
        <f>Orders!C613</f>
        <v>CUST-0245</v>
      </c>
      <c r="D613" t="str">
        <f>Orders!D613</f>
        <v>PROD-053</v>
      </c>
      <c r="E613" t="str">
        <f>Orders!E613</f>
        <v>R018</v>
      </c>
      <c r="F613">
        <f>Orders!F613</f>
        <v>8</v>
      </c>
      <c r="G613" s="35">
        <f>Orders!G613</f>
        <v>470</v>
      </c>
      <c r="H613" s="37">
        <f>Orders!H613</f>
        <v>2.4</v>
      </c>
      <c r="I613" s="39">
        <f>Orders!I613</f>
        <v>3669.76</v>
      </c>
      <c r="J613" t="str">
        <f>Orders!J613</f>
        <v>Completed</v>
      </c>
      <c r="K613" t="str">
        <f>Orders!K613</f>
        <v>Hyderabad</v>
      </c>
      <c r="L613" t="str">
        <f>IFERROR(VLOOKUP(D613,Products!$A$2:$F$61,3,FALSE),"")</f>
        <v>Sports</v>
      </c>
      <c r="M613">
        <f>IFERROR(VLOOKUP(D613,Products!$A$2:$F$61,4,FALSE),"")</f>
        <v>302</v>
      </c>
      <c r="N613" t="str">
        <f>IFERROR(VLOOKUP(E613,Sales_Reps!$A$2:$E$31,3,FALSE),"")</f>
        <v>East</v>
      </c>
      <c r="O613" t="str">
        <f>IFERROR(VLOOKUP(C613,Customers!$A$2:$F$301,5,FALSE),"")</f>
        <v>Retail</v>
      </c>
      <c r="P613">
        <f>IFERROR(VLOOKUP(C613,Customers!$A$2:$F$301,3,FALSE),"")</f>
        <v>65</v>
      </c>
      <c r="Q613" s="41">
        <f t="shared" si="18"/>
        <v>0.35744680851063831</v>
      </c>
      <c r="R613" t="str">
        <f>IFERROR(VLOOKUP(C613,Customers!$A$2:$F$301,1,FALSE),"")</f>
        <v>CUST-0245</v>
      </c>
      <c r="S613" s="27" t="b">
        <f>IFERROR(VLOOKUP(D613,Products!$A$2:$F$61,6,FALSE),"")</f>
        <v>0</v>
      </c>
      <c r="BL613">
        <v>0</v>
      </c>
      <c r="BO613">
        <v>0</v>
      </c>
      <c r="BP613">
        <v>1</v>
      </c>
    </row>
    <row r="614" spans="1:68" x14ac:dyDescent="0.35">
      <c r="A614" s="26" t="str">
        <f>Orders!A614</f>
        <v>ORD-00613</v>
      </c>
      <c r="B614" s="33">
        <f>Orders!B614</f>
        <v>45610</v>
      </c>
      <c r="C614" t="str">
        <f>Orders!C614</f>
        <v>CUST-0134</v>
      </c>
      <c r="D614" t="str">
        <f>Orders!D614</f>
        <v>PROD-042</v>
      </c>
      <c r="E614" t="str">
        <f>Orders!E614</f>
        <v>R005</v>
      </c>
      <c r="F614">
        <f>Orders!F614</f>
        <v>3</v>
      </c>
      <c r="G614" s="35">
        <f>Orders!G614</f>
        <v>2290</v>
      </c>
      <c r="H614" s="37">
        <f>Orders!H614</f>
        <v>20.8</v>
      </c>
      <c r="I614" s="39">
        <f>Orders!I614</f>
        <v>5441.04</v>
      </c>
      <c r="J614" t="str">
        <f>Orders!J614</f>
        <v>Completed</v>
      </c>
      <c r="K614" t="str">
        <f>Orders!K614</f>
        <v>Delhi</v>
      </c>
      <c r="L614" t="str">
        <f>IFERROR(VLOOKUP(D614,Products!$A$2:$F$61,3,FALSE),"")</f>
        <v>Beauty</v>
      </c>
      <c r="M614">
        <f>IFERROR(VLOOKUP(D614,Products!$A$2:$F$61,4,FALSE),"")</f>
        <v>1219</v>
      </c>
      <c r="N614" t="str">
        <f>IFERROR(VLOOKUP(E614,Sales_Reps!$A$2:$E$31,3,FALSE),"")</f>
        <v>North</v>
      </c>
      <c r="O614" t="str">
        <f>IFERROR(VLOOKUP(C614,Customers!$A$2:$F$301,5,FALSE),"")</f>
        <v>Retail</v>
      </c>
      <c r="P614">
        <f>IFERROR(VLOOKUP(C614,Customers!$A$2:$F$301,3,FALSE),"")</f>
        <v>40</v>
      </c>
      <c r="Q614" s="41">
        <f t="shared" si="18"/>
        <v>0.46768558951965067</v>
      </c>
      <c r="R614" t="str">
        <f>IFERROR(VLOOKUP(C614,Customers!$A$2:$F$301,1,FALSE),"")</f>
        <v>CUST-0134</v>
      </c>
      <c r="S614" s="27" t="b">
        <f>IFERROR(VLOOKUP(D614,Products!$A$2:$F$61,6,FALSE),"")</f>
        <v>1</v>
      </c>
      <c r="BL614">
        <v>0.5</v>
      </c>
      <c r="BO614">
        <v>0</v>
      </c>
      <c r="BP614">
        <v>0</v>
      </c>
    </row>
    <row r="615" spans="1:68" x14ac:dyDescent="0.35">
      <c r="A615" s="26" t="str">
        <f>Orders!A615</f>
        <v>ORD-00614</v>
      </c>
      <c r="B615" s="33">
        <f>Orders!B615</f>
        <v>45297</v>
      </c>
      <c r="C615" t="str">
        <f>Orders!C615</f>
        <v>CUST-0063</v>
      </c>
      <c r="D615" t="str">
        <f>Orders!D615</f>
        <v>PROD-057</v>
      </c>
      <c r="E615" t="str">
        <f>Orders!E615</f>
        <v>R024</v>
      </c>
      <c r="F615">
        <f>Orders!F615</f>
        <v>4</v>
      </c>
      <c r="G615" s="35">
        <f>Orders!G615</f>
        <v>960</v>
      </c>
      <c r="H615" s="37">
        <f>Orders!H615</f>
        <v>28.8</v>
      </c>
      <c r="I615" s="39">
        <f>Orders!I615</f>
        <v>2734.08</v>
      </c>
      <c r="J615" t="str">
        <f>Orders!J615</f>
        <v>Pending</v>
      </c>
      <c r="K615" t="str">
        <f>Orders!K615</f>
        <v>Mumbai</v>
      </c>
      <c r="L615" t="str">
        <f>IFERROR(VLOOKUP(D615,Products!$A$2:$F$61,3,FALSE),"")</f>
        <v>Sports</v>
      </c>
      <c r="M615">
        <f>IFERROR(VLOOKUP(D615,Products!$A$2:$F$61,4,FALSE),"")</f>
        <v>705</v>
      </c>
      <c r="N615" t="str">
        <f>IFERROR(VLOOKUP(E615,Sales_Reps!$A$2:$E$31,3,FALSE),"")</f>
        <v>West</v>
      </c>
      <c r="O615" t="str">
        <f>IFERROR(VLOOKUP(C615,Customers!$A$2:$F$301,5,FALSE),"")</f>
        <v>SMB</v>
      </c>
      <c r="P615">
        <f>IFERROR(VLOOKUP(C615,Customers!$A$2:$F$301,3,FALSE),"")</f>
        <v>53</v>
      </c>
      <c r="Q615" s="41">
        <f t="shared" si="18"/>
        <v>0.265625</v>
      </c>
      <c r="R615" t="str">
        <f>IFERROR(VLOOKUP(C615,Customers!$A$2:$F$301,1,FALSE),"")</f>
        <v>CUST-0063</v>
      </c>
      <c r="S615" s="27" t="b">
        <f>IFERROR(VLOOKUP(D615,Products!$A$2:$F$61,6,FALSE),"")</f>
        <v>1</v>
      </c>
      <c r="BL615">
        <v>0</v>
      </c>
      <c r="BO615">
        <v>0</v>
      </c>
      <c r="BP615">
        <v>0</v>
      </c>
    </row>
    <row r="616" spans="1:68" x14ac:dyDescent="0.35">
      <c r="A616" s="26" t="str">
        <f>Orders!A616</f>
        <v>ORD-00615</v>
      </c>
      <c r="B616" s="33">
        <f>Orders!B616</f>
        <v>45558</v>
      </c>
      <c r="C616" t="str">
        <f>Orders!C616</f>
        <v>CUST-0172</v>
      </c>
      <c r="D616" t="str">
        <f>Orders!D616</f>
        <v>PROD-028</v>
      </c>
      <c r="E616" t="str">
        <f>Orders!E616</f>
        <v>R010</v>
      </c>
      <c r="F616">
        <f>Orders!F616</f>
        <v>5</v>
      </c>
      <c r="G616" s="35">
        <f>Orders!G616</f>
        <v>3660</v>
      </c>
      <c r="H616" s="37">
        <f>Orders!H616</f>
        <v>11.9</v>
      </c>
      <c r="I616" s="39">
        <f>Orders!I616</f>
        <v>16122.3</v>
      </c>
      <c r="J616" t="str">
        <f>Orders!J616</f>
        <v>Pending</v>
      </c>
      <c r="K616" t="str">
        <f>Orders!K616</f>
        <v>Pune</v>
      </c>
      <c r="L616" t="str">
        <f>IFERROR(VLOOKUP(D616,Products!$A$2:$F$61,3,FALSE),"")</f>
        <v>Grocery</v>
      </c>
      <c r="M616">
        <f>IFERROR(VLOOKUP(D616,Products!$A$2:$F$61,4,FALSE),"")</f>
        <v>2214</v>
      </c>
      <c r="N616" t="str">
        <f>IFERROR(VLOOKUP(E616,Sales_Reps!$A$2:$E$31,3,FALSE),"")</f>
        <v>South</v>
      </c>
      <c r="O616" t="str">
        <f>IFERROR(VLOOKUP(C616,Customers!$A$2:$F$301,5,FALSE),"")</f>
        <v>Retail</v>
      </c>
      <c r="P616">
        <f>IFERROR(VLOOKUP(C616,Customers!$A$2:$F$301,3,FALSE),"")</f>
        <v>65</v>
      </c>
      <c r="Q616" s="41">
        <f t="shared" si="18"/>
        <v>0.39508196721311473</v>
      </c>
      <c r="R616" t="str">
        <f>IFERROR(VLOOKUP(C616,Customers!$A$2:$F$301,1,FALSE),"")</f>
        <v>CUST-0172</v>
      </c>
      <c r="S616" s="27" t="b">
        <f>IFERROR(VLOOKUP(D616,Products!$A$2:$F$61,6,FALSE),"")</f>
        <v>0</v>
      </c>
      <c r="BL616">
        <v>0</v>
      </c>
      <c r="BO616">
        <v>0</v>
      </c>
      <c r="BP616">
        <v>1</v>
      </c>
    </row>
    <row r="617" spans="1:68" x14ac:dyDescent="0.35">
      <c r="A617" s="26" t="str">
        <f>Orders!A617</f>
        <v>ORD-00616</v>
      </c>
      <c r="B617" s="33">
        <f>Orders!B617</f>
        <v>45487</v>
      </c>
      <c r="C617" t="str">
        <f>Orders!C617</f>
        <v>CUST-0139</v>
      </c>
      <c r="D617" t="str">
        <f>Orders!D617</f>
        <v>PROD-003</v>
      </c>
      <c r="E617" t="str">
        <f>Orders!E617</f>
        <v>R019</v>
      </c>
      <c r="F617">
        <f>Orders!F617</f>
        <v>5</v>
      </c>
      <c r="G617" s="35">
        <f>Orders!G617</f>
        <v>3570</v>
      </c>
      <c r="H617" s="37">
        <f>Orders!H617</f>
        <v>12.4</v>
      </c>
      <c r="I617" s="39">
        <f>Orders!I617</f>
        <v>15636.6</v>
      </c>
      <c r="J617" t="str">
        <f>Orders!J617</f>
        <v>Completed</v>
      </c>
      <c r="K617" t="str">
        <f>Orders!K617</f>
        <v>Hyderabad</v>
      </c>
      <c r="L617" t="str">
        <f>IFERROR(VLOOKUP(D617,Products!$A$2:$F$61,3,FALSE),"")</f>
        <v>Electronics</v>
      </c>
      <c r="M617">
        <f>IFERROR(VLOOKUP(D617,Products!$A$2:$F$61,4,FALSE),"")</f>
        <v>1665</v>
      </c>
      <c r="N617" t="str">
        <f>IFERROR(VLOOKUP(E617,Sales_Reps!$A$2:$E$31,3,FALSE),"")</f>
        <v>East</v>
      </c>
      <c r="O617" t="str">
        <f>IFERROR(VLOOKUP(C617,Customers!$A$2:$F$301,5,FALSE),"")</f>
        <v>SMB</v>
      </c>
      <c r="P617">
        <f>IFERROR(VLOOKUP(C617,Customers!$A$2:$F$301,3,FALSE),"")</f>
        <v>65</v>
      </c>
      <c r="Q617" s="41">
        <f t="shared" si="18"/>
        <v>0.53361344537815125</v>
      </c>
      <c r="R617" t="str">
        <f>IFERROR(VLOOKUP(C617,Customers!$A$2:$F$301,1,FALSE),"")</f>
        <v>CUST-0139</v>
      </c>
      <c r="S617" s="27" t="b">
        <f>IFERROR(VLOOKUP(D617,Products!$A$2:$F$61,6,FALSE),"")</f>
        <v>1</v>
      </c>
      <c r="BL617">
        <v>0</v>
      </c>
      <c r="BO617">
        <v>0</v>
      </c>
      <c r="BP617">
        <v>0</v>
      </c>
    </row>
    <row r="618" spans="1:68" x14ac:dyDescent="0.35">
      <c r="A618" s="26" t="str">
        <f>Orders!A618</f>
        <v>ORD-00617</v>
      </c>
      <c r="B618" s="33">
        <f>Orders!B618</f>
        <v>45307</v>
      </c>
      <c r="C618" t="str">
        <f>Orders!C618</f>
        <v>CUST-0275</v>
      </c>
      <c r="D618" t="str">
        <f>Orders!D618</f>
        <v>PROD-033</v>
      </c>
      <c r="E618" t="str">
        <f>Orders!E618</f>
        <v>R017</v>
      </c>
      <c r="F618">
        <f>Orders!F618</f>
        <v>9</v>
      </c>
      <c r="G618" s="35">
        <f>Orders!G618</f>
        <v>2030</v>
      </c>
      <c r="H618" s="37">
        <f>Orders!H618</f>
        <v>23.4</v>
      </c>
      <c r="I618" s="39">
        <f>Orders!I618</f>
        <v>13994.82</v>
      </c>
      <c r="J618" t="str">
        <f>Orders!J618</f>
        <v>Completed</v>
      </c>
      <c r="K618" t="str">
        <f>Orders!K618</f>
        <v>Mumbai</v>
      </c>
      <c r="L618" t="str">
        <f>IFERROR(VLOOKUP(D618,Products!$A$2:$F$61,3,FALSE),"")</f>
        <v>Home</v>
      </c>
      <c r="M618">
        <f>IFERROR(VLOOKUP(D618,Products!$A$2:$F$61,4,FALSE),"")</f>
        <v>1143</v>
      </c>
      <c r="N618" t="str">
        <f>IFERROR(VLOOKUP(E618,Sales_Reps!$A$2:$E$31,3,FALSE),"")</f>
        <v>East</v>
      </c>
      <c r="O618" t="str">
        <f>IFERROR(VLOOKUP(C618,Customers!$A$2:$F$301,5,FALSE),"")</f>
        <v>Retail</v>
      </c>
      <c r="P618">
        <f>IFERROR(VLOOKUP(C618,Customers!$A$2:$F$301,3,FALSE),"")</f>
        <v>36</v>
      </c>
      <c r="Q618" s="41">
        <f t="shared" si="18"/>
        <v>0.43694581280788175</v>
      </c>
      <c r="R618" t="str">
        <f>IFERROR(VLOOKUP(C618,Customers!$A$2:$F$301,1,FALSE),"")</f>
        <v>CUST-0275</v>
      </c>
      <c r="S618" s="27" t="b">
        <f>IFERROR(VLOOKUP(D618,Products!$A$2:$F$61,6,FALSE),"")</f>
        <v>1</v>
      </c>
      <c r="BL618">
        <v>0</v>
      </c>
      <c r="BO618">
        <v>0</v>
      </c>
      <c r="BP618">
        <v>0</v>
      </c>
    </row>
    <row r="619" spans="1:68" x14ac:dyDescent="0.35">
      <c r="A619" s="26" t="str">
        <f>Orders!A619</f>
        <v>ORD-00618</v>
      </c>
      <c r="B619" s="33">
        <f>Orders!B619</f>
        <v>45328</v>
      </c>
      <c r="C619" t="str">
        <f>Orders!C619</f>
        <v>CUST-0006</v>
      </c>
      <c r="D619" t="str">
        <f>Orders!D619</f>
        <v>PROD-015</v>
      </c>
      <c r="E619" t="str">
        <f>Orders!E619</f>
        <v>R024</v>
      </c>
      <c r="F619">
        <f>Orders!F619</f>
        <v>7</v>
      </c>
      <c r="G619" s="35">
        <f>Orders!G619</f>
        <v>2720</v>
      </c>
      <c r="H619" s="37">
        <f>Orders!H619</f>
        <v>11.2</v>
      </c>
      <c r="I619" s="39">
        <f>Orders!I619</f>
        <v>16907.52</v>
      </c>
      <c r="J619" t="str">
        <f>Orders!J619</f>
        <v>Refunded</v>
      </c>
      <c r="K619" t="str">
        <f>Orders!K619</f>
        <v>Pune</v>
      </c>
      <c r="L619" t="str">
        <f>IFERROR(VLOOKUP(D619,Products!$A$2:$F$61,3,FALSE),"")</f>
        <v>Apparel</v>
      </c>
      <c r="M619">
        <f>IFERROR(VLOOKUP(D619,Products!$A$2:$F$61,4,FALSE),"")</f>
        <v>1962</v>
      </c>
      <c r="N619" t="str">
        <f>IFERROR(VLOOKUP(E619,Sales_Reps!$A$2:$E$31,3,FALSE),"")</f>
        <v>West</v>
      </c>
      <c r="O619" t="str">
        <f>IFERROR(VLOOKUP(C619,Customers!$A$2:$F$301,5,FALSE),"")</f>
        <v>SMB</v>
      </c>
      <c r="P619">
        <f>IFERROR(VLOOKUP(C619,Customers!$A$2:$F$301,3,FALSE),"")</f>
        <v>44</v>
      </c>
      <c r="Q619" s="41">
        <f t="shared" si="18"/>
        <v>0.2786764705882353</v>
      </c>
      <c r="R619" t="str">
        <f>IFERROR(VLOOKUP(C619,Customers!$A$2:$F$301,1,FALSE),"")</f>
        <v>CUST-0006</v>
      </c>
      <c r="S619" s="27" t="b">
        <f>IFERROR(VLOOKUP(D619,Products!$A$2:$F$61,6,FALSE),"")</f>
        <v>1</v>
      </c>
      <c r="BL619">
        <v>0</v>
      </c>
      <c r="BO619">
        <v>0</v>
      </c>
      <c r="BP619">
        <v>0</v>
      </c>
    </row>
    <row r="620" spans="1:68" x14ac:dyDescent="0.35">
      <c r="A620" s="26" t="str">
        <f>Orders!A620</f>
        <v>ORD-00619</v>
      </c>
      <c r="B620" s="33">
        <f>Orders!B620</f>
        <v>45627</v>
      </c>
      <c r="C620" t="str">
        <f>Orders!C620</f>
        <v>CUST-0279</v>
      </c>
      <c r="D620" t="str">
        <f>Orders!D620</f>
        <v>PROD-003</v>
      </c>
      <c r="E620" t="str">
        <f>Orders!E620</f>
        <v>R008</v>
      </c>
      <c r="F620">
        <f>Orders!F620</f>
        <v>2</v>
      </c>
      <c r="G620" s="35">
        <f>Orders!G620</f>
        <v>3570</v>
      </c>
      <c r="H620" s="37">
        <f>Orders!H620</f>
        <v>6.1</v>
      </c>
      <c r="I620" s="39">
        <f>Orders!I620</f>
        <v>6704.46</v>
      </c>
      <c r="J620" t="str">
        <f>Orders!J620</f>
        <v>Cancelled</v>
      </c>
      <c r="K620" t="str">
        <f>Orders!K620</f>
        <v>Mumbai</v>
      </c>
      <c r="L620" t="str">
        <f>IFERROR(VLOOKUP(D620,Products!$A$2:$F$61,3,FALSE),"")</f>
        <v>Electronics</v>
      </c>
      <c r="M620">
        <f>IFERROR(VLOOKUP(D620,Products!$A$2:$F$61,4,FALSE),"")</f>
        <v>1665</v>
      </c>
      <c r="N620" t="str">
        <f>IFERROR(VLOOKUP(E620,Sales_Reps!$A$2:$E$31,3,FALSE),"")</f>
        <v>North</v>
      </c>
      <c r="O620" t="str">
        <f>IFERROR(VLOOKUP(C620,Customers!$A$2:$F$301,5,FALSE),"")</f>
        <v>Retail</v>
      </c>
      <c r="P620">
        <f>IFERROR(VLOOKUP(C620,Customers!$A$2:$F$301,3,FALSE),"")</f>
        <v>56</v>
      </c>
      <c r="Q620" s="41">
        <f t="shared" si="18"/>
        <v>0.53361344537815125</v>
      </c>
      <c r="R620" t="str">
        <f>IFERROR(VLOOKUP(C620,Customers!$A$2:$F$301,1,FALSE),"")</f>
        <v>CUST-0279</v>
      </c>
      <c r="S620" s="27" t="b">
        <f>IFERROR(VLOOKUP(D620,Products!$A$2:$F$61,6,FALSE),"")</f>
        <v>1</v>
      </c>
      <c r="BL620">
        <v>0</v>
      </c>
      <c r="BO620">
        <v>0</v>
      </c>
      <c r="BP620">
        <v>0</v>
      </c>
    </row>
    <row r="621" spans="1:68" x14ac:dyDescent="0.35">
      <c r="A621" s="26" t="str">
        <f>Orders!A621</f>
        <v>ORD-00620</v>
      </c>
      <c r="B621" s="33">
        <f>Orders!B621</f>
        <v>45574</v>
      </c>
      <c r="C621" t="str">
        <f>Orders!C621</f>
        <v>CUST-0093</v>
      </c>
      <c r="D621" t="str">
        <f>Orders!D621</f>
        <v>PROD-058</v>
      </c>
      <c r="E621" t="str">
        <f>Orders!E621</f>
        <v>R001</v>
      </c>
      <c r="F621">
        <f>Orders!F621</f>
        <v>5</v>
      </c>
      <c r="G621" s="35">
        <f>Orders!G621</f>
        <v>2400</v>
      </c>
      <c r="H621" s="37">
        <f>Orders!H621</f>
        <v>16.100000000000001</v>
      </c>
      <c r="I621" s="39">
        <f>Orders!I621</f>
        <v>10068</v>
      </c>
      <c r="J621" t="str">
        <f>Orders!J621</f>
        <v>Completed</v>
      </c>
      <c r="K621" t="str">
        <f>Orders!K621</f>
        <v>Pune</v>
      </c>
      <c r="L621" t="str">
        <f>IFERROR(VLOOKUP(D621,Products!$A$2:$F$61,3,FALSE),"")</f>
        <v>Sports</v>
      </c>
      <c r="M621">
        <f>IFERROR(VLOOKUP(D621,Products!$A$2:$F$61,4,FALSE),"")</f>
        <v>974</v>
      </c>
      <c r="N621" t="str">
        <f>IFERROR(VLOOKUP(E621,Sales_Reps!$A$2:$E$31,3,FALSE),"")</f>
        <v>North</v>
      </c>
      <c r="O621" t="str">
        <f>IFERROR(VLOOKUP(C621,Customers!$A$2:$F$301,5,FALSE),"")</f>
        <v>Retail</v>
      </c>
      <c r="P621">
        <f>IFERROR(VLOOKUP(C621,Customers!$A$2:$F$301,3,FALSE),"")</f>
        <v>36</v>
      </c>
      <c r="Q621" s="41">
        <f t="shared" si="18"/>
        <v>0.59416666666666662</v>
      </c>
      <c r="R621" t="str">
        <f>IFERROR(VLOOKUP(C621,Customers!$A$2:$F$301,1,FALSE),"")</f>
        <v>CUST-0093</v>
      </c>
      <c r="S621" s="27" t="b">
        <f>IFERROR(VLOOKUP(D621,Products!$A$2:$F$61,6,FALSE),"")</f>
        <v>1</v>
      </c>
      <c r="BL621">
        <v>0</v>
      </c>
      <c r="BO621">
        <v>0</v>
      </c>
      <c r="BP621">
        <v>0</v>
      </c>
    </row>
    <row r="622" spans="1:68" x14ac:dyDescent="0.35">
      <c r="A622" s="26" t="str">
        <f>Orders!A622</f>
        <v>ORD-00621</v>
      </c>
      <c r="B622" s="33">
        <f>Orders!B622</f>
        <v>45592</v>
      </c>
      <c r="C622" t="str">
        <f>Orders!C622</f>
        <v>CUST-0063</v>
      </c>
      <c r="D622" t="str">
        <f>Orders!D622</f>
        <v>PROD-024</v>
      </c>
      <c r="E622" t="str">
        <f>Orders!E622</f>
        <v>R002</v>
      </c>
      <c r="F622">
        <f>Orders!F622</f>
        <v>4</v>
      </c>
      <c r="G622" s="35">
        <f>Orders!G622</f>
        <v>2270</v>
      </c>
      <c r="H622" s="37">
        <f>Orders!H622</f>
        <v>27.5</v>
      </c>
      <c r="I622" s="39">
        <f>Orders!I622</f>
        <v>6583</v>
      </c>
      <c r="J622" t="str">
        <f>Orders!J622</f>
        <v>Pending</v>
      </c>
      <c r="K622" t="str">
        <f>Orders!K622</f>
        <v>Mumbai</v>
      </c>
      <c r="L622" t="str">
        <f>IFERROR(VLOOKUP(D622,Products!$A$2:$F$61,3,FALSE),"")</f>
        <v>Grocery</v>
      </c>
      <c r="M622">
        <f>IFERROR(VLOOKUP(D622,Products!$A$2:$F$61,4,FALSE),"")</f>
        <v>1203</v>
      </c>
      <c r="N622" t="str">
        <f>IFERROR(VLOOKUP(E622,Sales_Reps!$A$2:$E$31,3,FALSE),"")</f>
        <v>North</v>
      </c>
      <c r="O622" t="str">
        <f>IFERROR(VLOOKUP(C622,Customers!$A$2:$F$301,5,FALSE),"")</f>
        <v>SMB</v>
      </c>
      <c r="P622">
        <f>IFERROR(VLOOKUP(C622,Customers!$A$2:$F$301,3,FALSE),"")</f>
        <v>53</v>
      </c>
      <c r="Q622" s="41">
        <f t="shared" si="18"/>
        <v>0.47004405286343615</v>
      </c>
      <c r="R622" t="str">
        <f>IFERROR(VLOOKUP(C622,Customers!$A$2:$F$301,1,FALSE),"")</f>
        <v>CUST-0063</v>
      </c>
      <c r="S622" s="27" t="b">
        <f>IFERROR(VLOOKUP(D622,Products!$A$2:$F$61,6,FALSE),"")</f>
        <v>1</v>
      </c>
      <c r="BL622">
        <v>0</v>
      </c>
      <c r="BO622">
        <v>0</v>
      </c>
      <c r="BP622">
        <v>0</v>
      </c>
    </row>
    <row r="623" spans="1:68" x14ac:dyDescent="0.35">
      <c r="A623" s="26" t="str">
        <f>Orders!A623</f>
        <v>ORD-00622</v>
      </c>
      <c r="B623" s="33">
        <f>Orders!B623</f>
        <v>45509</v>
      </c>
      <c r="C623" t="str">
        <f>Orders!C623</f>
        <v>CUST-0071</v>
      </c>
      <c r="D623" t="str">
        <f>Orders!D623</f>
        <v>PROD-030</v>
      </c>
      <c r="E623" t="str">
        <f>Orders!E623</f>
        <v>R012</v>
      </c>
      <c r="F623">
        <f>Orders!F623</f>
        <v>1</v>
      </c>
      <c r="G623" s="35">
        <f>Orders!G623</f>
        <v>970</v>
      </c>
      <c r="H623" s="37">
        <f>Orders!H623</f>
        <v>12.7</v>
      </c>
      <c r="I623" s="39">
        <f>Orders!I623</f>
        <v>846.81</v>
      </c>
      <c r="J623" t="str">
        <f>Orders!J623</f>
        <v>Completed</v>
      </c>
      <c r="K623" t="str">
        <f>Orders!K623</f>
        <v>Delhi</v>
      </c>
      <c r="L623" t="str">
        <f>IFERROR(VLOOKUP(D623,Products!$A$2:$F$61,3,FALSE),"")</f>
        <v>Grocery</v>
      </c>
      <c r="M623">
        <f>IFERROR(VLOOKUP(D623,Products!$A$2:$F$61,4,FALSE),"")</f>
        <v>434</v>
      </c>
      <c r="N623" t="str">
        <f>IFERROR(VLOOKUP(E623,Sales_Reps!$A$2:$E$31,3,FALSE),"")</f>
        <v>South</v>
      </c>
      <c r="O623" t="str">
        <f>IFERROR(VLOOKUP(C623,Customers!$A$2:$F$301,5,FALSE),"")</f>
        <v>Corporate</v>
      </c>
      <c r="P623">
        <f>IFERROR(VLOOKUP(C623,Customers!$A$2:$F$301,3,FALSE),"")</f>
        <v>46</v>
      </c>
      <c r="Q623" s="41">
        <f t="shared" si="18"/>
        <v>0.5525773195876289</v>
      </c>
      <c r="R623" t="str">
        <f>IFERROR(VLOOKUP(C623,Customers!$A$2:$F$301,1,FALSE),"")</f>
        <v>CUST-0071</v>
      </c>
      <c r="S623" s="27" t="b">
        <f>IFERROR(VLOOKUP(D623,Products!$A$2:$F$61,6,FALSE),"")</f>
        <v>1</v>
      </c>
      <c r="BL623">
        <v>0</v>
      </c>
      <c r="BO623">
        <v>0</v>
      </c>
      <c r="BP623">
        <v>0</v>
      </c>
    </row>
    <row r="624" spans="1:68" x14ac:dyDescent="0.35">
      <c r="A624" s="26" t="str">
        <f>Orders!A624</f>
        <v>ORD-00623</v>
      </c>
      <c r="B624" s="33">
        <f>Orders!B624</f>
        <v>45307</v>
      </c>
      <c r="C624" t="str">
        <f>Orders!C624</f>
        <v>CUST-0119</v>
      </c>
      <c r="D624" t="str">
        <f>Orders!D624</f>
        <v>PROD-056</v>
      </c>
      <c r="E624" t="str">
        <f>Orders!E624</f>
        <v>R018</v>
      </c>
      <c r="F624">
        <f>Orders!F624</f>
        <v>5</v>
      </c>
      <c r="G624" s="35">
        <f>Orders!G624</f>
        <v>6940</v>
      </c>
      <c r="H624" s="37">
        <f>Orders!H624</f>
        <v>16.2</v>
      </c>
      <c r="I624" s="39">
        <f>Orders!I624</f>
        <v>29078.6</v>
      </c>
      <c r="J624" t="str">
        <f>Orders!J624</f>
        <v>Completed</v>
      </c>
      <c r="K624" t="str">
        <f>Orders!K624</f>
        <v>Bengaluru</v>
      </c>
      <c r="L624" t="str">
        <f>IFERROR(VLOOKUP(D624,Products!$A$2:$F$61,3,FALSE),"")</f>
        <v>Sports</v>
      </c>
      <c r="M624">
        <f>IFERROR(VLOOKUP(D624,Products!$A$2:$F$61,4,FALSE),"")</f>
        <v>2827</v>
      </c>
      <c r="N624" t="str">
        <f>IFERROR(VLOOKUP(E624,Sales_Reps!$A$2:$E$31,3,FALSE),"")</f>
        <v>East</v>
      </c>
      <c r="O624" t="str">
        <f>IFERROR(VLOOKUP(C624,Customers!$A$2:$F$301,5,FALSE),"")</f>
        <v>SMB</v>
      </c>
      <c r="P624">
        <f>IFERROR(VLOOKUP(C624,Customers!$A$2:$F$301,3,FALSE),"")</f>
        <v>43</v>
      </c>
      <c r="Q624" s="41">
        <f t="shared" si="18"/>
        <v>0.5926512968299712</v>
      </c>
      <c r="R624" t="str">
        <f>IFERROR(VLOOKUP(C624,Customers!$A$2:$F$301,1,FALSE),"")</f>
        <v>CUST-0119</v>
      </c>
      <c r="S624" s="27" t="b">
        <f>IFERROR(VLOOKUP(D624,Products!$A$2:$F$61,6,FALSE),"")</f>
        <v>1</v>
      </c>
      <c r="BL624">
        <v>0</v>
      </c>
      <c r="BO624">
        <v>0</v>
      </c>
      <c r="BP624">
        <v>0</v>
      </c>
    </row>
    <row r="625" spans="1:68" x14ac:dyDescent="0.35">
      <c r="A625" s="26" t="str">
        <f>Orders!A625</f>
        <v>ORD-00624</v>
      </c>
      <c r="B625" s="33">
        <f>Orders!B625</f>
        <v>45586</v>
      </c>
      <c r="C625" t="str">
        <f>Orders!C625</f>
        <v>CUST-0035</v>
      </c>
      <c r="D625" t="str">
        <f>Orders!D625</f>
        <v>PROD-056</v>
      </c>
      <c r="E625" t="str">
        <f>Orders!E625</f>
        <v>R009</v>
      </c>
      <c r="F625">
        <f>Orders!F625</f>
        <v>4</v>
      </c>
      <c r="G625" s="35">
        <f>Orders!G625</f>
        <v>6940</v>
      </c>
      <c r="H625" s="37">
        <f>Orders!H625</f>
        <v>15.1</v>
      </c>
      <c r="I625" s="39">
        <f>Orders!I625</f>
        <v>23568.240000000002</v>
      </c>
      <c r="J625" t="str">
        <f>Orders!J625</f>
        <v>Completed</v>
      </c>
      <c r="K625" t="str">
        <f>Orders!K625</f>
        <v>Hyderabad</v>
      </c>
      <c r="L625" t="str">
        <f>IFERROR(VLOOKUP(D625,Products!$A$2:$F$61,3,FALSE),"")</f>
        <v>Sports</v>
      </c>
      <c r="M625">
        <f>IFERROR(VLOOKUP(D625,Products!$A$2:$F$61,4,FALSE),"")</f>
        <v>2827</v>
      </c>
      <c r="N625" t="str">
        <f>IFERROR(VLOOKUP(E625,Sales_Reps!$A$2:$E$31,3,FALSE),"")</f>
        <v>South</v>
      </c>
      <c r="O625" t="str">
        <f>IFERROR(VLOOKUP(C625,Customers!$A$2:$F$301,5,FALSE),"")</f>
        <v>Retail</v>
      </c>
      <c r="P625">
        <f>IFERROR(VLOOKUP(C625,Customers!$A$2:$F$301,3,FALSE),"")</f>
        <v>53</v>
      </c>
      <c r="Q625" s="41">
        <f t="shared" si="18"/>
        <v>0.5926512968299712</v>
      </c>
      <c r="R625" t="str">
        <f>IFERROR(VLOOKUP(C625,Customers!$A$2:$F$301,1,FALSE),"")</f>
        <v>CUST-0035</v>
      </c>
      <c r="S625" s="27" t="b">
        <f>IFERROR(VLOOKUP(D625,Products!$A$2:$F$61,6,FALSE),"")</f>
        <v>1</v>
      </c>
      <c r="BL625">
        <v>0</v>
      </c>
      <c r="BO625">
        <v>0</v>
      </c>
      <c r="BP625">
        <v>0</v>
      </c>
    </row>
    <row r="626" spans="1:68" x14ac:dyDescent="0.35">
      <c r="A626" s="26" t="str">
        <f>Orders!A626</f>
        <v>ORD-00625</v>
      </c>
      <c r="B626" s="33">
        <f>Orders!B626</f>
        <v>45587</v>
      </c>
      <c r="C626" t="str">
        <f>Orders!C626</f>
        <v>CUST-0042</v>
      </c>
      <c r="D626" t="str">
        <f>Orders!D626</f>
        <v>PROD-054</v>
      </c>
      <c r="E626" t="str">
        <f>Orders!E626</f>
        <v>R006</v>
      </c>
      <c r="F626">
        <f>Orders!F626</f>
        <v>1</v>
      </c>
      <c r="G626" s="35">
        <f>Orders!G626</f>
        <v>1010</v>
      </c>
      <c r="H626" s="37">
        <f>Orders!H626</f>
        <v>1.7</v>
      </c>
      <c r="I626" s="39">
        <f>Orders!I626</f>
        <v>992.83</v>
      </c>
      <c r="J626" t="str">
        <f>Orders!J626</f>
        <v>Completed</v>
      </c>
      <c r="K626" t="str">
        <f>Orders!K626</f>
        <v>Pune</v>
      </c>
      <c r="L626" t="str">
        <f>IFERROR(VLOOKUP(D626,Products!$A$2:$F$61,3,FALSE),"")</f>
        <v>Sports</v>
      </c>
      <c r="M626">
        <f>IFERROR(VLOOKUP(D626,Products!$A$2:$F$61,4,FALSE),"")</f>
        <v>516</v>
      </c>
      <c r="N626" t="str">
        <f>IFERROR(VLOOKUP(E626,Sales_Reps!$A$2:$E$31,3,FALSE),"")</f>
        <v>North</v>
      </c>
      <c r="O626" t="str">
        <f>IFERROR(VLOOKUP(C626,Customers!$A$2:$F$301,5,FALSE),"")</f>
        <v>Retail</v>
      </c>
      <c r="P626">
        <f>IFERROR(VLOOKUP(C626,Customers!$A$2:$F$301,3,FALSE),"")</f>
        <v>25</v>
      </c>
      <c r="Q626" s="41">
        <f t="shared" si="18"/>
        <v>0.4891089108910891</v>
      </c>
      <c r="R626" t="str">
        <f>IFERROR(VLOOKUP(C626,Customers!$A$2:$F$301,1,FALSE),"")</f>
        <v>CUST-0042</v>
      </c>
      <c r="S626" s="27" t="b">
        <f>IFERROR(VLOOKUP(D626,Products!$A$2:$F$61,6,FALSE),"")</f>
        <v>1</v>
      </c>
      <c r="BL626">
        <v>0</v>
      </c>
      <c r="BO626">
        <v>0</v>
      </c>
      <c r="BP626">
        <v>0</v>
      </c>
    </row>
    <row r="627" spans="1:68" x14ac:dyDescent="0.35">
      <c r="A627" s="26" t="str">
        <f>Orders!A627</f>
        <v>ORD-00626</v>
      </c>
      <c r="B627" s="33">
        <f>Orders!B627</f>
        <v>45609</v>
      </c>
      <c r="C627" t="str">
        <f>Orders!C627</f>
        <v>CUST-0033</v>
      </c>
      <c r="D627" t="str">
        <f>Orders!D627</f>
        <v>PROD-004</v>
      </c>
      <c r="E627" t="str">
        <f>Orders!E627</f>
        <v>R007</v>
      </c>
      <c r="F627">
        <f>Orders!F627</f>
        <v>6</v>
      </c>
      <c r="G627" s="35">
        <f>Orders!G627</f>
        <v>3870</v>
      </c>
      <c r="H627" s="37">
        <f>Orders!H627</f>
        <v>12.2</v>
      </c>
      <c r="I627" s="39">
        <f>Orders!I627</f>
        <v>20387.16</v>
      </c>
      <c r="J627" t="str">
        <f>Orders!J627</f>
        <v>Completed</v>
      </c>
      <c r="K627" t="str">
        <f>Orders!K627</f>
        <v>Delhi</v>
      </c>
      <c r="L627" t="str">
        <f>IFERROR(VLOOKUP(D627,Products!$A$2:$F$61,3,FALSE),"")</f>
        <v>Electronics</v>
      </c>
      <c r="M627">
        <f>IFERROR(VLOOKUP(D627,Products!$A$2:$F$61,4,FALSE),"")</f>
        <v>1559</v>
      </c>
      <c r="N627" t="str">
        <f>IFERROR(VLOOKUP(E627,Sales_Reps!$A$2:$E$31,3,FALSE),"")</f>
        <v>North</v>
      </c>
      <c r="O627" t="str">
        <f>IFERROR(VLOOKUP(C627,Customers!$A$2:$F$301,5,FALSE),"")</f>
        <v>Retail</v>
      </c>
      <c r="P627">
        <f>IFERROR(VLOOKUP(C627,Customers!$A$2:$F$301,3,FALSE),"")</f>
        <v>35</v>
      </c>
      <c r="Q627" s="41">
        <f t="shared" si="18"/>
        <v>0.59715762273901807</v>
      </c>
      <c r="R627" t="str">
        <f>IFERROR(VLOOKUP(C627,Customers!$A$2:$F$301,1,FALSE),"")</f>
        <v>CUST-0033</v>
      </c>
      <c r="S627" s="27" t="b">
        <f>IFERROR(VLOOKUP(D627,Products!$A$2:$F$61,6,FALSE),"")</f>
        <v>1</v>
      </c>
      <c r="BL627">
        <v>0</v>
      </c>
      <c r="BO627">
        <v>0</v>
      </c>
      <c r="BP627">
        <v>0</v>
      </c>
    </row>
    <row r="628" spans="1:68" x14ac:dyDescent="0.35">
      <c r="A628" s="26" t="str">
        <f>Orders!A628</f>
        <v>ORD-00627</v>
      </c>
      <c r="B628" s="33">
        <f>Orders!B628</f>
        <v>45316</v>
      </c>
      <c r="C628" t="str">
        <f>Orders!C628</f>
        <v>CUST-0077</v>
      </c>
      <c r="D628" t="str">
        <f>Orders!D628</f>
        <v>PROD-048</v>
      </c>
      <c r="E628" t="str">
        <f>Orders!E628</f>
        <v>R011</v>
      </c>
      <c r="F628">
        <f>Orders!F628</f>
        <v>9</v>
      </c>
      <c r="G628" s="35">
        <f>Orders!G628</f>
        <v>5100</v>
      </c>
      <c r="H628" s="37">
        <f>Orders!H628</f>
        <v>26.4</v>
      </c>
      <c r="I628" s="39">
        <f>Orders!I628</f>
        <v>33782.400000000001</v>
      </c>
      <c r="J628" t="str">
        <f>Orders!J628</f>
        <v>Completed</v>
      </c>
      <c r="K628" t="str">
        <f>Orders!K628</f>
        <v>Hyderabad</v>
      </c>
      <c r="L628" t="str">
        <f>IFERROR(VLOOKUP(D628,Products!$A$2:$F$61,3,FALSE),"")</f>
        <v>Beauty</v>
      </c>
      <c r="M628">
        <f>IFERROR(VLOOKUP(D628,Products!$A$2:$F$61,4,FALSE),"")</f>
        <v>2237</v>
      </c>
      <c r="N628" t="str">
        <f>IFERROR(VLOOKUP(E628,Sales_Reps!$A$2:$E$31,3,FALSE),"")</f>
        <v>South</v>
      </c>
      <c r="O628" t="str">
        <f>IFERROR(VLOOKUP(C628,Customers!$A$2:$F$301,5,FALSE),"")</f>
        <v>SMB</v>
      </c>
      <c r="P628">
        <f>IFERROR(VLOOKUP(C628,Customers!$A$2:$F$301,3,FALSE),"")</f>
        <v>48</v>
      </c>
      <c r="Q628" s="41">
        <f t="shared" si="18"/>
        <v>0.56137254901960787</v>
      </c>
      <c r="R628" t="str">
        <f>IFERROR(VLOOKUP(C628,Customers!$A$2:$F$301,1,FALSE),"")</f>
        <v>CUST-0077</v>
      </c>
      <c r="S628" s="27" t="b">
        <f>IFERROR(VLOOKUP(D628,Products!$A$2:$F$61,6,FALSE),"")</f>
        <v>1</v>
      </c>
      <c r="BL628">
        <v>0</v>
      </c>
      <c r="BO628">
        <v>0</v>
      </c>
      <c r="BP628">
        <v>0</v>
      </c>
    </row>
    <row r="629" spans="1:68" x14ac:dyDescent="0.35">
      <c r="A629" s="26" t="str">
        <f>Orders!A629</f>
        <v>ORD-00628</v>
      </c>
      <c r="B629" s="33">
        <f>Orders!B629</f>
        <v>45451</v>
      </c>
      <c r="C629" t="str">
        <f>Orders!C629</f>
        <v>CUST-0266</v>
      </c>
      <c r="D629" t="str">
        <f>Orders!D629</f>
        <v>PROD-012</v>
      </c>
      <c r="E629" t="str">
        <f>Orders!E629</f>
        <v>R008</v>
      </c>
      <c r="F629">
        <f>Orders!F629</f>
        <v>2</v>
      </c>
      <c r="G629" s="35">
        <f>Orders!G629</f>
        <v>3160</v>
      </c>
      <c r="H629" s="37">
        <f>Orders!H629</f>
        <v>13.4</v>
      </c>
      <c r="I629" s="39">
        <f>Orders!I629</f>
        <v>5473.12</v>
      </c>
      <c r="J629" t="str">
        <f>Orders!J629</f>
        <v>Refunded</v>
      </c>
      <c r="K629" t="str">
        <f>Orders!K629</f>
        <v>Pune</v>
      </c>
      <c r="L629" t="str">
        <f>IFERROR(VLOOKUP(D629,Products!$A$2:$F$61,3,FALSE),"")</f>
        <v>Apparel</v>
      </c>
      <c r="M629">
        <f>IFERROR(VLOOKUP(D629,Products!$A$2:$F$61,4,FALSE),"")</f>
        <v>1886</v>
      </c>
      <c r="N629" t="str">
        <f>IFERROR(VLOOKUP(E629,Sales_Reps!$A$2:$E$31,3,FALSE),"")</f>
        <v>North</v>
      </c>
      <c r="O629" t="str">
        <f>IFERROR(VLOOKUP(C629,Customers!$A$2:$F$301,5,FALSE),"")</f>
        <v>Retail</v>
      </c>
      <c r="P629">
        <f>IFERROR(VLOOKUP(C629,Customers!$A$2:$F$301,3,FALSE),"")</f>
        <v>65</v>
      </c>
      <c r="Q629" s="41">
        <f t="shared" si="18"/>
        <v>0.4031645569620253</v>
      </c>
      <c r="R629" t="str">
        <f>IFERROR(VLOOKUP(C629,Customers!$A$2:$F$301,1,FALSE),"")</f>
        <v>CUST-0266</v>
      </c>
      <c r="S629" s="27" t="b">
        <f>IFERROR(VLOOKUP(D629,Products!$A$2:$F$61,6,FALSE),"")</f>
        <v>1</v>
      </c>
      <c r="BL629">
        <v>0</v>
      </c>
      <c r="BO629">
        <v>0</v>
      </c>
      <c r="BP629">
        <v>0</v>
      </c>
    </row>
    <row r="630" spans="1:68" x14ac:dyDescent="0.35">
      <c r="A630" s="26" t="str">
        <f>Orders!A630</f>
        <v>ORD-00629</v>
      </c>
      <c r="B630" s="33">
        <f>Orders!B630</f>
        <v>45554</v>
      </c>
      <c r="C630" t="str">
        <f>Orders!C630</f>
        <v>CUST-0272</v>
      </c>
      <c r="D630" t="str">
        <f>Orders!D630</f>
        <v>PROD-029</v>
      </c>
      <c r="E630" t="str">
        <f>Orders!E630</f>
        <v>R011</v>
      </c>
      <c r="F630">
        <f>Orders!F630</f>
        <v>8</v>
      </c>
      <c r="G630" s="35">
        <f>Orders!G630</f>
        <v>2210</v>
      </c>
      <c r="H630" s="37">
        <f>Orders!H630</f>
        <v>26</v>
      </c>
      <c r="I630" s="39">
        <f>Orders!I630</f>
        <v>13083.2</v>
      </c>
      <c r="J630" t="str">
        <f>Orders!J630</f>
        <v>Completed</v>
      </c>
      <c r="K630" t="str">
        <f>Orders!K630</f>
        <v>Mumbai</v>
      </c>
      <c r="L630" t="str">
        <f>IFERROR(VLOOKUP(D630,Products!$A$2:$F$61,3,FALSE),"")</f>
        <v>Grocery</v>
      </c>
      <c r="M630">
        <f>IFERROR(VLOOKUP(D630,Products!$A$2:$F$61,4,FALSE),"")</f>
        <v>1010</v>
      </c>
      <c r="N630" t="str">
        <f>IFERROR(VLOOKUP(E630,Sales_Reps!$A$2:$E$31,3,FALSE),"")</f>
        <v>South</v>
      </c>
      <c r="O630" t="str">
        <f>IFERROR(VLOOKUP(C630,Customers!$A$2:$F$301,5,FALSE),"")</f>
        <v>SMB</v>
      </c>
      <c r="P630">
        <f>IFERROR(VLOOKUP(C630,Customers!$A$2:$F$301,3,FALSE),"")</f>
        <v>47</v>
      </c>
      <c r="Q630" s="41">
        <f t="shared" si="18"/>
        <v>0.54298642533936647</v>
      </c>
      <c r="R630" t="str">
        <f>IFERROR(VLOOKUP(C630,Customers!$A$2:$F$301,1,FALSE),"")</f>
        <v>CUST-0272</v>
      </c>
      <c r="S630" s="27" t="b">
        <f>IFERROR(VLOOKUP(D630,Products!$A$2:$F$61,6,FALSE),"")</f>
        <v>1</v>
      </c>
      <c r="BL630">
        <v>0</v>
      </c>
      <c r="BO630">
        <v>0</v>
      </c>
      <c r="BP630">
        <v>0</v>
      </c>
    </row>
    <row r="631" spans="1:68" x14ac:dyDescent="0.35">
      <c r="A631" s="26" t="str">
        <f>Orders!A631</f>
        <v>ORD-00630</v>
      </c>
      <c r="B631" s="33">
        <f>Orders!B631</f>
        <v>45567</v>
      </c>
      <c r="C631" t="str">
        <f>Orders!C631</f>
        <v>CUST-0253</v>
      </c>
      <c r="D631" t="str">
        <f>Orders!D631</f>
        <v>PROD-018</v>
      </c>
      <c r="E631" t="str">
        <f>Orders!E631</f>
        <v>R026</v>
      </c>
      <c r="F631">
        <f>Orders!F631</f>
        <v>5</v>
      </c>
      <c r="G631" s="35">
        <f>Orders!G631</f>
        <v>3560</v>
      </c>
      <c r="H631" s="37">
        <f>Orders!H631</f>
        <v>15</v>
      </c>
      <c r="I631" s="39">
        <f>Orders!I631</f>
        <v>15130</v>
      </c>
      <c r="J631" t="str">
        <f>Orders!J631</f>
        <v>Completed</v>
      </c>
      <c r="K631" t="str">
        <f>Orders!K631</f>
        <v>Delhi</v>
      </c>
      <c r="L631" t="str">
        <f>IFERROR(VLOOKUP(D631,Products!$A$2:$F$61,3,FALSE),"")</f>
        <v>Apparel</v>
      </c>
      <c r="M631">
        <f>IFERROR(VLOOKUP(D631,Products!$A$2:$F$61,4,FALSE),"")</f>
        <v>2629</v>
      </c>
      <c r="N631" t="str">
        <f>IFERROR(VLOOKUP(E631,Sales_Reps!$A$2:$E$31,3,FALSE),"")</f>
        <v>West</v>
      </c>
      <c r="O631" t="str">
        <f>IFERROR(VLOOKUP(C631,Customers!$A$2:$F$301,5,FALSE),"")</f>
        <v>SMB</v>
      </c>
      <c r="P631">
        <f>IFERROR(VLOOKUP(C631,Customers!$A$2:$F$301,3,FALSE),"")</f>
        <v>53</v>
      </c>
      <c r="Q631" s="41">
        <f t="shared" si="18"/>
        <v>0.26151685393258428</v>
      </c>
      <c r="R631" t="str">
        <f>IFERROR(VLOOKUP(C631,Customers!$A$2:$F$301,1,FALSE),"")</f>
        <v>CUST-0253</v>
      </c>
      <c r="S631" s="27" t="b">
        <f>IFERROR(VLOOKUP(D631,Products!$A$2:$F$61,6,FALSE),"")</f>
        <v>1</v>
      </c>
      <c r="BL631">
        <v>0</v>
      </c>
      <c r="BO631">
        <v>0</v>
      </c>
      <c r="BP631">
        <v>0</v>
      </c>
    </row>
    <row r="632" spans="1:68" x14ac:dyDescent="0.35">
      <c r="A632" s="26" t="str">
        <f>Orders!A632</f>
        <v>ORD-00631</v>
      </c>
      <c r="B632" s="33">
        <f>Orders!B632</f>
        <v>45633</v>
      </c>
      <c r="C632" t="str">
        <f>Orders!C632</f>
        <v>CUST-0252</v>
      </c>
      <c r="D632" t="str">
        <f>Orders!D632</f>
        <v>PROD-016</v>
      </c>
      <c r="E632" t="str">
        <f>Orders!E632</f>
        <v>R010</v>
      </c>
      <c r="F632">
        <f>Orders!F632</f>
        <v>10</v>
      </c>
      <c r="G632" s="35">
        <f>Orders!G632</f>
        <v>620</v>
      </c>
      <c r="H632" s="37">
        <f>Orders!H632</f>
        <v>15.8</v>
      </c>
      <c r="I632" s="39">
        <f>Orders!I632</f>
        <v>5220.3999999999996</v>
      </c>
      <c r="J632" t="str">
        <f>Orders!J632</f>
        <v>Refunded</v>
      </c>
      <c r="K632" t="str">
        <f>Orders!K632</f>
        <v>Bengaluru</v>
      </c>
      <c r="L632" t="str">
        <f>IFERROR(VLOOKUP(D632,Products!$A$2:$F$61,3,FALSE),"")</f>
        <v>Apparel</v>
      </c>
      <c r="M632">
        <f>IFERROR(VLOOKUP(D632,Products!$A$2:$F$61,4,FALSE),"")</f>
        <v>396</v>
      </c>
      <c r="N632" t="str">
        <f>IFERROR(VLOOKUP(E632,Sales_Reps!$A$2:$E$31,3,FALSE),"")</f>
        <v>South</v>
      </c>
      <c r="O632" t="str">
        <f>IFERROR(VLOOKUP(C632,Customers!$A$2:$F$301,5,FALSE),"")</f>
        <v>Retail</v>
      </c>
      <c r="P632">
        <f>IFERROR(VLOOKUP(C632,Customers!$A$2:$F$301,3,FALSE),"")</f>
        <v>27</v>
      </c>
      <c r="Q632" s="41">
        <f t="shared" si="18"/>
        <v>0.36129032258064514</v>
      </c>
      <c r="R632" t="str">
        <f>IFERROR(VLOOKUP(C632,Customers!$A$2:$F$301,1,FALSE),"")</f>
        <v>CUST-0252</v>
      </c>
      <c r="S632" s="27" t="b">
        <f>IFERROR(VLOOKUP(D632,Products!$A$2:$F$61,6,FALSE),"")</f>
        <v>1</v>
      </c>
      <c r="BL632">
        <v>0</v>
      </c>
      <c r="BO632">
        <v>0</v>
      </c>
      <c r="BP632">
        <v>0</v>
      </c>
    </row>
    <row r="633" spans="1:68" x14ac:dyDescent="0.35">
      <c r="A633" s="26" t="str">
        <f>Orders!A633</f>
        <v>ORD-00632</v>
      </c>
      <c r="B633" s="33">
        <f>Orders!B633</f>
        <v>45588</v>
      </c>
      <c r="C633" t="str">
        <f>Orders!C633</f>
        <v>CUST-0097</v>
      </c>
      <c r="D633" t="str">
        <f>Orders!D633</f>
        <v>PROD-021</v>
      </c>
      <c r="E633" t="str">
        <f>Orders!E633</f>
        <v>R002</v>
      </c>
      <c r="F633">
        <f>Orders!F633</f>
        <v>3</v>
      </c>
      <c r="G633" s="35">
        <f>Orders!G633</f>
        <v>2760</v>
      </c>
      <c r="H633" s="37">
        <f>Orders!H633</f>
        <v>1.9</v>
      </c>
      <c r="I633" s="39">
        <f>Orders!I633</f>
        <v>8122.68</v>
      </c>
      <c r="J633" t="str">
        <f>Orders!J633</f>
        <v>Cancelled</v>
      </c>
      <c r="K633" t="str">
        <f>Orders!K633</f>
        <v>Mumbai</v>
      </c>
      <c r="L633" t="str">
        <f>IFERROR(VLOOKUP(D633,Products!$A$2:$F$61,3,FALSE),"")</f>
        <v>Grocery</v>
      </c>
      <c r="M633">
        <f>IFERROR(VLOOKUP(D633,Products!$A$2:$F$61,4,FALSE),"")</f>
        <v>1435</v>
      </c>
      <c r="N633" t="str">
        <f>IFERROR(VLOOKUP(E633,Sales_Reps!$A$2:$E$31,3,FALSE),"")</f>
        <v>North</v>
      </c>
      <c r="O633" t="str">
        <f>IFERROR(VLOOKUP(C633,Customers!$A$2:$F$301,5,FALSE),"")</f>
        <v>Retail</v>
      </c>
      <c r="P633">
        <f>IFERROR(VLOOKUP(C633,Customers!$A$2:$F$301,3,FALSE),"")</f>
        <v>65</v>
      </c>
      <c r="Q633" s="41">
        <f t="shared" si="18"/>
        <v>0.48007246376811596</v>
      </c>
      <c r="R633" t="str">
        <f>IFERROR(VLOOKUP(C633,Customers!$A$2:$F$301,1,FALSE),"")</f>
        <v>CUST-0097</v>
      </c>
      <c r="S633" s="27" t="b">
        <f>IFERROR(VLOOKUP(D633,Products!$A$2:$F$61,6,FALSE),"")</f>
        <v>1</v>
      </c>
      <c r="BL633">
        <v>0</v>
      </c>
      <c r="BO633">
        <v>0</v>
      </c>
      <c r="BP633">
        <v>0</v>
      </c>
    </row>
    <row r="634" spans="1:68" x14ac:dyDescent="0.35">
      <c r="A634" s="26" t="str">
        <f>Orders!A634</f>
        <v>ORD-00633</v>
      </c>
      <c r="B634" s="33">
        <f>Orders!B634</f>
        <v>45634</v>
      </c>
      <c r="C634" t="str">
        <f>Orders!C634</f>
        <v>CUST-0283</v>
      </c>
      <c r="D634" t="str">
        <f>Orders!D634</f>
        <v>PROD-054</v>
      </c>
      <c r="E634" t="str">
        <f>Orders!E634</f>
        <v>R005</v>
      </c>
      <c r="F634">
        <f>Orders!F634</f>
        <v>10</v>
      </c>
      <c r="G634" s="35">
        <f>Orders!G634</f>
        <v>1010</v>
      </c>
      <c r="H634" s="37">
        <f>Orders!H634</f>
        <v>28.9</v>
      </c>
      <c r="I634" s="39">
        <f>Orders!I634</f>
        <v>7181.1</v>
      </c>
      <c r="J634" t="str">
        <f>Orders!J634</f>
        <v>Completed</v>
      </c>
      <c r="K634" t="str">
        <f>Orders!K634</f>
        <v>Delhi</v>
      </c>
      <c r="L634" t="str">
        <f>IFERROR(VLOOKUP(D634,Products!$A$2:$F$61,3,FALSE),"")</f>
        <v>Sports</v>
      </c>
      <c r="M634">
        <f>IFERROR(VLOOKUP(D634,Products!$A$2:$F$61,4,FALSE),"")</f>
        <v>516</v>
      </c>
      <c r="N634" t="str">
        <f>IFERROR(VLOOKUP(E634,Sales_Reps!$A$2:$E$31,3,FALSE),"")</f>
        <v>North</v>
      </c>
      <c r="O634" t="str">
        <f>IFERROR(VLOOKUP(C634,Customers!$A$2:$F$301,5,FALSE),"")</f>
        <v>SMB</v>
      </c>
      <c r="P634">
        <f>IFERROR(VLOOKUP(C634,Customers!$A$2:$F$301,3,FALSE),"")</f>
        <v>50</v>
      </c>
      <c r="Q634" s="41">
        <f t="shared" si="18"/>
        <v>0.4891089108910891</v>
      </c>
      <c r="R634" t="str">
        <f>IFERROR(VLOOKUP(C634,Customers!$A$2:$F$301,1,FALSE),"")</f>
        <v>CUST-0283</v>
      </c>
      <c r="S634" s="27" t="b">
        <f>IFERROR(VLOOKUP(D634,Products!$A$2:$F$61,6,FALSE),"")</f>
        <v>1</v>
      </c>
      <c r="BL634">
        <v>0</v>
      </c>
      <c r="BO634">
        <v>0</v>
      </c>
      <c r="BP634">
        <v>0</v>
      </c>
    </row>
    <row r="635" spans="1:68" x14ac:dyDescent="0.35">
      <c r="A635" s="26" t="str">
        <f>Orders!A635</f>
        <v>ORD-00634</v>
      </c>
      <c r="B635" s="33">
        <f>Orders!B635</f>
        <v>45352</v>
      </c>
      <c r="C635" t="str">
        <f>Orders!C635</f>
        <v>CUST-0064</v>
      </c>
      <c r="D635" t="str">
        <f>Orders!D635</f>
        <v>PROD-013</v>
      </c>
      <c r="E635" t="str">
        <f>Orders!E635</f>
        <v>R002</v>
      </c>
      <c r="F635">
        <f>Orders!F635</f>
        <v>1</v>
      </c>
      <c r="G635" s="35">
        <f>Orders!G635</f>
        <v>3640</v>
      </c>
      <c r="H635" s="37">
        <f>Orders!H635</f>
        <v>9.6999999999999993</v>
      </c>
      <c r="I635" s="39">
        <f>Orders!I635</f>
        <v>3286.92</v>
      </c>
      <c r="J635" t="str">
        <f>Orders!J635</f>
        <v>Completed</v>
      </c>
      <c r="K635" t="str">
        <f>Orders!K635</f>
        <v>Hyderabad</v>
      </c>
      <c r="L635" t="str">
        <f>IFERROR(VLOOKUP(D635,Products!$A$2:$F$61,3,FALSE),"")</f>
        <v>Apparel</v>
      </c>
      <c r="M635">
        <f>IFERROR(VLOOKUP(D635,Products!$A$2:$F$61,4,FALSE),"")</f>
        <v>2611</v>
      </c>
      <c r="N635" t="str">
        <f>IFERROR(VLOOKUP(E635,Sales_Reps!$A$2:$E$31,3,FALSE),"")</f>
        <v>North</v>
      </c>
      <c r="O635" t="str">
        <f>IFERROR(VLOOKUP(C635,Customers!$A$2:$F$301,5,FALSE),"")</f>
        <v>SMB</v>
      </c>
      <c r="P635">
        <f>IFERROR(VLOOKUP(C635,Customers!$A$2:$F$301,3,FALSE),"")</f>
        <v>40</v>
      </c>
      <c r="Q635" s="41">
        <f t="shared" si="18"/>
        <v>0.28269230769230769</v>
      </c>
      <c r="R635" t="str">
        <f>IFERROR(VLOOKUP(C635,Customers!$A$2:$F$301,1,FALSE),"")</f>
        <v>CUST-0064</v>
      </c>
      <c r="S635" s="27" t="b">
        <f>IFERROR(VLOOKUP(D635,Products!$A$2:$F$61,6,FALSE),"")</f>
        <v>1</v>
      </c>
      <c r="BL635">
        <v>0</v>
      </c>
      <c r="BO635">
        <v>0</v>
      </c>
      <c r="BP635">
        <v>0</v>
      </c>
    </row>
    <row r="636" spans="1:68" x14ac:dyDescent="0.35">
      <c r="A636" s="26" t="str">
        <f>Orders!A636</f>
        <v>ORD-00635</v>
      </c>
      <c r="B636" s="33">
        <f>Orders!B636</f>
        <v>45489</v>
      </c>
      <c r="C636" t="str">
        <f>Orders!C636</f>
        <v>CUST-0143</v>
      </c>
      <c r="D636" t="str">
        <f>Orders!D636</f>
        <v>PROD-020</v>
      </c>
      <c r="E636" t="str">
        <f>Orders!E636</f>
        <v>R010</v>
      </c>
      <c r="F636">
        <f>Orders!F636</f>
        <v>1</v>
      </c>
      <c r="G636" s="35">
        <f>Orders!G636</f>
        <v>820</v>
      </c>
      <c r="H636" s="37">
        <f>Orders!H636</f>
        <v>15</v>
      </c>
      <c r="I636" s="39">
        <f>Orders!I636</f>
        <v>697</v>
      </c>
      <c r="J636" t="str">
        <f>Orders!J636</f>
        <v>Completed</v>
      </c>
      <c r="K636" t="str">
        <f>Orders!K636</f>
        <v>Chennai</v>
      </c>
      <c r="L636" t="str">
        <f>IFERROR(VLOOKUP(D636,Products!$A$2:$F$61,3,FALSE),"")</f>
        <v>Apparel</v>
      </c>
      <c r="M636">
        <f>IFERROR(VLOOKUP(D636,Products!$A$2:$F$61,4,FALSE),"")</f>
        <v>391</v>
      </c>
      <c r="N636" t="str">
        <f>IFERROR(VLOOKUP(E636,Sales_Reps!$A$2:$E$31,3,FALSE),"")</f>
        <v>South</v>
      </c>
      <c r="O636" t="str">
        <f>IFERROR(VLOOKUP(C636,Customers!$A$2:$F$301,5,FALSE),"")</f>
        <v>SMB</v>
      </c>
      <c r="P636">
        <f>IFERROR(VLOOKUP(C636,Customers!$A$2:$F$301,3,FALSE),"")</f>
        <v>52</v>
      </c>
      <c r="Q636" s="41">
        <f t="shared" si="18"/>
        <v>0.52317073170731709</v>
      </c>
      <c r="R636" t="str">
        <f>IFERROR(VLOOKUP(C636,Customers!$A$2:$F$301,1,FALSE),"")</f>
        <v>CUST-0143</v>
      </c>
      <c r="S636" s="27" t="b">
        <f>IFERROR(VLOOKUP(D636,Products!$A$2:$F$61,6,FALSE),"")</f>
        <v>1</v>
      </c>
      <c r="BL636">
        <v>0</v>
      </c>
      <c r="BO636">
        <v>0</v>
      </c>
      <c r="BP636">
        <v>0</v>
      </c>
    </row>
    <row r="637" spans="1:68" x14ac:dyDescent="0.35">
      <c r="A637" s="26" t="str">
        <f>Orders!A637</f>
        <v>ORD-00636</v>
      </c>
      <c r="B637" s="33">
        <f>Orders!B637</f>
        <v>45342</v>
      </c>
      <c r="C637" t="str">
        <f>Orders!C637</f>
        <v>CUST-0265</v>
      </c>
      <c r="D637" t="str">
        <f>Orders!D637</f>
        <v>PROD-013</v>
      </c>
      <c r="E637" t="str">
        <f>Orders!E637</f>
        <v>R011</v>
      </c>
      <c r="F637">
        <f>Orders!F637</f>
        <v>4</v>
      </c>
      <c r="G637" s="35">
        <f>Orders!G637</f>
        <v>3640</v>
      </c>
      <c r="H637" s="37">
        <f>Orders!H637</f>
        <v>17</v>
      </c>
      <c r="I637" s="39">
        <f>Orders!I637</f>
        <v>12084.8</v>
      </c>
      <c r="J637" t="str">
        <f>Orders!J637</f>
        <v>Completed</v>
      </c>
      <c r="K637" t="str">
        <f>Orders!K637</f>
        <v>Chennai</v>
      </c>
      <c r="L637" t="str">
        <f>IFERROR(VLOOKUP(D637,Products!$A$2:$F$61,3,FALSE),"")</f>
        <v>Apparel</v>
      </c>
      <c r="M637">
        <f>IFERROR(VLOOKUP(D637,Products!$A$2:$F$61,4,FALSE),"")</f>
        <v>2611</v>
      </c>
      <c r="N637" t="str">
        <f>IFERROR(VLOOKUP(E637,Sales_Reps!$A$2:$E$31,3,FALSE),"")</f>
        <v>South</v>
      </c>
      <c r="O637" t="str">
        <f>IFERROR(VLOOKUP(C637,Customers!$A$2:$F$301,5,FALSE),"")</f>
        <v>Retail</v>
      </c>
      <c r="P637">
        <f>IFERROR(VLOOKUP(C637,Customers!$A$2:$F$301,3,FALSE),"")</f>
        <v>49</v>
      </c>
      <c r="Q637" s="41">
        <f t="shared" si="18"/>
        <v>0.28269230769230769</v>
      </c>
      <c r="R637" t="str">
        <f>IFERROR(VLOOKUP(C637,Customers!$A$2:$F$301,1,FALSE),"")</f>
        <v>CUST-0265</v>
      </c>
      <c r="S637" s="27" t="b">
        <f>IFERROR(VLOOKUP(D637,Products!$A$2:$F$61,6,FALSE),"")</f>
        <v>1</v>
      </c>
      <c r="BL637">
        <v>0</v>
      </c>
      <c r="BO637">
        <v>0</v>
      </c>
      <c r="BP637">
        <v>0</v>
      </c>
    </row>
    <row r="638" spans="1:68" x14ac:dyDescent="0.35">
      <c r="A638" s="26" t="str">
        <f>Orders!A638</f>
        <v>ORD-00637</v>
      </c>
      <c r="B638" s="33">
        <f>Orders!B638</f>
        <v>45425</v>
      </c>
      <c r="C638" t="str">
        <f>Orders!C638</f>
        <v>CUST-0158</v>
      </c>
      <c r="D638" t="str">
        <f>Orders!D638</f>
        <v>PROD-023</v>
      </c>
      <c r="E638" t="str">
        <f>Orders!E638</f>
        <v>R002</v>
      </c>
      <c r="F638">
        <f>Orders!F638</f>
        <v>7</v>
      </c>
      <c r="G638" s="35">
        <f>Orders!G638</f>
        <v>2380</v>
      </c>
      <c r="H638" s="37">
        <f>Orders!H638</f>
        <v>25.5</v>
      </c>
      <c r="I638" s="39">
        <f>Orders!I638</f>
        <v>12411.7</v>
      </c>
      <c r="J638" t="str">
        <f>Orders!J638</f>
        <v>Completed</v>
      </c>
      <c r="K638" t="str">
        <f>Orders!K638</f>
        <v>Pune</v>
      </c>
      <c r="L638" t="str">
        <f>IFERROR(VLOOKUP(D638,Products!$A$2:$F$61,3,FALSE),"")</f>
        <v>Grocery</v>
      </c>
      <c r="M638">
        <f>IFERROR(VLOOKUP(D638,Products!$A$2:$F$61,4,FALSE),"")</f>
        <v>1182</v>
      </c>
      <c r="N638" t="str">
        <f>IFERROR(VLOOKUP(E638,Sales_Reps!$A$2:$E$31,3,FALSE),"")</f>
        <v>North</v>
      </c>
      <c r="O638" t="str">
        <f>IFERROR(VLOOKUP(C638,Customers!$A$2:$F$301,5,FALSE),"")</f>
        <v>Corporate</v>
      </c>
      <c r="P638">
        <f>IFERROR(VLOOKUP(C638,Customers!$A$2:$F$301,3,FALSE),"")</f>
        <v>42</v>
      </c>
      <c r="Q638" s="41">
        <f t="shared" si="18"/>
        <v>0.50336134453781511</v>
      </c>
      <c r="R638" t="str">
        <f>IFERROR(VLOOKUP(C638,Customers!$A$2:$F$301,1,FALSE),"")</f>
        <v>CUST-0158</v>
      </c>
      <c r="S638" s="27" t="b">
        <f>IFERROR(VLOOKUP(D638,Products!$A$2:$F$61,6,FALSE),"")</f>
        <v>1</v>
      </c>
      <c r="BL638">
        <v>0</v>
      </c>
      <c r="BO638">
        <v>0</v>
      </c>
      <c r="BP638">
        <v>0</v>
      </c>
    </row>
    <row r="639" spans="1:68" x14ac:dyDescent="0.35">
      <c r="A639" s="26" t="str">
        <f>Orders!A639</f>
        <v>ORD-00638</v>
      </c>
      <c r="B639" s="33">
        <f>Orders!B639</f>
        <v>45598</v>
      </c>
      <c r="C639" t="str">
        <f>Orders!C639</f>
        <v>CUST-0154</v>
      </c>
      <c r="D639" t="str">
        <f>Orders!D639</f>
        <v>PROD-037</v>
      </c>
      <c r="E639" t="str">
        <f>Orders!E639</f>
        <v>R008</v>
      </c>
      <c r="F639">
        <f>Orders!F639</f>
        <v>1</v>
      </c>
      <c r="G639" s="35">
        <f>Orders!G639</f>
        <v>660</v>
      </c>
      <c r="H639" s="37">
        <f>Orders!H639</f>
        <v>2.5</v>
      </c>
      <c r="I639" s="39">
        <f>Orders!I639</f>
        <v>643.5</v>
      </c>
      <c r="J639" t="str">
        <f>Orders!J639</f>
        <v>Completed</v>
      </c>
      <c r="K639" t="str">
        <f>Orders!K639</f>
        <v>Pune</v>
      </c>
      <c r="L639" t="str">
        <f>IFERROR(VLOOKUP(D639,Products!$A$2:$F$61,3,FALSE),"")</f>
        <v>Home</v>
      </c>
      <c r="M639">
        <f>IFERROR(VLOOKUP(D639,Products!$A$2:$F$61,4,FALSE),"")</f>
        <v>329</v>
      </c>
      <c r="N639" t="str">
        <f>IFERROR(VLOOKUP(E639,Sales_Reps!$A$2:$E$31,3,FALSE),"")</f>
        <v>North</v>
      </c>
      <c r="O639" t="str">
        <f>IFERROR(VLOOKUP(C639,Customers!$A$2:$F$301,5,FALSE),"")</f>
        <v>Retail</v>
      </c>
      <c r="P639">
        <f>IFERROR(VLOOKUP(C639,Customers!$A$2:$F$301,3,FALSE),"")</f>
        <v>36</v>
      </c>
      <c r="Q639" s="41">
        <f t="shared" si="18"/>
        <v>0.50151515151515147</v>
      </c>
      <c r="R639" t="str">
        <f>IFERROR(VLOOKUP(C639,Customers!$A$2:$F$301,1,FALSE),"")</f>
        <v>CUST-0154</v>
      </c>
      <c r="S639" s="27" t="b">
        <f>IFERROR(VLOOKUP(D639,Products!$A$2:$F$61,6,FALSE),"")</f>
        <v>1</v>
      </c>
      <c r="BL639">
        <v>0</v>
      </c>
      <c r="BO639">
        <v>0</v>
      </c>
      <c r="BP639">
        <v>0</v>
      </c>
    </row>
    <row r="640" spans="1:68" x14ac:dyDescent="0.35">
      <c r="A640" s="26" t="str">
        <f>Orders!A640</f>
        <v>ORD-00639</v>
      </c>
      <c r="B640" s="33">
        <f>Orders!B640</f>
        <v>45353</v>
      </c>
      <c r="C640" t="str">
        <f>Orders!C640</f>
        <v>CUST-0057</v>
      </c>
      <c r="D640" t="str">
        <f>Orders!D640</f>
        <v>PROD-004</v>
      </c>
      <c r="E640" t="str">
        <f>Orders!E640</f>
        <v>R020</v>
      </c>
      <c r="F640">
        <f>Orders!F640</f>
        <v>7</v>
      </c>
      <c r="G640" s="35">
        <f>Orders!G640</f>
        <v>3870</v>
      </c>
      <c r="H640" s="37">
        <f>Orders!H640</f>
        <v>20.3</v>
      </c>
      <c r="I640" s="39">
        <f>Orders!I640</f>
        <v>21590.73</v>
      </c>
      <c r="J640" t="str">
        <f>Orders!J640</f>
        <v>Pending</v>
      </c>
      <c r="K640" t="str">
        <f>Orders!K640</f>
        <v>Pune</v>
      </c>
      <c r="L640" t="str">
        <f>IFERROR(VLOOKUP(D640,Products!$A$2:$F$61,3,FALSE),"")</f>
        <v>Electronics</v>
      </c>
      <c r="M640">
        <f>IFERROR(VLOOKUP(D640,Products!$A$2:$F$61,4,FALSE),"")</f>
        <v>1559</v>
      </c>
      <c r="N640" t="str">
        <f>IFERROR(VLOOKUP(E640,Sales_Reps!$A$2:$E$31,3,FALSE),"")</f>
        <v>East</v>
      </c>
      <c r="O640" t="str">
        <f>IFERROR(VLOOKUP(C640,Customers!$A$2:$F$301,5,FALSE),"")</f>
        <v>Retail</v>
      </c>
      <c r="P640">
        <f>IFERROR(VLOOKUP(C640,Customers!$A$2:$F$301,3,FALSE),"")</f>
        <v>35</v>
      </c>
      <c r="Q640" s="41">
        <f t="shared" si="18"/>
        <v>0.59715762273901807</v>
      </c>
      <c r="R640" t="str">
        <f>IFERROR(VLOOKUP(C640,Customers!$A$2:$F$301,1,FALSE),"")</f>
        <v>CUST-0057</v>
      </c>
      <c r="S640" s="27" t="b">
        <f>IFERROR(VLOOKUP(D640,Products!$A$2:$F$61,6,FALSE),"")</f>
        <v>1</v>
      </c>
      <c r="BL640">
        <v>0</v>
      </c>
      <c r="BO640">
        <v>0</v>
      </c>
      <c r="BP640">
        <v>0</v>
      </c>
    </row>
    <row r="641" spans="1:68" x14ac:dyDescent="0.35">
      <c r="A641" s="26" t="str">
        <f>Orders!A641</f>
        <v>ORD-00640</v>
      </c>
      <c r="B641" s="33">
        <f>Orders!B641</f>
        <v>45542</v>
      </c>
      <c r="C641" t="str">
        <f>Orders!C641</f>
        <v>CUST-0088</v>
      </c>
      <c r="D641" t="str">
        <f>Orders!D641</f>
        <v>PROD-032</v>
      </c>
      <c r="E641" t="str">
        <f>Orders!E641</f>
        <v>R016</v>
      </c>
      <c r="F641">
        <f>Orders!F641</f>
        <v>10</v>
      </c>
      <c r="G641" s="35">
        <f>Orders!G641</f>
        <v>370</v>
      </c>
      <c r="H641" s="37">
        <f>Orders!H641</f>
        <v>1.3</v>
      </c>
      <c r="I641" s="39">
        <f>Orders!I641</f>
        <v>3651.9</v>
      </c>
      <c r="J641" t="str">
        <f>Orders!J641</f>
        <v>Refunded</v>
      </c>
      <c r="K641" t="str">
        <f>Orders!K641</f>
        <v>Chennai</v>
      </c>
      <c r="L641" t="str">
        <f>IFERROR(VLOOKUP(D641,Products!$A$2:$F$61,3,FALSE),"")</f>
        <v>Home</v>
      </c>
      <c r="M641">
        <f>IFERROR(VLOOKUP(D641,Products!$A$2:$F$61,4,FALSE),"")</f>
        <v>288</v>
      </c>
      <c r="N641" t="str">
        <f>IFERROR(VLOOKUP(E641,Sales_Reps!$A$2:$E$31,3,FALSE),"")</f>
        <v>South</v>
      </c>
      <c r="O641" t="str">
        <f>IFERROR(VLOOKUP(C641,Customers!$A$2:$F$301,5,FALSE),"")</f>
        <v>Retail</v>
      </c>
      <c r="P641">
        <f>IFERROR(VLOOKUP(C641,Customers!$A$2:$F$301,3,FALSE),"")</f>
        <v>24</v>
      </c>
      <c r="Q641" s="41">
        <f t="shared" si="18"/>
        <v>0.22162162162162163</v>
      </c>
      <c r="R641" t="str">
        <f>IFERROR(VLOOKUP(C641,Customers!$A$2:$F$301,1,FALSE),"")</f>
        <v>CUST-0088</v>
      </c>
      <c r="S641" s="27" t="b">
        <f>IFERROR(VLOOKUP(D641,Products!$A$2:$F$61,6,FALSE),"")</f>
        <v>1</v>
      </c>
      <c r="BL641">
        <v>0</v>
      </c>
      <c r="BO641">
        <v>0</v>
      </c>
      <c r="BP641">
        <v>0</v>
      </c>
    </row>
    <row r="642" spans="1:68" x14ac:dyDescent="0.35">
      <c r="A642" s="26" t="str">
        <f>Orders!A642</f>
        <v>ORD-00641</v>
      </c>
      <c r="B642" s="33">
        <f>Orders!B642</f>
        <v>45365</v>
      </c>
      <c r="C642" t="str">
        <f>Orders!C642</f>
        <v>CUST-0064</v>
      </c>
      <c r="D642" t="str">
        <f>Orders!D642</f>
        <v>PROD-014</v>
      </c>
      <c r="E642" t="str">
        <f>Orders!E642</f>
        <v>R018</v>
      </c>
      <c r="F642">
        <f>Orders!F642</f>
        <v>1</v>
      </c>
      <c r="G642" s="35">
        <f>Orders!G642</f>
        <v>3620</v>
      </c>
      <c r="H642" s="37">
        <f>Orders!H642</f>
        <v>1.4</v>
      </c>
      <c r="I642" s="39">
        <f>Orders!I642</f>
        <v>3569.32</v>
      </c>
      <c r="J642" t="str">
        <f>Orders!J642</f>
        <v>Completed</v>
      </c>
      <c r="K642" t="str">
        <f>Orders!K642</f>
        <v>Hyderabad</v>
      </c>
      <c r="L642" t="str">
        <f>IFERROR(VLOOKUP(D642,Products!$A$2:$F$61,3,FALSE),"")</f>
        <v>Apparel</v>
      </c>
      <c r="M642">
        <f>IFERROR(VLOOKUP(D642,Products!$A$2:$F$61,4,FALSE),"")</f>
        <v>2509</v>
      </c>
      <c r="N642" t="str">
        <f>IFERROR(VLOOKUP(E642,Sales_Reps!$A$2:$E$31,3,FALSE),"")</f>
        <v>East</v>
      </c>
      <c r="O642" t="str">
        <f>IFERROR(VLOOKUP(C642,Customers!$A$2:$F$301,5,FALSE),"")</f>
        <v>SMB</v>
      </c>
      <c r="P642">
        <f>IFERROR(VLOOKUP(C642,Customers!$A$2:$F$301,3,FALSE),"")</f>
        <v>40</v>
      </c>
      <c r="Q642" s="41">
        <f t="shared" ref="Q642:Q705" si="19">IFERROR((G642-M642)/G642,0)</f>
        <v>0.3069060773480663</v>
      </c>
      <c r="R642" t="str">
        <f>IFERROR(VLOOKUP(C642,Customers!$A$2:$F$301,1,FALSE),"")</f>
        <v>CUST-0064</v>
      </c>
      <c r="S642" s="27" t="b">
        <f>IFERROR(VLOOKUP(D642,Products!$A$2:$F$61,6,FALSE),"")</f>
        <v>1</v>
      </c>
      <c r="BL642">
        <v>0</v>
      </c>
      <c r="BO642">
        <v>0</v>
      </c>
      <c r="BP642">
        <v>0</v>
      </c>
    </row>
    <row r="643" spans="1:68" x14ac:dyDescent="0.35">
      <c r="A643" s="26" t="str">
        <f>Orders!A643</f>
        <v>ORD-00642</v>
      </c>
      <c r="B643" s="33">
        <f>Orders!B643</f>
        <v>45574</v>
      </c>
      <c r="C643" t="str">
        <f>Orders!C643</f>
        <v>CUST-0192</v>
      </c>
      <c r="D643" t="str">
        <f>Orders!D643</f>
        <v>PROD-008</v>
      </c>
      <c r="E643" t="str">
        <f>Orders!E643</f>
        <v>R005</v>
      </c>
      <c r="F643">
        <f>Orders!F643</f>
        <v>10</v>
      </c>
      <c r="G643" s="35">
        <f>Orders!G643</f>
        <v>2660</v>
      </c>
      <c r="H643" s="37">
        <f>Orders!H643</f>
        <v>20.2</v>
      </c>
      <c r="I643" s="39">
        <f>Orders!I643</f>
        <v>21226.799999999999</v>
      </c>
      <c r="J643" t="str">
        <f>Orders!J643</f>
        <v>Completed</v>
      </c>
      <c r="K643" t="str">
        <f>Orders!K643</f>
        <v>Bengaluru</v>
      </c>
      <c r="L643" t="str">
        <f>IFERROR(VLOOKUP(D643,Products!$A$2:$F$61,3,FALSE),"")</f>
        <v>Electronics</v>
      </c>
      <c r="M643">
        <f>IFERROR(VLOOKUP(D643,Products!$A$2:$F$61,4,FALSE),"")</f>
        <v>1259</v>
      </c>
      <c r="N643" t="str">
        <f>IFERROR(VLOOKUP(E643,Sales_Reps!$A$2:$E$31,3,FALSE),"")</f>
        <v>North</v>
      </c>
      <c r="O643" t="str">
        <f>IFERROR(VLOOKUP(C643,Customers!$A$2:$F$301,5,FALSE),"")</f>
        <v>Retail</v>
      </c>
      <c r="P643">
        <f>IFERROR(VLOOKUP(C643,Customers!$A$2:$F$301,3,FALSE),"")</f>
        <v>55</v>
      </c>
      <c r="Q643" s="41">
        <f t="shared" si="19"/>
        <v>0.52669172932330832</v>
      </c>
      <c r="R643" t="str">
        <f>IFERROR(VLOOKUP(C643,Customers!$A$2:$F$301,1,FALSE),"")</f>
        <v>CUST-0192</v>
      </c>
      <c r="S643" s="27" t="b">
        <f>IFERROR(VLOOKUP(D643,Products!$A$2:$F$61,6,FALSE),"")</f>
        <v>0</v>
      </c>
      <c r="BL643">
        <v>0</v>
      </c>
      <c r="BO643">
        <v>0</v>
      </c>
      <c r="BP643">
        <v>1</v>
      </c>
    </row>
    <row r="644" spans="1:68" x14ac:dyDescent="0.35">
      <c r="A644" s="26" t="str">
        <f>Orders!A644</f>
        <v>ORD-00643</v>
      </c>
      <c r="B644" s="33">
        <f>Orders!B644</f>
        <v>45614</v>
      </c>
      <c r="C644" t="str">
        <f>Orders!C644</f>
        <v>CUST-0175</v>
      </c>
      <c r="D644" t="str">
        <f>Orders!D644</f>
        <v>PROD-051</v>
      </c>
      <c r="E644" t="str">
        <f>Orders!E644</f>
        <v>R015</v>
      </c>
      <c r="F644">
        <f>Orders!F644</f>
        <v>10</v>
      </c>
      <c r="G644" s="35">
        <f>Orders!G644</f>
        <v>3450</v>
      </c>
      <c r="H644" s="37">
        <f>Orders!H644</f>
        <v>25.1</v>
      </c>
      <c r="I644" s="39">
        <f>Orders!I644</f>
        <v>25840.5</v>
      </c>
      <c r="J644" t="str">
        <f>Orders!J644</f>
        <v>Completed</v>
      </c>
      <c r="K644" t="str">
        <f>Orders!K644</f>
        <v>Delhi</v>
      </c>
      <c r="L644" t="str">
        <f>IFERROR(VLOOKUP(D644,Products!$A$2:$F$61,3,FALSE),"")</f>
        <v>Sports</v>
      </c>
      <c r="M644">
        <f>IFERROR(VLOOKUP(D644,Products!$A$2:$F$61,4,FALSE),"")</f>
        <v>2467</v>
      </c>
      <c r="N644" t="str">
        <f>IFERROR(VLOOKUP(E644,Sales_Reps!$A$2:$E$31,3,FALSE),"")</f>
        <v>South</v>
      </c>
      <c r="O644" t="str">
        <f>IFERROR(VLOOKUP(C644,Customers!$A$2:$F$301,5,FALSE),"")</f>
        <v>Corporate</v>
      </c>
      <c r="P644">
        <f>IFERROR(VLOOKUP(C644,Customers!$A$2:$F$301,3,FALSE),"")</f>
        <v>55</v>
      </c>
      <c r="Q644" s="41">
        <f t="shared" si="19"/>
        <v>0.28492753623188405</v>
      </c>
      <c r="R644" t="str">
        <f>IFERROR(VLOOKUP(C644,Customers!$A$2:$F$301,1,FALSE),"")</f>
        <v>CUST-0175</v>
      </c>
      <c r="S644" s="27" t="b">
        <f>IFERROR(VLOOKUP(D644,Products!$A$2:$F$61,6,FALSE),"")</f>
        <v>1</v>
      </c>
      <c r="BL644">
        <v>0</v>
      </c>
      <c r="BO644">
        <v>0</v>
      </c>
      <c r="BP644">
        <v>0</v>
      </c>
    </row>
    <row r="645" spans="1:68" x14ac:dyDescent="0.35">
      <c r="A645" s="26" t="str">
        <f>Orders!A645</f>
        <v>ORD-00644</v>
      </c>
      <c r="B645" s="33">
        <f>Orders!B645</f>
        <v>45629</v>
      </c>
      <c r="C645" t="str">
        <f>Orders!C645</f>
        <v>CUST-0083</v>
      </c>
      <c r="D645" t="str">
        <f>Orders!D645</f>
        <v>PROD-025</v>
      </c>
      <c r="E645" t="str">
        <f>Orders!E645</f>
        <v>R013</v>
      </c>
      <c r="F645">
        <f>Orders!F645</f>
        <v>3</v>
      </c>
      <c r="G645" s="35">
        <f>Orders!G645</f>
        <v>4060</v>
      </c>
      <c r="H645" s="37">
        <f>Orders!H645</f>
        <v>2.5</v>
      </c>
      <c r="I645" s="39">
        <f>Orders!I645</f>
        <v>11875.5</v>
      </c>
      <c r="J645" t="str">
        <f>Orders!J645</f>
        <v>Refunded</v>
      </c>
      <c r="K645" t="str">
        <f>Orders!K645</f>
        <v>Bengaluru</v>
      </c>
      <c r="L645" t="str">
        <f>IFERROR(VLOOKUP(D645,Products!$A$2:$F$61,3,FALSE),"")</f>
        <v>Grocery</v>
      </c>
      <c r="M645">
        <f>IFERROR(VLOOKUP(D645,Products!$A$2:$F$61,4,FALSE),"")</f>
        <v>2911</v>
      </c>
      <c r="N645" t="str">
        <f>IFERROR(VLOOKUP(E645,Sales_Reps!$A$2:$E$31,3,FALSE),"")</f>
        <v>South</v>
      </c>
      <c r="O645" t="str">
        <f>IFERROR(VLOOKUP(C645,Customers!$A$2:$F$301,5,FALSE),"")</f>
        <v>Corporate</v>
      </c>
      <c r="P645">
        <f>IFERROR(VLOOKUP(C645,Customers!$A$2:$F$301,3,FALSE),"")</f>
        <v>31</v>
      </c>
      <c r="Q645" s="41">
        <f t="shared" si="19"/>
        <v>0.28300492610837441</v>
      </c>
      <c r="R645" t="str">
        <f>IFERROR(VLOOKUP(C645,Customers!$A$2:$F$301,1,FALSE),"")</f>
        <v>CUST-0083</v>
      </c>
      <c r="S645" s="27" t="b">
        <f>IFERROR(VLOOKUP(D645,Products!$A$2:$F$61,6,FALSE),"")</f>
        <v>1</v>
      </c>
      <c r="BL645">
        <v>0</v>
      </c>
      <c r="BO645">
        <v>0</v>
      </c>
      <c r="BP645">
        <v>0</v>
      </c>
    </row>
    <row r="646" spans="1:68" x14ac:dyDescent="0.35">
      <c r="A646" s="26" t="str">
        <f>Orders!A646</f>
        <v>ORD-00645</v>
      </c>
      <c r="B646" s="33">
        <f>Orders!B646</f>
        <v>45294</v>
      </c>
      <c r="C646" t="str">
        <f>Orders!C646</f>
        <v>CUST-0142</v>
      </c>
      <c r="D646" t="str">
        <f>Orders!D646</f>
        <v>PROD-057</v>
      </c>
      <c r="E646" t="str">
        <f>Orders!E646</f>
        <v>R021</v>
      </c>
      <c r="F646">
        <f>Orders!F646</f>
        <v>3</v>
      </c>
      <c r="G646" s="35">
        <f>Orders!G646</f>
        <v>960</v>
      </c>
      <c r="H646" s="37">
        <f>Orders!H646</f>
        <v>6.6</v>
      </c>
      <c r="I646" s="39">
        <f>Orders!I646</f>
        <v>2689.92</v>
      </c>
      <c r="J646" t="str">
        <f>Orders!J646</f>
        <v>Cancelled</v>
      </c>
      <c r="K646" t="str">
        <f>Orders!K646</f>
        <v>Chennai</v>
      </c>
      <c r="L646" t="str">
        <f>IFERROR(VLOOKUP(D646,Products!$A$2:$F$61,3,FALSE),"")</f>
        <v>Sports</v>
      </c>
      <c r="M646">
        <f>IFERROR(VLOOKUP(D646,Products!$A$2:$F$61,4,FALSE),"")</f>
        <v>705</v>
      </c>
      <c r="N646" t="str">
        <f>IFERROR(VLOOKUP(E646,Sales_Reps!$A$2:$E$31,3,FALSE),"")</f>
        <v>East</v>
      </c>
      <c r="O646" t="str">
        <f>IFERROR(VLOOKUP(C646,Customers!$A$2:$F$301,5,FALSE),"")</f>
        <v>Corporate</v>
      </c>
      <c r="P646">
        <f>IFERROR(VLOOKUP(C646,Customers!$A$2:$F$301,3,FALSE),"")</f>
        <v>55</v>
      </c>
      <c r="Q646" s="41">
        <f t="shared" si="19"/>
        <v>0.265625</v>
      </c>
      <c r="R646" t="str">
        <f>IFERROR(VLOOKUP(C646,Customers!$A$2:$F$301,1,FALSE),"")</f>
        <v>CUST-0142</v>
      </c>
      <c r="S646" s="27" t="b">
        <f>IFERROR(VLOOKUP(D646,Products!$A$2:$F$61,6,FALSE),"")</f>
        <v>1</v>
      </c>
      <c r="BL646">
        <v>0</v>
      </c>
      <c r="BO646">
        <v>0</v>
      </c>
      <c r="BP646">
        <v>0</v>
      </c>
    </row>
    <row r="647" spans="1:68" x14ac:dyDescent="0.35">
      <c r="A647" s="26" t="str">
        <f>Orders!A647</f>
        <v>ORD-00646</v>
      </c>
      <c r="B647" s="33">
        <f>Orders!B647</f>
        <v>45418</v>
      </c>
      <c r="C647" t="str">
        <f>Orders!C647</f>
        <v>CUST-0185</v>
      </c>
      <c r="D647" t="str">
        <f>Orders!D647</f>
        <v>PROD-008</v>
      </c>
      <c r="E647" t="str">
        <f>Orders!E647</f>
        <v>R008</v>
      </c>
      <c r="F647">
        <f>Orders!F647</f>
        <v>4</v>
      </c>
      <c r="G647" s="35">
        <f>Orders!G647</f>
        <v>2660</v>
      </c>
      <c r="H647" s="37">
        <f>Orders!H647</f>
        <v>16.899999999999999</v>
      </c>
      <c r="I647" s="39">
        <f>Orders!I647</f>
        <v>8841.84</v>
      </c>
      <c r="J647" t="str">
        <f>Orders!J647</f>
        <v>Completed</v>
      </c>
      <c r="K647" t="str">
        <f>Orders!K647</f>
        <v>Hyderabad</v>
      </c>
      <c r="L647" t="str">
        <f>IFERROR(VLOOKUP(D647,Products!$A$2:$F$61,3,FALSE),"")</f>
        <v>Electronics</v>
      </c>
      <c r="M647">
        <f>IFERROR(VLOOKUP(D647,Products!$A$2:$F$61,4,FALSE),"")</f>
        <v>1259</v>
      </c>
      <c r="N647" t="str">
        <f>IFERROR(VLOOKUP(E647,Sales_Reps!$A$2:$E$31,3,FALSE),"")</f>
        <v>North</v>
      </c>
      <c r="O647" t="str">
        <f>IFERROR(VLOOKUP(C647,Customers!$A$2:$F$301,5,FALSE),"")</f>
        <v>SMB</v>
      </c>
      <c r="P647">
        <f>IFERROR(VLOOKUP(C647,Customers!$A$2:$F$301,3,FALSE),"")</f>
        <v>43</v>
      </c>
      <c r="Q647" s="41">
        <f t="shared" si="19"/>
        <v>0.52669172932330832</v>
      </c>
      <c r="R647" t="str">
        <f>IFERROR(VLOOKUP(C647,Customers!$A$2:$F$301,1,FALSE),"")</f>
        <v>CUST-0185</v>
      </c>
      <c r="S647" s="27" t="b">
        <f>IFERROR(VLOOKUP(D647,Products!$A$2:$F$61,6,FALSE),"")</f>
        <v>0</v>
      </c>
      <c r="BL647">
        <v>0</v>
      </c>
      <c r="BO647">
        <v>0</v>
      </c>
      <c r="BP647">
        <v>1</v>
      </c>
    </row>
    <row r="648" spans="1:68" x14ac:dyDescent="0.35">
      <c r="A648" s="26" t="str">
        <f>Orders!A648</f>
        <v>ORD-00647</v>
      </c>
      <c r="B648" s="33">
        <f>Orders!B648</f>
        <v>45369</v>
      </c>
      <c r="C648" t="str">
        <f>Orders!C648</f>
        <v>CUST-0284</v>
      </c>
      <c r="D648" t="str">
        <f>Orders!D648</f>
        <v>PROD-024</v>
      </c>
      <c r="E648" t="str">
        <f>Orders!E648</f>
        <v>R018</v>
      </c>
      <c r="F648">
        <f>Orders!F648</f>
        <v>6</v>
      </c>
      <c r="G648" s="35">
        <f>Orders!G648</f>
        <v>2270</v>
      </c>
      <c r="H648" s="37">
        <f>Orders!H648</f>
        <v>16.7</v>
      </c>
      <c r="I648" s="39">
        <f>Orders!I648</f>
        <v>11345.46</v>
      </c>
      <c r="J648" t="str">
        <f>Orders!J648</f>
        <v>Completed</v>
      </c>
      <c r="K648" t="str">
        <f>Orders!K648</f>
        <v>Hyderabad</v>
      </c>
      <c r="L648" t="str">
        <f>IFERROR(VLOOKUP(D648,Products!$A$2:$F$61,3,FALSE),"")</f>
        <v>Grocery</v>
      </c>
      <c r="M648">
        <f>IFERROR(VLOOKUP(D648,Products!$A$2:$F$61,4,FALSE),"")</f>
        <v>1203</v>
      </c>
      <c r="N648" t="str">
        <f>IFERROR(VLOOKUP(E648,Sales_Reps!$A$2:$E$31,3,FALSE),"")</f>
        <v>East</v>
      </c>
      <c r="O648" t="str">
        <f>IFERROR(VLOOKUP(C648,Customers!$A$2:$F$301,5,FALSE),"")</f>
        <v>SMB</v>
      </c>
      <c r="P648">
        <f>IFERROR(VLOOKUP(C648,Customers!$A$2:$F$301,3,FALSE),"")</f>
        <v>65</v>
      </c>
      <c r="Q648" s="41">
        <f t="shared" si="19"/>
        <v>0.47004405286343615</v>
      </c>
      <c r="R648" t="str">
        <f>IFERROR(VLOOKUP(C648,Customers!$A$2:$F$301,1,FALSE),"")</f>
        <v>CUST-0284</v>
      </c>
      <c r="S648" s="27" t="b">
        <f>IFERROR(VLOOKUP(D648,Products!$A$2:$F$61,6,FALSE),"")</f>
        <v>1</v>
      </c>
      <c r="BL648">
        <v>0</v>
      </c>
      <c r="BO648">
        <v>0</v>
      </c>
      <c r="BP648">
        <v>0</v>
      </c>
    </row>
    <row r="649" spans="1:68" x14ac:dyDescent="0.35">
      <c r="A649" s="26" t="str">
        <f>Orders!A649</f>
        <v>ORD-00648</v>
      </c>
      <c r="B649" s="33">
        <f>Orders!B649</f>
        <v>45549</v>
      </c>
      <c r="C649" t="str">
        <f>Orders!C649</f>
        <v>CUST-0092</v>
      </c>
      <c r="D649" t="str">
        <f>Orders!D649</f>
        <v>PROD-027</v>
      </c>
      <c r="E649" t="str">
        <f>Orders!E649</f>
        <v>R025</v>
      </c>
      <c r="F649">
        <f>Orders!F649</f>
        <v>5</v>
      </c>
      <c r="G649" s="35">
        <f>Orders!G649</f>
        <v>3780</v>
      </c>
      <c r="H649" s="37">
        <f>Orders!H649</f>
        <v>21.5</v>
      </c>
      <c r="I649" s="39">
        <f>Orders!I649</f>
        <v>14836.5</v>
      </c>
      <c r="J649" t="str">
        <f>Orders!J649</f>
        <v>Completed</v>
      </c>
      <c r="K649" t="str">
        <f>Orders!K649</f>
        <v>Bengaluru</v>
      </c>
      <c r="L649" t="str">
        <f>IFERROR(VLOOKUP(D649,Products!$A$2:$F$61,3,FALSE),"")</f>
        <v>Grocery</v>
      </c>
      <c r="M649">
        <f>IFERROR(VLOOKUP(D649,Products!$A$2:$F$61,4,FALSE),"")</f>
        <v>2436</v>
      </c>
      <c r="N649" t="str">
        <f>IFERROR(VLOOKUP(E649,Sales_Reps!$A$2:$E$31,3,FALSE),"")</f>
        <v>West</v>
      </c>
      <c r="O649" t="str">
        <f>IFERROR(VLOOKUP(C649,Customers!$A$2:$F$301,5,FALSE),"")</f>
        <v>SMB</v>
      </c>
      <c r="P649">
        <f>IFERROR(VLOOKUP(C649,Customers!$A$2:$F$301,3,FALSE),"")</f>
        <v>28</v>
      </c>
      <c r="Q649" s="41">
        <f t="shared" si="19"/>
        <v>0.35555555555555557</v>
      </c>
      <c r="R649" t="str">
        <f>IFERROR(VLOOKUP(C649,Customers!$A$2:$F$301,1,FALSE),"")</f>
        <v>CUST-0092</v>
      </c>
      <c r="S649" s="27" t="b">
        <f>IFERROR(VLOOKUP(D649,Products!$A$2:$F$61,6,FALSE),"")</f>
        <v>1</v>
      </c>
      <c r="BL649">
        <v>0</v>
      </c>
      <c r="BO649">
        <v>0</v>
      </c>
      <c r="BP649">
        <v>0</v>
      </c>
    </row>
    <row r="650" spans="1:68" x14ac:dyDescent="0.35">
      <c r="A650" s="26" t="str">
        <f>Orders!A650</f>
        <v>ORD-00649</v>
      </c>
      <c r="B650" s="33">
        <f>Orders!B650</f>
        <v>45505</v>
      </c>
      <c r="C650" t="str">
        <f>Orders!C650</f>
        <v>CUST-0091</v>
      </c>
      <c r="D650" t="str">
        <f>Orders!D650</f>
        <v>PROD-037</v>
      </c>
      <c r="E650" t="str">
        <f>Orders!E650</f>
        <v>R019</v>
      </c>
      <c r="F650">
        <f>Orders!F650</f>
        <v>10</v>
      </c>
      <c r="G650" s="35">
        <f>Orders!G650</f>
        <v>660</v>
      </c>
      <c r="H650" s="37">
        <f>Orders!H650</f>
        <v>18.8</v>
      </c>
      <c r="I650" s="39">
        <f>Orders!I650</f>
        <v>5359.2</v>
      </c>
      <c r="J650" t="str">
        <f>Orders!J650</f>
        <v>Completed</v>
      </c>
      <c r="K650" t="str">
        <f>Orders!K650</f>
        <v>Delhi</v>
      </c>
      <c r="L650" t="str">
        <f>IFERROR(VLOOKUP(D650,Products!$A$2:$F$61,3,FALSE),"")</f>
        <v>Home</v>
      </c>
      <c r="M650">
        <f>IFERROR(VLOOKUP(D650,Products!$A$2:$F$61,4,FALSE),"")</f>
        <v>329</v>
      </c>
      <c r="N650" t="str">
        <f>IFERROR(VLOOKUP(E650,Sales_Reps!$A$2:$E$31,3,FALSE),"")</f>
        <v>East</v>
      </c>
      <c r="O650" t="str">
        <f>IFERROR(VLOOKUP(C650,Customers!$A$2:$F$301,5,FALSE),"")</f>
        <v>Retail</v>
      </c>
      <c r="P650">
        <f>IFERROR(VLOOKUP(C650,Customers!$A$2:$F$301,3,FALSE),"")</f>
        <v>55</v>
      </c>
      <c r="Q650" s="41">
        <f t="shared" si="19"/>
        <v>0.50151515151515147</v>
      </c>
      <c r="R650" t="str">
        <f>IFERROR(VLOOKUP(C650,Customers!$A$2:$F$301,1,FALSE),"")</f>
        <v>CUST-0091</v>
      </c>
      <c r="S650" s="27" t="b">
        <f>IFERROR(VLOOKUP(D650,Products!$A$2:$F$61,6,FALSE),"")</f>
        <v>1</v>
      </c>
      <c r="BL650">
        <v>0</v>
      </c>
      <c r="BO650">
        <v>0</v>
      </c>
      <c r="BP650">
        <v>0</v>
      </c>
    </row>
    <row r="651" spans="1:68" x14ac:dyDescent="0.35">
      <c r="A651" s="26" t="str">
        <f>Orders!A651</f>
        <v>ORD-00650</v>
      </c>
      <c r="B651" s="33">
        <f>Orders!B651</f>
        <v>45413</v>
      </c>
      <c r="C651" t="str">
        <f>Orders!C651</f>
        <v>CUST-0155</v>
      </c>
      <c r="D651" t="str">
        <f>Orders!D651</f>
        <v>PROD-031</v>
      </c>
      <c r="E651" t="str">
        <f>Orders!E651</f>
        <v>R024</v>
      </c>
      <c r="F651">
        <f>Orders!F651</f>
        <v>10</v>
      </c>
      <c r="G651" s="35">
        <f>Orders!G651</f>
        <v>3730</v>
      </c>
      <c r="H651" s="37">
        <f>Orders!H651</f>
        <v>15.1</v>
      </c>
      <c r="I651" s="39">
        <f>Orders!I651</f>
        <v>31667.7</v>
      </c>
      <c r="J651" t="str">
        <f>Orders!J651</f>
        <v>Completed</v>
      </c>
      <c r="K651" t="str">
        <f>Orders!K651</f>
        <v>Pune</v>
      </c>
      <c r="L651" t="str">
        <f>IFERROR(VLOOKUP(D651,Products!$A$2:$F$61,3,FALSE),"")</f>
        <v>Home</v>
      </c>
      <c r="M651">
        <f>IFERROR(VLOOKUP(D651,Products!$A$2:$F$61,4,FALSE),"")</f>
        <v>2135</v>
      </c>
      <c r="N651" t="str">
        <f>IFERROR(VLOOKUP(E651,Sales_Reps!$A$2:$E$31,3,FALSE),"")</f>
        <v>West</v>
      </c>
      <c r="O651" t="str">
        <f>IFERROR(VLOOKUP(C651,Customers!$A$2:$F$301,5,FALSE),"")</f>
        <v>Corporate</v>
      </c>
      <c r="P651">
        <f>IFERROR(VLOOKUP(C651,Customers!$A$2:$F$301,3,FALSE),"")</f>
        <v>40</v>
      </c>
      <c r="Q651" s="41">
        <f t="shared" si="19"/>
        <v>0.42761394101876676</v>
      </c>
      <c r="R651" t="str">
        <f>IFERROR(VLOOKUP(C651,Customers!$A$2:$F$301,1,FALSE),"")</f>
        <v>CUST-0155</v>
      </c>
      <c r="S651" s="27" t="b">
        <f>IFERROR(VLOOKUP(D651,Products!$A$2:$F$61,6,FALSE),"")</f>
        <v>1</v>
      </c>
      <c r="BL651">
        <v>0</v>
      </c>
      <c r="BO651">
        <v>0</v>
      </c>
      <c r="BP651">
        <v>0</v>
      </c>
    </row>
    <row r="652" spans="1:68" x14ac:dyDescent="0.35">
      <c r="A652" s="26" t="str">
        <f>Orders!A652</f>
        <v>ORD-00651</v>
      </c>
      <c r="B652" s="33">
        <f>Orders!B652</f>
        <v>45559</v>
      </c>
      <c r="C652" t="str">
        <f>Orders!C652</f>
        <v>CUST-0280</v>
      </c>
      <c r="D652" t="str">
        <f>Orders!D652</f>
        <v>PROD-025</v>
      </c>
      <c r="E652" t="str">
        <f>Orders!E652</f>
        <v>R021</v>
      </c>
      <c r="F652">
        <f>Orders!F652</f>
        <v>6</v>
      </c>
      <c r="G652" s="35">
        <f>Orders!G652</f>
        <v>4060</v>
      </c>
      <c r="H652" s="37">
        <f>Orders!H652</f>
        <v>20.100000000000001</v>
      </c>
      <c r="I652" s="39">
        <f>Orders!I652</f>
        <v>19463.64</v>
      </c>
      <c r="J652" t="str">
        <f>Orders!J652</f>
        <v>Pending</v>
      </c>
      <c r="K652" t="str">
        <f>Orders!K652</f>
        <v>DELHI</v>
      </c>
      <c r="L652" t="str">
        <f>IFERROR(VLOOKUP(D652,Products!$A$2:$F$61,3,FALSE),"")</f>
        <v>Grocery</v>
      </c>
      <c r="M652">
        <f>IFERROR(VLOOKUP(D652,Products!$A$2:$F$61,4,FALSE),"")</f>
        <v>2911</v>
      </c>
      <c r="N652" t="str">
        <f>IFERROR(VLOOKUP(E652,Sales_Reps!$A$2:$E$31,3,FALSE),"")</f>
        <v>East</v>
      </c>
      <c r="O652" t="str">
        <f>IFERROR(VLOOKUP(C652,Customers!$A$2:$F$301,5,FALSE),"")</f>
        <v>SMB</v>
      </c>
      <c r="P652">
        <f>IFERROR(VLOOKUP(C652,Customers!$A$2:$F$301,3,FALSE),"")</f>
        <v>27</v>
      </c>
      <c r="Q652" s="41">
        <f t="shared" si="19"/>
        <v>0.28300492610837441</v>
      </c>
      <c r="R652" t="str">
        <f>IFERROR(VLOOKUP(C652,Customers!$A$2:$F$301,1,FALSE),"")</f>
        <v>CUST-0280</v>
      </c>
      <c r="S652" s="27" t="b">
        <f>IFERROR(VLOOKUP(D652,Products!$A$2:$F$61,6,FALSE),"")</f>
        <v>1</v>
      </c>
      <c r="BL652">
        <v>0</v>
      </c>
      <c r="BO652">
        <v>0</v>
      </c>
      <c r="BP652">
        <v>0</v>
      </c>
    </row>
    <row r="653" spans="1:68" x14ac:dyDescent="0.35">
      <c r="A653" s="26" t="str">
        <f>Orders!A653</f>
        <v>ORD-00652</v>
      </c>
      <c r="B653" s="33">
        <f>Orders!B653</f>
        <v>45525</v>
      </c>
      <c r="C653" t="str">
        <f>Orders!C653</f>
        <v>CUST-0127</v>
      </c>
      <c r="D653" t="str">
        <f>Orders!D653</f>
        <v>PROD-024</v>
      </c>
      <c r="E653" t="str">
        <f>Orders!E653</f>
        <v>R003</v>
      </c>
      <c r="F653">
        <f>Orders!F653</f>
        <v>2</v>
      </c>
      <c r="G653" s="35">
        <f>Orders!G653</f>
        <v>2270</v>
      </c>
      <c r="H653" s="37">
        <f>Orders!H653</f>
        <v>17.7</v>
      </c>
      <c r="I653" s="39">
        <f>Orders!I653</f>
        <v>3736.42</v>
      </c>
      <c r="J653" t="str">
        <f>Orders!J653</f>
        <v>Completed</v>
      </c>
      <c r="K653" t="str">
        <f>Orders!K653</f>
        <v>Bengaluru</v>
      </c>
      <c r="L653" t="str">
        <f>IFERROR(VLOOKUP(D653,Products!$A$2:$F$61,3,FALSE),"")</f>
        <v>Grocery</v>
      </c>
      <c r="M653">
        <f>IFERROR(VLOOKUP(D653,Products!$A$2:$F$61,4,FALSE),"")</f>
        <v>1203</v>
      </c>
      <c r="N653" t="str">
        <f>IFERROR(VLOOKUP(E653,Sales_Reps!$A$2:$E$31,3,FALSE),"")</f>
        <v>North</v>
      </c>
      <c r="O653" t="str">
        <f>IFERROR(VLOOKUP(C653,Customers!$A$2:$F$301,5,FALSE),"")</f>
        <v>SMB</v>
      </c>
      <c r="P653">
        <f>IFERROR(VLOOKUP(C653,Customers!$A$2:$F$301,3,FALSE),"")</f>
        <v>36</v>
      </c>
      <c r="Q653" s="41">
        <f t="shared" si="19"/>
        <v>0.47004405286343615</v>
      </c>
      <c r="R653" t="str">
        <f>IFERROR(VLOOKUP(C653,Customers!$A$2:$F$301,1,FALSE),"")</f>
        <v>CUST-0127</v>
      </c>
      <c r="S653" s="27" t="b">
        <f>IFERROR(VLOOKUP(D653,Products!$A$2:$F$61,6,FALSE),"")</f>
        <v>1</v>
      </c>
      <c r="BL653">
        <v>0</v>
      </c>
      <c r="BO653">
        <v>0</v>
      </c>
      <c r="BP653">
        <v>0</v>
      </c>
    </row>
    <row r="654" spans="1:68" x14ac:dyDescent="0.35">
      <c r="A654" s="26" t="str">
        <f>Orders!A654</f>
        <v>ORD-00653</v>
      </c>
      <c r="B654" s="33">
        <f>Orders!B654</f>
        <v>45610</v>
      </c>
      <c r="C654" t="str">
        <f>Orders!C654</f>
        <v>CUST-0077</v>
      </c>
      <c r="D654" t="str">
        <f>Orders!D654</f>
        <v>PROD-003</v>
      </c>
      <c r="E654" t="str">
        <f>Orders!E654</f>
        <v>R028</v>
      </c>
      <c r="F654">
        <f>Orders!F654</f>
        <v>9</v>
      </c>
      <c r="G654" s="35">
        <f>Orders!G654</f>
        <v>3570</v>
      </c>
      <c r="H654" s="37">
        <f>Orders!H654</f>
        <v>29.9</v>
      </c>
      <c r="I654" s="39">
        <f>Orders!I654</f>
        <v>22523.13</v>
      </c>
      <c r="J654" t="str">
        <f>Orders!J654</f>
        <v>Completed</v>
      </c>
      <c r="K654" t="str">
        <f>Orders!K654</f>
        <v>Hyderabad</v>
      </c>
      <c r="L654" t="str">
        <f>IFERROR(VLOOKUP(D654,Products!$A$2:$F$61,3,FALSE),"")</f>
        <v>Electronics</v>
      </c>
      <c r="M654">
        <f>IFERROR(VLOOKUP(D654,Products!$A$2:$F$61,4,FALSE),"")</f>
        <v>1665</v>
      </c>
      <c r="N654" t="str">
        <f>IFERROR(VLOOKUP(E654,Sales_Reps!$A$2:$E$31,3,FALSE),"")</f>
        <v>West</v>
      </c>
      <c r="O654" t="str">
        <f>IFERROR(VLOOKUP(C654,Customers!$A$2:$F$301,5,FALSE),"")</f>
        <v>SMB</v>
      </c>
      <c r="P654">
        <f>IFERROR(VLOOKUP(C654,Customers!$A$2:$F$301,3,FALSE),"")</f>
        <v>48</v>
      </c>
      <c r="Q654" s="41">
        <f t="shared" si="19"/>
        <v>0.53361344537815125</v>
      </c>
      <c r="R654" t="str">
        <f>IFERROR(VLOOKUP(C654,Customers!$A$2:$F$301,1,FALSE),"")</f>
        <v>CUST-0077</v>
      </c>
      <c r="S654" s="27" t="b">
        <f>IFERROR(VLOOKUP(D654,Products!$A$2:$F$61,6,FALSE),"")</f>
        <v>1</v>
      </c>
      <c r="BL654">
        <v>0</v>
      </c>
      <c r="BO654">
        <v>0</v>
      </c>
      <c r="BP654">
        <v>0</v>
      </c>
    </row>
    <row r="655" spans="1:68" x14ac:dyDescent="0.35">
      <c r="A655" s="26" t="str">
        <f>Orders!A655</f>
        <v>ORD-00654</v>
      </c>
      <c r="B655" s="33">
        <f>Orders!B655</f>
        <v>45521</v>
      </c>
      <c r="C655" t="str">
        <f>Orders!C655</f>
        <v>CUST-0190</v>
      </c>
      <c r="D655" t="str">
        <f>Orders!D655</f>
        <v>PROD-029</v>
      </c>
      <c r="E655" t="str">
        <f>Orders!E655</f>
        <v>R004</v>
      </c>
      <c r="F655">
        <f>Orders!F655</f>
        <v>7</v>
      </c>
      <c r="G655" s="35">
        <f>Orders!G655</f>
        <v>2210</v>
      </c>
      <c r="H655" s="37">
        <f>Orders!H655</f>
        <v>25</v>
      </c>
      <c r="I655" s="39">
        <f>Orders!I655</f>
        <v>11602.5</v>
      </c>
      <c r="J655" t="str">
        <f>Orders!J655</f>
        <v>Completed</v>
      </c>
      <c r="K655" t="str">
        <f>Orders!K655</f>
        <v>Hyderabad</v>
      </c>
      <c r="L655" t="str">
        <f>IFERROR(VLOOKUP(D655,Products!$A$2:$F$61,3,FALSE),"")</f>
        <v>Grocery</v>
      </c>
      <c r="M655">
        <f>IFERROR(VLOOKUP(D655,Products!$A$2:$F$61,4,FALSE),"")</f>
        <v>1010</v>
      </c>
      <c r="N655" t="str">
        <f>IFERROR(VLOOKUP(E655,Sales_Reps!$A$2:$E$31,3,FALSE),"")</f>
        <v>North</v>
      </c>
      <c r="O655" t="str">
        <f>IFERROR(VLOOKUP(C655,Customers!$A$2:$F$301,5,FALSE),"")</f>
        <v>Retail</v>
      </c>
      <c r="P655">
        <f>IFERROR(VLOOKUP(C655,Customers!$A$2:$F$301,3,FALSE),"")</f>
        <v>52</v>
      </c>
      <c r="Q655" s="41">
        <f t="shared" si="19"/>
        <v>0.54298642533936647</v>
      </c>
      <c r="R655" t="str">
        <f>IFERROR(VLOOKUP(C655,Customers!$A$2:$F$301,1,FALSE),"")</f>
        <v>CUST-0190</v>
      </c>
      <c r="S655" s="27" t="b">
        <f>IFERROR(VLOOKUP(D655,Products!$A$2:$F$61,6,FALSE),"")</f>
        <v>1</v>
      </c>
      <c r="BL655">
        <v>0</v>
      </c>
      <c r="BO655">
        <v>0</v>
      </c>
      <c r="BP655">
        <v>0</v>
      </c>
    </row>
    <row r="656" spans="1:68" x14ac:dyDescent="0.35">
      <c r="A656" s="26" t="str">
        <f>Orders!A656</f>
        <v>ORD-00655</v>
      </c>
      <c r="B656" s="33">
        <f>Orders!B656</f>
        <v>45381</v>
      </c>
      <c r="C656" t="str">
        <f>Orders!C656</f>
        <v>CUST-0089</v>
      </c>
      <c r="D656" t="str">
        <f>Orders!D656</f>
        <v>PROD-057</v>
      </c>
      <c r="E656" t="str">
        <f>Orders!E656</f>
        <v>R026</v>
      </c>
      <c r="F656">
        <f>Orders!F656</f>
        <v>2</v>
      </c>
      <c r="G656" s="35">
        <f>Orders!G656</f>
        <v>960</v>
      </c>
      <c r="H656" s="37">
        <f>Orders!H656</f>
        <v>8.1999999999999993</v>
      </c>
      <c r="I656" s="39">
        <f>Orders!I656</f>
        <v>1762.56</v>
      </c>
      <c r="J656" t="str">
        <f>Orders!J656</f>
        <v>Cancelled</v>
      </c>
      <c r="K656" t="str">
        <f>Orders!K656</f>
        <v>Mumbai</v>
      </c>
      <c r="L656" t="str">
        <f>IFERROR(VLOOKUP(D656,Products!$A$2:$F$61,3,FALSE),"")</f>
        <v>Sports</v>
      </c>
      <c r="M656">
        <f>IFERROR(VLOOKUP(D656,Products!$A$2:$F$61,4,FALSE),"")</f>
        <v>705</v>
      </c>
      <c r="N656" t="str">
        <f>IFERROR(VLOOKUP(E656,Sales_Reps!$A$2:$E$31,3,FALSE),"")</f>
        <v>West</v>
      </c>
      <c r="O656" t="str">
        <f>IFERROR(VLOOKUP(C656,Customers!$A$2:$F$301,5,FALSE),"")</f>
        <v>SMB</v>
      </c>
      <c r="P656">
        <f>IFERROR(VLOOKUP(C656,Customers!$A$2:$F$301,3,FALSE),"")</f>
        <v>43</v>
      </c>
      <c r="Q656" s="41">
        <f t="shared" si="19"/>
        <v>0.265625</v>
      </c>
      <c r="R656" t="str">
        <f>IFERROR(VLOOKUP(C656,Customers!$A$2:$F$301,1,FALSE),"")</f>
        <v>CUST-0089</v>
      </c>
      <c r="S656" s="27" t="b">
        <f>IFERROR(VLOOKUP(D656,Products!$A$2:$F$61,6,FALSE),"")</f>
        <v>1</v>
      </c>
      <c r="BL656">
        <v>0</v>
      </c>
      <c r="BO656">
        <v>0</v>
      </c>
      <c r="BP656">
        <v>0</v>
      </c>
    </row>
    <row r="657" spans="1:68" x14ac:dyDescent="0.35">
      <c r="A657" s="26" t="str">
        <f>Orders!A657</f>
        <v>ORD-00656</v>
      </c>
      <c r="B657" s="33">
        <f>Orders!B657</f>
        <v>45401</v>
      </c>
      <c r="C657" t="str">
        <f>Orders!C657</f>
        <v>CUST-0141</v>
      </c>
      <c r="D657" t="str">
        <f>Orders!D657</f>
        <v>PROD-059</v>
      </c>
      <c r="E657" t="str">
        <f>Orders!E657</f>
        <v>R026</v>
      </c>
      <c r="F657">
        <f>Orders!F657</f>
        <v>9</v>
      </c>
      <c r="G657" s="35">
        <f>Orders!G657</f>
        <v>3780</v>
      </c>
      <c r="H657" s="37">
        <f>Orders!H657</f>
        <v>28.4</v>
      </c>
      <c r="I657" s="39">
        <f>Orders!I657</f>
        <v>24358.32</v>
      </c>
      <c r="J657" t="str">
        <f>Orders!J657</f>
        <v>Pending</v>
      </c>
      <c r="K657" t="str">
        <f>Orders!K657</f>
        <v>Hyderabad</v>
      </c>
      <c r="L657" t="str">
        <f>IFERROR(VLOOKUP(D657,Products!$A$2:$F$61,3,FALSE),"")</f>
        <v>Sports</v>
      </c>
      <c r="M657">
        <f>IFERROR(VLOOKUP(D657,Products!$A$2:$F$61,4,FALSE),"")</f>
        <v>1860</v>
      </c>
      <c r="N657" t="str">
        <f>IFERROR(VLOOKUP(E657,Sales_Reps!$A$2:$E$31,3,FALSE),"")</f>
        <v>West</v>
      </c>
      <c r="O657" t="str">
        <f>IFERROR(VLOOKUP(C657,Customers!$A$2:$F$301,5,FALSE),"")</f>
        <v>Corporate</v>
      </c>
      <c r="P657">
        <f>IFERROR(VLOOKUP(C657,Customers!$A$2:$F$301,3,FALSE),"")</f>
        <v>22</v>
      </c>
      <c r="Q657" s="41">
        <f t="shared" si="19"/>
        <v>0.50793650793650791</v>
      </c>
      <c r="R657" t="str">
        <f>IFERROR(VLOOKUP(C657,Customers!$A$2:$F$301,1,FALSE),"")</f>
        <v>CUST-0141</v>
      </c>
      <c r="S657" s="27" t="b">
        <f>IFERROR(VLOOKUP(D657,Products!$A$2:$F$61,6,FALSE),"")</f>
        <v>1</v>
      </c>
      <c r="BL657">
        <v>0</v>
      </c>
      <c r="BO657">
        <v>0</v>
      </c>
      <c r="BP657">
        <v>0</v>
      </c>
    </row>
    <row r="658" spans="1:68" x14ac:dyDescent="0.35">
      <c r="A658" s="26" t="str">
        <f>Orders!A658</f>
        <v>ORD-00657</v>
      </c>
      <c r="B658" s="33">
        <f>Orders!B658</f>
        <v>45581</v>
      </c>
      <c r="C658" t="str">
        <f>Orders!C658</f>
        <v>CUST-0123</v>
      </c>
      <c r="D658" t="str">
        <f>Orders!D658</f>
        <v>PROD-048</v>
      </c>
      <c r="E658" t="str">
        <f>Orders!E658</f>
        <v>R014</v>
      </c>
      <c r="F658">
        <f>Orders!F658</f>
        <v>2</v>
      </c>
      <c r="G658" s="35">
        <f>Orders!G658</f>
        <v>5100</v>
      </c>
      <c r="H658" s="37">
        <f>Orders!H658</f>
        <v>8.6</v>
      </c>
      <c r="I658" s="39">
        <f>Orders!I658</f>
        <v>9322.7999999999993</v>
      </c>
      <c r="J658" t="str">
        <f>Orders!J658</f>
        <v>Completed</v>
      </c>
      <c r="K658" t="str">
        <f>Orders!K658</f>
        <v>Chennai</v>
      </c>
      <c r="L658" t="str">
        <f>IFERROR(VLOOKUP(D658,Products!$A$2:$F$61,3,FALSE),"")</f>
        <v>Beauty</v>
      </c>
      <c r="M658">
        <f>IFERROR(VLOOKUP(D658,Products!$A$2:$F$61,4,FALSE),"")</f>
        <v>2237</v>
      </c>
      <c r="N658" t="str">
        <f>IFERROR(VLOOKUP(E658,Sales_Reps!$A$2:$E$31,3,FALSE),"")</f>
        <v>South</v>
      </c>
      <c r="O658" t="str">
        <f>IFERROR(VLOOKUP(C658,Customers!$A$2:$F$301,5,FALSE),"")</f>
        <v>Corporate</v>
      </c>
      <c r="P658">
        <f>IFERROR(VLOOKUP(C658,Customers!$A$2:$F$301,3,FALSE),"")</f>
        <v>44</v>
      </c>
      <c r="Q658" s="41">
        <f t="shared" si="19"/>
        <v>0.56137254901960787</v>
      </c>
      <c r="R658" t="str">
        <f>IFERROR(VLOOKUP(C658,Customers!$A$2:$F$301,1,FALSE),"")</f>
        <v>CUST-0123</v>
      </c>
      <c r="S658" s="27" t="b">
        <f>IFERROR(VLOOKUP(D658,Products!$A$2:$F$61,6,FALSE),"")</f>
        <v>1</v>
      </c>
      <c r="BL658">
        <v>0</v>
      </c>
      <c r="BO658">
        <v>0</v>
      </c>
      <c r="BP658">
        <v>0</v>
      </c>
    </row>
    <row r="659" spans="1:68" x14ac:dyDescent="0.35">
      <c r="A659" s="26" t="str">
        <f>Orders!A659</f>
        <v>ORD-00658</v>
      </c>
      <c r="B659" s="33">
        <f>Orders!B659</f>
        <v>45414</v>
      </c>
      <c r="C659" t="str">
        <f>Orders!C659</f>
        <v>CUST-0041</v>
      </c>
      <c r="D659" t="str">
        <f>Orders!D659</f>
        <v>PROD-019</v>
      </c>
      <c r="E659" t="str">
        <f>Orders!E659</f>
        <v>R021</v>
      </c>
      <c r="F659">
        <f>Orders!F659</f>
        <v>4</v>
      </c>
      <c r="G659" s="35">
        <f>Orders!G659</f>
        <v>2480</v>
      </c>
      <c r="H659" s="37">
        <f>Orders!H659</f>
        <v>16.600000000000001</v>
      </c>
      <c r="I659" s="39">
        <f>Orders!I659</f>
        <v>8273.2800000000007</v>
      </c>
      <c r="J659" t="str">
        <f>Orders!J659</f>
        <v>Completed</v>
      </c>
      <c r="K659" t="str">
        <f>Orders!K659</f>
        <v>Bengaluru</v>
      </c>
      <c r="L659" t="str">
        <f>IFERROR(VLOOKUP(D659,Products!$A$2:$F$61,3,FALSE),"")</f>
        <v>Apparel</v>
      </c>
      <c r="M659">
        <f>IFERROR(VLOOKUP(D659,Products!$A$2:$F$61,4,FALSE),"")</f>
        <v>1173</v>
      </c>
      <c r="N659" t="str">
        <f>IFERROR(VLOOKUP(E659,Sales_Reps!$A$2:$E$31,3,FALSE),"")</f>
        <v>East</v>
      </c>
      <c r="O659" t="str">
        <f>IFERROR(VLOOKUP(C659,Customers!$A$2:$F$301,5,FALSE),"")</f>
        <v>SMB</v>
      </c>
      <c r="P659">
        <f>IFERROR(VLOOKUP(C659,Customers!$A$2:$F$301,3,FALSE),"")</f>
        <v>26</v>
      </c>
      <c r="Q659" s="41">
        <f t="shared" si="19"/>
        <v>0.52701612903225803</v>
      </c>
      <c r="R659" t="str">
        <f>IFERROR(VLOOKUP(C659,Customers!$A$2:$F$301,1,FALSE),"")</f>
        <v>CUST-0041</v>
      </c>
      <c r="S659" s="27" t="b">
        <f>IFERROR(VLOOKUP(D659,Products!$A$2:$F$61,6,FALSE),"")</f>
        <v>1</v>
      </c>
      <c r="BL659">
        <v>0</v>
      </c>
      <c r="BO659">
        <v>0</v>
      </c>
      <c r="BP659">
        <v>0</v>
      </c>
    </row>
    <row r="660" spans="1:68" x14ac:dyDescent="0.35">
      <c r="A660" s="26" t="str">
        <f>Orders!A660</f>
        <v>ORD-00659</v>
      </c>
      <c r="B660" s="33">
        <f>Orders!B660</f>
        <v>45443</v>
      </c>
      <c r="C660" t="str">
        <f>Orders!C660</f>
        <v>CUST-0257</v>
      </c>
      <c r="D660" t="str">
        <f>Orders!D660</f>
        <v>PROD-040</v>
      </c>
      <c r="E660" t="str">
        <f>Orders!E660</f>
        <v>R018</v>
      </c>
      <c r="F660">
        <f>Orders!F660</f>
        <v>10</v>
      </c>
      <c r="G660" s="35">
        <f>Orders!G660</f>
        <v>1080</v>
      </c>
      <c r="H660" s="37">
        <f>Orders!H660</f>
        <v>14.5</v>
      </c>
      <c r="I660" s="39">
        <f>Orders!I660</f>
        <v>9234</v>
      </c>
      <c r="J660" t="str">
        <f>Orders!J660</f>
        <v>Completed</v>
      </c>
      <c r="K660" t="str">
        <f>Orders!K660</f>
        <v>Mumbai</v>
      </c>
      <c r="L660" t="str">
        <f>IFERROR(VLOOKUP(D660,Products!$A$2:$F$61,3,FALSE),"")</f>
        <v>Home</v>
      </c>
      <c r="M660">
        <f>IFERROR(VLOOKUP(D660,Products!$A$2:$F$61,4,FALSE),"")</f>
        <v>519</v>
      </c>
      <c r="N660" t="str">
        <f>IFERROR(VLOOKUP(E660,Sales_Reps!$A$2:$E$31,3,FALSE),"")</f>
        <v>East</v>
      </c>
      <c r="O660" t="str">
        <f>IFERROR(VLOOKUP(C660,Customers!$A$2:$F$301,5,FALSE),"")</f>
        <v>Corporate</v>
      </c>
      <c r="P660">
        <f>IFERROR(VLOOKUP(C660,Customers!$A$2:$F$301,3,FALSE),"")</f>
        <v>46</v>
      </c>
      <c r="Q660" s="41">
        <f t="shared" si="19"/>
        <v>0.51944444444444449</v>
      </c>
      <c r="R660" t="str">
        <f>IFERROR(VLOOKUP(C660,Customers!$A$2:$F$301,1,FALSE),"")</f>
        <v>CUST-0257</v>
      </c>
      <c r="S660" s="27" t="b">
        <f>IFERROR(VLOOKUP(D660,Products!$A$2:$F$61,6,FALSE),"")</f>
        <v>1</v>
      </c>
      <c r="BL660">
        <v>0</v>
      </c>
      <c r="BO660">
        <v>0</v>
      </c>
      <c r="BP660">
        <v>0</v>
      </c>
    </row>
    <row r="661" spans="1:68" x14ac:dyDescent="0.35">
      <c r="A661" s="26" t="str">
        <f>Orders!A661</f>
        <v>ORD-00660</v>
      </c>
      <c r="B661" s="33">
        <f>Orders!B661</f>
        <v>45377</v>
      </c>
      <c r="C661" t="str">
        <f>Orders!C661</f>
        <v>CUST-0134</v>
      </c>
      <c r="D661" t="str">
        <f>Orders!D661</f>
        <v>PROD-002</v>
      </c>
      <c r="E661" t="str">
        <f>Orders!E661</f>
        <v>R029</v>
      </c>
      <c r="F661">
        <f>Orders!F661</f>
        <v>7</v>
      </c>
      <c r="G661" s="35">
        <f>Orders!G661</f>
        <v>2600</v>
      </c>
      <c r="H661" s="37">
        <f>Orders!H661</f>
        <v>21</v>
      </c>
      <c r="I661" s="39">
        <f>Orders!I661</f>
        <v>14378</v>
      </c>
      <c r="J661" t="str">
        <f>Orders!J661</f>
        <v>Completed</v>
      </c>
      <c r="K661" t="str">
        <f>Orders!K661</f>
        <v>Delhi</v>
      </c>
      <c r="L661" t="str">
        <f>IFERROR(VLOOKUP(D661,Products!$A$2:$F$61,3,FALSE),"")</f>
        <v>Electronics</v>
      </c>
      <c r="M661">
        <f>IFERROR(VLOOKUP(D661,Products!$A$2:$F$61,4,FALSE),"")</f>
        <v>1052</v>
      </c>
      <c r="N661" t="str">
        <f>IFERROR(VLOOKUP(E661,Sales_Reps!$A$2:$E$31,3,FALSE),"")</f>
        <v>West</v>
      </c>
      <c r="O661" t="str">
        <f>IFERROR(VLOOKUP(C661,Customers!$A$2:$F$301,5,FALSE),"")</f>
        <v>Retail</v>
      </c>
      <c r="P661">
        <f>IFERROR(VLOOKUP(C661,Customers!$A$2:$F$301,3,FALSE),"")</f>
        <v>40</v>
      </c>
      <c r="Q661" s="41">
        <f t="shared" si="19"/>
        <v>0.5953846153846154</v>
      </c>
      <c r="R661" t="str">
        <f>IFERROR(VLOOKUP(C661,Customers!$A$2:$F$301,1,FALSE),"")</f>
        <v>CUST-0134</v>
      </c>
      <c r="S661" s="27" t="b">
        <f>IFERROR(VLOOKUP(D661,Products!$A$2:$F$61,6,FALSE),"")</f>
        <v>1</v>
      </c>
      <c r="BL661">
        <v>0</v>
      </c>
      <c r="BO661">
        <v>0</v>
      </c>
      <c r="BP661">
        <v>0</v>
      </c>
    </row>
    <row r="662" spans="1:68" x14ac:dyDescent="0.35">
      <c r="A662" s="26" t="str">
        <f>Orders!A662</f>
        <v>ORD-00661</v>
      </c>
      <c r="B662" s="33">
        <f>Orders!B662</f>
        <v>45622</v>
      </c>
      <c r="C662" t="str">
        <f>Orders!C662</f>
        <v>CUST-0180</v>
      </c>
      <c r="D662" t="str">
        <f>Orders!D662</f>
        <v>PROD-002</v>
      </c>
      <c r="E662" t="str">
        <f>Orders!E662</f>
        <v>R015</v>
      </c>
      <c r="F662">
        <f>Orders!F662</f>
        <v>7</v>
      </c>
      <c r="G662" s="35">
        <f>Orders!G662</f>
        <v>2600</v>
      </c>
      <c r="H662" s="37">
        <f>Orders!H662</f>
        <v>6.7</v>
      </c>
      <c r="I662" s="39">
        <f>Orders!I662</f>
        <v>16980.599999999999</v>
      </c>
      <c r="J662" t="str">
        <f>Orders!J662</f>
        <v>Pending</v>
      </c>
      <c r="K662" t="str">
        <f>Orders!K662</f>
        <v>Chennai</v>
      </c>
      <c r="L662" t="str">
        <f>IFERROR(VLOOKUP(D662,Products!$A$2:$F$61,3,FALSE),"")</f>
        <v>Electronics</v>
      </c>
      <c r="M662">
        <f>IFERROR(VLOOKUP(D662,Products!$A$2:$F$61,4,FALSE),"")</f>
        <v>1052</v>
      </c>
      <c r="N662" t="str">
        <f>IFERROR(VLOOKUP(E662,Sales_Reps!$A$2:$E$31,3,FALSE),"")</f>
        <v>South</v>
      </c>
      <c r="O662" t="str">
        <f>IFERROR(VLOOKUP(C662,Customers!$A$2:$F$301,5,FALSE),"")</f>
        <v>Retail</v>
      </c>
      <c r="P662">
        <f>IFERROR(VLOOKUP(C662,Customers!$A$2:$F$301,3,FALSE),"")</f>
        <v>36</v>
      </c>
      <c r="Q662" s="41">
        <f t="shared" si="19"/>
        <v>0.5953846153846154</v>
      </c>
      <c r="R662" t="str">
        <f>IFERROR(VLOOKUP(C662,Customers!$A$2:$F$301,1,FALSE),"")</f>
        <v>CUST-0180</v>
      </c>
      <c r="S662" s="27" t="b">
        <f>IFERROR(VLOOKUP(D662,Products!$A$2:$F$61,6,FALSE),"")</f>
        <v>1</v>
      </c>
      <c r="BL662">
        <v>0</v>
      </c>
      <c r="BO662">
        <v>0</v>
      </c>
      <c r="BP662">
        <v>0</v>
      </c>
    </row>
    <row r="663" spans="1:68" x14ac:dyDescent="0.35">
      <c r="A663" s="26" t="str">
        <f>Orders!A663</f>
        <v>ORD-00662</v>
      </c>
      <c r="B663" s="33">
        <f>Orders!B663</f>
        <v>45403</v>
      </c>
      <c r="C663" t="str">
        <f>Orders!C663</f>
        <v>CUST-0283</v>
      </c>
      <c r="D663" t="str">
        <f>Orders!D663</f>
        <v>PROD-020</v>
      </c>
      <c r="E663" t="str">
        <f>Orders!E663</f>
        <v>R023</v>
      </c>
      <c r="F663">
        <f>Orders!F663</f>
        <v>8</v>
      </c>
      <c r="G663" s="35">
        <f>Orders!G663</f>
        <v>820</v>
      </c>
      <c r="H663" s="37">
        <f>Orders!H663</f>
        <v>17.8</v>
      </c>
      <c r="I663" s="39">
        <f>Orders!I663</f>
        <v>5392.32</v>
      </c>
      <c r="J663" t="str">
        <f>Orders!J663</f>
        <v>Pending</v>
      </c>
      <c r="K663" t="str">
        <f>Orders!K663</f>
        <v>Delhi</v>
      </c>
      <c r="L663" t="str">
        <f>IFERROR(VLOOKUP(D663,Products!$A$2:$F$61,3,FALSE),"")</f>
        <v>Apparel</v>
      </c>
      <c r="M663">
        <f>IFERROR(VLOOKUP(D663,Products!$A$2:$F$61,4,FALSE),"")</f>
        <v>391</v>
      </c>
      <c r="N663" t="str">
        <f>IFERROR(VLOOKUP(E663,Sales_Reps!$A$2:$E$31,3,FALSE),"")</f>
        <v>East</v>
      </c>
      <c r="O663" t="str">
        <f>IFERROR(VLOOKUP(C663,Customers!$A$2:$F$301,5,FALSE),"")</f>
        <v>SMB</v>
      </c>
      <c r="P663">
        <f>IFERROR(VLOOKUP(C663,Customers!$A$2:$F$301,3,FALSE),"")</f>
        <v>50</v>
      </c>
      <c r="Q663" s="41">
        <f t="shared" si="19"/>
        <v>0.52317073170731709</v>
      </c>
      <c r="R663" t="str">
        <f>IFERROR(VLOOKUP(C663,Customers!$A$2:$F$301,1,FALSE),"")</f>
        <v>CUST-0283</v>
      </c>
      <c r="S663" s="27" t="b">
        <f>IFERROR(VLOOKUP(D663,Products!$A$2:$F$61,6,FALSE),"")</f>
        <v>1</v>
      </c>
      <c r="BL663">
        <v>0</v>
      </c>
      <c r="BO663">
        <v>0</v>
      </c>
      <c r="BP663">
        <v>0</v>
      </c>
    </row>
    <row r="664" spans="1:68" x14ac:dyDescent="0.35">
      <c r="A664" s="26" t="str">
        <f>Orders!A664</f>
        <v>ORD-00663</v>
      </c>
      <c r="B664" s="33">
        <f>Orders!B664</f>
        <v>45532</v>
      </c>
      <c r="C664" t="str">
        <f>Orders!C664</f>
        <v>CUST-0047</v>
      </c>
      <c r="D664" t="str">
        <f>Orders!D664</f>
        <v>PROD-057</v>
      </c>
      <c r="E664" t="str">
        <f>Orders!E664</f>
        <v>R009</v>
      </c>
      <c r="F664">
        <f>Orders!F664</f>
        <v>3</v>
      </c>
      <c r="G664" s="35">
        <f>Orders!G664</f>
        <v>960</v>
      </c>
      <c r="H664" s="37">
        <f>Orders!H664</f>
        <v>17.8</v>
      </c>
      <c r="I664" s="39">
        <f>Orders!I664</f>
        <v>2367.36</v>
      </c>
      <c r="J664" t="str">
        <f>Orders!J664</f>
        <v>Completed</v>
      </c>
      <c r="K664" t="str">
        <f>Orders!K664</f>
        <v>Pune</v>
      </c>
      <c r="L664" t="str">
        <f>IFERROR(VLOOKUP(D664,Products!$A$2:$F$61,3,FALSE),"")</f>
        <v>Sports</v>
      </c>
      <c r="M664">
        <f>IFERROR(VLOOKUP(D664,Products!$A$2:$F$61,4,FALSE),"")</f>
        <v>705</v>
      </c>
      <c r="N664" t="str">
        <f>IFERROR(VLOOKUP(E664,Sales_Reps!$A$2:$E$31,3,FALSE),"")</f>
        <v>South</v>
      </c>
      <c r="O664" t="str">
        <f>IFERROR(VLOOKUP(C664,Customers!$A$2:$F$301,5,FALSE),"")</f>
        <v>Retail</v>
      </c>
      <c r="P664">
        <f>IFERROR(VLOOKUP(C664,Customers!$A$2:$F$301,3,FALSE),"")</f>
        <v>49</v>
      </c>
      <c r="Q664" s="41">
        <f t="shared" si="19"/>
        <v>0.265625</v>
      </c>
      <c r="R664" t="str">
        <f>IFERROR(VLOOKUP(C664,Customers!$A$2:$F$301,1,FALSE),"")</f>
        <v>CUST-0047</v>
      </c>
      <c r="S664" s="27" t="b">
        <f>IFERROR(VLOOKUP(D664,Products!$A$2:$F$61,6,FALSE),"")</f>
        <v>1</v>
      </c>
      <c r="BL664">
        <v>0</v>
      </c>
      <c r="BO664">
        <v>0</v>
      </c>
      <c r="BP664">
        <v>0</v>
      </c>
    </row>
    <row r="665" spans="1:68" x14ac:dyDescent="0.35">
      <c r="A665" s="26" t="str">
        <f>Orders!A665</f>
        <v>ORD-00664</v>
      </c>
      <c r="B665" s="33">
        <f>Orders!B665</f>
        <v>45301</v>
      </c>
      <c r="C665" t="str">
        <f>Orders!C665</f>
        <v>CUST-0175</v>
      </c>
      <c r="D665" t="str">
        <f>Orders!D665</f>
        <v>PROD-041</v>
      </c>
      <c r="E665" t="str">
        <f>Orders!E665</f>
        <v>R023</v>
      </c>
      <c r="F665">
        <f>Orders!F665</f>
        <v>2</v>
      </c>
      <c r="G665" s="35">
        <f>Orders!G665</f>
        <v>1540</v>
      </c>
      <c r="H665" s="37">
        <f>Orders!H665</f>
        <v>1.8</v>
      </c>
      <c r="I665" s="39">
        <f>Orders!I665</f>
        <v>3024.56</v>
      </c>
      <c r="J665" t="str">
        <f>Orders!J665</f>
        <v>Cancelled</v>
      </c>
      <c r="K665" t="str">
        <f>Orders!K665</f>
        <v>Delhi</v>
      </c>
      <c r="L665" t="str">
        <f>IFERROR(VLOOKUP(D665,Products!$A$2:$F$61,3,FALSE),"")</f>
        <v>Beauty</v>
      </c>
      <c r="M665">
        <f>IFERROR(VLOOKUP(D665,Products!$A$2:$F$61,4,FALSE),"")</f>
        <v>647</v>
      </c>
      <c r="N665" t="str">
        <f>IFERROR(VLOOKUP(E665,Sales_Reps!$A$2:$E$31,3,FALSE),"")</f>
        <v>East</v>
      </c>
      <c r="O665" t="str">
        <f>IFERROR(VLOOKUP(C665,Customers!$A$2:$F$301,5,FALSE),"")</f>
        <v>Corporate</v>
      </c>
      <c r="P665">
        <f>IFERROR(VLOOKUP(C665,Customers!$A$2:$F$301,3,FALSE),"")</f>
        <v>55</v>
      </c>
      <c r="Q665" s="41">
        <f t="shared" si="19"/>
        <v>0.57987012987012987</v>
      </c>
      <c r="R665" t="str">
        <f>IFERROR(VLOOKUP(C665,Customers!$A$2:$F$301,1,FALSE),"")</f>
        <v>CUST-0175</v>
      </c>
      <c r="S665" s="27" t="b">
        <f>IFERROR(VLOOKUP(D665,Products!$A$2:$F$61,6,FALSE),"")</f>
        <v>0</v>
      </c>
      <c r="BL665">
        <v>0</v>
      </c>
      <c r="BO665">
        <v>0</v>
      </c>
      <c r="BP665">
        <v>1</v>
      </c>
    </row>
    <row r="666" spans="1:68" x14ac:dyDescent="0.35">
      <c r="A666" s="26" t="str">
        <f>Orders!A666</f>
        <v>ORD-00665</v>
      </c>
      <c r="B666" s="33">
        <f>Orders!B666</f>
        <v>45622</v>
      </c>
      <c r="C666" t="str">
        <f>Orders!C666</f>
        <v>CUST-0227</v>
      </c>
      <c r="D666" t="str">
        <f>Orders!D666</f>
        <v>PROD-056</v>
      </c>
      <c r="E666" t="str">
        <f>Orders!E666</f>
        <v>R030</v>
      </c>
      <c r="F666">
        <f>Orders!F666</f>
        <v>5</v>
      </c>
      <c r="G666" s="35">
        <f>Orders!G666</f>
        <v>6940</v>
      </c>
      <c r="H666" s="37">
        <f>Orders!H666</f>
        <v>2.9</v>
      </c>
      <c r="I666" s="39">
        <f>Orders!I666</f>
        <v>33693.699999999997</v>
      </c>
      <c r="J666" t="str">
        <f>Orders!J666</f>
        <v>Completed</v>
      </c>
      <c r="K666" t="str">
        <f>Orders!K666</f>
        <v>Bengaluru</v>
      </c>
      <c r="L666" t="str">
        <f>IFERROR(VLOOKUP(D666,Products!$A$2:$F$61,3,FALSE),"")</f>
        <v>Sports</v>
      </c>
      <c r="M666">
        <f>IFERROR(VLOOKUP(D666,Products!$A$2:$F$61,4,FALSE),"")</f>
        <v>2827</v>
      </c>
      <c r="N666" t="str">
        <f>IFERROR(VLOOKUP(E666,Sales_Reps!$A$2:$E$31,3,FALSE),"")</f>
        <v>West</v>
      </c>
      <c r="O666" t="str">
        <f>IFERROR(VLOOKUP(C666,Customers!$A$2:$F$301,5,FALSE),"")</f>
        <v>SMB</v>
      </c>
      <c r="P666">
        <f>IFERROR(VLOOKUP(C666,Customers!$A$2:$F$301,3,FALSE),"")</f>
        <v>44</v>
      </c>
      <c r="Q666" s="41">
        <f t="shared" si="19"/>
        <v>0.5926512968299712</v>
      </c>
      <c r="R666" t="str">
        <f>IFERROR(VLOOKUP(C666,Customers!$A$2:$F$301,1,FALSE),"")</f>
        <v>CUST-0227</v>
      </c>
      <c r="S666" s="27" t="b">
        <f>IFERROR(VLOOKUP(D666,Products!$A$2:$F$61,6,FALSE),"")</f>
        <v>1</v>
      </c>
      <c r="BL666">
        <v>0</v>
      </c>
      <c r="BO666">
        <v>0</v>
      </c>
      <c r="BP666">
        <v>0</v>
      </c>
    </row>
    <row r="667" spans="1:68" x14ac:dyDescent="0.35">
      <c r="A667" s="26" t="str">
        <f>Orders!A667</f>
        <v>ORD-00666</v>
      </c>
      <c r="B667" s="33">
        <f>Orders!B667</f>
        <v>45531</v>
      </c>
      <c r="C667" t="str">
        <f>Orders!C667</f>
        <v>CUST-0287</v>
      </c>
      <c r="D667" t="str">
        <f>Orders!D667</f>
        <v>PROD-041</v>
      </c>
      <c r="E667" t="str">
        <f>Orders!E667</f>
        <v>R013</v>
      </c>
      <c r="F667">
        <f>Orders!F667</f>
        <v>5</v>
      </c>
      <c r="G667" s="35">
        <f>Orders!G667</f>
        <v>1540</v>
      </c>
      <c r="H667" s="37">
        <f>Orders!H667</f>
        <v>28.8</v>
      </c>
      <c r="I667" s="39">
        <f>Orders!I667</f>
        <v>5482.4</v>
      </c>
      <c r="J667" t="str">
        <f>Orders!J667</f>
        <v>Completed</v>
      </c>
      <c r="K667" t="str">
        <f>Orders!K667</f>
        <v>Chennai</v>
      </c>
      <c r="L667" t="str">
        <f>IFERROR(VLOOKUP(D667,Products!$A$2:$F$61,3,FALSE),"")</f>
        <v>Beauty</v>
      </c>
      <c r="M667">
        <f>IFERROR(VLOOKUP(D667,Products!$A$2:$F$61,4,FALSE),"")</f>
        <v>647</v>
      </c>
      <c r="N667" t="str">
        <f>IFERROR(VLOOKUP(E667,Sales_Reps!$A$2:$E$31,3,FALSE),"")</f>
        <v>South</v>
      </c>
      <c r="O667" t="str">
        <f>IFERROR(VLOOKUP(C667,Customers!$A$2:$F$301,5,FALSE),"")</f>
        <v>SMB</v>
      </c>
      <c r="P667">
        <f>IFERROR(VLOOKUP(C667,Customers!$A$2:$F$301,3,FALSE),"")</f>
        <v>53</v>
      </c>
      <c r="Q667" s="41">
        <f t="shared" si="19"/>
        <v>0.57987012987012987</v>
      </c>
      <c r="R667" t="str">
        <f>IFERROR(VLOOKUP(C667,Customers!$A$2:$F$301,1,FALSE),"")</f>
        <v>CUST-0287</v>
      </c>
      <c r="S667" s="27" t="b">
        <f>IFERROR(VLOOKUP(D667,Products!$A$2:$F$61,6,FALSE),"")</f>
        <v>0</v>
      </c>
      <c r="BL667">
        <v>0</v>
      </c>
      <c r="BO667">
        <v>0</v>
      </c>
      <c r="BP667">
        <v>1</v>
      </c>
    </row>
    <row r="668" spans="1:68" x14ac:dyDescent="0.35">
      <c r="A668" s="26" t="str">
        <f>Orders!A668</f>
        <v>ORD-00667</v>
      </c>
      <c r="B668" s="33">
        <f>Orders!B668</f>
        <v>45326</v>
      </c>
      <c r="C668" t="str">
        <f>Orders!C668</f>
        <v>CUST-0004</v>
      </c>
      <c r="D668" t="str">
        <f>Orders!D668</f>
        <v>PROD-031</v>
      </c>
      <c r="E668" t="str">
        <f>Orders!E668</f>
        <v>R012</v>
      </c>
      <c r="F668">
        <f>Orders!F668</f>
        <v>8</v>
      </c>
      <c r="G668" s="35">
        <f>Orders!G668</f>
        <v>3730</v>
      </c>
      <c r="H668" s="37">
        <f>Orders!H668</f>
        <v>21.1</v>
      </c>
      <c r="I668" s="39">
        <f>Orders!I668</f>
        <v>23543.759999999998</v>
      </c>
      <c r="J668" t="str">
        <f>Orders!J668</f>
        <v>Completed</v>
      </c>
      <c r="K668" t="str">
        <f>Orders!K668</f>
        <v>Delhi</v>
      </c>
      <c r="L668" t="str">
        <f>IFERROR(VLOOKUP(D668,Products!$A$2:$F$61,3,FALSE),"")</f>
        <v>Home</v>
      </c>
      <c r="M668">
        <f>IFERROR(VLOOKUP(D668,Products!$A$2:$F$61,4,FALSE),"")</f>
        <v>2135</v>
      </c>
      <c r="N668" t="str">
        <f>IFERROR(VLOOKUP(E668,Sales_Reps!$A$2:$E$31,3,FALSE),"")</f>
        <v>South</v>
      </c>
      <c r="O668" t="str">
        <f>IFERROR(VLOOKUP(C668,Customers!$A$2:$F$301,5,FALSE),"")</f>
        <v>Retail</v>
      </c>
      <c r="P668">
        <f>IFERROR(VLOOKUP(C668,Customers!$A$2:$F$301,3,FALSE),"")</f>
        <v>53</v>
      </c>
      <c r="Q668" s="41">
        <f t="shared" si="19"/>
        <v>0.42761394101876676</v>
      </c>
      <c r="R668" t="str">
        <f>IFERROR(VLOOKUP(C668,Customers!$A$2:$F$301,1,FALSE),"")</f>
        <v>CUST-0004</v>
      </c>
      <c r="S668" s="27" t="b">
        <f>IFERROR(VLOOKUP(D668,Products!$A$2:$F$61,6,FALSE),"")</f>
        <v>1</v>
      </c>
      <c r="BL668">
        <v>0</v>
      </c>
      <c r="BO668">
        <v>0</v>
      </c>
      <c r="BP668">
        <v>0</v>
      </c>
    </row>
    <row r="669" spans="1:68" x14ac:dyDescent="0.35">
      <c r="A669" s="26" t="str">
        <f>Orders!A669</f>
        <v>ORD-00668</v>
      </c>
      <c r="B669" s="33">
        <f>Orders!B669</f>
        <v>45635</v>
      </c>
      <c r="C669" t="str">
        <f>Orders!C669</f>
        <v>CUST-0234</v>
      </c>
      <c r="D669" t="str">
        <f>Orders!D669</f>
        <v>PROD-021</v>
      </c>
      <c r="E669" t="str">
        <f>Orders!E669</f>
        <v>R023</v>
      </c>
      <c r="F669">
        <f>Orders!F669</f>
        <v>7</v>
      </c>
      <c r="G669" s="35">
        <f>Orders!G669</f>
        <v>2760</v>
      </c>
      <c r="H669" s="37">
        <f>Orders!H669</f>
        <v>1.2</v>
      </c>
      <c r="I669" s="39">
        <f>Orders!I669</f>
        <v>19088.16</v>
      </c>
      <c r="J669" t="str">
        <f>Orders!J669</f>
        <v>Cancelled</v>
      </c>
      <c r="K669" t="str">
        <f>Orders!K669</f>
        <v>Bengaluru</v>
      </c>
      <c r="L669" t="str">
        <f>IFERROR(VLOOKUP(D669,Products!$A$2:$F$61,3,FALSE),"")</f>
        <v>Grocery</v>
      </c>
      <c r="M669">
        <f>IFERROR(VLOOKUP(D669,Products!$A$2:$F$61,4,FALSE),"")</f>
        <v>1435</v>
      </c>
      <c r="N669" t="str">
        <f>IFERROR(VLOOKUP(E669,Sales_Reps!$A$2:$E$31,3,FALSE),"")</f>
        <v>East</v>
      </c>
      <c r="O669" t="str">
        <f>IFERROR(VLOOKUP(C669,Customers!$A$2:$F$301,5,FALSE),"")</f>
        <v>Retail</v>
      </c>
      <c r="P669">
        <f>IFERROR(VLOOKUP(C669,Customers!$A$2:$F$301,3,FALSE),"")</f>
        <v>34</v>
      </c>
      <c r="Q669" s="41">
        <f t="shared" si="19"/>
        <v>0.48007246376811596</v>
      </c>
      <c r="R669" t="str">
        <f>IFERROR(VLOOKUP(C669,Customers!$A$2:$F$301,1,FALSE),"")</f>
        <v>CUST-0234</v>
      </c>
      <c r="S669" s="27" t="b">
        <f>IFERROR(VLOOKUP(D669,Products!$A$2:$F$61,6,FALSE),"")</f>
        <v>1</v>
      </c>
      <c r="BL669">
        <v>0</v>
      </c>
      <c r="BO669">
        <v>0</v>
      </c>
      <c r="BP669">
        <v>0</v>
      </c>
    </row>
    <row r="670" spans="1:68" x14ac:dyDescent="0.35">
      <c r="A670" s="26" t="str">
        <f>Orders!A670</f>
        <v>ORD-00669</v>
      </c>
      <c r="B670" s="33">
        <f>Orders!B670</f>
        <v>45431</v>
      </c>
      <c r="C670" t="str">
        <f>Orders!C670</f>
        <v>CUST-0255</v>
      </c>
      <c r="D670" t="str">
        <f>Orders!D670</f>
        <v>PROD-006</v>
      </c>
      <c r="E670" t="str">
        <f>Orders!E670</f>
        <v>R020</v>
      </c>
      <c r="F670">
        <f>Orders!F670</f>
        <v>3</v>
      </c>
      <c r="G670" s="35">
        <f>Orders!G670</f>
        <v>3970</v>
      </c>
      <c r="H670" s="37">
        <f>Orders!H670</f>
        <v>18.3</v>
      </c>
      <c r="I670" s="39">
        <f>Orders!I670</f>
        <v>9730.4699999999993</v>
      </c>
      <c r="J670" t="str">
        <f>Orders!J670</f>
        <v>Completed</v>
      </c>
      <c r="K670" t="str">
        <f>Orders!K670</f>
        <v>Chennai</v>
      </c>
      <c r="L670" t="str">
        <f>IFERROR(VLOOKUP(D670,Products!$A$2:$F$61,3,FALSE),"")</f>
        <v>Electronics</v>
      </c>
      <c r="M670">
        <f>IFERROR(VLOOKUP(D670,Products!$A$2:$F$61,4,FALSE),"")</f>
        <v>2865</v>
      </c>
      <c r="N670" t="str">
        <f>IFERROR(VLOOKUP(E670,Sales_Reps!$A$2:$E$31,3,FALSE),"")</f>
        <v>East</v>
      </c>
      <c r="O670" t="str">
        <f>IFERROR(VLOOKUP(C670,Customers!$A$2:$F$301,5,FALSE),"")</f>
        <v>Corporate</v>
      </c>
      <c r="P670">
        <f>IFERROR(VLOOKUP(C670,Customers!$A$2:$F$301,3,FALSE),"")</f>
        <v>51</v>
      </c>
      <c r="Q670" s="41">
        <f t="shared" si="19"/>
        <v>0.27833753148614609</v>
      </c>
      <c r="R670" t="str">
        <f>IFERROR(VLOOKUP(C670,Customers!$A$2:$F$301,1,FALSE),"")</f>
        <v>CUST-0255</v>
      </c>
      <c r="S670" s="27" t="b">
        <f>IFERROR(VLOOKUP(D670,Products!$A$2:$F$61,6,FALSE),"")</f>
        <v>1</v>
      </c>
      <c r="BL670">
        <v>0</v>
      </c>
      <c r="BO670">
        <v>0</v>
      </c>
      <c r="BP670">
        <v>0</v>
      </c>
    </row>
    <row r="671" spans="1:68" x14ac:dyDescent="0.35">
      <c r="A671" s="26" t="str">
        <f>Orders!A671</f>
        <v>ORD-00670</v>
      </c>
      <c r="B671" s="33">
        <f>Orders!B671</f>
        <v>45393</v>
      </c>
      <c r="C671" t="str">
        <f>Orders!C671</f>
        <v>CUST-0092</v>
      </c>
      <c r="D671" t="str">
        <f>Orders!D671</f>
        <v>PROD-027</v>
      </c>
      <c r="E671" t="str">
        <f>Orders!E671</f>
        <v>R023</v>
      </c>
      <c r="F671">
        <f>Orders!F671</f>
        <v>4</v>
      </c>
      <c r="G671" s="35">
        <f>Orders!G671</f>
        <v>3780</v>
      </c>
      <c r="H671" s="37">
        <f>Orders!H671</f>
        <v>24.6</v>
      </c>
      <c r="I671" s="39">
        <f>Orders!I671</f>
        <v>11400.48</v>
      </c>
      <c r="J671" t="str">
        <f>Orders!J671</f>
        <v>Completed</v>
      </c>
      <c r="K671" t="str">
        <f>Orders!K671</f>
        <v>Bengaluru</v>
      </c>
      <c r="L671" t="str">
        <f>IFERROR(VLOOKUP(D671,Products!$A$2:$F$61,3,FALSE),"")</f>
        <v>Grocery</v>
      </c>
      <c r="M671">
        <f>IFERROR(VLOOKUP(D671,Products!$A$2:$F$61,4,FALSE),"")</f>
        <v>2436</v>
      </c>
      <c r="N671" t="str">
        <f>IFERROR(VLOOKUP(E671,Sales_Reps!$A$2:$E$31,3,FALSE),"")</f>
        <v>East</v>
      </c>
      <c r="O671" t="str">
        <f>IFERROR(VLOOKUP(C671,Customers!$A$2:$F$301,5,FALSE),"")</f>
        <v>SMB</v>
      </c>
      <c r="P671">
        <f>IFERROR(VLOOKUP(C671,Customers!$A$2:$F$301,3,FALSE),"")</f>
        <v>28</v>
      </c>
      <c r="Q671" s="41">
        <f t="shared" si="19"/>
        <v>0.35555555555555557</v>
      </c>
      <c r="R671" t="str">
        <f>IFERROR(VLOOKUP(C671,Customers!$A$2:$F$301,1,FALSE),"")</f>
        <v>CUST-0092</v>
      </c>
      <c r="S671" s="27" t="b">
        <f>IFERROR(VLOOKUP(D671,Products!$A$2:$F$61,6,FALSE),"")</f>
        <v>1</v>
      </c>
      <c r="BL671">
        <v>0</v>
      </c>
      <c r="BO671">
        <v>0</v>
      </c>
      <c r="BP671">
        <v>0</v>
      </c>
    </row>
    <row r="672" spans="1:68" x14ac:dyDescent="0.35">
      <c r="A672" s="26" t="str">
        <f>Orders!A672</f>
        <v>ORD-00671</v>
      </c>
      <c r="B672" s="33">
        <f>Orders!B672</f>
        <v>45295</v>
      </c>
      <c r="C672" t="str">
        <f>Orders!C672</f>
        <v>CUST-0037</v>
      </c>
      <c r="D672" t="str">
        <f>Orders!D672</f>
        <v>PROD-015</v>
      </c>
      <c r="E672" t="str">
        <f>Orders!E672</f>
        <v>R008</v>
      </c>
      <c r="F672">
        <f>Orders!F672</f>
        <v>10</v>
      </c>
      <c r="G672" s="35">
        <f>Orders!G672</f>
        <v>2720</v>
      </c>
      <c r="H672" s="37">
        <f>Orders!H672</f>
        <v>12.8</v>
      </c>
      <c r="I672" s="39">
        <f>Orders!I672</f>
        <v>23718.400000000001</v>
      </c>
      <c r="J672" t="str">
        <f>Orders!J672</f>
        <v>Completed</v>
      </c>
      <c r="K672" t="str">
        <f>Orders!K672</f>
        <v>Bengaluru</v>
      </c>
      <c r="L672" t="str">
        <f>IFERROR(VLOOKUP(D672,Products!$A$2:$F$61,3,FALSE),"")</f>
        <v>Apparel</v>
      </c>
      <c r="M672">
        <f>IFERROR(VLOOKUP(D672,Products!$A$2:$F$61,4,FALSE),"")</f>
        <v>1962</v>
      </c>
      <c r="N672" t="str">
        <f>IFERROR(VLOOKUP(E672,Sales_Reps!$A$2:$E$31,3,FALSE),"")</f>
        <v>North</v>
      </c>
      <c r="O672" t="str">
        <f>IFERROR(VLOOKUP(C672,Customers!$A$2:$F$301,5,FALSE),"")</f>
        <v>Retail</v>
      </c>
      <c r="P672">
        <f>IFERROR(VLOOKUP(C672,Customers!$A$2:$F$301,3,FALSE),"")</f>
        <v>52</v>
      </c>
      <c r="Q672" s="41">
        <f t="shared" si="19"/>
        <v>0.2786764705882353</v>
      </c>
      <c r="R672" t="str">
        <f>IFERROR(VLOOKUP(C672,Customers!$A$2:$F$301,1,FALSE),"")</f>
        <v>CUST-0037</v>
      </c>
      <c r="S672" s="27" t="b">
        <f>IFERROR(VLOOKUP(D672,Products!$A$2:$F$61,6,FALSE),"")</f>
        <v>1</v>
      </c>
      <c r="BL672">
        <v>0</v>
      </c>
      <c r="BO672">
        <v>0</v>
      </c>
      <c r="BP672">
        <v>0</v>
      </c>
    </row>
    <row r="673" spans="1:68" x14ac:dyDescent="0.35">
      <c r="A673" s="26" t="str">
        <f>Orders!A673</f>
        <v>ORD-00672</v>
      </c>
      <c r="B673" s="33">
        <f>Orders!B673</f>
        <v>45371</v>
      </c>
      <c r="C673" t="str">
        <f>Orders!C673</f>
        <v>CUST-0208</v>
      </c>
      <c r="D673" t="str">
        <f>Orders!D673</f>
        <v>PROD-006</v>
      </c>
      <c r="E673" t="str">
        <f>Orders!E673</f>
        <v>R017</v>
      </c>
      <c r="F673">
        <f>Orders!F673</f>
        <v>5</v>
      </c>
      <c r="G673" s="35">
        <f>Orders!G673</f>
        <v>3970</v>
      </c>
      <c r="H673" s="37">
        <f>Orders!H673</f>
        <v>5.9</v>
      </c>
      <c r="I673" s="39">
        <f>Orders!I673</f>
        <v>18678.849999999999</v>
      </c>
      <c r="J673" t="str">
        <f>Orders!J673</f>
        <v>Completed</v>
      </c>
      <c r="K673" t="str">
        <f>Orders!K673</f>
        <v>Mumbai</v>
      </c>
      <c r="L673" t="str">
        <f>IFERROR(VLOOKUP(D673,Products!$A$2:$F$61,3,FALSE),"")</f>
        <v>Electronics</v>
      </c>
      <c r="M673">
        <f>IFERROR(VLOOKUP(D673,Products!$A$2:$F$61,4,FALSE),"")</f>
        <v>2865</v>
      </c>
      <c r="N673" t="str">
        <f>IFERROR(VLOOKUP(E673,Sales_Reps!$A$2:$E$31,3,FALSE),"")</f>
        <v>East</v>
      </c>
      <c r="O673" t="str">
        <f>IFERROR(VLOOKUP(C673,Customers!$A$2:$F$301,5,FALSE),"")</f>
        <v>Retail</v>
      </c>
      <c r="P673">
        <f>IFERROR(VLOOKUP(C673,Customers!$A$2:$F$301,3,FALSE),"")</f>
        <v>49</v>
      </c>
      <c r="Q673" s="41">
        <f t="shared" si="19"/>
        <v>0.27833753148614609</v>
      </c>
      <c r="R673" t="str">
        <f>IFERROR(VLOOKUP(C673,Customers!$A$2:$F$301,1,FALSE),"")</f>
        <v>CUST-0208</v>
      </c>
      <c r="S673" s="27" t="b">
        <f>IFERROR(VLOOKUP(D673,Products!$A$2:$F$61,6,FALSE),"")</f>
        <v>1</v>
      </c>
      <c r="BL673">
        <v>0</v>
      </c>
      <c r="BO673">
        <v>0</v>
      </c>
      <c r="BP673">
        <v>0</v>
      </c>
    </row>
    <row r="674" spans="1:68" x14ac:dyDescent="0.35">
      <c r="A674" s="26" t="str">
        <f>Orders!A674</f>
        <v>ORD-00673</v>
      </c>
      <c r="B674" s="33">
        <f>Orders!B674</f>
        <v>45601</v>
      </c>
      <c r="C674" t="str">
        <f>Orders!C674</f>
        <v>CUST-0008</v>
      </c>
      <c r="D674" t="str">
        <f>Orders!D674</f>
        <v>PROD-020</v>
      </c>
      <c r="E674" t="str">
        <f>Orders!E674</f>
        <v>R011</v>
      </c>
      <c r="F674">
        <f>Orders!F674</f>
        <v>3</v>
      </c>
      <c r="G674" s="35">
        <f>Orders!G674</f>
        <v>820</v>
      </c>
      <c r="H674" s="37">
        <f>Orders!H674</f>
        <v>19.399999999999999</v>
      </c>
      <c r="I674" s="39">
        <f>Orders!I674</f>
        <v>1982.76</v>
      </c>
      <c r="J674" t="str">
        <f>Orders!J674</f>
        <v>Completed</v>
      </c>
      <c r="K674" t="str">
        <f>Orders!K674</f>
        <v>Pune</v>
      </c>
      <c r="L674" t="str">
        <f>IFERROR(VLOOKUP(D674,Products!$A$2:$F$61,3,FALSE),"")</f>
        <v>Apparel</v>
      </c>
      <c r="M674">
        <f>IFERROR(VLOOKUP(D674,Products!$A$2:$F$61,4,FALSE),"")</f>
        <v>391</v>
      </c>
      <c r="N674" t="str">
        <f>IFERROR(VLOOKUP(E674,Sales_Reps!$A$2:$E$31,3,FALSE),"")</f>
        <v>South</v>
      </c>
      <c r="O674" t="str">
        <f>IFERROR(VLOOKUP(C674,Customers!$A$2:$F$301,5,FALSE),"")</f>
        <v>SMB</v>
      </c>
      <c r="P674">
        <f>IFERROR(VLOOKUP(C674,Customers!$A$2:$F$301,3,FALSE),"")</f>
        <v>39</v>
      </c>
      <c r="Q674" s="41">
        <f t="shared" si="19"/>
        <v>0.52317073170731709</v>
      </c>
      <c r="R674" t="str">
        <f>IFERROR(VLOOKUP(C674,Customers!$A$2:$F$301,1,FALSE),"")</f>
        <v>CUST-0008</v>
      </c>
      <c r="S674" s="27" t="b">
        <f>IFERROR(VLOOKUP(D674,Products!$A$2:$F$61,6,FALSE),"")</f>
        <v>1</v>
      </c>
      <c r="BL674">
        <v>0</v>
      </c>
      <c r="BO674">
        <v>0</v>
      </c>
      <c r="BP674">
        <v>0</v>
      </c>
    </row>
    <row r="675" spans="1:68" x14ac:dyDescent="0.35">
      <c r="A675" s="26" t="str">
        <f>Orders!A675</f>
        <v>ORD-00674</v>
      </c>
      <c r="B675" s="33">
        <f>Orders!B675</f>
        <v>45471</v>
      </c>
      <c r="C675" t="str">
        <f>Orders!C675</f>
        <v>CUST-0050</v>
      </c>
      <c r="D675" t="str">
        <f>Orders!D675</f>
        <v>PROD-016</v>
      </c>
      <c r="E675" t="str">
        <f>Orders!E675</f>
        <v>R010</v>
      </c>
      <c r="F675">
        <f>Orders!F675</f>
        <v>7</v>
      </c>
      <c r="G675" s="35">
        <f>Orders!G675</f>
        <v>620</v>
      </c>
      <c r="H675" s="37">
        <f>Orders!H675</f>
        <v>9.9</v>
      </c>
      <c r="I675" s="39">
        <f>Orders!I675</f>
        <v>3910.34</v>
      </c>
      <c r="J675" t="str">
        <f>Orders!J675</f>
        <v>Completed</v>
      </c>
      <c r="K675" t="str">
        <f>Orders!K675</f>
        <v>Mumbai</v>
      </c>
      <c r="L675" t="str">
        <f>IFERROR(VLOOKUP(D675,Products!$A$2:$F$61,3,FALSE),"")</f>
        <v>Apparel</v>
      </c>
      <c r="M675">
        <f>IFERROR(VLOOKUP(D675,Products!$A$2:$F$61,4,FALSE),"")</f>
        <v>396</v>
      </c>
      <c r="N675" t="str">
        <f>IFERROR(VLOOKUP(E675,Sales_Reps!$A$2:$E$31,3,FALSE),"")</f>
        <v>South</v>
      </c>
      <c r="O675" t="str">
        <f>IFERROR(VLOOKUP(C675,Customers!$A$2:$F$301,5,FALSE),"")</f>
        <v>Retail</v>
      </c>
      <c r="P675">
        <f>IFERROR(VLOOKUP(C675,Customers!$A$2:$F$301,3,FALSE),"")</f>
        <v>37</v>
      </c>
      <c r="Q675" s="41">
        <f t="shared" si="19"/>
        <v>0.36129032258064514</v>
      </c>
      <c r="R675" t="str">
        <f>IFERROR(VLOOKUP(C675,Customers!$A$2:$F$301,1,FALSE),"")</f>
        <v>CUST-0050</v>
      </c>
      <c r="S675" s="27" t="b">
        <f>IFERROR(VLOOKUP(D675,Products!$A$2:$F$61,6,FALSE),"")</f>
        <v>1</v>
      </c>
      <c r="BL675">
        <v>0</v>
      </c>
      <c r="BO675">
        <v>0</v>
      </c>
      <c r="BP675">
        <v>0</v>
      </c>
    </row>
    <row r="676" spans="1:68" x14ac:dyDescent="0.35">
      <c r="A676" s="26" t="str">
        <f>Orders!A676</f>
        <v>ORD-00675</v>
      </c>
      <c r="B676" s="33">
        <f>Orders!B676</f>
        <v>45318</v>
      </c>
      <c r="C676" t="str">
        <f>Orders!C676</f>
        <v>CUST-0166</v>
      </c>
      <c r="D676" t="str">
        <f>Orders!D676</f>
        <v>PROD-042</v>
      </c>
      <c r="E676" t="str">
        <f>Orders!E676</f>
        <v>R027</v>
      </c>
      <c r="F676">
        <f>Orders!F676</f>
        <v>8</v>
      </c>
      <c r="G676" s="35">
        <f>Orders!G676</f>
        <v>2290</v>
      </c>
      <c r="H676" s="37">
        <f>Orders!H676</f>
        <v>18.3</v>
      </c>
      <c r="I676" s="39">
        <f>Orders!I676</f>
        <v>14967.44</v>
      </c>
      <c r="J676" t="str">
        <f>Orders!J676</f>
        <v>Completed</v>
      </c>
      <c r="K676" t="str">
        <f>Orders!K676</f>
        <v>Hyderabad</v>
      </c>
      <c r="L676" t="str">
        <f>IFERROR(VLOOKUP(D676,Products!$A$2:$F$61,3,FALSE),"")</f>
        <v>Beauty</v>
      </c>
      <c r="M676">
        <f>IFERROR(VLOOKUP(D676,Products!$A$2:$F$61,4,FALSE),"")</f>
        <v>1219</v>
      </c>
      <c r="N676" t="str">
        <f>IFERROR(VLOOKUP(E676,Sales_Reps!$A$2:$E$31,3,FALSE),"")</f>
        <v>West</v>
      </c>
      <c r="O676" t="str">
        <f>IFERROR(VLOOKUP(C676,Customers!$A$2:$F$301,5,FALSE),"")</f>
        <v>Retail</v>
      </c>
      <c r="P676">
        <f>IFERROR(VLOOKUP(C676,Customers!$A$2:$F$301,3,FALSE),"")</f>
        <v>31</v>
      </c>
      <c r="Q676" s="41">
        <f t="shared" si="19"/>
        <v>0.46768558951965067</v>
      </c>
      <c r="R676" t="str">
        <f>IFERROR(VLOOKUP(C676,Customers!$A$2:$F$301,1,FALSE),"")</f>
        <v>CUST-0166</v>
      </c>
      <c r="S676" s="27" t="b">
        <f>IFERROR(VLOOKUP(D676,Products!$A$2:$F$61,6,FALSE),"")</f>
        <v>1</v>
      </c>
      <c r="BL676">
        <v>0</v>
      </c>
      <c r="BO676">
        <v>0</v>
      </c>
      <c r="BP676">
        <v>0</v>
      </c>
    </row>
    <row r="677" spans="1:68" x14ac:dyDescent="0.35">
      <c r="A677" s="26" t="str">
        <f>Orders!A677</f>
        <v>ORD-00676</v>
      </c>
      <c r="B677" s="33">
        <f>Orders!B677</f>
        <v>45364</v>
      </c>
      <c r="C677" t="str">
        <f>Orders!C677</f>
        <v>CUST-0271</v>
      </c>
      <c r="D677" t="str">
        <f>Orders!D677</f>
        <v>PROD-030</v>
      </c>
      <c r="E677" t="str">
        <f>Orders!E677</f>
        <v>R025</v>
      </c>
      <c r="F677">
        <f>Orders!F677</f>
        <v>3</v>
      </c>
      <c r="G677" s="35">
        <f>Orders!G677</f>
        <v>970</v>
      </c>
      <c r="H677" s="37">
        <f>Orders!H677</f>
        <v>18.399999999999999</v>
      </c>
      <c r="I677" s="39">
        <f>Orders!I677</f>
        <v>2374.56</v>
      </c>
      <c r="J677" t="str">
        <f>Orders!J677</f>
        <v>Completed</v>
      </c>
      <c r="K677" t="str">
        <f>Orders!K677</f>
        <v>Bengaluru</v>
      </c>
      <c r="L677" t="str">
        <f>IFERROR(VLOOKUP(D677,Products!$A$2:$F$61,3,FALSE),"")</f>
        <v>Grocery</v>
      </c>
      <c r="M677">
        <f>IFERROR(VLOOKUP(D677,Products!$A$2:$F$61,4,FALSE),"")</f>
        <v>434</v>
      </c>
      <c r="N677" t="str">
        <f>IFERROR(VLOOKUP(E677,Sales_Reps!$A$2:$E$31,3,FALSE),"")</f>
        <v>West</v>
      </c>
      <c r="O677" t="str">
        <f>IFERROR(VLOOKUP(C677,Customers!$A$2:$F$301,5,FALSE),"")</f>
        <v>Corporate</v>
      </c>
      <c r="P677">
        <f>IFERROR(VLOOKUP(C677,Customers!$A$2:$F$301,3,FALSE),"")</f>
        <v>41</v>
      </c>
      <c r="Q677" s="41">
        <f t="shared" si="19"/>
        <v>0.5525773195876289</v>
      </c>
      <c r="R677" t="str">
        <f>IFERROR(VLOOKUP(C677,Customers!$A$2:$F$301,1,FALSE),"")</f>
        <v>CUST-0271</v>
      </c>
      <c r="S677" s="27" t="b">
        <f>IFERROR(VLOOKUP(D677,Products!$A$2:$F$61,6,FALSE),"")</f>
        <v>1</v>
      </c>
      <c r="BL677">
        <v>0</v>
      </c>
      <c r="BO677">
        <v>0</v>
      </c>
      <c r="BP677">
        <v>0</v>
      </c>
    </row>
    <row r="678" spans="1:68" x14ac:dyDescent="0.35">
      <c r="A678" s="26" t="str">
        <f>Orders!A678</f>
        <v>ORD-00677</v>
      </c>
      <c r="B678" s="33">
        <f>Orders!B678</f>
        <v>45419</v>
      </c>
      <c r="C678" t="str">
        <f>Orders!C678</f>
        <v>CUST-0034</v>
      </c>
      <c r="D678" t="str">
        <f>Orders!D678</f>
        <v>PROD-032</v>
      </c>
      <c r="E678" t="str">
        <f>Orders!E678</f>
        <v>R014</v>
      </c>
      <c r="F678">
        <f>Orders!F678</f>
        <v>2</v>
      </c>
      <c r="G678" s="35">
        <f>Orders!G678</f>
        <v>370</v>
      </c>
      <c r="H678" s="37">
        <f>Orders!H678</f>
        <v>8.9</v>
      </c>
      <c r="I678" s="39">
        <f>Orders!I678</f>
        <v>674.14</v>
      </c>
      <c r="J678" t="str">
        <f>Orders!J678</f>
        <v>Completed</v>
      </c>
      <c r="K678" t="str">
        <f>Orders!K678</f>
        <v>Delhi</v>
      </c>
      <c r="L678" t="str">
        <f>IFERROR(VLOOKUP(D678,Products!$A$2:$F$61,3,FALSE),"")</f>
        <v>Home</v>
      </c>
      <c r="M678">
        <f>IFERROR(VLOOKUP(D678,Products!$A$2:$F$61,4,FALSE),"")</f>
        <v>288</v>
      </c>
      <c r="N678" t="str">
        <f>IFERROR(VLOOKUP(E678,Sales_Reps!$A$2:$E$31,3,FALSE),"")</f>
        <v>South</v>
      </c>
      <c r="O678" t="str">
        <f>IFERROR(VLOOKUP(C678,Customers!$A$2:$F$301,5,FALSE),"")</f>
        <v>Retail</v>
      </c>
      <c r="P678">
        <f>IFERROR(VLOOKUP(C678,Customers!$A$2:$F$301,3,FALSE),"")</f>
        <v>47</v>
      </c>
      <c r="Q678" s="41">
        <f t="shared" si="19"/>
        <v>0.22162162162162163</v>
      </c>
      <c r="R678" t="str">
        <f>IFERROR(VLOOKUP(C678,Customers!$A$2:$F$301,1,FALSE),"")</f>
        <v>CUST-0034</v>
      </c>
      <c r="S678" s="27" t="b">
        <f>IFERROR(VLOOKUP(D678,Products!$A$2:$F$61,6,FALSE),"")</f>
        <v>1</v>
      </c>
      <c r="BL678">
        <v>0</v>
      </c>
      <c r="BO678">
        <v>0</v>
      </c>
      <c r="BP678">
        <v>0</v>
      </c>
    </row>
    <row r="679" spans="1:68" x14ac:dyDescent="0.35">
      <c r="A679" s="26" t="str">
        <f>Orders!A679</f>
        <v>ORD-00678</v>
      </c>
      <c r="B679" s="33">
        <f>Orders!B679</f>
        <v>45632</v>
      </c>
      <c r="C679" t="str">
        <f>Orders!C679</f>
        <v>CUST-0016</v>
      </c>
      <c r="D679" t="str">
        <f>Orders!D679</f>
        <v>PROD-007</v>
      </c>
      <c r="E679" t="str">
        <f>Orders!E679</f>
        <v>R007</v>
      </c>
      <c r="F679">
        <f>Orders!F679</f>
        <v>1</v>
      </c>
      <c r="G679" s="35">
        <f>Orders!G679</f>
        <v>1430</v>
      </c>
      <c r="H679" s="37">
        <f>Orders!H679</f>
        <v>5.9</v>
      </c>
      <c r="I679" s="39">
        <f>Orders!I679</f>
        <v>1345.63</v>
      </c>
      <c r="J679" t="str">
        <f>Orders!J679</f>
        <v>Cancelled</v>
      </c>
      <c r="K679" t="str">
        <f>Orders!K679</f>
        <v>Delhi</v>
      </c>
      <c r="L679" t="str">
        <f>IFERROR(VLOOKUP(D679,Products!$A$2:$F$61,3,FALSE),"")</f>
        <v>Electronics</v>
      </c>
      <c r="M679">
        <f>IFERROR(VLOOKUP(D679,Products!$A$2:$F$61,4,FALSE),"")</f>
        <v>861</v>
      </c>
      <c r="N679" t="str">
        <f>IFERROR(VLOOKUP(E679,Sales_Reps!$A$2:$E$31,3,FALSE),"")</f>
        <v>North</v>
      </c>
      <c r="O679" t="str">
        <f>IFERROR(VLOOKUP(C679,Customers!$A$2:$F$301,5,FALSE),"")</f>
        <v>SMB</v>
      </c>
      <c r="P679">
        <f>IFERROR(VLOOKUP(C679,Customers!$A$2:$F$301,3,FALSE),"")</f>
        <v>26</v>
      </c>
      <c r="Q679" s="41">
        <f t="shared" si="19"/>
        <v>0.39790209790209791</v>
      </c>
      <c r="R679" t="str">
        <f>IFERROR(VLOOKUP(C679,Customers!$A$2:$F$301,1,FALSE),"")</f>
        <v>CUST-0016</v>
      </c>
      <c r="S679" s="27" t="b">
        <f>IFERROR(VLOOKUP(D679,Products!$A$2:$F$61,6,FALSE),"")</f>
        <v>1</v>
      </c>
      <c r="BL679">
        <v>0</v>
      </c>
      <c r="BO679">
        <v>0</v>
      </c>
      <c r="BP679">
        <v>0</v>
      </c>
    </row>
    <row r="680" spans="1:68" x14ac:dyDescent="0.35">
      <c r="A680" s="26" t="str">
        <f>Orders!A680</f>
        <v>ORD-00679</v>
      </c>
      <c r="B680" s="33">
        <f>Orders!B680</f>
        <v>45494</v>
      </c>
      <c r="C680" t="str">
        <f>Orders!C680</f>
        <v>CUST-0039</v>
      </c>
      <c r="D680" t="str">
        <f>Orders!D680</f>
        <v>PROD-058</v>
      </c>
      <c r="E680" t="str">
        <f>Orders!E680</f>
        <v>R030</v>
      </c>
      <c r="F680">
        <f>Orders!F680</f>
        <v>2</v>
      </c>
      <c r="G680" s="35">
        <f>Orders!G680</f>
        <v>2400</v>
      </c>
      <c r="H680" s="37">
        <f>Orders!H680</f>
        <v>29.1</v>
      </c>
      <c r="I680" s="39">
        <f>Orders!I680</f>
        <v>3403.2</v>
      </c>
      <c r="J680" t="str">
        <f>Orders!J680</f>
        <v>Completed</v>
      </c>
      <c r="K680" t="str">
        <f>Orders!K680</f>
        <v>Bengaluru</v>
      </c>
      <c r="L680" t="str">
        <f>IFERROR(VLOOKUP(D680,Products!$A$2:$F$61,3,FALSE),"")</f>
        <v>Sports</v>
      </c>
      <c r="M680">
        <f>IFERROR(VLOOKUP(D680,Products!$A$2:$F$61,4,FALSE),"")</f>
        <v>974</v>
      </c>
      <c r="N680" t="str">
        <f>IFERROR(VLOOKUP(E680,Sales_Reps!$A$2:$E$31,3,FALSE),"")</f>
        <v>West</v>
      </c>
      <c r="O680" t="str">
        <f>IFERROR(VLOOKUP(C680,Customers!$A$2:$F$301,5,FALSE),"")</f>
        <v>Retail</v>
      </c>
      <c r="P680">
        <f>IFERROR(VLOOKUP(C680,Customers!$A$2:$F$301,3,FALSE),"")</f>
        <v>37</v>
      </c>
      <c r="Q680" s="41">
        <f t="shared" si="19"/>
        <v>0.59416666666666662</v>
      </c>
      <c r="R680" t="str">
        <f>IFERROR(VLOOKUP(C680,Customers!$A$2:$F$301,1,FALSE),"")</f>
        <v>CUST-0039</v>
      </c>
      <c r="S680" s="27" t="b">
        <f>IFERROR(VLOOKUP(D680,Products!$A$2:$F$61,6,FALSE),"")</f>
        <v>1</v>
      </c>
      <c r="BL680">
        <v>0</v>
      </c>
      <c r="BO680">
        <v>0</v>
      </c>
      <c r="BP680">
        <v>0</v>
      </c>
    </row>
    <row r="681" spans="1:68" x14ac:dyDescent="0.35">
      <c r="A681" s="26" t="str">
        <f>Orders!A681</f>
        <v>ORD-00680</v>
      </c>
      <c r="B681" s="33">
        <f>Orders!B681</f>
        <v>45337</v>
      </c>
      <c r="C681" t="str">
        <f>Orders!C681</f>
        <v>CUST-0253</v>
      </c>
      <c r="D681" t="str">
        <f>Orders!D681</f>
        <v>PROD-007</v>
      </c>
      <c r="E681" t="str">
        <f>Orders!E681</f>
        <v>R011</v>
      </c>
      <c r="F681">
        <f>Orders!F681</f>
        <v>9</v>
      </c>
      <c r="G681" s="35">
        <f>Orders!G681</f>
        <v>1430</v>
      </c>
      <c r="H681" s="37">
        <f>Orders!H681</f>
        <v>6</v>
      </c>
      <c r="I681" s="39">
        <f>Orders!I681</f>
        <v>12097.8</v>
      </c>
      <c r="J681" t="str">
        <f>Orders!J681</f>
        <v>Completed</v>
      </c>
      <c r="K681" t="str">
        <f>Orders!K681</f>
        <v>Delhi</v>
      </c>
      <c r="L681" t="str">
        <f>IFERROR(VLOOKUP(D681,Products!$A$2:$F$61,3,FALSE),"")</f>
        <v>Electronics</v>
      </c>
      <c r="M681">
        <f>IFERROR(VLOOKUP(D681,Products!$A$2:$F$61,4,FALSE),"")</f>
        <v>861</v>
      </c>
      <c r="N681" t="str">
        <f>IFERROR(VLOOKUP(E681,Sales_Reps!$A$2:$E$31,3,FALSE),"")</f>
        <v>South</v>
      </c>
      <c r="O681" t="str">
        <f>IFERROR(VLOOKUP(C681,Customers!$A$2:$F$301,5,FALSE),"")</f>
        <v>SMB</v>
      </c>
      <c r="P681">
        <f>IFERROR(VLOOKUP(C681,Customers!$A$2:$F$301,3,FALSE),"")</f>
        <v>53</v>
      </c>
      <c r="Q681" s="41">
        <f t="shared" si="19"/>
        <v>0.39790209790209791</v>
      </c>
      <c r="R681" t="str">
        <f>IFERROR(VLOOKUP(C681,Customers!$A$2:$F$301,1,FALSE),"")</f>
        <v>CUST-0253</v>
      </c>
      <c r="S681" s="27" t="b">
        <f>IFERROR(VLOOKUP(D681,Products!$A$2:$F$61,6,FALSE),"")</f>
        <v>1</v>
      </c>
      <c r="BL681">
        <v>0</v>
      </c>
      <c r="BO681">
        <v>0</v>
      </c>
      <c r="BP681">
        <v>0</v>
      </c>
    </row>
    <row r="682" spans="1:68" x14ac:dyDescent="0.35">
      <c r="A682" s="26" t="str">
        <f>Orders!A682</f>
        <v>ORD-00681</v>
      </c>
      <c r="B682" s="33">
        <f>Orders!B682</f>
        <v>45510</v>
      </c>
      <c r="C682" t="str">
        <f>Orders!C682</f>
        <v>CUST-0295</v>
      </c>
      <c r="D682" t="str">
        <f>Orders!D682</f>
        <v>PROD-015</v>
      </c>
      <c r="E682" t="str">
        <f>Orders!E682</f>
        <v>R007</v>
      </c>
      <c r="F682">
        <f>Orders!F682</f>
        <v>8</v>
      </c>
      <c r="G682" s="35">
        <f>Orders!G682</f>
        <v>2720</v>
      </c>
      <c r="H682" s="37">
        <f>Orders!H682</f>
        <v>25.7</v>
      </c>
      <c r="I682" s="39">
        <f>Orders!I682</f>
        <v>16167.68</v>
      </c>
      <c r="J682" t="str">
        <f>Orders!J682</f>
        <v>Completed</v>
      </c>
      <c r="K682" t="str">
        <f>Orders!K682</f>
        <v>Delhi</v>
      </c>
      <c r="L682" t="str">
        <f>IFERROR(VLOOKUP(D682,Products!$A$2:$F$61,3,FALSE),"")</f>
        <v>Apparel</v>
      </c>
      <c r="M682">
        <f>IFERROR(VLOOKUP(D682,Products!$A$2:$F$61,4,FALSE),"")</f>
        <v>1962</v>
      </c>
      <c r="N682" t="str">
        <f>IFERROR(VLOOKUP(E682,Sales_Reps!$A$2:$E$31,3,FALSE),"")</f>
        <v>North</v>
      </c>
      <c r="O682" t="str">
        <f>IFERROR(VLOOKUP(C682,Customers!$A$2:$F$301,5,FALSE),"")</f>
        <v>SMB</v>
      </c>
      <c r="P682">
        <f>IFERROR(VLOOKUP(C682,Customers!$A$2:$F$301,3,FALSE),"")</f>
        <v>48</v>
      </c>
      <c r="Q682" s="41">
        <f t="shared" si="19"/>
        <v>0.2786764705882353</v>
      </c>
      <c r="R682" t="str">
        <f>IFERROR(VLOOKUP(C682,Customers!$A$2:$F$301,1,FALSE),"")</f>
        <v>CUST-0295</v>
      </c>
      <c r="S682" s="27" t="b">
        <f>IFERROR(VLOOKUP(D682,Products!$A$2:$F$61,6,FALSE),"")</f>
        <v>1</v>
      </c>
      <c r="BL682">
        <v>0</v>
      </c>
      <c r="BO682">
        <v>0</v>
      </c>
      <c r="BP682">
        <v>0</v>
      </c>
    </row>
    <row r="683" spans="1:68" x14ac:dyDescent="0.35">
      <c r="A683" s="26" t="str">
        <f>Orders!A683</f>
        <v>ORD-00682</v>
      </c>
      <c r="B683" s="33">
        <f>Orders!B683</f>
        <v>45572</v>
      </c>
      <c r="C683" t="str">
        <f>Orders!C683</f>
        <v>CUST-0138</v>
      </c>
      <c r="D683" t="str">
        <f>Orders!D683</f>
        <v>PROD-056</v>
      </c>
      <c r="E683" t="str">
        <f>Orders!E683</f>
        <v>R027</v>
      </c>
      <c r="F683">
        <f>Orders!F683</f>
        <v>6</v>
      </c>
      <c r="G683" s="35">
        <f>Orders!G683</f>
        <v>6940</v>
      </c>
      <c r="H683" s="37">
        <f>Orders!H683</f>
        <v>25.7</v>
      </c>
      <c r="I683" s="39">
        <f>Orders!I683</f>
        <v>30938.52</v>
      </c>
      <c r="J683" t="str">
        <f>Orders!J683</f>
        <v>Completed</v>
      </c>
      <c r="K683" t="str">
        <f>Orders!K683</f>
        <v>Chennai</v>
      </c>
      <c r="L683" t="str">
        <f>IFERROR(VLOOKUP(D683,Products!$A$2:$F$61,3,FALSE),"")</f>
        <v>Sports</v>
      </c>
      <c r="M683">
        <f>IFERROR(VLOOKUP(D683,Products!$A$2:$F$61,4,FALSE),"")</f>
        <v>2827</v>
      </c>
      <c r="N683" t="str">
        <f>IFERROR(VLOOKUP(E683,Sales_Reps!$A$2:$E$31,3,FALSE),"")</f>
        <v>West</v>
      </c>
      <c r="O683" t="str">
        <f>IFERROR(VLOOKUP(C683,Customers!$A$2:$F$301,5,FALSE),"")</f>
        <v>Retail</v>
      </c>
      <c r="P683">
        <f>IFERROR(VLOOKUP(C683,Customers!$A$2:$F$301,3,FALSE),"")</f>
        <v>24</v>
      </c>
      <c r="Q683" s="41">
        <f t="shared" si="19"/>
        <v>0.5926512968299712</v>
      </c>
      <c r="R683" t="str">
        <f>IFERROR(VLOOKUP(C683,Customers!$A$2:$F$301,1,FALSE),"")</f>
        <v>CUST-0138</v>
      </c>
      <c r="S683" s="27" t="b">
        <f>IFERROR(VLOOKUP(D683,Products!$A$2:$F$61,6,FALSE),"")</f>
        <v>1</v>
      </c>
      <c r="BL683">
        <v>0</v>
      </c>
      <c r="BO683">
        <v>0</v>
      </c>
      <c r="BP683">
        <v>0</v>
      </c>
    </row>
    <row r="684" spans="1:68" x14ac:dyDescent="0.35">
      <c r="A684" s="26" t="str">
        <f>Orders!A684</f>
        <v>ORD-00683</v>
      </c>
      <c r="B684" s="33">
        <f>Orders!B684</f>
        <v>45472</v>
      </c>
      <c r="C684" t="str">
        <f>Orders!C684</f>
        <v>CUST-0002</v>
      </c>
      <c r="D684" t="str">
        <f>Orders!D684</f>
        <v>PROD-014</v>
      </c>
      <c r="E684" t="str">
        <f>Orders!E684</f>
        <v>R007</v>
      </c>
      <c r="F684">
        <f>Orders!F684</f>
        <v>3</v>
      </c>
      <c r="G684" s="35">
        <f>Orders!G684</f>
        <v>3620</v>
      </c>
      <c r="H684" s="37">
        <f>Orders!H684</f>
        <v>29.7</v>
      </c>
      <c r="I684" s="39">
        <f>Orders!I684</f>
        <v>7634.58</v>
      </c>
      <c r="J684" t="str">
        <f>Orders!J684</f>
        <v>Completed</v>
      </c>
      <c r="K684" t="str">
        <f>Orders!K684</f>
        <v>Pune</v>
      </c>
      <c r="L684" t="str">
        <f>IFERROR(VLOOKUP(D684,Products!$A$2:$F$61,3,FALSE),"")</f>
        <v>Apparel</v>
      </c>
      <c r="M684">
        <f>IFERROR(VLOOKUP(D684,Products!$A$2:$F$61,4,FALSE),"")</f>
        <v>2509</v>
      </c>
      <c r="N684" t="str">
        <f>IFERROR(VLOOKUP(E684,Sales_Reps!$A$2:$E$31,3,FALSE),"")</f>
        <v>North</v>
      </c>
      <c r="O684" t="str">
        <f>IFERROR(VLOOKUP(C684,Customers!$A$2:$F$301,5,FALSE),"")</f>
        <v>Corporate</v>
      </c>
      <c r="P684">
        <f>IFERROR(VLOOKUP(C684,Customers!$A$2:$F$301,3,FALSE),"")</f>
        <v>42</v>
      </c>
      <c r="Q684" s="41">
        <f t="shared" si="19"/>
        <v>0.3069060773480663</v>
      </c>
      <c r="R684" t="str">
        <f>IFERROR(VLOOKUP(C684,Customers!$A$2:$F$301,1,FALSE),"")</f>
        <v>CUST-0002</v>
      </c>
      <c r="S684" s="27" t="b">
        <f>IFERROR(VLOOKUP(D684,Products!$A$2:$F$61,6,FALSE),"")</f>
        <v>1</v>
      </c>
      <c r="BL684">
        <v>0</v>
      </c>
      <c r="BO684">
        <v>0</v>
      </c>
      <c r="BP684">
        <v>0</v>
      </c>
    </row>
    <row r="685" spans="1:68" x14ac:dyDescent="0.35">
      <c r="A685" s="26" t="str">
        <f>Orders!A685</f>
        <v>ORD-00684</v>
      </c>
      <c r="B685" s="33">
        <f>Orders!B685</f>
        <v>45615</v>
      </c>
      <c r="C685" t="str">
        <f>Orders!C685</f>
        <v>CUST-0287</v>
      </c>
      <c r="D685" t="str">
        <f>Orders!D685</f>
        <v>PROD-010</v>
      </c>
      <c r="E685" t="str">
        <f>Orders!E685</f>
        <v>R025</v>
      </c>
      <c r="F685">
        <f>Orders!F685</f>
        <v>8</v>
      </c>
      <c r="G685" s="35">
        <f>Orders!G685</f>
        <v>2640</v>
      </c>
      <c r="H685" s="37">
        <f>Orders!H685</f>
        <v>24.4</v>
      </c>
      <c r="I685" s="39">
        <f>Orders!I685</f>
        <v>15966.72</v>
      </c>
      <c r="J685" t="str">
        <f>Orders!J685</f>
        <v>Completed</v>
      </c>
      <c r="K685" t="str">
        <f>Orders!K685</f>
        <v>Chennai</v>
      </c>
      <c r="L685" t="str">
        <f>IFERROR(VLOOKUP(D685,Products!$A$2:$F$61,3,FALSE),"")</f>
        <v>Electronics</v>
      </c>
      <c r="M685">
        <f>IFERROR(VLOOKUP(D685,Products!$A$2:$F$61,4,FALSE),"")</f>
        <v>1149</v>
      </c>
      <c r="N685" t="str">
        <f>IFERROR(VLOOKUP(E685,Sales_Reps!$A$2:$E$31,3,FALSE),"")</f>
        <v>West</v>
      </c>
      <c r="O685" t="str">
        <f>IFERROR(VLOOKUP(C685,Customers!$A$2:$F$301,5,FALSE),"")</f>
        <v>SMB</v>
      </c>
      <c r="P685">
        <f>IFERROR(VLOOKUP(C685,Customers!$A$2:$F$301,3,FALSE),"")</f>
        <v>53</v>
      </c>
      <c r="Q685" s="41">
        <f t="shared" si="19"/>
        <v>0.56477272727272732</v>
      </c>
      <c r="R685" t="str">
        <f>IFERROR(VLOOKUP(C685,Customers!$A$2:$F$301,1,FALSE),"")</f>
        <v>CUST-0287</v>
      </c>
      <c r="S685" s="27" t="b">
        <f>IFERROR(VLOOKUP(D685,Products!$A$2:$F$61,6,FALSE),"")</f>
        <v>1</v>
      </c>
      <c r="BL685">
        <v>0</v>
      </c>
      <c r="BO685">
        <v>0</v>
      </c>
      <c r="BP685">
        <v>0</v>
      </c>
    </row>
    <row r="686" spans="1:68" x14ac:dyDescent="0.35">
      <c r="A686" s="26" t="str">
        <f>Orders!A686</f>
        <v>ORD-00685</v>
      </c>
      <c r="B686" s="33">
        <f>Orders!B686</f>
        <v>45349</v>
      </c>
      <c r="C686" t="str">
        <f>Orders!C686</f>
        <v>CUST-0279</v>
      </c>
      <c r="D686" t="str">
        <f>Orders!D686</f>
        <v>PROD-038</v>
      </c>
      <c r="E686" t="str">
        <f>Orders!E686</f>
        <v>R006</v>
      </c>
      <c r="F686">
        <f>Orders!F686</f>
        <v>3</v>
      </c>
      <c r="G686" s="35">
        <f>Orders!G686</f>
        <v>5490</v>
      </c>
      <c r="H686" s="37">
        <f>Orders!H686</f>
        <v>13.5</v>
      </c>
      <c r="I686" s="39">
        <f>Orders!I686</f>
        <v>14246.55</v>
      </c>
      <c r="J686" t="str">
        <f>Orders!J686</f>
        <v>Completed</v>
      </c>
      <c r="K686" t="str">
        <f>Orders!K686</f>
        <v>Mumbai</v>
      </c>
      <c r="L686" t="str">
        <f>IFERROR(VLOOKUP(D686,Products!$A$2:$F$61,3,FALSE),"")</f>
        <v>Home</v>
      </c>
      <c r="M686">
        <f>IFERROR(VLOOKUP(D686,Products!$A$2:$F$61,4,FALSE),"")</f>
        <v>2549</v>
      </c>
      <c r="N686" t="str">
        <f>IFERROR(VLOOKUP(E686,Sales_Reps!$A$2:$E$31,3,FALSE),"")</f>
        <v>North</v>
      </c>
      <c r="O686" t="str">
        <f>IFERROR(VLOOKUP(C686,Customers!$A$2:$F$301,5,FALSE),"")</f>
        <v>Retail</v>
      </c>
      <c r="P686">
        <f>IFERROR(VLOOKUP(C686,Customers!$A$2:$F$301,3,FALSE),"")</f>
        <v>56</v>
      </c>
      <c r="Q686" s="41">
        <f t="shared" si="19"/>
        <v>0.53570127504553733</v>
      </c>
      <c r="R686" t="str">
        <f>IFERROR(VLOOKUP(C686,Customers!$A$2:$F$301,1,FALSE),"")</f>
        <v>CUST-0279</v>
      </c>
      <c r="S686" s="27" t="b">
        <f>IFERROR(VLOOKUP(D686,Products!$A$2:$F$61,6,FALSE),"")</f>
        <v>1</v>
      </c>
      <c r="BL686">
        <v>0</v>
      </c>
      <c r="BO686">
        <v>0</v>
      </c>
      <c r="BP686">
        <v>0</v>
      </c>
    </row>
    <row r="687" spans="1:68" x14ac:dyDescent="0.35">
      <c r="A687" s="26" t="str">
        <f>Orders!A687</f>
        <v>ORD-00686</v>
      </c>
      <c r="B687" s="33">
        <f>Orders!B687</f>
        <v>45413</v>
      </c>
      <c r="C687" t="str">
        <f>Orders!C687</f>
        <v>CUST-0008</v>
      </c>
      <c r="D687" t="str">
        <f>Orders!D687</f>
        <v>PROD-034</v>
      </c>
      <c r="E687" t="str">
        <f>Orders!E687</f>
        <v>R017</v>
      </c>
      <c r="F687">
        <f>Orders!F687</f>
        <v>3</v>
      </c>
      <c r="G687" s="35">
        <f>Orders!G687</f>
        <v>5080</v>
      </c>
      <c r="H687" s="37">
        <f>Orders!H687</f>
        <v>9.3000000000000007</v>
      </c>
      <c r="I687" s="39">
        <f>Orders!I687</f>
        <v>13822.68</v>
      </c>
      <c r="J687" t="str">
        <f>Orders!J687</f>
        <v>Completed</v>
      </c>
      <c r="K687" t="str">
        <f>Orders!K687</f>
        <v>Pune</v>
      </c>
      <c r="L687" t="str">
        <f>IFERROR(VLOOKUP(D687,Products!$A$2:$F$61,3,FALSE),"")</f>
        <v>Home</v>
      </c>
      <c r="M687">
        <f>IFERROR(VLOOKUP(D687,Products!$A$2:$F$61,4,FALSE),"")</f>
        <v>2459</v>
      </c>
      <c r="N687" t="str">
        <f>IFERROR(VLOOKUP(E687,Sales_Reps!$A$2:$E$31,3,FALSE),"")</f>
        <v>East</v>
      </c>
      <c r="O687" t="str">
        <f>IFERROR(VLOOKUP(C687,Customers!$A$2:$F$301,5,FALSE),"")</f>
        <v>SMB</v>
      </c>
      <c r="P687">
        <f>IFERROR(VLOOKUP(C687,Customers!$A$2:$F$301,3,FALSE),"")</f>
        <v>39</v>
      </c>
      <c r="Q687" s="41">
        <f t="shared" si="19"/>
        <v>0.51594488188976373</v>
      </c>
      <c r="R687" t="str">
        <f>IFERROR(VLOOKUP(C687,Customers!$A$2:$F$301,1,FALSE),"")</f>
        <v>CUST-0008</v>
      </c>
      <c r="S687" s="27" t="b">
        <f>IFERROR(VLOOKUP(D687,Products!$A$2:$F$61,6,FALSE),"")</f>
        <v>1</v>
      </c>
      <c r="BL687">
        <v>0</v>
      </c>
      <c r="BO687">
        <v>0</v>
      </c>
      <c r="BP687">
        <v>0</v>
      </c>
    </row>
    <row r="688" spans="1:68" x14ac:dyDescent="0.35">
      <c r="A688" s="26" t="str">
        <f>Orders!A688</f>
        <v>ORD-00687</v>
      </c>
      <c r="B688" s="33">
        <f>Orders!B688</f>
        <v>45515</v>
      </c>
      <c r="C688" t="str">
        <f>Orders!C688</f>
        <v>CUST-0092</v>
      </c>
      <c r="D688" t="str">
        <f>Orders!D688</f>
        <v>PROD-042</v>
      </c>
      <c r="E688" t="str">
        <f>Orders!E688</f>
        <v>R030</v>
      </c>
      <c r="F688">
        <f>Orders!F688</f>
        <v>4</v>
      </c>
      <c r="G688" s="35">
        <f>Orders!G688</f>
        <v>2290</v>
      </c>
      <c r="H688" s="37">
        <f>Orders!H688</f>
        <v>24.4</v>
      </c>
      <c r="I688" s="39">
        <f>Orders!I688</f>
        <v>6924.96</v>
      </c>
      <c r="J688" t="str">
        <f>Orders!J688</f>
        <v>Completed</v>
      </c>
      <c r="K688" t="str">
        <f>Orders!K688</f>
        <v>Bengaluru</v>
      </c>
      <c r="L688" t="str">
        <f>IFERROR(VLOOKUP(D688,Products!$A$2:$F$61,3,FALSE),"")</f>
        <v>Beauty</v>
      </c>
      <c r="M688">
        <f>IFERROR(VLOOKUP(D688,Products!$A$2:$F$61,4,FALSE),"")</f>
        <v>1219</v>
      </c>
      <c r="N688" t="str">
        <f>IFERROR(VLOOKUP(E688,Sales_Reps!$A$2:$E$31,3,FALSE),"")</f>
        <v>West</v>
      </c>
      <c r="O688" t="str">
        <f>IFERROR(VLOOKUP(C688,Customers!$A$2:$F$301,5,FALSE),"")</f>
        <v>SMB</v>
      </c>
      <c r="P688">
        <f>IFERROR(VLOOKUP(C688,Customers!$A$2:$F$301,3,FALSE),"")</f>
        <v>28</v>
      </c>
      <c r="Q688" s="41">
        <f t="shared" si="19"/>
        <v>0.46768558951965067</v>
      </c>
      <c r="R688" t="str">
        <f>IFERROR(VLOOKUP(C688,Customers!$A$2:$F$301,1,FALSE),"")</f>
        <v>CUST-0092</v>
      </c>
      <c r="S688" s="27" t="b">
        <f>IFERROR(VLOOKUP(D688,Products!$A$2:$F$61,6,FALSE),"")</f>
        <v>1</v>
      </c>
      <c r="BL688">
        <v>0</v>
      </c>
      <c r="BO688">
        <v>0</v>
      </c>
      <c r="BP688">
        <v>0</v>
      </c>
    </row>
    <row r="689" spans="1:68" x14ac:dyDescent="0.35">
      <c r="A689" s="26" t="str">
        <f>Orders!A689</f>
        <v>ORD-00688</v>
      </c>
      <c r="B689" s="33">
        <f>Orders!B689</f>
        <v>45463</v>
      </c>
      <c r="C689" t="str">
        <f>Orders!C689</f>
        <v>CUST-0106</v>
      </c>
      <c r="D689" t="str">
        <f>Orders!D689</f>
        <v>PROD-033</v>
      </c>
      <c r="E689" t="str">
        <f>Orders!E689</f>
        <v>R011</v>
      </c>
      <c r="F689">
        <f>Orders!F689</f>
        <v>10</v>
      </c>
      <c r="G689" s="35">
        <f>Orders!G689</f>
        <v>2030</v>
      </c>
      <c r="H689" s="37">
        <f>Orders!H689</f>
        <v>13.6</v>
      </c>
      <c r="I689" s="39">
        <f>Orders!I689</f>
        <v>17539.2</v>
      </c>
      <c r="J689" t="str">
        <f>Orders!J689</f>
        <v>Pending</v>
      </c>
      <c r="K689" t="str">
        <f>Orders!K689</f>
        <v>Pune</v>
      </c>
      <c r="L689" t="str">
        <f>IFERROR(VLOOKUP(D689,Products!$A$2:$F$61,3,FALSE),"")</f>
        <v>Home</v>
      </c>
      <c r="M689">
        <f>IFERROR(VLOOKUP(D689,Products!$A$2:$F$61,4,FALSE),"")</f>
        <v>1143</v>
      </c>
      <c r="N689" t="str">
        <f>IFERROR(VLOOKUP(E689,Sales_Reps!$A$2:$E$31,3,FALSE),"")</f>
        <v>South</v>
      </c>
      <c r="O689" t="str">
        <f>IFERROR(VLOOKUP(C689,Customers!$A$2:$F$301,5,FALSE),"")</f>
        <v>Retail</v>
      </c>
      <c r="P689">
        <f>IFERROR(VLOOKUP(C689,Customers!$A$2:$F$301,3,FALSE),"")</f>
        <v>22</v>
      </c>
      <c r="Q689" s="41">
        <f t="shared" si="19"/>
        <v>0.43694581280788175</v>
      </c>
      <c r="R689" t="str">
        <f>IFERROR(VLOOKUP(C689,Customers!$A$2:$F$301,1,FALSE),"")</f>
        <v>CUST-0106</v>
      </c>
      <c r="S689" s="27" t="b">
        <f>IFERROR(VLOOKUP(D689,Products!$A$2:$F$61,6,FALSE),"")</f>
        <v>1</v>
      </c>
      <c r="BL689">
        <v>0</v>
      </c>
      <c r="BO689">
        <v>0</v>
      </c>
      <c r="BP689">
        <v>0</v>
      </c>
    </row>
    <row r="690" spans="1:68" x14ac:dyDescent="0.35">
      <c r="A690" s="26" t="str">
        <f>Orders!A690</f>
        <v>ORD-00689</v>
      </c>
      <c r="B690" s="33">
        <f>Orders!B690</f>
        <v>45607</v>
      </c>
      <c r="C690" t="str">
        <f>Orders!C690</f>
        <v>CUST-0010</v>
      </c>
      <c r="D690" t="str">
        <f>Orders!D690</f>
        <v>PROD-007</v>
      </c>
      <c r="E690" t="str">
        <f>Orders!E690</f>
        <v>R012</v>
      </c>
      <c r="F690">
        <f>Orders!F690</f>
        <v>10</v>
      </c>
      <c r="G690" s="35">
        <f>Orders!G690</f>
        <v>1430</v>
      </c>
      <c r="H690" s="37">
        <f>Orders!H690</f>
        <v>16.100000000000001</v>
      </c>
      <c r="I690" s="39">
        <f>Orders!I690</f>
        <v>11997.7</v>
      </c>
      <c r="J690" t="str">
        <f>Orders!J690</f>
        <v>Cancelled</v>
      </c>
      <c r="K690" t="str">
        <f>Orders!K690</f>
        <v>Mumbai</v>
      </c>
      <c r="L690" t="str">
        <f>IFERROR(VLOOKUP(D690,Products!$A$2:$F$61,3,FALSE),"")</f>
        <v>Electronics</v>
      </c>
      <c r="M690">
        <f>IFERROR(VLOOKUP(D690,Products!$A$2:$F$61,4,FALSE),"")</f>
        <v>861</v>
      </c>
      <c r="N690" t="str">
        <f>IFERROR(VLOOKUP(E690,Sales_Reps!$A$2:$E$31,3,FALSE),"")</f>
        <v>South</v>
      </c>
      <c r="O690" t="str">
        <f>IFERROR(VLOOKUP(C690,Customers!$A$2:$F$301,5,FALSE),"")</f>
        <v>SMB</v>
      </c>
      <c r="P690">
        <f>IFERROR(VLOOKUP(C690,Customers!$A$2:$F$301,3,FALSE),"")</f>
        <v>61</v>
      </c>
      <c r="Q690" s="41">
        <f t="shared" si="19"/>
        <v>0.39790209790209791</v>
      </c>
      <c r="R690" t="str">
        <f>IFERROR(VLOOKUP(C690,Customers!$A$2:$F$301,1,FALSE),"")</f>
        <v>CUST-0010</v>
      </c>
      <c r="S690" s="27" t="b">
        <f>IFERROR(VLOOKUP(D690,Products!$A$2:$F$61,6,FALSE),"")</f>
        <v>1</v>
      </c>
      <c r="BL690">
        <v>0</v>
      </c>
      <c r="BO690">
        <v>0</v>
      </c>
      <c r="BP690">
        <v>0</v>
      </c>
    </row>
    <row r="691" spans="1:68" x14ac:dyDescent="0.35">
      <c r="A691" s="26" t="str">
        <f>Orders!A691</f>
        <v>ORD-00690</v>
      </c>
      <c r="B691" s="33">
        <f>Orders!B691</f>
        <v>45357</v>
      </c>
      <c r="C691" t="str">
        <f>Orders!C691</f>
        <v>CUST-0179</v>
      </c>
      <c r="D691" t="str">
        <f>Orders!D691</f>
        <v>PROD-027</v>
      </c>
      <c r="E691" t="str">
        <f>Orders!E691</f>
        <v>R009</v>
      </c>
      <c r="F691">
        <f>Orders!F691</f>
        <v>1</v>
      </c>
      <c r="G691" s="35">
        <f>Orders!G691</f>
        <v>3780</v>
      </c>
      <c r="H691" s="37">
        <f>Orders!H691</f>
        <v>22.7</v>
      </c>
      <c r="I691" s="39">
        <f>Orders!I691</f>
        <v>2921.94</v>
      </c>
      <c r="J691" t="str">
        <f>Orders!J691</f>
        <v>Completed</v>
      </c>
      <c r="K691" t="str">
        <f>Orders!K691</f>
        <v>Mumbai</v>
      </c>
      <c r="L691" t="str">
        <f>IFERROR(VLOOKUP(D691,Products!$A$2:$F$61,3,FALSE),"")</f>
        <v>Grocery</v>
      </c>
      <c r="M691">
        <f>IFERROR(VLOOKUP(D691,Products!$A$2:$F$61,4,FALSE),"")</f>
        <v>2436</v>
      </c>
      <c r="N691" t="str">
        <f>IFERROR(VLOOKUP(E691,Sales_Reps!$A$2:$E$31,3,FALSE),"")</f>
        <v>South</v>
      </c>
      <c r="O691" t="str">
        <f>IFERROR(VLOOKUP(C691,Customers!$A$2:$F$301,5,FALSE),"")</f>
        <v>SMB</v>
      </c>
      <c r="P691">
        <f>IFERROR(VLOOKUP(C691,Customers!$A$2:$F$301,3,FALSE),"")</f>
        <v>54</v>
      </c>
      <c r="Q691" s="41">
        <f t="shared" si="19"/>
        <v>0.35555555555555557</v>
      </c>
      <c r="R691" t="str">
        <f>IFERROR(VLOOKUP(C691,Customers!$A$2:$F$301,1,FALSE),"")</f>
        <v>CUST-0179</v>
      </c>
      <c r="S691" s="27" t="b">
        <f>IFERROR(VLOOKUP(D691,Products!$A$2:$F$61,6,FALSE),"")</f>
        <v>1</v>
      </c>
      <c r="BL691">
        <v>0</v>
      </c>
      <c r="BO691">
        <v>0</v>
      </c>
      <c r="BP691">
        <v>0</v>
      </c>
    </row>
    <row r="692" spans="1:68" x14ac:dyDescent="0.35">
      <c r="A692" s="26" t="str">
        <f>Orders!A692</f>
        <v>ORD-00691</v>
      </c>
      <c r="B692" s="33">
        <f>Orders!B692</f>
        <v>45443</v>
      </c>
      <c r="C692" t="str">
        <f>Orders!C692</f>
        <v>CUST-0216</v>
      </c>
      <c r="D692" t="str">
        <f>Orders!D692</f>
        <v>PROD-012</v>
      </c>
      <c r="E692" t="str">
        <f>Orders!E692</f>
        <v>R021</v>
      </c>
      <c r="F692">
        <f>Orders!F692</f>
        <v>10</v>
      </c>
      <c r="G692" s="35">
        <f>Orders!G692</f>
        <v>3160</v>
      </c>
      <c r="H692" s="37">
        <f>Orders!H692</f>
        <v>13.4</v>
      </c>
      <c r="I692" s="39">
        <f>Orders!I692</f>
        <v>27365.599999999999</v>
      </c>
      <c r="J692" t="str">
        <f>Orders!J692</f>
        <v>Completed</v>
      </c>
      <c r="K692" t="str">
        <f>Orders!K692</f>
        <v>Mumbai</v>
      </c>
      <c r="L692" t="str">
        <f>IFERROR(VLOOKUP(D692,Products!$A$2:$F$61,3,FALSE),"")</f>
        <v>Apparel</v>
      </c>
      <c r="M692">
        <f>IFERROR(VLOOKUP(D692,Products!$A$2:$F$61,4,FALSE),"")</f>
        <v>1886</v>
      </c>
      <c r="N692" t="str">
        <f>IFERROR(VLOOKUP(E692,Sales_Reps!$A$2:$E$31,3,FALSE),"")</f>
        <v>East</v>
      </c>
      <c r="O692" t="str">
        <f>IFERROR(VLOOKUP(C692,Customers!$A$2:$F$301,5,FALSE),"")</f>
        <v>Retail</v>
      </c>
      <c r="P692">
        <f>IFERROR(VLOOKUP(C692,Customers!$A$2:$F$301,3,FALSE),"")</f>
        <v>50</v>
      </c>
      <c r="Q692" s="41">
        <f t="shared" si="19"/>
        <v>0.4031645569620253</v>
      </c>
      <c r="R692" t="str">
        <f>IFERROR(VLOOKUP(C692,Customers!$A$2:$F$301,1,FALSE),"")</f>
        <v>CUST-0216</v>
      </c>
      <c r="S692" s="27" t="b">
        <f>IFERROR(VLOOKUP(D692,Products!$A$2:$F$61,6,FALSE),"")</f>
        <v>1</v>
      </c>
      <c r="BL692">
        <v>0</v>
      </c>
      <c r="BO692">
        <v>0</v>
      </c>
      <c r="BP692">
        <v>0</v>
      </c>
    </row>
    <row r="693" spans="1:68" x14ac:dyDescent="0.35">
      <c r="A693" s="26" t="str">
        <f>Orders!A693</f>
        <v>ORD-00692</v>
      </c>
      <c r="B693" s="33">
        <f>Orders!B693</f>
        <v>45422</v>
      </c>
      <c r="C693" t="str">
        <f>Orders!C693</f>
        <v>CUST-0172</v>
      </c>
      <c r="D693" t="str">
        <f>Orders!D693</f>
        <v>PROD-007</v>
      </c>
      <c r="E693" t="str">
        <f>Orders!E693</f>
        <v>R003</v>
      </c>
      <c r="F693">
        <f>Orders!F693</f>
        <v>2</v>
      </c>
      <c r="G693" s="35">
        <f>Orders!G693</f>
        <v>1430</v>
      </c>
      <c r="H693" s="37">
        <f>Orders!H693</f>
        <v>7.4</v>
      </c>
      <c r="I693" s="39">
        <f>Orders!I693</f>
        <v>2648.36</v>
      </c>
      <c r="J693" t="str">
        <f>Orders!J693</f>
        <v>Completed</v>
      </c>
      <c r="K693" t="str">
        <f>Orders!K693</f>
        <v>Pune</v>
      </c>
      <c r="L693" t="str">
        <f>IFERROR(VLOOKUP(D693,Products!$A$2:$F$61,3,FALSE),"")</f>
        <v>Electronics</v>
      </c>
      <c r="M693">
        <f>IFERROR(VLOOKUP(D693,Products!$A$2:$F$61,4,FALSE),"")</f>
        <v>861</v>
      </c>
      <c r="N693" t="str">
        <f>IFERROR(VLOOKUP(E693,Sales_Reps!$A$2:$E$31,3,FALSE),"")</f>
        <v>North</v>
      </c>
      <c r="O693" t="str">
        <f>IFERROR(VLOOKUP(C693,Customers!$A$2:$F$301,5,FALSE),"")</f>
        <v>Retail</v>
      </c>
      <c r="P693">
        <f>IFERROR(VLOOKUP(C693,Customers!$A$2:$F$301,3,FALSE),"")</f>
        <v>65</v>
      </c>
      <c r="Q693" s="41">
        <f t="shared" si="19"/>
        <v>0.39790209790209791</v>
      </c>
      <c r="R693" t="str">
        <f>IFERROR(VLOOKUP(C693,Customers!$A$2:$F$301,1,FALSE),"")</f>
        <v>CUST-0172</v>
      </c>
      <c r="S693" s="27" t="b">
        <f>IFERROR(VLOOKUP(D693,Products!$A$2:$F$61,6,FALSE),"")</f>
        <v>1</v>
      </c>
      <c r="BL693">
        <v>0</v>
      </c>
      <c r="BO693">
        <v>0</v>
      </c>
      <c r="BP693">
        <v>0</v>
      </c>
    </row>
    <row r="694" spans="1:68" x14ac:dyDescent="0.35">
      <c r="A694" s="26" t="str">
        <f>Orders!A694</f>
        <v>ORD-00693</v>
      </c>
      <c r="B694" s="33">
        <f>Orders!B694</f>
        <v>45640</v>
      </c>
      <c r="C694" t="str">
        <f>Orders!C694</f>
        <v>CUST-0152</v>
      </c>
      <c r="D694" t="str">
        <f>Orders!D694</f>
        <v>PROD-012</v>
      </c>
      <c r="E694" t="str">
        <f>Orders!E694</f>
        <v>R006</v>
      </c>
      <c r="F694">
        <f>Orders!F694</f>
        <v>5</v>
      </c>
      <c r="G694" s="35">
        <f>Orders!G694</f>
        <v>3160</v>
      </c>
      <c r="H694" s="37">
        <f>Orders!H694</f>
        <v>3.6</v>
      </c>
      <c r="I694" s="39">
        <f>Orders!I694</f>
        <v>15231.2</v>
      </c>
      <c r="J694" t="str">
        <f>Orders!J694</f>
        <v>Pending</v>
      </c>
      <c r="K694" t="str">
        <f>Orders!K694</f>
        <v>Bengaluru</v>
      </c>
      <c r="L694" t="str">
        <f>IFERROR(VLOOKUP(D694,Products!$A$2:$F$61,3,FALSE),"")</f>
        <v>Apparel</v>
      </c>
      <c r="M694">
        <f>IFERROR(VLOOKUP(D694,Products!$A$2:$F$61,4,FALSE),"")</f>
        <v>1886</v>
      </c>
      <c r="N694" t="str">
        <f>IFERROR(VLOOKUP(E694,Sales_Reps!$A$2:$E$31,3,FALSE),"")</f>
        <v>North</v>
      </c>
      <c r="O694" t="str">
        <f>IFERROR(VLOOKUP(C694,Customers!$A$2:$F$301,5,FALSE),"")</f>
        <v>SMB</v>
      </c>
      <c r="P694">
        <f>IFERROR(VLOOKUP(C694,Customers!$A$2:$F$301,3,FALSE),"")</f>
        <v>64</v>
      </c>
      <c r="Q694" s="41">
        <f t="shared" si="19"/>
        <v>0.4031645569620253</v>
      </c>
      <c r="R694" t="str">
        <f>IFERROR(VLOOKUP(C694,Customers!$A$2:$F$301,1,FALSE),"")</f>
        <v>CUST-0152</v>
      </c>
      <c r="S694" s="27" t="b">
        <f>IFERROR(VLOOKUP(D694,Products!$A$2:$F$61,6,FALSE),"")</f>
        <v>1</v>
      </c>
      <c r="BL694">
        <v>0</v>
      </c>
      <c r="BO694">
        <v>0</v>
      </c>
      <c r="BP694">
        <v>0</v>
      </c>
    </row>
    <row r="695" spans="1:68" x14ac:dyDescent="0.35">
      <c r="A695" s="26" t="str">
        <f>Orders!A695</f>
        <v>ORD-00694</v>
      </c>
      <c r="B695" s="33">
        <f>Orders!B695</f>
        <v>45521</v>
      </c>
      <c r="C695" t="str">
        <f>Orders!C695</f>
        <v>CUST-0154</v>
      </c>
      <c r="D695" t="str">
        <f>Orders!D695</f>
        <v>PROD-042</v>
      </c>
      <c r="E695" t="str">
        <f>Orders!E695</f>
        <v>R004</v>
      </c>
      <c r="F695">
        <f>Orders!F695</f>
        <v>2</v>
      </c>
      <c r="G695" s="35">
        <f>Orders!G695</f>
        <v>2290</v>
      </c>
      <c r="H695" s="37">
        <f>Orders!H695</f>
        <v>28.2</v>
      </c>
      <c r="I695" s="39">
        <f>Orders!I695</f>
        <v>3288.44</v>
      </c>
      <c r="J695" t="str">
        <f>Orders!J695</f>
        <v>Completed</v>
      </c>
      <c r="K695" t="str">
        <f>Orders!K695</f>
        <v>Pune</v>
      </c>
      <c r="L695" t="str">
        <f>IFERROR(VLOOKUP(D695,Products!$A$2:$F$61,3,FALSE),"")</f>
        <v>Beauty</v>
      </c>
      <c r="M695">
        <f>IFERROR(VLOOKUP(D695,Products!$A$2:$F$61,4,FALSE),"")</f>
        <v>1219</v>
      </c>
      <c r="N695" t="str">
        <f>IFERROR(VLOOKUP(E695,Sales_Reps!$A$2:$E$31,3,FALSE),"")</f>
        <v>North</v>
      </c>
      <c r="O695" t="str">
        <f>IFERROR(VLOOKUP(C695,Customers!$A$2:$F$301,5,FALSE),"")</f>
        <v>Retail</v>
      </c>
      <c r="P695">
        <f>IFERROR(VLOOKUP(C695,Customers!$A$2:$F$301,3,FALSE),"")</f>
        <v>36</v>
      </c>
      <c r="Q695" s="41">
        <f t="shared" si="19"/>
        <v>0.46768558951965067</v>
      </c>
      <c r="R695" t="str">
        <f>IFERROR(VLOOKUP(C695,Customers!$A$2:$F$301,1,FALSE),"")</f>
        <v>CUST-0154</v>
      </c>
      <c r="S695" s="27" t="b">
        <f>IFERROR(VLOOKUP(D695,Products!$A$2:$F$61,6,FALSE),"")</f>
        <v>1</v>
      </c>
      <c r="BL695">
        <v>0</v>
      </c>
      <c r="BO695">
        <v>0</v>
      </c>
      <c r="BP695">
        <v>0</v>
      </c>
    </row>
    <row r="696" spans="1:68" x14ac:dyDescent="0.35">
      <c r="A696" s="26" t="str">
        <f>Orders!A696</f>
        <v>ORD-00695</v>
      </c>
      <c r="B696" s="33">
        <f>Orders!B696</f>
        <v>45366</v>
      </c>
      <c r="C696" t="str">
        <f>Orders!C696</f>
        <v>CUST-0001</v>
      </c>
      <c r="D696" t="str">
        <f>Orders!D696</f>
        <v>PROD-011</v>
      </c>
      <c r="E696" t="str">
        <f>Orders!E696</f>
        <v>R015</v>
      </c>
      <c r="F696">
        <f>Orders!F696</f>
        <v>5</v>
      </c>
      <c r="G696" s="35">
        <f>Orders!G696</f>
        <v>3450</v>
      </c>
      <c r="H696" s="37">
        <f>Orders!H696</f>
        <v>18.100000000000001</v>
      </c>
      <c r="I696" s="39">
        <f>Orders!I696</f>
        <v>14127.75</v>
      </c>
      <c r="J696" t="str">
        <f>Orders!J696</f>
        <v>Cancelled</v>
      </c>
      <c r="K696" t="str">
        <f>Orders!K696</f>
        <v>Pune</v>
      </c>
      <c r="L696" t="str">
        <f>IFERROR(VLOOKUP(D696,Products!$A$2:$F$61,3,FALSE),"")</f>
        <v>Apparel</v>
      </c>
      <c r="M696">
        <f>IFERROR(VLOOKUP(D696,Products!$A$2:$F$61,4,FALSE),"")</f>
        <v>1748</v>
      </c>
      <c r="N696" t="str">
        <f>IFERROR(VLOOKUP(E696,Sales_Reps!$A$2:$E$31,3,FALSE),"")</f>
        <v>South</v>
      </c>
      <c r="O696" t="str">
        <f>IFERROR(VLOOKUP(C696,Customers!$A$2:$F$301,5,FALSE),"")</f>
        <v>Retail</v>
      </c>
      <c r="P696">
        <f>IFERROR(VLOOKUP(C696,Customers!$A$2:$F$301,3,FALSE),"")</f>
        <v>36</v>
      </c>
      <c r="Q696" s="41">
        <f t="shared" si="19"/>
        <v>0.49333333333333335</v>
      </c>
      <c r="R696" t="str">
        <f>IFERROR(VLOOKUP(C696,Customers!$A$2:$F$301,1,FALSE),"")</f>
        <v>CUST-0001</v>
      </c>
      <c r="S696" s="27" t="b">
        <f>IFERROR(VLOOKUP(D696,Products!$A$2:$F$61,6,FALSE),"")</f>
        <v>1</v>
      </c>
      <c r="BL696">
        <v>0</v>
      </c>
      <c r="BO696">
        <v>0</v>
      </c>
      <c r="BP696">
        <v>0</v>
      </c>
    </row>
    <row r="697" spans="1:68" x14ac:dyDescent="0.35">
      <c r="A697" s="26" t="str">
        <f>Orders!A697</f>
        <v>ORD-00696</v>
      </c>
      <c r="B697" s="33">
        <f>Orders!B697</f>
        <v>45439</v>
      </c>
      <c r="C697" t="str">
        <f>Orders!C697</f>
        <v>CUST-0069</v>
      </c>
      <c r="D697" t="str">
        <f>Orders!D697</f>
        <v>PROD-018</v>
      </c>
      <c r="E697" t="str">
        <f>Orders!E697</f>
        <v>R001</v>
      </c>
      <c r="F697">
        <f>Orders!F697</f>
        <v>1</v>
      </c>
      <c r="G697" s="35">
        <f>Orders!G697</f>
        <v>3560</v>
      </c>
      <c r="H697" s="37">
        <f>Orders!H697</f>
        <v>18.7</v>
      </c>
      <c r="I697" s="39">
        <f>Orders!I697</f>
        <v>2894.28</v>
      </c>
      <c r="J697" t="str">
        <f>Orders!J697</f>
        <v>Completed</v>
      </c>
      <c r="K697" t="str">
        <f>Orders!K697</f>
        <v>Chennai</v>
      </c>
      <c r="L697" t="str">
        <f>IFERROR(VLOOKUP(D697,Products!$A$2:$F$61,3,FALSE),"")</f>
        <v>Apparel</v>
      </c>
      <c r="M697">
        <f>IFERROR(VLOOKUP(D697,Products!$A$2:$F$61,4,FALSE),"")</f>
        <v>2629</v>
      </c>
      <c r="N697" t="str">
        <f>IFERROR(VLOOKUP(E697,Sales_Reps!$A$2:$E$31,3,FALSE),"")</f>
        <v>North</v>
      </c>
      <c r="O697" t="str">
        <f>IFERROR(VLOOKUP(C697,Customers!$A$2:$F$301,5,FALSE),"")</f>
        <v>Retail</v>
      </c>
      <c r="P697">
        <f>IFERROR(VLOOKUP(C697,Customers!$A$2:$F$301,3,FALSE),"")</f>
        <v>51</v>
      </c>
      <c r="Q697" s="41">
        <f t="shared" si="19"/>
        <v>0.26151685393258428</v>
      </c>
      <c r="R697" t="str">
        <f>IFERROR(VLOOKUP(C697,Customers!$A$2:$F$301,1,FALSE),"")</f>
        <v>CUST-0069</v>
      </c>
      <c r="S697" s="27" t="b">
        <f>IFERROR(VLOOKUP(D697,Products!$A$2:$F$61,6,FALSE),"")</f>
        <v>1</v>
      </c>
      <c r="BL697">
        <v>0</v>
      </c>
      <c r="BO697">
        <v>0</v>
      </c>
      <c r="BP697">
        <v>0</v>
      </c>
    </row>
    <row r="698" spans="1:68" x14ac:dyDescent="0.35">
      <c r="A698" s="26" t="str">
        <f>Orders!A698</f>
        <v>ORD-00697</v>
      </c>
      <c r="B698" s="33">
        <f>Orders!B698</f>
        <v>45426</v>
      </c>
      <c r="C698" t="str">
        <f>Orders!C698</f>
        <v>CUST-0200</v>
      </c>
      <c r="D698" t="str">
        <f>Orders!D698</f>
        <v>PROD-058</v>
      </c>
      <c r="E698" t="str">
        <f>Orders!E698</f>
        <v>R009</v>
      </c>
      <c r="F698">
        <f>Orders!F698</f>
        <v>9</v>
      </c>
      <c r="G698" s="35">
        <f>Orders!G698</f>
        <v>2400</v>
      </c>
      <c r="H698" s="37">
        <f>Orders!H698</f>
        <v>18.5</v>
      </c>
      <c r="I698" s="39">
        <f>Orders!I698</f>
        <v>17604</v>
      </c>
      <c r="J698" t="str">
        <f>Orders!J698</f>
        <v>Completed</v>
      </c>
      <c r="K698" t="str">
        <f>Orders!K698</f>
        <v>Hyderabad</v>
      </c>
      <c r="L698" t="str">
        <f>IFERROR(VLOOKUP(D698,Products!$A$2:$F$61,3,FALSE),"")</f>
        <v>Sports</v>
      </c>
      <c r="M698">
        <f>IFERROR(VLOOKUP(D698,Products!$A$2:$F$61,4,FALSE),"")</f>
        <v>974</v>
      </c>
      <c r="N698" t="str">
        <f>IFERROR(VLOOKUP(E698,Sales_Reps!$A$2:$E$31,3,FALSE),"")</f>
        <v>South</v>
      </c>
      <c r="O698" t="str">
        <f>IFERROR(VLOOKUP(C698,Customers!$A$2:$F$301,5,FALSE),"")</f>
        <v>Corporate</v>
      </c>
      <c r="P698">
        <f>IFERROR(VLOOKUP(C698,Customers!$A$2:$F$301,3,FALSE),"")</f>
        <v>46</v>
      </c>
      <c r="Q698" s="41">
        <f t="shared" si="19"/>
        <v>0.59416666666666662</v>
      </c>
      <c r="R698" t="str">
        <f>IFERROR(VLOOKUP(C698,Customers!$A$2:$F$301,1,FALSE),"")</f>
        <v>CUST-0200</v>
      </c>
      <c r="S698" s="27" t="b">
        <f>IFERROR(VLOOKUP(D698,Products!$A$2:$F$61,6,FALSE),"")</f>
        <v>1</v>
      </c>
      <c r="BL698">
        <v>0</v>
      </c>
      <c r="BO698">
        <v>0</v>
      </c>
      <c r="BP698">
        <v>0</v>
      </c>
    </row>
    <row r="699" spans="1:68" x14ac:dyDescent="0.35">
      <c r="A699" s="26" t="str">
        <f>Orders!A699</f>
        <v>ORD-00698</v>
      </c>
      <c r="B699" s="33">
        <f>Orders!B699</f>
        <v>45415</v>
      </c>
      <c r="C699" t="str">
        <f>Orders!C699</f>
        <v>CUST-0164</v>
      </c>
      <c r="D699" t="str">
        <f>Orders!D699</f>
        <v>PROD-004</v>
      </c>
      <c r="E699" t="str">
        <f>Orders!E699</f>
        <v>R023</v>
      </c>
      <c r="F699">
        <f>Orders!F699</f>
        <v>9</v>
      </c>
      <c r="G699" s="35">
        <f>Orders!G699</f>
        <v>3870</v>
      </c>
      <c r="H699" s="37">
        <f>Orders!H699</f>
        <v>6.9</v>
      </c>
      <c r="I699" s="39">
        <f>Orders!I699</f>
        <v>32426.73</v>
      </c>
      <c r="J699" t="str">
        <f>Orders!J699</f>
        <v>Refunded</v>
      </c>
      <c r="K699" t="str">
        <f>Orders!K699</f>
        <v>Chennai</v>
      </c>
      <c r="L699" t="str">
        <f>IFERROR(VLOOKUP(D699,Products!$A$2:$F$61,3,FALSE),"")</f>
        <v>Electronics</v>
      </c>
      <c r="M699">
        <f>IFERROR(VLOOKUP(D699,Products!$A$2:$F$61,4,FALSE),"")</f>
        <v>1559</v>
      </c>
      <c r="N699" t="str">
        <f>IFERROR(VLOOKUP(E699,Sales_Reps!$A$2:$E$31,3,FALSE),"")</f>
        <v>East</v>
      </c>
      <c r="O699" t="str">
        <f>IFERROR(VLOOKUP(C699,Customers!$A$2:$F$301,5,FALSE),"")</f>
        <v>Retail</v>
      </c>
      <c r="P699">
        <f>IFERROR(VLOOKUP(C699,Customers!$A$2:$F$301,3,FALSE),"")</f>
        <v>60</v>
      </c>
      <c r="Q699" s="41">
        <f t="shared" si="19"/>
        <v>0.59715762273901807</v>
      </c>
      <c r="R699" t="str">
        <f>IFERROR(VLOOKUP(C699,Customers!$A$2:$F$301,1,FALSE),"")</f>
        <v>CUST-0164</v>
      </c>
      <c r="S699" s="27" t="b">
        <f>IFERROR(VLOOKUP(D699,Products!$A$2:$F$61,6,FALSE),"")</f>
        <v>1</v>
      </c>
      <c r="BL699">
        <v>0</v>
      </c>
      <c r="BO699">
        <v>0</v>
      </c>
      <c r="BP699">
        <v>0</v>
      </c>
    </row>
    <row r="700" spans="1:68" x14ac:dyDescent="0.35">
      <c r="A700" s="26" t="str">
        <f>Orders!A700</f>
        <v>ORD-00699</v>
      </c>
      <c r="B700" s="33">
        <f>Orders!B700</f>
        <v>45620</v>
      </c>
      <c r="C700" t="str">
        <f>Orders!C700</f>
        <v>CUST-0004</v>
      </c>
      <c r="D700" t="str">
        <f>Orders!D700</f>
        <v>PROD-028</v>
      </c>
      <c r="E700" t="str">
        <f>Orders!E700</f>
        <v>R022</v>
      </c>
      <c r="F700">
        <f>Orders!F700</f>
        <v>5</v>
      </c>
      <c r="G700" s="35">
        <f>Orders!G700</f>
        <v>3660</v>
      </c>
      <c r="H700" s="37">
        <f>Orders!H700</f>
        <v>11.7</v>
      </c>
      <c r="I700" s="39">
        <f>Orders!I700</f>
        <v>16158.9</v>
      </c>
      <c r="J700" t="str">
        <f>Orders!J700</f>
        <v>Completed</v>
      </c>
      <c r="K700" t="str">
        <f>Orders!K700</f>
        <v>Delhi</v>
      </c>
      <c r="L700" t="str">
        <f>IFERROR(VLOOKUP(D700,Products!$A$2:$F$61,3,FALSE),"")</f>
        <v>Grocery</v>
      </c>
      <c r="M700">
        <f>IFERROR(VLOOKUP(D700,Products!$A$2:$F$61,4,FALSE),"")</f>
        <v>2214</v>
      </c>
      <c r="N700" t="str">
        <f>IFERROR(VLOOKUP(E700,Sales_Reps!$A$2:$E$31,3,FALSE),"")</f>
        <v>East</v>
      </c>
      <c r="O700" t="str">
        <f>IFERROR(VLOOKUP(C700,Customers!$A$2:$F$301,5,FALSE),"")</f>
        <v>Retail</v>
      </c>
      <c r="P700">
        <f>IFERROR(VLOOKUP(C700,Customers!$A$2:$F$301,3,FALSE),"")</f>
        <v>53</v>
      </c>
      <c r="Q700" s="41">
        <f t="shared" si="19"/>
        <v>0.39508196721311473</v>
      </c>
      <c r="R700" t="str">
        <f>IFERROR(VLOOKUP(C700,Customers!$A$2:$F$301,1,FALSE),"")</f>
        <v>CUST-0004</v>
      </c>
      <c r="S700" s="27" t="b">
        <f>IFERROR(VLOOKUP(D700,Products!$A$2:$F$61,6,FALSE),"")</f>
        <v>0</v>
      </c>
      <c r="BL700">
        <v>0</v>
      </c>
      <c r="BO700">
        <v>0</v>
      </c>
      <c r="BP700">
        <v>1</v>
      </c>
    </row>
    <row r="701" spans="1:68" x14ac:dyDescent="0.35">
      <c r="A701" s="26" t="str">
        <f>Orders!A701</f>
        <v>ORD-00700</v>
      </c>
      <c r="B701" s="33">
        <f>Orders!B701</f>
        <v>45346</v>
      </c>
      <c r="C701" t="str">
        <f>Orders!C701</f>
        <v>CUST-0224</v>
      </c>
      <c r="D701" t="str">
        <f>Orders!D701</f>
        <v>PROD-040</v>
      </c>
      <c r="E701" t="str">
        <f>Orders!E701</f>
        <v>R030</v>
      </c>
      <c r="F701">
        <f>Orders!F701</f>
        <v>4</v>
      </c>
      <c r="G701" s="35">
        <f>Orders!G701</f>
        <v>1080</v>
      </c>
      <c r="H701" s="37">
        <f>Orders!H701</f>
        <v>17.5</v>
      </c>
      <c r="I701" s="39">
        <f>Orders!I701</f>
        <v>3564</v>
      </c>
      <c r="J701" t="str">
        <f>Orders!J701</f>
        <v>Completed</v>
      </c>
      <c r="K701" t="str">
        <f>Orders!K701</f>
        <v>Chennai</v>
      </c>
      <c r="L701" t="str">
        <f>IFERROR(VLOOKUP(D701,Products!$A$2:$F$61,3,FALSE),"")</f>
        <v>Home</v>
      </c>
      <c r="M701">
        <f>IFERROR(VLOOKUP(D701,Products!$A$2:$F$61,4,FALSE),"")</f>
        <v>519</v>
      </c>
      <c r="N701" t="str">
        <f>IFERROR(VLOOKUP(E701,Sales_Reps!$A$2:$E$31,3,FALSE),"")</f>
        <v>West</v>
      </c>
      <c r="O701" t="str">
        <f>IFERROR(VLOOKUP(C701,Customers!$A$2:$F$301,5,FALSE),"")</f>
        <v>Corporate</v>
      </c>
      <c r="P701">
        <f>IFERROR(VLOOKUP(C701,Customers!$A$2:$F$301,3,FALSE),"")</f>
        <v>24</v>
      </c>
      <c r="Q701" s="41">
        <f t="shared" si="19"/>
        <v>0.51944444444444449</v>
      </c>
      <c r="R701" t="str">
        <f>IFERROR(VLOOKUP(C701,Customers!$A$2:$F$301,1,FALSE),"")</f>
        <v>CUST-0224</v>
      </c>
      <c r="S701" s="27" t="b">
        <f>IFERROR(VLOOKUP(D701,Products!$A$2:$F$61,6,FALSE),"")</f>
        <v>1</v>
      </c>
      <c r="BL701">
        <v>0</v>
      </c>
      <c r="BO701">
        <v>0</v>
      </c>
      <c r="BP701">
        <v>0</v>
      </c>
    </row>
    <row r="702" spans="1:68" x14ac:dyDescent="0.35">
      <c r="A702" s="26" t="str">
        <f>Orders!A702</f>
        <v>ORD-01185</v>
      </c>
      <c r="B702" s="33">
        <f>Orders!B702</f>
        <v>45297</v>
      </c>
      <c r="C702" t="str">
        <f>Orders!C702</f>
        <v>CUST-0037</v>
      </c>
      <c r="D702" t="str">
        <f>Orders!D702</f>
        <v>PROD-059</v>
      </c>
      <c r="E702" t="str">
        <f>Orders!E702</f>
        <v>R006</v>
      </c>
      <c r="F702">
        <f>Orders!F702</f>
        <v>6</v>
      </c>
      <c r="G702" s="35">
        <f>Orders!G702</f>
        <v>3780</v>
      </c>
      <c r="H702" s="37">
        <f>Orders!H702</f>
        <v>27.8</v>
      </c>
      <c r="I702" s="39">
        <f>Orders!I702</f>
        <v>16374.96</v>
      </c>
      <c r="J702" t="str">
        <f>Orders!J702</f>
        <v>Completed</v>
      </c>
      <c r="K702" t="str">
        <f>Orders!K702</f>
        <v>Bengaluru</v>
      </c>
      <c r="L702" t="str">
        <f>IFERROR(VLOOKUP(D702,Products!$A$2:$F$61,3,FALSE),"")</f>
        <v>Sports</v>
      </c>
      <c r="M702">
        <f>IFERROR(VLOOKUP(D702,Products!$A$2:$F$61,4,FALSE),"")</f>
        <v>1860</v>
      </c>
      <c r="N702" t="str">
        <f>IFERROR(VLOOKUP(E702,Sales_Reps!$A$2:$E$31,3,FALSE),"")</f>
        <v>North</v>
      </c>
      <c r="O702" t="str">
        <f>IFERROR(VLOOKUP(C702,Customers!$A$2:$F$301,5,FALSE),"")</f>
        <v>Retail</v>
      </c>
      <c r="P702">
        <f>IFERROR(VLOOKUP(C702,Customers!$A$2:$F$301,3,FALSE),"")</f>
        <v>52</v>
      </c>
      <c r="Q702" s="41">
        <f t="shared" si="19"/>
        <v>0.50793650793650791</v>
      </c>
      <c r="R702" t="str">
        <f>IFERROR(VLOOKUP(C702,Customers!$A$2:$F$301,1,FALSE),"")</f>
        <v>CUST-0037</v>
      </c>
      <c r="S702" s="27" t="b">
        <f>IFERROR(VLOOKUP(D702,Products!$A$2:$F$61,6,FALSE),"")</f>
        <v>1</v>
      </c>
      <c r="BL702">
        <v>0.5</v>
      </c>
      <c r="BO702">
        <v>0</v>
      </c>
      <c r="BP702">
        <v>0</v>
      </c>
    </row>
    <row r="703" spans="1:68" x14ac:dyDescent="0.35">
      <c r="A703" s="26" t="str">
        <f>Orders!A703</f>
        <v>ORD-00702</v>
      </c>
      <c r="B703" s="33">
        <f>Orders!B703</f>
        <v>45521</v>
      </c>
      <c r="C703" t="str">
        <f>Orders!C703</f>
        <v>CUST-0179</v>
      </c>
      <c r="D703" t="str">
        <f>Orders!D703</f>
        <v>PROD-019</v>
      </c>
      <c r="E703" t="str">
        <f>Orders!E703</f>
        <v>R022</v>
      </c>
      <c r="F703">
        <f>Orders!F703</f>
        <v>8</v>
      </c>
      <c r="G703" s="35">
        <f>Orders!G703</f>
        <v>2480</v>
      </c>
      <c r="H703" s="37">
        <f>Orders!H703</f>
        <v>15.7</v>
      </c>
      <c r="I703" s="39">
        <f>Orders!I703</f>
        <v>16725.12</v>
      </c>
      <c r="J703" t="str">
        <f>Orders!J703</f>
        <v>Pending</v>
      </c>
      <c r="K703" t="str">
        <f>Orders!K703</f>
        <v>Mumbai</v>
      </c>
      <c r="L703" t="str">
        <f>IFERROR(VLOOKUP(D703,Products!$A$2:$F$61,3,FALSE),"")</f>
        <v>Apparel</v>
      </c>
      <c r="M703">
        <f>IFERROR(VLOOKUP(D703,Products!$A$2:$F$61,4,FALSE),"")</f>
        <v>1173</v>
      </c>
      <c r="N703" t="str">
        <f>IFERROR(VLOOKUP(E703,Sales_Reps!$A$2:$E$31,3,FALSE),"")</f>
        <v>East</v>
      </c>
      <c r="O703" t="str">
        <f>IFERROR(VLOOKUP(C703,Customers!$A$2:$F$301,5,FALSE),"")</f>
        <v>SMB</v>
      </c>
      <c r="P703">
        <f>IFERROR(VLOOKUP(C703,Customers!$A$2:$F$301,3,FALSE),"")</f>
        <v>54</v>
      </c>
      <c r="Q703" s="41">
        <f t="shared" si="19"/>
        <v>0.52701612903225803</v>
      </c>
      <c r="R703" t="str">
        <f>IFERROR(VLOOKUP(C703,Customers!$A$2:$F$301,1,FALSE),"")</f>
        <v>CUST-0179</v>
      </c>
      <c r="S703" s="27" t="b">
        <f>IFERROR(VLOOKUP(D703,Products!$A$2:$F$61,6,FALSE),"")</f>
        <v>1</v>
      </c>
      <c r="BL703">
        <v>0</v>
      </c>
      <c r="BO703">
        <v>0</v>
      </c>
      <c r="BP703">
        <v>0</v>
      </c>
    </row>
    <row r="704" spans="1:68" x14ac:dyDescent="0.35">
      <c r="A704" s="26" t="str">
        <f>Orders!A704</f>
        <v>ORD-00703</v>
      </c>
      <c r="B704" s="33">
        <f>Orders!B704</f>
        <v>45409</v>
      </c>
      <c r="C704" t="str">
        <f>Orders!C704</f>
        <v>CUST-0018</v>
      </c>
      <c r="D704" t="str">
        <f>Orders!D704</f>
        <v>PROD-054</v>
      </c>
      <c r="E704" t="str">
        <f>Orders!E704</f>
        <v>R014</v>
      </c>
      <c r="F704">
        <f>Orders!F704</f>
        <v>10</v>
      </c>
      <c r="G704" s="35">
        <f>Orders!G704</f>
        <v>1010</v>
      </c>
      <c r="H704" s="37">
        <f>Orders!H704</f>
        <v>0.1</v>
      </c>
      <c r="I704" s="39">
        <f>Orders!I704</f>
        <v>10089.9</v>
      </c>
      <c r="J704" t="str">
        <f>Orders!J704</f>
        <v>Pending</v>
      </c>
      <c r="K704" t="str">
        <f>Orders!K704</f>
        <v>Pune</v>
      </c>
      <c r="L704" t="str">
        <f>IFERROR(VLOOKUP(D704,Products!$A$2:$F$61,3,FALSE),"")</f>
        <v>Sports</v>
      </c>
      <c r="M704">
        <f>IFERROR(VLOOKUP(D704,Products!$A$2:$F$61,4,FALSE),"")</f>
        <v>516</v>
      </c>
      <c r="N704" t="str">
        <f>IFERROR(VLOOKUP(E704,Sales_Reps!$A$2:$E$31,3,FALSE),"")</f>
        <v>South</v>
      </c>
      <c r="O704" t="str">
        <f>IFERROR(VLOOKUP(C704,Customers!$A$2:$F$301,5,FALSE),"")</f>
        <v>SMB</v>
      </c>
      <c r="P704">
        <f>IFERROR(VLOOKUP(C704,Customers!$A$2:$F$301,3,FALSE),"")</f>
        <v>54</v>
      </c>
      <c r="Q704" s="41">
        <f t="shared" si="19"/>
        <v>0.4891089108910891</v>
      </c>
      <c r="R704" t="str">
        <f>IFERROR(VLOOKUP(C704,Customers!$A$2:$F$301,1,FALSE),"")</f>
        <v>CUST-0018</v>
      </c>
      <c r="S704" s="27" t="b">
        <f>IFERROR(VLOOKUP(D704,Products!$A$2:$F$61,6,FALSE),"")</f>
        <v>1</v>
      </c>
      <c r="BL704">
        <v>0</v>
      </c>
      <c r="BO704">
        <v>0</v>
      </c>
      <c r="BP704">
        <v>0</v>
      </c>
    </row>
    <row r="705" spans="1:68" x14ac:dyDescent="0.35">
      <c r="A705" s="26" t="str">
        <f>Orders!A705</f>
        <v>ORD-00704</v>
      </c>
      <c r="B705" s="33">
        <f>Orders!B705</f>
        <v>45406</v>
      </c>
      <c r="C705" t="str">
        <f>Orders!C705</f>
        <v>CUST-0184</v>
      </c>
      <c r="D705" t="str">
        <f>Orders!D705</f>
        <v>PROD-053</v>
      </c>
      <c r="E705" t="str">
        <f>Orders!E705</f>
        <v>R015</v>
      </c>
      <c r="F705">
        <f>Orders!F705</f>
        <v>3</v>
      </c>
      <c r="G705" s="35">
        <f>Orders!G705</f>
        <v>470</v>
      </c>
      <c r="H705" s="37">
        <f>Orders!H705</f>
        <v>1.1000000000000001</v>
      </c>
      <c r="I705" s="39">
        <f>Orders!I705</f>
        <v>1394.49</v>
      </c>
      <c r="J705" t="str">
        <f>Orders!J705</f>
        <v>Completed</v>
      </c>
      <c r="K705" t="str">
        <f>Orders!K705</f>
        <v>Pune</v>
      </c>
      <c r="L705" t="str">
        <f>IFERROR(VLOOKUP(D705,Products!$A$2:$F$61,3,FALSE),"")</f>
        <v>Sports</v>
      </c>
      <c r="M705">
        <f>IFERROR(VLOOKUP(D705,Products!$A$2:$F$61,4,FALSE),"")</f>
        <v>302</v>
      </c>
      <c r="N705" t="str">
        <f>IFERROR(VLOOKUP(E705,Sales_Reps!$A$2:$E$31,3,FALSE),"")</f>
        <v>South</v>
      </c>
      <c r="O705" t="str">
        <f>IFERROR(VLOOKUP(C705,Customers!$A$2:$F$301,5,FALSE),"")</f>
        <v>Retail</v>
      </c>
      <c r="P705">
        <f>IFERROR(VLOOKUP(C705,Customers!$A$2:$F$301,3,FALSE),"")</f>
        <v>63</v>
      </c>
      <c r="Q705" s="41">
        <f t="shared" si="19"/>
        <v>0.35744680851063831</v>
      </c>
      <c r="R705" t="str">
        <f>IFERROR(VLOOKUP(C705,Customers!$A$2:$F$301,1,FALSE),"")</f>
        <v>CUST-0184</v>
      </c>
      <c r="S705" s="27" t="b">
        <f>IFERROR(VLOOKUP(D705,Products!$A$2:$F$61,6,FALSE),"")</f>
        <v>0</v>
      </c>
      <c r="BL705">
        <v>0</v>
      </c>
      <c r="BO705">
        <v>0</v>
      </c>
      <c r="BP705">
        <v>1</v>
      </c>
    </row>
    <row r="706" spans="1:68" x14ac:dyDescent="0.35">
      <c r="A706" s="26" t="str">
        <f>Orders!A706</f>
        <v>ORD-00705</v>
      </c>
      <c r="B706" s="33">
        <f>Orders!B706</f>
        <v>45474</v>
      </c>
      <c r="C706" t="str">
        <f>Orders!C706</f>
        <v>CUST-0066</v>
      </c>
      <c r="D706" t="str">
        <f>Orders!D706</f>
        <v>PROD-024</v>
      </c>
      <c r="E706" t="str">
        <f>Orders!E706</f>
        <v>R019</v>
      </c>
      <c r="F706">
        <f>Orders!F706</f>
        <v>4</v>
      </c>
      <c r="G706" s="35">
        <f>Orders!G706</f>
        <v>2270</v>
      </c>
      <c r="H706" s="37">
        <f>Orders!H706</f>
        <v>17.100000000000001</v>
      </c>
      <c r="I706" s="39">
        <f>Orders!I706</f>
        <v>7527.32</v>
      </c>
      <c r="J706" t="str">
        <f>Orders!J706</f>
        <v>Completed</v>
      </c>
      <c r="K706" t="str">
        <f>Orders!K706</f>
        <v>Delhi</v>
      </c>
      <c r="L706" t="str">
        <f>IFERROR(VLOOKUP(D706,Products!$A$2:$F$61,3,FALSE),"")</f>
        <v>Grocery</v>
      </c>
      <c r="M706">
        <f>IFERROR(VLOOKUP(D706,Products!$A$2:$F$61,4,FALSE),"")</f>
        <v>1203</v>
      </c>
      <c r="N706" t="str">
        <f>IFERROR(VLOOKUP(E706,Sales_Reps!$A$2:$E$31,3,FALSE),"")</f>
        <v>East</v>
      </c>
      <c r="O706" t="str">
        <f>IFERROR(VLOOKUP(C706,Customers!$A$2:$F$301,5,FALSE),"")</f>
        <v>Retail</v>
      </c>
      <c r="P706">
        <f>IFERROR(VLOOKUP(C706,Customers!$A$2:$F$301,3,FALSE),"")</f>
        <v>24</v>
      </c>
      <c r="Q706" s="41">
        <f t="shared" ref="Q706:Q769" si="20">IFERROR((G706-M706)/G706,0)</f>
        <v>0.47004405286343615</v>
      </c>
      <c r="R706" t="str">
        <f>IFERROR(VLOOKUP(C706,Customers!$A$2:$F$301,1,FALSE),"")</f>
        <v>CUST-0066</v>
      </c>
      <c r="S706" s="27" t="b">
        <f>IFERROR(VLOOKUP(D706,Products!$A$2:$F$61,6,FALSE),"")</f>
        <v>1</v>
      </c>
      <c r="BL706">
        <v>0</v>
      </c>
      <c r="BO706">
        <v>0</v>
      </c>
      <c r="BP706">
        <v>0</v>
      </c>
    </row>
    <row r="707" spans="1:68" x14ac:dyDescent="0.35">
      <c r="A707" s="26" t="str">
        <f>Orders!A707</f>
        <v>ORD-00706</v>
      </c>
      <c r="B707" s="33">
        <f>Orders!B707</f>
        <v>45588</v>
      </c>
      <c r="C707" t="str">
        <f>Orders!C707</f>
        <v>CUST-0053</v>
      </c>
      <c r="D707" t="str">
        <f>Orders!D707</f>
        <v>PROD-021</v>
      </c>
      <c r="E707" t="str">
        <f>Orders!E707</f>
        <v>R010</v>
      </c>
      <c r="F707">
        <f>Orders!F707</f>
        <v>7</v>
      </c>
      <c r="G707" s="35">
        <f>Orders!G707</f>
        <v>2760</v>
      </c>
      <c r="H707" s="37">
        <f>Orders!H707</f>
        <v>17.100000000000001</v>
      </c>
      <c r="I707" s="39">
        <f>Orders!I707</f>
        <v>16016.28</v>
      </c>
      <c r="J707" t="str">
        <f>Orders!J707</f>
        <v>Completed</v>
      </c>
      <c r="K707" t="str">
        <f>Orders!K707</f>
        <v>Delhi</v>
      </c>
      <c r="L707" t="str">
        <f>IFERROR(VLOOKUP(D707,Products!$A$2:$F$61,3,FALSE),"")</f>
        <v>Grocery</v>
      </c>
      <c r="M707">
        <f>IFERROR(VLOOKUP(D707,Products!$A$2:$F$61,4,FALSE),"")</f>
        <v>1435</v>
      </c>
      <c r="N707" t="str">
        <f>IFERROR(VLOOKUP(E707,Sales_Reps!$A$2:$E$31,3,FALSE),"")</f>
        <v>South</v>
      </c>
      <c r="O707" t="str">
        <f>IFERROR(VLOOKUP(C707,Customers!$A$2:$F$301,5,FALSE),"")</f>
        <v>Retail</v>
      </c>
      <c r="P707">
        <f>IFERROR(VLOOKUP(C707,Customers!$A$2:$F$301,3,FALSE),"")</f>
        <v>53</v>
      </c>
      <c r="Q707" s="41">
        <f t="shared" si="20"/>
        <v>0.48007246376811596</v>
      </c>
      <c r="R707" t="str">
        <f>IFERROR(VLOOKUP(C707,Customers!$A$2:$F$301,1,FALSE),"")</f>
        <v>CUST-0053</v>
      </c>
      <c r="S707" s="27" t="b">
        <f>IFERROR(VLOOKUP(D707,Products!$A$2:$F$61,6,FALSE),"")</f>
        <v>1</v>
      </c>
      <c r="BL707">
        <v>0</v>
      </c>
      <c r="BO707">
        <v>0</v>
      </c>
      <c r="BP707">
        <v>0</v>
      </c>
    </row>
    <row r="708" spans="1:68" x14ac:dyDescent="0.35">
      <c r="A708" s="26" t="str">
        <f>Orders!A708</f>
        <v>ORD-00707</v>
      </c>
      <c r="B708" s="33">
        <f>Orders!B708</f>
        <v>45530</v>
      </c>
      <c r="C708" t="str">
        <f>Orders!C708</f>
        <v>CUST-0278</v>
      </c>
      <c r="D708" t="str">
        <f>Orders!D708</f>
        <v>PROD-051</v>
      </c>
      <c r="E708" t="str">
        <f>Orders!E708</f>
        <v>R008</v>
      </c>
      <c r="F708">
        <f>Orders!F708</f>
        <v>6</v>
      </c>
      <c r="G708" s="35">
        <f>Orders!G708</f>
        <v>3450</v>
      </c>
      <c r="H708" s="37">
        <f>Orders!H708</f>
        <v>6.6</v>
      </c>
      <c r="I708" s="39">
        <f>Orders!I708</f>
        <v>19333.8</v>
      </c>
      <c r="J708" t="str">
        <f>Orders!J708</f>
        <v>Refunded</v>
      </c>
      <c r="K708" t="str">
        <f>Orders!K708</f>
        <v>Hyderabad</v>
      </c>
      <c r="L708" t="str">
        <f>IFERROR(VLOOKUP(D708,Products!$A$2:$F$61,3,FALSE),"")</f>
        <v>Sports</v>
      </c>
      <c r="M708">
        <f>IFERROR(VLOOKUP(D708,Products!$A$2:$F$61,4,FALSE),"")</f>
        <v>2467</v>
      </c>
      <c r="N708" t="str">
        <f>IFERROR(VLOOKUP(E708,Sales_Reps!$A$2:$E$31,3,FALSE),"")</f>
        <v>North</v>
      </c>
      <c r="O708" t="str">
        <f>IFERROR(VLOOKUP(C708,Customers!$A$2:$F$301,5,FALSE),"")</f>
        <v>Retail</v>
      </c>
      <c r="P708">
        <f>IFERROR(VLOOKUP(C708,Customers!$A$2:$F$301,3,FALSE),"")</f>
        <v>41</v>
      </c>
      <c r="Q708" s="41">
        <f t="shared" si="20"/>
        <v>0.28492753623188405</v>
      </c>
      <c r="R708" t="str">
        <f>IFERROR(VLOOKUP(C708,Customers!$A$2:$F$301,1,FALSE),"")</f>
        <v>CUST-0278</v>
      </c>
      <c r="S708" s="27" t="b">
        <f>IFERROR(VLOOKUP(D708,Products!$A$2:$F$61,6,FALSE),"")</f>
        <v>1</v>
      </c>
      <c r="BL708">
        <v>0</v>
      </c>
      <c r="BO708">
        <v>0</v>
      </c>
      <c r="BP708">
        <v>0</v>
      </c>
    </row>
    <row r="709" spans="1:68" x14ac:dyDescent="0.35">
      <c r="A709" s="26" t="str">
        <f>Orders!A709</f>
        <v>ORD-00708</v>
      </c>
      <c r="B709" s="33">
        <f>Orders!B709</f>
        <v>45630</v>
      </c>
      <c r="C709" t="str">
        <f>Orders!C709</f>
        <v>CUST-0285</v>
      </c>
      <c r="D709" t="str">
        <f>Orders!D709</f>
        <v>PROD-028</v>
      </c>
      <c r="E709" t="str">
        <f>Orders!E709</f>
        <v>R007</v>
      </c>
      <c r="F709">
        <f>Orders!F709</f>
        <v>8</v>
      </c>
      <c r="G709" s="35">
        <f>Orders!G709</f>
        <v>3660</v>
      </c>
      <c r="H709" s="37">
        <f>Orders!H709</f>
        <v>7.2</v>
      </c>
      <c r="I709" s="39">
        <f>Orders!I709</f>
        <v>27171.84</v>
      </c>
      <c r="J709" t="str">
        <f>Orders!J709</f>
        <v>Completed</v>
      </c>
      <c r="K709" t="str">
        <f>Orders!K709</f>
        <v>Hyderabad</v>
      </c>
      <c r="L709" t="str">
        <f>IFERROR(VLOOKUP(D709,Products!$A$2:$F$61,3,FALSE),"")</f>
        <v>Grocery</v>
      </c>
      <c r="M709">
        <f>IFERROR(VLOOKUP(D709,Products!$A$2:$F$61,4,FALSE),"")</f>
        <v>2214</v>
      </c>
      <c r="N709" t="str">
        <f>IFERROR(VLOOKUP(E709,Sales_Reps!$A$2:$E$31,3,FALSE),"")</f>
        <v>North</v>
      </c>
      <c r="O709" t="str">
        <f>IFERROR(VLOOKUP(C709,Customers!$A$2:$F$301,5,FALSE),"")</f>
        <v>Retail</v>
      </c>
      <c r="P709">
        <f>IFERROR(VLOOKUP(C709,Customers!$A$2:$F$301,3,FALSE),"")</f>
        <v>22</v>
      </c>
      <c r="Q709" s="41">
        <f t="shared" si="20"/>
        <v>0.39508196721311473</v>
      </c>
      <c r="R709" t="str">
        <f>IFERROR(VLOOKUP(C709,Customers!$A$2:$F$301,1,FALSE),"")</f>
        <v>CUST-0285</v>
      </c>
      <c r="S709" s="27" t="b">
        <f>IFERROR(VLOOKUP(D709,Products!$A$2:$F$61,6,FALSE),"")</f>
        <v>0</v>
      </c>
      <c r="BL709">
        <v>0</v>
      </c>
      <c r="BO709">
        <v>0</v>
      </c>
      <c r="BP709">
        <v>1</v>
      </c>
    </row>
    <row r="710" spans="1:68" x14ac:dyDescent="0.35">
      <c r="A710" s="26" t="str">
        <f>Orders!A710</f>
        <v>ORD-00709</v>
      </c>
      <c r="B710" s="33">
        <f>Orders!B710</f>
        <v>45551</v>
      </c>
      <c r="C710" t="str">
        <f>Orders!C710</f>
        <v>CUST-0060</v>
      </c>
      <c r="D710" t="str">
        <f>Orders!D710</f>
        <v>PROD-009</v>
      </c>
      <c r="E710" t="str">
        <f>Orders!E710</f>
        <v>R030</v>
      </c>
      <c r="F710">
        <f>Orders!F710</f>
        <v>4</v>
      </c>
      <c r="G710" s="35">
        <f>Orders!G710</f>
        <v>1220</v>
      </c>
      <c r="H710" s="37">
        <f>Orders!H710</f>
        <v>24.3</v>
      </c>
      <c r="I710" s="39">
        <f>Orders!I710</f>
        <v>3694.16</v>
      </c>
      <c r="J710" t="str">
        <f>Orders!J710</f>
        <v>Cancelled</v>
      </c>
      <c r="K710" t="str">
        <f>Orders!K710</f>
        <v>Pune</v>
      </c>
      <c r="L710" t="str">
        <f>IFERROR(VLOOKUP(D710,Products!$A$2:$F$61,3,FALSE),"")</f>
        <v>Electronics</v>
      </c>
      <c r="M710">
        <f>IFERROR(VLOOKUP(D710,Products!$A$2:$F$61,4,FALSE),"")</f>
        <v>517</v>
      </c>
      <c r="N710" t="str">
        <f>IFERROR(VLOOKUP(E710,Sales_Reps!$A$2:$E$31,3,FALSE),"")</f>
        <v>West</v>
      </c>
      <c r="O710" t="str">
        <f>IFERROR(VLOOKUP(C710,Customers!$A$2:$F$301,5,FALSE),"")</f>
        <v>Retail</v>
      </c>
      <c r="P710">
        <f>IFERROR(VLOOKUP(C710,Customers!$A$2:$F$301,3,FALSE),"")</f>
        <v>39</v>
      </c>
      <c r="Q710" s="41">
        <f t="shared" si="20"/>
        <v>0.57622950819672136</v>
      </c>
      <c r="R710" t="str">
        <f>IFERROR(VLOOKUP(C710,Customers!$A$2:$F$301,1,FALSE),"")</f>
        <v>CUST-0060</v>
      </c>
      <c r="S710" s="27" t="b">
        <f>IFERROR(VLOOKUP(D710,Products!$A$2:$F$61,6,FALSE),"")</f>
        <v>1</v>
      </c>
      <c r="BL710">
        <v>0</v>
      </c>
      <c r="BO710">
        <v>0</v>
      </c>
      <c r="BP710">
        <v>0</v>
      </c>
    </row>
    <row r="711" spans="1:68" x14ac:dyDescent="0.35">
      <c r="A711" s="26" t="str">
        <f>Orders!A711</f>
        <v>ORD-00710</v>
      </c>
      <c r="B711" s="33">
        <f>Orders!B711</f>
        <v>45610</v>
      </c>
      <c r="C711" t="str">
        <f>Orders!C711</f>
        <v>CUST-0236</v>
      </c>
      <c r="D711" t="str">
        <f>Orders!D711</f>
        <v>PROD-052</v>
      </c>
      <c r="E711" t="str">
        <f>Orders!E711</f>
        <v>R007</v>
      </c>
      <c r="F711">
        <f>Orders!F711</f>
        <v>2</v>
      </c>
      <c r="G711" s="35">
        <f>Orders!G711</f>
        <v>5410</v>
      </c>
      <c r="H711" s="37">
        <f>Orders!H711</f>
        <v>0.9</v>
      </c>
      <c r="I711" s="39">
        <f>Orders!I711</f>
        <v>10722.62</v>
      </c>
      <c r="J711" t="str">
        <f>Orders!J711</f>
        <v>Pending</v>
      </c>
      <c r="K711" t="str">
        <f>Orders!K711</f>
        <v>Hyderabad</v>
      </c>
      <c r="L711" t="str">
        <f>IFERROR(VLOOKUP(D711,Products!$A$2:$F$61,3,FALSE),"")</f>
        <v>Sports</v>
      </c>
      <c r="M711">
        <f>IFERROR(VLOOKUP(D711,Products!$A$2:$F$61,4,FALSE),"")</f>
        <v>2265</v>
      </c>
      <c r="N711" t="str">
        <f>IFERROR(VLOOKUP(E711,Sales_Reps!$A$2:$E$31,3,FALSE),"")</f>
        <v>North</v>
      </c>
      <c r="O711" t="str">
        <f>IFERROR(VLOOKUP(C711,Customers!$A$2:$F$301,5,FALSE),"")</f>
        <v>SMB</v>
      </c>
      <c r="P711">
        <f>IFERROR(VLOOKUP(C711,Customers!$A$2:$F$301,3,FALSE),"")</f>
        <v>28</v>
      </c>
      <c r="Q711" s="41">
        <f t="shared" si="20"/>
        <v>0.58133086876155271</v>
      </c>
      <c r="R711" t="str">
        <f>IFERROR(VLOOKUP(C711,Customers!$A$2:$F$301,1,FALSE),"")</f>
        <v>CUST-0236</v>
      </c>
      <c r="S711" s="27" t="b">
        <f>IFERROR(VLOOKUP(D711,Products!$A$2:$F$61,6,FALSE),"")</f>
        <v>1</v>
      </c>
      <c r="BL711">
        <v>0</v>
      </c>
      <c r="BO711">
        <v>0</v>
      </c>
      <c r="BP711">
        <v>0</v>
      </c>
    </row>
    <row r="712" spans="1:68" x14ac:dyDescent="0.35">
      <c r="A712" s="26" t="str">
        <f>Orders!A712</f>
        <v>ORD-00711</v>
      </c>
      <c r="B712" s="33">
        <f>Orders!B712</f>
        <v>45322</v>
      </c>
      <c r="C712" t="str">
        <f>Orders!C712</f>
        <v>CUST-0106</v>
      </c>
      <c r="D712" t="str">
        <f>Orders!D712</f>
        <v>PROD-033</v>
      </c>
      <c r="E712" t="str">
        <f>Orders!E712</f>
        <v>R009</v>
      </c>
      <c r="F712">
        <f>Orders!F712</f>
        <v>5</v>
      </c>
      <c r="G712" s="35">
        <f>Orders!G712</f>
        <v>2030</v>
      </c>
      <c r="H712" s="37">
        <f>Orders!H712</f>
        <v>25.2</v>
      </c>
      <c r="I712" s="39">
        <f>Orders!I712</f>
        <v>7592.2</v>
      </c>
      <c r="J712" t="str">
        <f>Orders!J712</f>
        <v>Completed</v>
      </c>
      <c r="K712" t="str">
        <f>Orders!K712</f>
        <v>Pune</v>
      </c>
      <c r="L712" t="str">
        <f>IFERROR(VLOOKUP(D712,Products!$A$2:$F$61,3,FALSE),"")</f>
        <v>Home</v>
      </c>
      <c r="M712">
        <f>IFERROR(VLOOKUP(D712,Products!$A$2:$F$61,4,FALSE),"")</f>
        <v>1143</v>
      </c>
      <c r="N712" t="str">
        <f>IFERROR(VLOOKUP(E712,Sales_Reps!$A$2:$E$31,3,FALSE),"")</f>
        <v>South</v>
      </c>
      <c r="O712" t="str">
        <f>IFERROR(VLOOKUP(C712,Customers!$A$2:$F$301,5,FALSE),"")</f>
        <v>Retail</v>
      </c>
      <c r="P712">
        <f>IFERROR(VLOOKUP(C712,Customers!$A$2:$F$301,3,FALSE),"")</f>
        <v>22</v>
      </c>
      <c r="Q712" s="41">
        <f t="shared" si="20"/>
        <v>0.43694581280788175</v>
      </c>
      <c r="R712" t="str">
        <f>IFERROR(VLOOKUP(C712,Customers!$A$2:$F$301,1,FALSE),"")</f>
        <v>CUST-0106</v>
      </c>
      <c r="S712" s="27" t="b">
        <f>IFERROR(VLOOKUP(D712,Products!$A$2:$F$61,6,FALSE),"")</f>
        <v>1</v>
      </c>
      <c r="BL712">
        <v>0</v>
      </c>
      <c r="BO712">
        <v>0</v>
      </c>
      <c r="BP712">
        <v>0</v>
      </c>
    </row>
    <row r="713" spans="1:68" x14ac:dyDescent="0.35">
      <c r="A713" s="26" t="str">
        <f>Orders!A713</f>
        <v>ORD-00712</v>
      </c>
      <c r="B713" s="33">
        <f>Orders!B713</f>
        <v>45363</v>
      </c>
      <c r="C713" t="str">
        <f>Orders!C713</f>
        <v>CUST-0085</v>
      </c>
      <c r="D713" t="str">
        <f>Orders!D713</f>
        <v>PROD-009</v>
      </c>
      <c r="E713" t="str">
        <f>Orders!E713</f>
        <v>R012</v>
      </c>
      <c r="F713">
        <f>Orders!F713</f>
        <v>5</v>
      </c>
      <c r="G713" s="35">
        <f>Orders!G713</f>
        <v>1220</v>
      </c>
      <c r="H713" s="37">
        <f>Orders!H713</f>
        <v>2.6</v>
      </c>
      <c r="I713" s="39">
        <f>Orders!I713</f>
        <v>5941.4</v>
      </c>
      <c r="J713" t="str">
        <f>Orders!J713</f>
        <v>Completed</v>
      </c>
      <c r="K713" t="str">
        <f>Orders!K713</f>
        <v>Chennai</v>
      </c>
      <c r="L713" t="str">
        <f>IFERROR(VLOOKUP(D713,Products!$A$2:$F$61,3,FALSE),"")</f>
        <v>Electronics</v>
      </c>
      <c r="M713">
        <f>IFERROR(VLOOKUP(D713,Products!$A$2:$F$61,4,FALSE),"")</f>
        <v>517</v>
      </c>
      <c r="N713" t="str">
        <f>IFERROR(VLOOKUP(E713,Sales_Reps!$A$2:$E$31,3,FALSE),"")</f>
        <v>South</v>
      </c>
      <c r="O713" t="str">
        <f>IFERROR(VLOOKUP(C713,Customers!$A$2:$F$301,5,FALSE),"")</f>
        <v>Retail</v>
      </c>
      <c r="P713">
        <f>IFERROR(VLOOKUP(C713,Customers!$A$2:$F$301,3,FALSE),"")</f>
        <v>26</v>
      </c>
      <c r="Q713" s="41">
        <f t="shared" si="20"/>
        <v>0.57622950819672136</v>
      </c>
      <c r="R713" t="str">
        <f>IFERROR(VLOOKUP(C713,Customers!$A$2:$F$301,1,FALSE),"")</f>
        <v>CUST-0085</v>
      </c>
      <c r="S713" s="27" t="b">
        <f>IFERROR(VLOOKUP(D713,Products!$A$2:$F$61,6,FALSE),"")</f>
        <v>1</v>
      </c>
      <c r="BL713">
        <v>0</v>
      </c>
      <c r="BO713">
        <v>0</v>
      </c>
      <c r="BP713">
        <v>0</v>
      </c>
    </row>
    <row r="714" spans="1:68" x14ac:dyDescent="0.35">
      <c r="A714" s="26" t="str">
        <f>Orders!A714</f>
        <v>ORD-00713</v>
      </c>
      <c r="B714" s="33">
        <f>Orders!B714</f>
        <v>45600</v>
      </c>
      <c r="C714" t="str">
        <f>Orders!C714</f>
        <v>CUST-0075</v>
      </c>
      <c r="D714" t="str">
        <f>Orders!D714</f>
        <v>PROD-008</v>
      </c>
      <c r="E714" t="str">
        <f>Orders!E714</f>
        <v>R006</v>
      </c>
      <c r="F714">
        <f>Orders!F714</f>
        <v>4</v>
      </c>
      <c r="G714" s="35">
        <f>Orders!G714</f>
        <v>2660</v>
      </c>
      <c r="H714" s="37">
        <f>Orders!H714</f>
        <v>19.100000000000001</v>
      </c>
      <c r="I714" s="39">
        <f>Orders!I714</f>
        <v>8607.76</v>
      </c>
      <c r="J714" t="str">
        <f>Orders!J714</f>
        <v>Refunded</v>
      </c>
      <c r="K714" t="str">
        <f>Orders!K714</f>
        <v>Mumbai</v>
      </c>
      <c r="L714" t="str">
        <f>IFERROR(VLOOKUP(D714,Products!$A$2:$F$61,3,FALSE),"")</f>
        <v>Electronics</v>
      </c>
      <c r="M714">
        <f>IFERROR(VLOOKUP(D714,Products!$A$2:$F$61,4,FALSE),"")</f>
        <v>1259</v>
      </c>
      <c r="N714" t="str">
        <f>IFERROR(VLOOKUP(E714,Sales_Reps!$A$2:$E$31,3,FALSE),"")</f>
        <v>North</v>
      </c>
      <c r="O714" t="str">
        <f>IFERROR(VLOOKUP(C714,Customers!$A$2:$F$301,5,FALSE),"")</f>
        <v>Corporate</v>
      </c>
      <c r="P714">
        <f>IFERROR(VLOOKUP(C714,Customers!$A$2:$F$301,3,FALSE),"")</f>
        <v>55</v>
      </c>
      <c r="Q714" s="41">
        <f t="shared" si="20"/>
        <v>0.52669172932330832</v>
      </c>
      <c r="R714" t="str">
        <f>IFERROR(VLOOKUP(C714,Customers!$A$2:$F$301,1,FALSE),"")</f>
        <v>CUST-0075</v>
      </c>
      <c r="S714" s="27" t="b">
        <f>IFERROR(VLOOKUP(D714,Products!$A$2:$F$61,6,FALSE),"")</f>
        <v>0</v>
      </c>
      <c r="BL714">
        <v>0</v>
      </c>
      <c r="BO714">
        <v>0</v>
      </c>
      <c r="BP714">
        <v>1</v>
      </c>
    </row>
    <row r="715" spans="1:68" x14ac:dyDescent="0.35">
      <c r="A715" s="26" t="str">
        <f>Orders!A715</f>
        <v>ORD-00714</v>
      </c>
      <c r="B715" s="33">
        <f>Orders!B715</f>
        <v>45351</v>
      </c>
      <c r="C715" t="str">
        <f>Orders!C715</f>
        <v>CUST-0169</v>
      </c>
      <c r="D715" t="str">
        <f>Orders!D715</f>
        <v>PROD-026</v>
      </c>
      <c r="E715" t="str">
        <f>Orders!E715</f>
        <v>R016</v>
      </c>
      <c r="F715">
        <f>Orders!F715</f>
        <v>3</v>
      </c>
      <c r="G715" s="35">
        <f>Orders!G715</f>
        <v>4070</v>
      </c>
      <c r="H715" s="37">
        <f>Orders!H715</f>
        <v>25.2</v>
      </c>
      <c r="I715" s="39">
        <f>Orders!I715</f>
        <v>9133.08</v>
      </c>
      <c r="J715" t="str">
        <f>Orders!J715</f>
        <v>Completed</v>
      </c>
      <c r="K715" t="str">
        <f>Orders!K715</f>
        <v>Bengaluru</v>
      </c>
      <c r="L715" t="str">
        <f>IFERROR(VLOOKUP(D715,Products!$A$2:$F$61,3,FALSE),"")</f>
        <v>Grocery</v>
      </c>
      <c r="M715">
        <f>IFERROR(VLOOKUP(D715,Products!$A$2:$F$61,4,FALSE),"")</f>
        <v>2027</v>
      </c>
      <c r="N715" t="str">
        <f>IFERROR(VLOOKUP(E715,Sales_Reps!$A$2:$E$31,3,FALSE),"")</f>
        <v>South</v>
      </c>
      <c r="O715" t="str">
        <f>IFERROR(VLOOKUP(C715,Customers!$A$2:$F$301,5,FALSE),"")</f>
        <v>SMB</v>
      </c>
      <c r="P715">
        <f>IFERROR(VLOOKUP(C715,Customers!$A$2:$F$301,3,FALSE),"")</f>
        <v>42</v>
      </c>
      <c r="Q715" s="41">
        <f t="shared" si="20"/>
        <v>0.50196560196560192</v>
      </c>
      <c r="R715" t="str">
        <f>IFERROR(VLOOKUP(C715,Customers!$A$2:$F$301,1,FALSE),"")</f>
        <v>CUST-0169</v>
      </c>
      <c r="S715" s="27" t="b">
        <f>IFERROR(VLOOKUP(D715,Products!$A$2:$F$61,6,FALSE),"")</f>
        <v>1</v>
      </c>
      <c r="BL715">
        <v>0</v>
      </c>
      <c r="BO715">
        <v>0</v>
      </c>
      <c r="BP715">
        <v>0</v>
      </c>
    </row>
    <row r="716" spans="1:68" x14ac:dyDescent="0.35">
      <c r="A716" s="26" t="str">
        <f>Orders!A716</f>
        <v>ORD-00715</v>
      </c>
      <c r="B716" s="33">
        <f>Orders!B716</f>
        <v>45461</v>
      </c>
      <c r="C716" t="str">
        <f>Orders!C716</f>
        <v>CUST-0166</v>
      </c>
      <c r="D716" t="str">
        <f>Orders!D716</f>
        <v>PROD-049</v>
      </c>
      <c r="E716" t="str">
        <f>Orders!E716</f>
        <v>R014</v>
      </c>
      <c r="F716">
        <f>Orders!F716</f>
        <v>10</v>
      </c>
      <c r="G716" s="35">
        <f>Orders!G716</f>
        <v>960</v>
      </c>
      <c r="H716" s="37">
        <f>Orders!H716</f>
        <v>0.3</v>
      </c>
      <c r="I716" s="39">
        <f>Orders!I716</f>
        <v>9571.2000000000007</v>
      </c>
      <c r="J716" t="str">
        <f>Orders!J716</f>
        <v>Completed</v>
      </c>
      <c r="K716" t="str">
        <f>Orders!K716</f>
        <v>Hyderabad</v>
      </c>
      <c r="L716" t="str">
        <f>IFERROR(VLOOKUP(D716,Products!$A$2:$F$61,3,FALSE),"")</f>
        <v>Beauty</v>
      </c>
      <c r="M716">
        <f>IFERROR(VLOOKUP(D716,Products!$A$2:$F$61,4,FALSE),"")</f>
        <v>675</v>
      </c>
      <c r="N716" t="str">
        <f>IFERROR(VLOOKUP(E716,Sales_Reps!$A$2:$E$31,3,FALSE),"")</f>
        <v>South</v>
      </c>
      <c r="O716" t="str">
        <f>IFERROR(VLOOKUP(C716,Customers!$A$2:$F$301,5,FALSE),"")</f>
        <v>Retail</v>
      </c>
      <c r="P716">
        <f>IFERROR(VLOOKUP(C716,Customers!$A$2:$F$301,3,FALSE),"")</f>
        <v>31</v>
      </c>
      <c r="Q716" s="41">
        <f t="shared" si="20"/>
        <v>0.296875</v>
      </c>
      <c r="R716" t="str">
        <f>IFERROR(VLOOKUP(C716,Customers!$A$2:$F$301,1,FALSE),"")</f>
        <v>CUST-0166</v>
      </c>
      <c r="S716" s="27" t="b">
        <f>IFERROR(VLOOKUP(D716,Products!$A$2:$F$61,6,FALSE),"")</f>
        <v>1</v>
      </c>
      <c r="BL716">
        <v>0</v>
      </c>
      <c r="BO716">
        <v>0</v>
      </c>
      <c r="BP716">
        <v>0</v>
      </c>
    </row>
    <row r="717" spans="1:68" x14ac:dyDescent="0.35">
      <c r="A717" s="26" t="str">
        <f>Orders!A717</f>
        <v>ORD-00716</v>
      </c>
      <c r="B717" s="33">
        <f>Orders!B717</f>
        <v>45431</v>
      </c>
      <c r="C717" t="str">
        <f>Orders!C717</f>
        <v>CUST-0065</v>
      </c>
      <c r="D717" t="str">
        <f>Orders!D717</f>
        <v>PROD-031</v>
      </c>
      <c r="E717" t="str">
        <f>Orders!E717</f>
        <v>R029</v>
      </c>
      <c r="F717">
        <f>Orders!F717</f>
        <v>2</v>
      </c>
      <c r="G717" s="35">
        <f>Orders!G717</f>
        <v>3730</v>
      </c>
      <c r="H717" s="37">
        <f>Orders!H717</f>
        <v>29.9</v>
      </c>
      <c r="I717" s="39">
        <f>Orders!I717</f>
        <v>5229.46</v>
      </c>
      <c r="J717" t="str">
        <f>Orders!J717</f>
        <v>Completed</v>
      </c>
      <c r="K717" t="str">
        <f>Orders!K717</f>
        <v>Chennai</v>
      </c>
      <c r="L717" t="str">
        <f>IFERROR(VLOOKUP(D717,Products!$A$2:$F$61,3,FALSE),"")</f>
        <v>Home</v>
      </c>
      <c r="M717">
        <f>IFERROR(VLOOKUP(D717,Products!$A$2:$F$61,4,FALSE),"")</f>
        <v>2135</v>
      </c>
      <c r="N717" t="str">
        <f>IFERROR(VLOOKUP(E717,Sales_Reps!$A$2:$E$31,3,FALSE),"")</f>
        <v>West</v>
      </c>
      <c r="O717" t="str">
        <f>IFERROR(VLOOKUP(C717,Customers!$A$2:$F$301,5,FALSE),"")</f>
        <v>Corporate</v>
      </c>
      <c r="P717">
        <f>IFERROR(VLOOKUP(C717,Customers!$A$2:$F$301,3,FALSE),"")</f>
        <v>49</v>
      </c>
      <c r="Q717" s="41">
        <f t="shared" si="20"/>
        <v>0.42761394101876676</v>
      </c>
      <c r="R717" t="str">
        <f>IFERROR(VLOOKUP(C717,Customers!$A$2:$F$301,1,FALSE),"")</f>
        <v>CUST-0065</v>
      </c>
      <c r="S717" s="27" t="b">
        <f>IFERROR(VLOOKUP(D717,Products!$A$2:$F$61,6,FALSE),"")</f>
        <v>1</v>
      </c>
      <c r="BL717">
        <v>0</v>
      </c>
      <c r="BO717">
        <v>0</v>
      </c>
      <c r="BP717">
        <v>0</v>
      </c>
    </row>
    <row r="718" spans="1:68" x14ac:dyDescent="0.35">
      <c r="A718" s="26" t="str">
        <f>Orders!A718</f>
        <v>ORD-00717</v>
      </c>
      <c r="B718" s="33">
        <f>Orders!B718</f>
        <v>45592</v>
      </c>
      <c r="C718" t="str">
        <f>Orders!C718</f>
        <v>CUST-0102</v>
      </c>
      <c r="D718" t="str">
        <f>Orders!D718</f>
        <v>PROD-057</v>
      </c>
      <c r="E718" t="str">
        <f>Orders!E718</f>
        <v>R004</v>
      </c>
      <c r="F718">
        <f>Orders!F718</f>
        <v>9</v>
      </c>
      <c r="G718" s="35">
        <f>Orders!G718</f>
        <v>960</v>
      </c>
      <c r="H718" s="37">
        <f>Orders!H718</f>
        <v>1.9</v>
      </c>
      <c r="I718" s="39">
        <f>Orders!I718</f>
        <v>8475.84</v>
      </c>
      <c r="J718" t="str">
        <f>Orders!J718</f>
        <v>Completed</v>
      </c>
      <c r="K718" t="str">
        <f>Orders!K718</f>
        <v>Chennai</v>
      </c>
      <c r="L718" t="str">
        <f>IFERROR(VLOOKUP(D718,Products!$A$2:$F$61,3,FALSE),"")</f>
        <v>Sports</v>
      </c>
      <c r="M718">
        <f>IFERROR(VLOOKUP(D718,Products!$A$2:$F$61,4,FALSE),"")</f>
        <v>705</v>
      </c>
      <c r="N718" t="str">
        <f>IFERROR(VLOOKUP(E718,Sales_Reps!$A$2:$E$31,3,FALSE),"")</f>
        <v>North</v>
      </c>
      <c r="O718" t="str">
        <f>IFERROR(VLOOKUP(C718,Customers!$A$2:$F$301,5,FALSE),"")</f>
        <v>SMB</v>
      </c>
      <c r="P718">
        <f>IFERROR(VLOOKUP(C718,Customers!$A$2:$F$301,3,FALSE),"")</f>
        <v>62</v>
      </c>
      <c r="Q718" s="41">
        <f t="shared" si="20"/>
        <v>0.265625</v>
      </c>
      <c r="R718" t="str">
        <f>IFERROR(VLOOKUP(C718,Customers!$A$2:$F$301,1,FALSE),"")</f>
        <v>CUST-0102</v>
      </c>
      <c r="S718" s="27" t="b">
        <f>IFERROR(VLOOKUP(D718,Products!$A$2:$F$61,6,FALSE),"")</f>
        <v>1</v>
      </c>
      <c r="BL718">
        <v>0</v>
      </c>
      <c r="BO718">
        <v>0</v>
      </c>
      <c r="BP718">
        <v>0</v>
      </c>
    </row>
    <row r="719" spans="1:68" x14ac:dyDescent="0.35">
      <c r="A719" s="26" t="str">
        <f>Orders!A719</f>
        <v>ORD-00718</v>
      </c>
      <c r="B719" s="33">
        <f>Orders!B719</f>
        <v>45454</v>
      </c>
      <c r="C719" t="str">
        <f>Orders!C719</f>
        <v>CUST-0052</v>
      </c>
      <c r="D719" t="str">
        <f>Orders!D719</f>
        <v>PROD-011</v>
      </c>
      <c r="E719" t="str">
        <f>Orders!E719</f>
        <v>R004</v>
      </c>
      <c r="F719">
        <f>Orders!F719</f>
        <v>2</v>
      </c>
      <c r="G719" s="35">
        <f>Orders!G719</f>
        <v>3450</v>
      </c>
      <c r="H719" s="37">
        <f>Orders!H719</f>
        <v>22.9</v>
      </c>
      <c r="I719" s="39">
        <f>Orders!I719</f>
        <v>5319.9</v>
      </c>
      <c r="J719" t="str">
        <f>Orders!J719</f>
        <v>Pending</v>
      </c>
      <c r="K719" t="str">
        <f>Orders!K719</f>
        <v>Pune</v>
      </c>
      <c r="L719" t="str">
        <f>IFERROR(VLOOKUP(D719,Products!$A$2:$F$61,3,FALSE),"")</f>
        <v>Apparel</v>
      </c>
      <c r="M719">
        <f>IFERROR(VLOOKUP(D719,Products!$A$2:$F$61,4,FALSE),"")</f>
        <v>1748</v>
      </c>
      <c r="N719" t="str">
        <f>IFERROR(VLOOKUP(E719,Sales_Reps!$A$2:$E$31,3,FALSE),"")</f>
        <v>North</v>
      </c>
      <c r="O719" t="str">
        <f>IFERROR(VLOOKUP(C719,Customers!$A$2:$F$301,5,FALSE),"")</f>
        <v>Retail</v>
      </c>
      <c r="P719">
        <f>IFERROR(VLOOKUP(C719,Customers!$A$2:$F$301,3,FALSE),"")</f>
        <v>38</v>
      </c>
      <c r="Q719" s="41">
        <f t="shared" si="20"/>
        <v>0.49333333333333335</v>
      </c>
      <c r="R719" t="str">
        <f>IFERROR(VLOOKUP(C719,Customers!$A$2:$F$301,1,FALSE),"")</f>
        <v>CUST-0052</v>
      </c>
      <c r="S719" s="27" t="b">
        <f>IFERROR(VLOOKUP(D719,Products!$A$2:$F$61,6,FALSE),"")</f>
        <v>1</v>
      </c>
      <c r="BL719">
        <v>0</v>
      </c>
      <c r="BO719">
        <v>0</v>
      </c>
      <c r="BP719">
        <v>0</v>
      </c>
    </row>
    <row r="720" spans="1:68" x14ac:dyDescent="0.35">
      <c r="A720" s="26" t="str">
        <f>Orders!A720</f>
        <v>ORD-00719</v>
      </c>
      <c r="B720" s="33">
        <f>Orders!B720</f>
        <v>45616</v>
      </c>
      <c r="C720" t="str">
        <f>Orders!C720</f>
        <v>CUST-0130</v>
      </c>
      <c r="D720" t="str">
        <f>Orders!D720</f>
        <v>PROD-052</v>
      </c>
      <c r="E720" t="str">
        <f>Orders!E720</f>
        <v>R010</v>
      </c>
      <c r="F720">
        <f>Orders!F720</f>
        <v>3</v>
      </c>
      <c r="G720" s="35">
        <f>Orders!G720</f>
        <v>5410</v>
      </c>
      <c r="H720" s="37">
        <f>Orders!H720</f>
        <v>15.5</v>
      </c>
      <c r="I720" s="39">
        <f>Orders!I720</f>
        <v>13714.35</v>
      </c>
      <c r="J720" t="str">
        <f>Orders!J720</f>
        <v>Completed</v>
      </c>
      <c r="K720" t="str">
        <f>Orders!K720</f>
        <v>Bengaluru</v>
      </c>
      <c r="L720" t="str">
        <f>IFERROR(VLOOKUP(D720,Products!$A$2:$F$61,3,FALSE),"")</f>
        <v>Sports</v>
      </c>
      <c r="M720">
        <f>IFERROR(VLOOKUP(D720,Products!$A$2:$F$61,4,FALSE),"")</f>
        <v>2265</v>
      </c>
      <c r="N720" t="str">
        <f>IFERROR(VLOOKUP(E720,Sales_Reps!$A$2:$E$31,3,FALSE),"")</f>
        <v>South</v>
      </c>
      <c r="O720" t="str">
        <f>IFERROR(VLOOKUP(C720,Customers!$A$2:$F$301,5,FALSE),"")</f>
        <v>Corporate</v>
      </c>
      <c r="P720">
        <f>IFERROR(VLOOKUP(C720,Customers!$A$2:$F$301,3,FALSE),"")</f>
        <v>41</v>
      </c>
      <c r="Q720" s="41">
        <f t="shared" si="20"/>
        <v>0.58133086876155271</v>
      </c>
      <c r="R720" t="str">
        <f>IFERROR(VLOOKUP(C720,Customers!$A$2:$F$301,1,FALSE),"")</f>
        <v>CUST-0130</v>
      </c>
      <c r="S720" s="27" t="b">
        <f>IFERROR(VLOOKUP(D720,Products!$A$2:$F$61,6,FALSE),"")</f>
        <v>1</v>
      </c>
      <c r="BL720">
        <v>0</v>
      </c>
      <c r="BO720">
        <v>0</v>
      </c>
      <c r="BP720">
        <v>0</v>
      </c>
    </row>
    <row r="721" spans="1:68" x14ac:dyDescent="0.35">
      <c r="A721" s="26" t="str">
        <f>Orders!A721</f>
        <v>ORD-00720</v>
      </c>
      <c r="B721" s="33">
        <f>Orders!B721</f>
        <v>45448</v>
      </c>
      <c r="C721" t="str">
        <f>Orders!C721</f>
        <v>CUST-0284</v>
      </c>
      <c r="D721" t="str">
        <f>Orders!D721</f>
        <v>PROD-043</v>
      </c>
      <c r="E721" t="str">
        <f>Orders!E721</f>
        <v>R019</v>
      </c>
      <c r="F721">
        <f>Orders!F721</f>
        <v>8</v>
      </c>
      <c r="G721" s="35">
        <f>Orders!G721</f>
        <v>3350</v>
      </c>
      <c r="H721" s="37">
        <f>Orders!H721</f>
        <v>18.399999999999999</v>
      </c>
      <c r="I721" s="39">
        <f>Orders!I721</f>
        <v>21868.799999999999</v>
      </c>
      <c r="J721" t="str">
        <f>Orders!J721</f>
        <v>Completed</v>
      </c>
      <c r="K721" t="str">
        <f>Orders!K721</f>
        <v>Hyderabad</v>
      </c>
      <c r="L721" t="str">
        <f>IFERROR(VLOOKUP(D721,Products!$A$2:$F$61,3,FALSE),"")</f>
        <v>Beauty</v>
      </c>
      <c r="M721">
        <f>IFERROR(VLOOKUP(D721,Products!$A$2:$F$61,4,FALSE),"")</f>
        <v>1728</v>
      </c>
      <c r="N721" t="str">
        <f>IFERROR(VLOOKUP(E721,Sales_Reps!$A$2:$E$31,3,FALSE),"")</f>
        <v>East</v>
      </c>
      <c r="O721" t="str">
        <f>IFERROR(VLOOKUP(C721,Customers!$A$2:$F$301,5,FALSE),"")</f>
        <v>SMB</v>
      </c>
      <c r="P721">
        <f>IFERROR(VLOOKUP(C721,Customers!$A$2:$F$301,3,FALSE),"")</f>
        <v>65</v>
      </c>
      <c r="Q721" s="41">
        <f t="shared" si="20"/>
        <v>0.48417910447761192</v>
      </c>
      <c r="R721" t="str">
        <f>IFERROR(VLOOKUP(C721,Customers!$A$2:$F$301,1,FALSE),"")</f>
        <v>CUST-0284</v>
      </c>
      <c r="S721" s="27" t="b">
        <f>IFERROR(VLOOKUP(D721,Products!$A$2:$F$61,6,FALSE),"")</f>
        <v>1</v>
      </c>
      <c r="BL721">
        <v>0</v>
      </c>
      <c r="BO721">
        <v>0</v>
      </c>
      <c r="BP721">
        <v>0</v>
      </c>
    </row>
    <row r="722" spans="1:68" x14ac:dyDescent="0.35">
      <c r="A722" s="26" t="str">
        <f>Orders!A722</f>
        <v>ORD-00721</v>
      </c>
      <c r="B722" s="33">
        <f>Orders!B722</f>
        <v>45611</v>
      </c>
      <c r="C722" t="str">
        <f>Orders!C722</f>
        <v>CUST-0053</v>
      </c>
      <c r="D722" t="str">
        <f>Orders!D722</f>
        <v>PROD-015</v>
      </c>
      <c r="E722" t="str">
        <f>Orders!E722</f>
        <v>R008</v>
      </c>
      <c r="F722">
        <f>Orders!F722</f>
        <v>5</v>
      </c>
      <c r="G722" s="35">
        <f>Orders!G722</f>
        <v>2720</v>
      </c>
      <c r="H722" s="37">
        <f>Orders!H722</f>
        <v>17.3</v>
      </c>
      <c r="I722" s="39">
        <f>Orders!I722</f>
        <v>11247.2</v>
      </c>
      <c r="J722" t="str">
        <f>Orders!J722</f>
        <v>Cancelled</v>
      </c>
      <c r="K722" t="str">
        <f>Orders!K722</f>
        <v>Delhi</v>
      </c>
      <c r="L722" t="str">
        <f>IFERROR(VLOOKUP(D722,Products!$A$2:$F$61,3,FALSE),"")</f>
        <v>Apparel</v>
      </c>
      <c r="M722">
        <f>IFERROR(VLOOKUP(D722,Products!$A$2:$F$61,4,FALSE),"")</f>
        <v>1962</v>
      </c>
      <c r="N722" t="str">
        <f>IFERROR(VLOOKUP(E722,Sales_Reps!$A$2:$E$31,3,FALSE),"")</f>
        <v>North</v>
      </c>
      <c r="O722" t="str">
        <f>IFERROR(VLOOKUP(C722,Customers!$A$2:$F$301,5,FALSE),"")</f>
        <v>Retail</v>
      </c>
      <c r="P722">
        <f>IFERROR(VLOOKUP(C722,Customers!$A$2:$F$301,3,FALSE),"")</f>
        <v>53</v>
      </c>
      <c r="Q722" s="41">
        <f t="shared" si="20"/>
        <v>0.2786764705882353</v>
      </c>
      <c r="R722" t="str">
        <f>IFERROR(VLOOKUP(C722,Customers!$A$2:$F$301,1,FALSE),"")</f>
        <v>CUST-0053</v>
      </c>
      <c r="S722" s="27" t="b">
        <f>IFERROR(VLOOKUP(D722,Products!$A$2:$F$61,6,FALSE),"")</f>
        <v>1</v>
      </c>
      <c r="BL722">
        <v>0</v>
      </c>
      <c r="BO722">
        <v>0</v>
      </c>
      <c r="BP722">
        <v>0</v>
      </c>
    </row>
    <row r="723" spans="1:68" x14ac:dyDescent="0.35">
      <c r="A723" s="26" t="str">
        <f>Orders!A723</f>
        <v>ORD-00722</v>
      </c>
      <c r="B723" s="33">
        <f>Orders!B723</f>
        <v>45403</v>
      </c>
      <c r="C723" t="str">
        <f>Orders!C723</f>
        <v>CUST-0293</v>
      </c>
      <c r="D723" t="str">
        <f>Orders!D723</f>
        <v>PROD-028</v>
      </c>
      <c r="E723" t="str">
        <f>Orders!E723</f>
        <v>R017</v>
      </c>
      <c r="F723">
        <f>Orders!F723</f>
        <v>8</v>
      </c>
      <c r="G723" s="35">
        <f>Orders!G723</f>
        <v>3660</v>
      </c>
      <c r="H723" s="37">
        <f>Orders!H723</f>
        <v>28.8</v>
      </c>
      <c r="I723" s="39">
        <f>Orders!I723</f>
        <v>20847.36</v>
      </c>
      <c r="J723" t="str">
        <f>Orders!J723</f>
        <v>Completed</v>
      </c>
      <c r="K723" t="str">
        <f>Orders!K723</f>
        <v>Bengaluru</v>
      </c>
      <c r="L723" t="str">
        <f>IFERROR(VLOOKUP(D723,Products!$A$2:$F$61,3,FALSE),"")</f>
        <v>Grocery</v>
      </c>
      <c r="M723">
        <f>IFERROR(VLOOKUP(D723,Products!$A$2:$F$61,4,FALSE),"")</f>
        <v>2214</v>
      </c>
      <c r="N723" t="str">
        <f>IFERROR(VLOOKUP(E723,Sales_Reps!$A$2:$E$31,3,FALSE),"")</f>
        <v>East</v>
      </c>
      <c r="O723" t="str">
        <f>IFERROR(VLOOKUP(C723,Customers!$A$2:$F$301,5,FALSE),"")</f>
        <v>Retail</v>
      </c>
      <c r="P723">
        <f>IFERROR(VLOOKUP(C723,Customers!$A$2:$F$301,3,FALSE),"")</f>
        <v>27</v>
      </c>
      <c r="Q723" s="41">
        <f t="shared" si="20"/>
        <v>0.39508196721311473</v>
      </c>
      <c r="R723" t="str">
        <f>IFERROR(VLOOKUP(C723,Customers!$A$2:$F$301,1,FALSE),"")</f>
        <v>CUST-0293</v>
      </c>
      <c r="S723" s="27" t="b">
        <f>IFERROR(VLOOKUP(D723,Products!$A$2:$F$61,6,FALSE),"")</f>
        <v>0</v>
      </c>
      <c r="BL723">
        <v>0</v>
      </c>
      <c r="BO723">
        <v>0</v>
      </c>
      <c r="BP723">
        <v>1</v>
      </c>
    </row>
    <row r="724" spans="1:68" x14ac:dyDescent="0.35">
      <c r="A724" s="26" t="str">
        <f>Orders!A724</f>
        <v>ORD-00723</v>
      </c>
      <c r="B724" s="33">
        <f>Orders!B724</f>
        <v>45530</v>
      </c>
      <c r="C724" t="str">
        <f>Orders!C724</f>
        <v>CUST-0242</v>
      </c>
      <c r="D724" t="str">
        <f>Orders!D724</f>
        <v>PROD-005</v>
      </c>
      <c r="E724" t="str">
        <f>Orders!E724</f>
        <v>R013</v>
      </c>
      <c r="F724">
        <f>Orders!F724</f>
        <v>6</v>
      </c>
      <c r="G724" s="35">
        <f>Orders!G724</f>
        <v>300</v>
      </c>
      <c r="H724" s="37">
        <f>Orders!H724</f>
        <v>23.9</v>
      </c>
      <c r="I724" s="39">
        <f>Orders!I724</f>
        <v>1369.8</v>
      </c>
      <c r="J724" t="str">
        <f>Orders!J724</f>
        <v>Cancelled</v>
      </c>
      <c r="K724" t="str">
        <f>Orders!K724</f>
        <v>Chennai</v>
      </c>
      <c r="L724" t="str">
        <f>IFERROR(VLOOKUP(D724,Products!$A$2:$F$61,3,FALSE),"")</f>
        <v>Electronics</v>
      </c>
      <c r="M724">
        <f>IFERROR(VLOOKUP(D724,Products!$A$2:$F$61,4,FALSE),"")</f>
        <v>128</v>
      </c>
      <c r="N724" t="str">
        <f>IFERROR(VLOOKUP(E724,Sales_Reps!$A$2:$E$31,3,FALSE),"")</f>
        <v>South</v>
      </c>
      <c r="O724" t="str">
        <f>IFERROR(VLOOKUP(C724,Customers!$A$2:$F$301,5,FALSE),"")</f>
        <v>SMB</v>
      </c>
      <c r="P724">
        <f>IFERROR(VLOOKUP(C724,Customers!$A$2:$F$301,3,FALSE),"")</f>
        <v>59</v>
      </c>
      <c r="Q724" s="41">
        <f t="shared" si="20"/>
        <v>0.57333333333333336</v>
      </c>
      <c r="R724" t="str">
        <f>IFERROR(VLOOKUP(C724,Customers!$A$2:$F$301,1,FALSE),"")</f>
        <v>CUST-0242</v>
      </c>
      <c r="S724" s="27" t="b">
        <f>IFERROR(VLOOKUP(D724,Products!$A$2:$F$61,6,FALSE),"")</f>
        <v>1</v>
      </c>
      <c r="BL724">
        <v>0</v>
      </c>
      <c r="BO724">
        <v>0</v>
      </c>
      <c r="BP724">
        <v>0</v>
      </c>
    </row>
    <row r="725" spans="1:68" x14ac:dyDescent="0.35">
      <c r="A725" s="26" t="str">
        <f>Orders!A725</f>
        <v>ORD-00724</v>
      </c>
      <c r="B725" s="33">
        <f>Orders!B725</f>
        <v>45548</v>
      </c>
      <c r="C725" t="str">
        <f>Orders!C725</f>
        <v>CUST-0226</v>
      </c>
      <c r="D725" t="str">
        <f>Orders!D725</f>
        <v>PROD-042</v>
      </c>
      <c r="E725" t="str">
        <f>Orders!E725</f>
        <v>R026</v>
      </c>
      <c r="F725">
        <f>Orders!F725</f>
        <v>3</v>
      </c>
      <c r="G725" s="35">
        <f>Orders!G725</f>
        <v>2290</v>
      </c>
      <c r="H725" s="37">
        <f>Orders!H725</f>
        <v>2.4</v>
      </c>
      <c r="I725" s="39">
        <f>Orders!I725</f>
        <v>6705.12</v>
      </c>
      <c r="J725" t="str">
        <f>Orders!J725</f>
        <v>Completed</v>
      </c>
      <c r="K725" t="str">
        <f>Orders!K725</f>
        <v>Chennai</v>
      </c>
      <c r="L725" t="str">
        <f>IFERROR(VLOOKUP(D725,Products!$A$2:$F$61,3,FALSE),"")</f>
        <v>Beauty</v>
      </c>
      <c r="M725">
        <f>IFERROR(VLOOKUP(D725,Products!$A$2:$F$61,4,FALSE),"")</f>
        <v>1219</v>
      </c>
      <c r="N725" t="str">
        <f>IFERROR(VLOOKUP(E725,Sales_Reps!$A$2:$E$31,3,FALSE),"")</f>
        <v>West</v>
      </c>
      <c r="O725" t="str">
        <f>IFERROR(VLOOKUP(C725,Customers!$A$2:$F$301,5,FALSE),"")</f>
        <v>Corporate</v>
      </c>
      <c r="P725">
        <f>IFERROR(VLOOKUP(C725,Customers!$A$2:$F$301,3,FALSE),"")</f>
        <v>52</v>
      </c>
      <c r="Q725" s="41">
        <f t="shared" si="20"/>
        <v>0.46768558951965067</v>
      </c>
      <c r="R725" t="str">
        <f>IFERROR(VLOOKUP(C725,Customers!$A$2:$F$301,1,FALSE),"")</f>
        <v>CUST-0226</v>
      </c>
      <c r="S725" s="27" t="b">
        <f>IFERROR(VLOOKUP(D725,Products!$A$2:$F$61,6,FALSE),"")</f>
        <v>1</v>
      </c>
      <c r="BL725">
        <v>0</v>
      </c>
      <c r="BO725">
        <v>0</v>
      </c>
      <c r="BP725">
        <v>0</v>
      </c>
    </row>
    <row r="726" spans="1:68" x14ac:dyDescent="0.35">
      <c r="A726" s="26" t="str">
        <f>Orders!A726</f>
        <v>ORD-00725</v>
      </c>
      <c r="B726" s="33">
        <f>Orders!B726</f>
        <v>45403</v>
      </c>
      <c r="C726" t="str">
        <f>Orders!C726</f>
        <v>CUST-0005</v>
      </c>
      <c r="D726" t="str">
        <f>Orders!D726</f>
        <v>PROD-046</v>
      </c>
      <c r="E726" t="str">
        <f>Orders!E726</f>
        <v>R014</v>
      </c>
      <c r="F726">
        <f>Orders!F726</f>
        <v>6</v>
      </c>
      <c r="G726" s="35">
        <f>Orders!G726</f>
        <v>4880</v>
      </c>
      <c r="H726" s="37">
        <f>Orders!H726</f>
        <v>11.1</v>
      </c>
      <c r="I726" s="39">
        <f>Orders!I726</f>
        <v>26029.919999999998</v>
      </c>
      <c r="J726" t="str">
        <f>Orders!J726</f>
        <v>Pending</v>
      </c>
      <c r="K726" t="str">
        <f>Orders!K726</f>
        <v>Chennai</v>
      </c>
      <c r="L726" t="str">
        <f>IFERROR(VLOOKUP(D726,Products!$A$2:$F$61,3,FALSE),"")</f>
        <v>Beauty</v>
      </c>
      <c r="M726">
        <f>IFERROR(VLOOKUP(D726,Products!$A$2:$F$61,4,FALSE),"")</f>
        <v>2768</v>
      </c>
      <c r="N726" t="str">
        <f>IFERROR(VLOOKUP(E726,Sales_Reps!$A$2:$E$31,3,FALSE),"")</f>
        <v>South</v>
      </c>
      <c r="O726" t="str">
        <f>IFERROR(VLOOKUP(C726,Customers!$A$2:$F$301,5,FALSE),"")</f>
        <v>Corporate</v>
      </c>
      <c r="P726">
        <f>IFERROR(VLOOKUP(C726,Customers!$A$2:$F$301,3,FALSE),"")</f>
        <v>52</v>
      </c>
      <c r="Q726" s="41">
        <f t="shared" si="20"/>
        <v>0.43278688524590164</v>
      </c>
      <c r="R726" t="str">
        <f>IFERROR(VLOOKUP(C726,Customers!$A$2:$F$301,1,FALSE),"")</f>
        <v>CUST-0005</v>
      </c>
      <c r="S726" s="27" t="b">
        <f>IFERROR(VLOOKUP(D726,Products!$A$2:$F$61,6,FALSE),"")</f>
        <v>1</v>
      </c>
      <c r="BL726">
        <v>0</v>
      </c>
      <c r="BO726">
        <v>0</v>
      </c>
      <c r="BP726">
        <v>0</v>
      </c>
    </row>
    <row r="727" spans="1:68" x14ac:dyDescent="0.35">
      <c r="A727" s="26" t="str">
        <f>Orders!A727</f>
        <v>ORD-00726</v>
      </c>
      <c r="B727" s="33">
        <f>Orders!B727</f>
        <v>45562</v>
      </c>
      <c r="C727" t="str">
        <f>Orders!C727</f>
        <v>CUST-0211</v>
      </c>
      <c r="D727" t="str">
        <f>Orders!D727</f>
        <v>PROD-005</v>
      </c>
      <c r="E727" t="str">
        <f>Orders!E727</f>
        <v>R007</v>
      </c>
      <c r="F727">
        <f>Orders!F727</f>
        <v>5</v>
      </c>
      <c r="G727" s="35">
        <f>Orders!G727</f>
        <v>300</v>
      </c>
      <c r="H727" s="37">
        <f>Orders!H727</f>
        <v>19.399999999999999</v>
      </c>
      <c r="I727" s="39">
        <f>Orders!I727</f>
        <v>1209</v>
      </c>
      <c r="J727" t="str">
        <f>Orders!J727</f>
        <v>Completed</v>
      </c>
      <c r="K727" t="str">
        <f>Orders!K727</f>
        <v>Bengaluru</v>
      </c>
      <c r="L727" t="str">
        <f>IFERROR(VLOOKUP(D727,Products!$A$2:$F$61,3,FALSE),"")</f>
        <v>Electronics</v>
      </c>
      <c r="M727">
        <f>IFERROR(VLOOKUP(D727,Products!$A$2:$F$61,4,FALSE),"")</f>
        <v>128</v>
      </c>
      <c r="N727" t="str">
        <f>IFERROR(VLOOKUP(E727,Sales_Reps!$A$2:$E$31,3,FALSE),"")</f>
        <v>North</v>
      </c>
      <c r="O727" t="str">
        <f>IFERROR(VLOOKUP(C727,Customers!$A$2:$F$301,5,FALSE),"")</f>
        <v>Retail</v>
      </c>
      <c r="P727">
        <f>IFERROR(VLOOKUP(C727,Customers!$A$2:$F$301,3,FALSE),"")</f>
        <v>36</v>
      </c>
      <c r="Q727" s="41">
        <f t="shared" si="20"/>
        <v>0.57333333333333336</v>
      </c>
      <c r="R727" t="str">
        <f>IFERROR(VLOOKUP(C727,Customers!$A$2:$F$301,1,FALSE),"")</f>
        <v>CUST-0211</v>
      </c>
      <c r="S727" s="27" t="b">
        <f>IFERROR(VLOOKUP(D727,Products!$A$2:$F$61,6,FALSE),"")</f>
        <v>1</v>
      </c>
      <c r="BL727">
        <v>0</v>
      </c>
      <c r="BO727">
        <v>0</v>
      </c>
      <c r="BP727">
        <v>0</v>
      </c>
    </row>
    <row r="728" spans="1:68" x14ac:dyDescent="0.35">
      <c r="A728" s="26" t="str">
        <f>Orders!A728</f>
        <v>ORD-00727</v>
      </c>
      <c r="B728" s="33">
        <f>Orders!B728</f>
        <v>45635</v>
      </c>
      <c r="C728" t="str">
        <f>Orders!C728</f>
        <v>CUST-0229</v>
      </c>
      <c r="D728" t="str">
        <f>Orders!D728</f>
        <v>PROD-008</v>
      </c>
      <c r="E728" t="str">
        <f>Orders!E728</f>
        <v>R030</v>
      </c>
      <c r="F728">
        <f>Orders!F728</f>
        <v>3</v>
      </c>
      <c r="G728" s="35">
        <f>Orders!G728</f>
        <v>2660</v>
      </c>
      <c r="H728" s="37">
        <f>Orders!H728</f>
        <v>28.5</v>
      </c>
      <c r="I728" s="39">
        <f>Orders!I728</f>
        <v>5705.7</v>
      </c>
      <c r="J728" t="str">
        <f>Orders!J728</f>
        <v>Pending</v>
      </c>
      <c r="K728" t="str">
        <f>Orders!K728</f>
        <v>Hyderabad</v>
      </c>
      <c r="L728" t="str">
        <f>IFERROR(VLOOKUP(D728,Products!$A$2:$F$61,3,FALSE),"")</f>
        <v>Electronics</v>
      </c>
      <c r="M728">
        <f>IFERROR(VLOOKUP(D728,Products!$A$2:$F$61,4,FALSE),"")</f>
        <v>1259</v>
      </c>
      <c r="N728" t="str">
        <f>IFERROR(VLOOKUP(E728,Sales_Reps!$A$2:$E$31,3,FALSE),"")</f>
        <v>West</v>
      </c>
      <c r="O728" t="str">
        <f>IFERROR(VLOOKUP(C728,Customers!$A$2:$F$301,5,FALSE),"")</f>
        <v>SMB</v>
      </c>
      <c r="P728">
        <f>IFERROR(VLOOKUP(C728,Customers!$A$2:$F$301,3,FALSE),"")</f>
        <v>25</v>
      </c>
      <c r="Q728" s="41">
        <f t="shared" si="20"/>
        <v>0.52669172932330832</v>
      </c>
      <c r="R728" t="str">
        <f>IFERROR(VLOOKUP(C728,Customers!$A$2:$F$301,1,FALSE),"")</f>
        <v>CUST-0229</v>
      </c>
      <c r="S728" s="27" t="b">
        <f>IFERROR(VLOOKUP(D728,Products!$A$2:$F$61,6,FALSE),"")</f>
        <v>0</v>
      </c>
      <c r="BL728">
        <v>0</v>
      </c>
      <c r="BO728">
        <v>0</v>
      </c>
      <c r="BP728">
        <v>1</v>
      </c>
    </row>
    <row r="729" spans="1:68" x14ac:dyDescent="0.35">
      <c r="A729" s="26" t="str">
        <f>Orders!A729</f>
        <v>ORD-00728</v>
      </c>
      <c r="B729" s="33">
        <f>Orders!B729</f>
        <v>45434</v>
      </c>
      <c r="C729" t="str">
        <f>Orders!C729</f>
        <v>CUST-0037</v>
      </c>
      <c r="D729" t="str">
        <f>Orders!D729</f>
        <v>PROD-035</v>
      </c>
      <c r="E729" t="str">
        <f>Orders!E729</f>
        <v>R024</v>
      </c>
      <c r="F729">
        <f>Orders!F729</f>
        <v>7</v>
      </c>
      <c r="G729" s="35">
        <f>Orders!G729</f>
        <v>1090</v>
      </c>
      <c r="H729" s="37">
        <f>Orders!H729</f>
        <v>10.3</v>
      </c>
      <c r="I729" s="39">
        <f>Orders!I729</f>
        <v>6844.11</v>
      </c>
      <c r="J729" t="str">
        <f>Orders!J729</f>
        <v>Completed</v>
      </c>
      <c r="K729" t="str">
        <f>Orders!K729</f>
        <v>Bengaluru</v>
      </c>
      <c r="L729" t="str">
        <f>IFERROR(VLOOKUP(D729,Products!$A$2:$F$61,3,FALSE),"")</f>
        <v>Home</v>
      </c>
      <c r="M729">
        <f>IFERROR(VLOOKUP(D729,Products!$A$2:$F$61,4,FALSE),"")</f>
        <v>464</v>
      </c>
      <c r="N729" t="str">
        <f>IFERROR(VLOOKUP(E729,Sales_Reps!$A$2:$E$31,3,FALSE),"")</f>
        <v>West</v>
      </c>
      <c r="O729" t="str">
        <f>IFERROR(VLOOKUP(C729,Customers!$A$2:$F$301,5,FALSE),"")</f>
        <v>Retail</v>
      </c>
      <c r="P729">
        <f>IFERROR(VLOOKUP(C729,Customers!$A$2:$F$301,3,FALSE),"")</f>
        <v>52</v>
      </c>
      <c r="Q729" s="41">
        <f t="shared" si="20"/>
        <v>0.57431192660550456</v>
      </c>
      <c r="R729" t="str">
        <f>IFERROR(VLOOKUP(C729,Customers!$A$2:$F$301,1,FALSE),"")</f>
        <v>CUST-0037</v>
      </c>
      <c r="S729" s="27" t="b">
        <f>IFERROR(VLOOKUP(D729,Products!$A$2:$F$61,6,FALSE),"")</f>
        <v>1</v>
      </c>
      <c r="BL729">
        <v>0</v>
      </c>
      <c r="BO729">
        <v>0</v>
      </c>
      <c r="BP729">
        <v>0</v>
      </c>
    </row>
    <row r="730" spans="1:68" x14ac:dyDescent="0.35">
      <c r="A730" s="26" t="str">
        <f>Orders!A730</f>
        <v>ORD-00729</v>
      </c>
      <c r="B730" s="33">
        <f>Orders!B730</f>
        <v>45350</v>
      </c>
      <c r="C730" t="str">
        <f>Orders!C730</f>
        <v>CUST-0059</v>
      </c>
      <c r="D730" t="str">
        <f>Orders!D730</f>
        <v>PROD-007</v>
      </c>
      <c r="E730" t="str">
        <f>Orders!E730</f>
        <v>R012</v>
      </c>
      <c r="F730">
        <f>Orders!F730</f>
        <v>9</v>
      </c>
      <c r="G730" s="35">
        <f>Orders!G730</f>
        <v>1430</v>
      </c>
      <c r="H730" s="37">
        <f>Orders!H730</f>
        <v>12.1</v>
      </c>
      <c r="I730" s="39">
        <f>Orders!I730</f>
        <v>11312.73</v>
      </c>
      <c r="J730" t="str">
        <f>Orders!J730</f>
        <v>Cancelled</v>
      </c>
      <c r="K730" t="str">
        <f>Orders!K730</f>
        <v>Pune</v>
      </c>
      <c r="L730" t="str">
        <f>IFERROR(VLOOKUP(D730,Products!$A$2:$F$61,3,FALSE),"")</f>
        <v>Electronics</v>
      </c>
      <c r="M730">
        <f>IFERROR(VLOOKUP(D730,Products!$A$2:$F$61,4,FALSE),"")</f>
        <v>861</v>
      </c>
      <c r="N730" t="str">
        <f>IFERROR(VLOOKUP(E730,Sales_Reps!$A$2:$E$31,3,FALSE),"")</f>
        <v>South</v>
      </c>
      <c r="O730" t="str">
        <f>IFERROR(VLOOKUP(C730,Customers!$A$2:$F$301,5,FALSE),"")</f>
        <v>Corporate</v>
      </c>
      <c r="P730">
        <f>IFERROR(VLOOKUP(C730,Customers!$A$2:$F$301,3,FALSE),"")</f>
        <v>29</v>
      </c>
      <c r="Q730" s="41">
        <f t="shared" si="20"/>
        <v>0.39790209790209791</v>
      </c>
      <c r="R730" t="str">
        <f>IFERROR(VLOOKUP(C730,Customers!$A$2:$F$301,1,FALSE),"")</f>
        <v>CUST-0059</v>
      </c>
      <c r="S730" s="27" t="b">
        <f>IFERROR(VLOOKUP(D730,Products!$A$2:$F$61,6,FALSE),"")</f>
        <v>1</v>
      </c>
      <c r="BL730">
        <v>0</v>
      </c>
      <c r="BO730">
        <v>0</v>
      </c>
      <c r="BP730">
        <v>0</v>
      </c>
    </row>
    <row r="731" spans="1:68" x14ac:dyDescent="0.35">
      <c r="A731" s="26" t="str">
        <f>Orders!A731</f>
        <v>ORD-00730</v>
      </c>
      <c r="B731" s="33">
        <f>Orders!B731</f>
        <v>45344</v>
      </c>
      <c r="C731" t="str">
        <f>Orders!C731</f>
        <v>CUST-0222</v>
      </c>
      <c r="D731" t="str">
        <f>Orders!D731</f>
        <v>PROD-010</v>
      </c>
      <c r="E731" t="str">
        <f>Orders!E731</f>
        <v>R005</v>
      </c>
      <c r="F731">
        <f>Orders!F731</f>
        <v>5</v>
      </c>
      <c r="G731" s="35">
        <f>Orders!G731</f>
        <v>2640</v>
      </c>
      <c r="H731" s="37">
        <f>Orders!H731</f>
        <v>26.8</v>
      </c>
      <c r="I731" s="39">
        <f>Orders!I731</f>
        <v>9662.4</v>
      </c>
      <c r="J731" t="str">
        <f>Orders!J731</f>
        <v>Completed</v>
      </c>
      <c r="K731" t="str">
        <f>Orders!K731</f>
        <v>Chennai</v>
      </c>
      <c r="L731" t="str">
        <f>IFERROR(VLOOKUP(D731,Products!$A$2:$F$61,3,FALSE),"")</f>
        <v>Electronics</v>
      </c>
      <c r="M731">
        <f>IFERROR(VLOOKUP(D731,Products!$A$2:$F$61,4,FALSE),"")</f>
        <v>1149</v>
      </c>
      <c r="N731" t="str">
        <f>IFERROR(VLOOKUP(E731,Sales_Reps!$A$2:$E$31,3,FALSE),"")</f>
        <v>North</v>
      </c>
      <c r="O731" t="str">
        <f>IFERROR(VLOOKUP(C731,Customers!$A$2:$F$301,5,FALSE),"")</f>
        <v>Retail</v>
      </c>
      <c r="P731">
        <f>IFERROR(VLOOKUP(C731,Customers!$A$2:$F$301,3,FALSE),"")</f>
        <v>37</v>
      </c>
      <c r="Q731" s="41">
        <f t="shared" si="20"/>
        <v>0.56477272727272732</v>
      </c>
      <c r="R731" t="str">
        <f>IFERROR(VLOOKUP(C731,Customers!$A$2:$F$301,1,FALSE),"")</f>
        <v>CUST-0222</v>
      </c>
      <c r="S731" s="27" t="b">
        <f>IFERROR(VLOOKUP(D731,Products!$A$2:$F$61,6,FALSE),"")</f>
        <v>1</v>
      </c>
      <c r="BL731">
        <v>0</v>
      </c>
      <c r="BO731">
        <v>0</v>
      </c>
      <c r="BP731">
        <v>0</v>
      </c>
    </row>
    <row r="732" spans="1:68" x14ac:dyDescent="0.35">
      <c r="A732" s="26" t="str">
        <f>Orders!A732</f>
        <v>ORD-00731</v>
      </c>
      <c r="B732" s="33">
        <f>Orders!B732</f>
        <v>45498</v>
      </c>
      <c r="C732" t="str">
        <f>Orders!C732</f>
        <v>CUST-0157</v>
      </c>
      <c r="D732" t="str">
        <f>Orders!D732</f>
        <v>PROD-015</v>
      </c>
      <c r="E732" t="str">
        <f>Orders!E732</f>
        <v>R001</v>
      </c>
      <c r="F732">
        <f>Orders!F732</f>
        <v>8</v>
      </c>
      <c r="G732" s="35">
        <f>Orders!G732</f>
        <v>2720</v>
      </c>
      <c r="H732" s="37">
        <f>Orders!H732</f>
        <v>17.5</v>
      </c>
      <c r="I732" s="39">
        <f>Orders!I732</f>
        <v>17952</v>
      </c>
      <c r="J732" t="str">
        <f>Orders!J732</f>
        <v>Completed</v>
      </c>
      <c r="K732" t="str">
        <f>Orders!K732</f>
        <v>Pune</v>
      </c>
      <c r="L732" t="str">
        <f>IFERROR(VLOOKUP(D732,Products!$A$2:$F$61,3,FALSE),"")</f>
        <v>Apparel</v>
      </c>
      <c r="M732">
        <f>IFERROR(VLOOKUP(D732,Products!$A$2:$F$61,4,FALSE),"")</f>
        <v>1962</v>
      </c>
      <c r="N732" t="str">
        <f>IFERROR(VLOOKUP(E732,Sales_Reps!$A$2:$E$31,3,FALSE),"")</f>
        <v>North</v>
      </c>
      <c r="O732" t="str">
        <f>IFERROR(VLOOKUP(C732,Customers!$A$2:$F$301,5,FALSE),"")</f>
        <v>Corporate</v>
      </c>
      <c r="P732">
        <f>IFERROR(VLOOKUP(C732,Customers!$A$2:$F$301,3,FALSE),"")</f>
        <v>52</v>
      </c>
      <c r="Q732" s="41">
        <f t="shared" si="20"/>
        <v>0.2786764705882353</v>
      </c>
      <c r="R732" t="str">
        <f>IFERROR(VLOOKUP(C732,Customers!$A$2:$F$301,1,FALSE),"")</f>
        <v>CUST-0157</v>
      </c>
      <c r="S732" s="27" t="b">
        <f>IFERROR(VLOOKUP(D732,Products!$A$2:$F$61,6,FALSE),"")</f>
        <v>1</v>
      </c>
      <c r="BL732">
        <v>0</v>
      </c>
      <c r="BO732">
        <v>0</v>
      </c>
      <c r="BP732">
        <v>0</v>
      </c>
    </row>
    <row r="733" spans="1:68" x14ac:dyDescent="0.35">
      <c r="A733" s="26" t="str">
        <f>Orders!A733</f>
        <v>ORD-00732</v>
      </c>
      <c r="B733" s="33">
        <f>Orders!B733</f>
        <v>45520</v>
      </c>
      <c r="C733" t="str">
        <f>Orders!C733</f>
        <v>CUST-0027</v>
      </c>
      <c r="D733" t="str">
        <f>Orders!D733</f>
        <v>PROD-013</v>
      </c>
      <c r="E733" t="str">
        <f>Orders!E733</f>
        <v>R016</v>
      </c>
      <c r="F733">
        <f>Orders!F733</f>
        <v>9</v>
      </c>
      <c r="G733" s="35">
        <f>Orders!G733</f>
        <v>3640</v>
      </c>
      <c r="H733" s="37">
        <f>Orders!H733</f>
        <v>3.6</v>
      </c>
      <c r="I733" s="39">
        <f>Orders!I733</f>
        <v>31580.639999999999</v>
      </c>
      <c r="J733" t="str">
        <f>Orders!J733</f>
        <v>Completed</v>
      </c>
      <c r="K733" t="str">
        <f>Orders!K733</f>
        <v>Hyderabad</v>
      </c>
      <c r="L733" t="str">
        <f>IFERROR(VLOOKUP(D733,Products!$A$2:$F$61,3,FALSE),"")</f>
        <v>Apparel</v>
      </c>
      <c r="M733">
        <f>IFERROR(VLOOKUP(D733,Products!$A$2:$F$61,4,FALSE),"")</f>
        <v>2611</v>
      </c>
      <c r="N733" t="str">
        <f>IFERROR(VLOOKUP(E733,Sales_Reps!$A$2:$E$31,3,FALSE),"")</f>
        <v>South</v>
      </c>
      <c r="O733" t="str">
        <f>IFERROR(VLOOKUP(C733,Customers!$A$2:$F$301,5,FALSE),"")</f>
        <v>Corporate</v>
      </c>
      <c r="P733">
        <f>IFERROR(VLOOKUP(C733,Customers!$A$2:$F$301,3,FALSE),"")</f>
        <v>52</v>
      </c>
      <c r="Q733" s="41">
        <f t="shared" si="20"/>
        <v>0.28269230769230769</v>
      </c>
      <c r="R733" t="str">
        <f>IFERROR(VLOOKUP(C733,Customers!$A$2:$F$301,1,FALSE),"")</f>
        <v>CUST-0027</v>
      </c>
      <c r="S733" s="27" t="b">
        <f>IFERROR(VLOOKUP(D733,Products!$A$2:$F$61,6,FALSE),"")</f>
        <v>1</v>
      </c>
      <c r="BL733">
        <v>0</v>
      </c>
      <c r="BO733">
        <v>0</v>
      </c>
      <c r="BP733">
        <v>0</v>
      </c>
    </row>
    <row r="734" spans="1:68" x14ac:dyDescent="0.35">
      <c r="A734" s="26" t="str">
        <f>Orders!A734</f>
        <v>ORD-00733</v>
      </c>
      <c r="B734" s="33">
        <f>Orders!B734</f>
        <v>45554</v>
      </c>
      <c r="C734" t="str">
        <f>Orders!C734</f>
        <v>CUST-9846</v>
      </c>
      <c r="D734" t="str">
        <f>Orders!D734</f>
        <v>PROD-050</v>
      </c>
      <c r="E734" t="str">
        <f>Orders!E734</f>
        <v>R021</v>
      </c>
      <c r="F734">
        <f>Orders!F734</f>
        <v>7</v>
      </c>
      <c r="G734" s="35">
        <f>Orders!G734</f>
        <v>6080</v>
      </c>
      <c r="H734" s="37">
        <f>Orders!H734</f>
        <v>23.6</v>
      </c>
      <c r="I734" s="39">
        <f>Orders!I734</f>
        <v>32515.84</v>
      </c>
      <c r="J734" t="str">
        <f>Orders!J734</f>
        <v>Completed</v>
      </c>
      <c r="K734" t="str">
        <f>Orders!K734</f>
        <v>Mumbai</v>
      </c>
      <c r="L734" t="str">
        <f>IFERROR(VLOOKUP(D734,Products!$A$2:$F$61,3,FALSE),"")</f>
        <v>Beauty</v>
      </c>
      <c r="M734">
        <f>IFERROR(VLOOKUP(D734,Products!$A$2:$F$61,4,FALSE),"")</f>
        <v>2617</v>
      </c>
      <c r="N734" t="str">
        <f>IFERROR(VLOOKUP(E734,Sales_Reps!$A$2:$E$31,3,FALSE),"")</f>
        <v>East</v>
      </c>
      <c r="O734" t="str">
        <f>IFERROR(VLOOKUP(C734,Customers!$A$2:$F$301,5,FALSE),"")</f>
        <v/>
      </c>
      <c r="P734" t="str">
        <f>IFERROR(VLOOKUP(C734,Customers!$A$2:$F$301,3,FALSE),"")</f>
        <v/>
      </c>
      <c r="Q734" s="41">
        <f t="shared" si="20"/>
        <v>0.56957236842105263</v>
      </c>
      <c r="R734" t="str">
        <f>IFERROR(VLOOKUP(C734,Customers!$A$2:$F$301,1,FALSE),"")</f>
        <v/>
      </c>
      <c r="S734" s="27" t="b">
        <f>IFERROR(VLOOKUP(D734,Products!$A$2:$F$61,6,FALSE),"")</f>
        <v>1</v>
      </c>
      <c r="BL734">
        <v>0</v>
      </c>
      <c r="BO734">
        <v>1</v>
      </c>
      <c r="BP734">
        <v>0</v>
      </c>
    </row>
    <row r="735" spans="1:68" x14ac:dyDescent="0.35">
      <c r="A735" s="26" t="str">
        <f>Orders!A735</f>
        <v>ORD-00734</v>
      </c>
      <c r="B735" s="33">
        <f>Orders!B735</f>
        <v>45584</v>
      </c>
      <c r="C735" t="str">
        <f>Orders!C735</f>
        <v>CUST-0011</v>
      </c>
      <c r="D735" t="str">
        <f>Orders!D735</f>
        <v>PROD-001</v>
      </c>
      <c r="E735" t="str">
        <f>Orders!E735</f>
        <v>R015</v>
      </c>
      <c r="F735">
        <f>Orders!F735</f>
        <v>7</v>
      </c>
      <c r="G735" s="35">
        <f>Orders!G735</f>
        <v>5330</v>
      </c>
      <c r="H735" s="37">
        <f>Orders!H735</f>
        <v>19.7</v>
      </c>
      <c r="I735" s="39">
        <f>Orders!I735</f>
        <v>29959.93</v>
      </c>
      <c r="J735" t="str">
        <f>Orders!J735</f>
        <v>Cancelled</v>
      </c>
      <c r="K735" t="str">
        <f>Orders!K735</f>
        <v>Chennai</v>
      </c>
      <c r="L735" t="str">
        <f>IFERROR(VLOOKUP(D735,Products!$A$2:$F$61,3,FALSE),"")</f>
        <v>Electronics</v>
      </c>
      <c r="M735">
        <f>IFERROR(VLOOKUP(D735,Products!$A$2:$F$61,4,FALSE),"")</f>
        <v>2405</v>
      </c>
      <c r="N735" t="str">
        <f>IFERROR(VLOOKUP(E735,Sales_Reps!$A$2:$E$31,3,FALSE),"")</f>
        <v>South</v>
      </c>
      <c r="O735" t="str">
        <f>IFERROR(VLOOKUP(C735,Customers!$A$2:$F$301,5,FALSE),"")</f>
        <v>Corporate</v>
      </c>
      <c r="P735">
        <f>IFERROR(VLOOKUP(C735,Customers!$A$2:$F$301,3,FALSE),"")</f>
        <v>41</v>
      </c>
      <c r="Q735" s="41">
        <f t="shared" si="20"/>
        <v>0.54878048780487809</v>
      </c>
      <c r="R735" t="str">
        <f>IFERROR(VLOOKUP(C735,Customers!$A$2:$F$301,1,FALSE),"")</f>
        <v>CUST-0011</v>
      </c>
      <c r="S735" s="27" t="b">
        <f>IFERROR(VLOOKUP(D735,Products!$A$2:$F$61,6,FALSE),"")</f>
        <v>1</v>
      </c>
      <c r="BL735">
        <v>0</v>
      </c>
      <c r="BO735">
        <v>0</v>
      </c>
      <c r="BP735">
        <v>0</v>
      </c>
    </row>
    <row r="736" spans="1:68" x14ac:dyDescent="0.35">
      <c r="A736" s="26" t="str">
        <f>Orders!A736</f>
        <v>ORD-00735</v>
      </c>
      <c r="B736" s="33">
        <f>Orders!B736</f>
        <v>45593</v>
      </c>
      <c r="C736" t="str">
        <f>Orders!C736</f>
        <v>CUST-0043</v>
      </c>
      <c r="D736" t="str">
        <f>Orders!D736</f>
        <v>PROD-039</v>
      </c>
      <c r="E736" t="str">
        <f>Orders!E736</f>
        <v>R024</v>
      </c>
      <c r="F736">
        <f>Orders!F736</f>
        <v>5</v>
      </c>
      <c r="G736" s="35">
        <f>Orders!G736</f>
        <v>4610</v>
      </c>
      <c r="H736" s="37">
        <f>Orders!H736</f>
        <v>3.6</v>
      </c>
      <c r="I736" s="39">
        <f>Orders!I736</f>
        <v>22220.2</v>
      </c>
      <c r="J736" t="str">
        <f>Orders!J736</f>
        <v>Completed</v>
      </c>
      <c r="K736" t="str">
        <f>Orders!K736</f>
        <v>Hyderabad</v>
      </c>
      <c r="L736" t="str">
        <f>IFERROR(VLOOKUP(D736,Products!$A$2:$F$61,3,FALSE),"")</f>
        <v>Home</v>
      </c>
      <c r="M736">
        <f>IFERROR(VLOOKUP(D736,Products!$A$2:$F$61,4,FALSE),"")</f>
        <v>1850</v>
      </c>
      <c r="N736" t="str">
        <f>IFERROR(VLOOKUP(E736,Sales_Reps!$A$2:$E$31,3,FALSE),"")</f>
        <v>West</v>
      </c>
      <c r="O736" t="str">
        <f>IFERROR(VLOOKUP(C736,Customers!$A$2:$F$301,5,FALSE),"")</f>
        <v>Retail</v>
      </c>
      <c r="P736">
        <f>IFERROR(VLOOKUP(C736,Customers!$A$2:$F$301,3,FALSE),"")</f>
        <v>61</v>
      </c>
      <c r="Q736" s="41">
        <f t="shared" si="20"/>
        <v>0.59869848156182215</v>
      </c>
      <c r="R736" t="str">
        <f>IFERROR(VLOOKUP(C736,Customers!$A$2:$F$301,1,FALSE),"")</f>
        <v>CUST-0043</v>
      </c>
      <c r="S736" s="27" t="b">
        <f>IFERROR(VLOOKUP(D736,Products!$A$2:$F$61,6,FALSE),"")</f>
        <v>1</v>
      </c>
      <c r="BL736">
        <v>0</v>
      </c>
      <c r="BO736">
        <v>0</v>
      </c>
      <c r="BP736">
        <v>0</v>
      </c>
    </row>
    <row r="737" spans="1:68" x14ac:dyDescent="0.35">
      <c r="A737" s="26" t="str">
        <f>Orders!A737</f>
        <v>ORD-00736</v>
      </c>
      <c r="B737" s="33">
        <f>Orders!B737</f>
        <v>45302</v>
      </c>
      <c r="C737" t="str">
        <f>Orders!C737</f>
        <v>CUST-0154</v>
      </c>
      <c r="D737" t="str">
        <f>Orders!D737</f>
        <v>PROD-001</v>
      </c>
      <c r="E737" t="str">
        <f>Orders!E737</f>
        <v>R030</v>
      </c>
      <c r="F737">
        <f>Orders!F737</f>
        <v>9</v>
      </c>
      <c r="G737" s="35">
        <f>Orders!G737</f>
        <v>5330</v>
      </c>
      <c r="H737" s="37">
        <f>Orders!H737</f>
        <v>22.9</v>
      </c>
      <c r="I737" s="39">
        <f>Orders!I737</f>
        <v>36984.870000000003</v>
      </c>
      <c r="J737" t="str">
        <f>Orders!J737</f>
        <v>Completed</v>
      </c>
      <c r="K737" t="str">
        <f>Orders!K737</f>
        <v>Pune</v>
      </c>
      <c r="L737" t="str">
        <f>IFERROR(VLOOKUP(D737,Products!$A$2:$F$61,3,FALSE),"")</f>
        <v>Electronics</v>
      </c>
      <c r="M737">
        <f>IFERROR(VLOOKUP(D737,Products!$A$2:$F$61,4,FALSE),"")</f>
        <v>2405</v>
      </c>
      <c r="N737" t="str">
        <f>IFERROR(VLOOKUP(E737,Sales_Reps!$A$2:$E$31,3,FALSE),"")</f>
        <v>West</v>
      </c>
      <c r="O737" t="str">
        <f>IFERROR(VLOOKUP(C737,Customers!$A$2:$F$301,5,FALSE),"")</f>
        <v>Retail</v>
      </c>
      <c r="P737">
        <f>IFERROR(VLOOKUP(C737,Customers!$A$2:$F$301,3,FALSE),"")</f>
        <v>36</v>
      </c>
      <c r="Q737" s="41">
        <f t="shared" si="20"/>
        <v>0.54878048780487809</v>
      </c>
      <c r="R737" t="str">
        <f>IFERROR(VLOOKUP(C737,Customers!$A$2:$F$301,1,FALSE),"")</f>
        <v>CUST-0154</v>
      </c>
      <c r="S737" s="27" t="b">
        <f>IFERROR(VLOOKUP(D737,Products!$A$2:$F$61,6,FALSE),"")</f>
        <v>1</v>
      </c>
      <c r="BL737">
        <v>0</v>
      </c>
      <c r="BO737">
        <v>0</v>
      </c>
      <c r="BP737">
        <v>0</v>
      </c>
    </row>
    <row r="738" spans="1:68" x14ac:dyDescent="0.35">
      <c r="A738" s="26" t="str">
        <f>Orders!A738</f>
        <v>ORD-00737</v>
      </c>
      <c r="B738" s="33">
        <f>Orders!B738</f>
        <v>45440</v>
      </c>
      <c r="C738" t="str">
        <f>Orders!C738</f>
        <v>CUST-0163</v>
      </c>
      <c r="D738" t="str">
        <f>Orders!D738</f>
        <v>PROD-050</v>
      </c>
      <c r="E738" t="str">
        <f>Orders!E738</f>
        <v>R018</v>
      </c>
      <c r="F738">
        <f>Orders!F738</f>
        <v>5</v>
      </c>
      <c r="G738" s="35">
        <f>Orders!G738</f>
        <v>6080</v>
      </c>
      <c r="H738" s="37">
        <f>Orders!H738</f>
        <v>6</v>
      </c>
      <c r="I738" s="39">
        <f>Orders!I738</f>
        <v>28576</v>
      </c>
      <c r="J738" t="str">
        <f>Orders!J738</f>
        <v>Refunded</v>
      </c>
      <c r="K738" t="str">
        <f>Orders!K738</f>
        <v>Pune</v>
      </c>
      <c r="L738" t="str">
        <f>IFERROR(VLOOKUP(D738,Products!$A$2:$F$61,3,FALSE),"")</f>
        <v>Beauty</v>
      </c>
      <c r="M738">
        <f>IFERROR(VLOOKUP(D738,Products!$A$2:$F$61,4,FALSE),"")</f>
        <v>2617</v>
      </c>
      <c r="N738" t="str">
        <f>IFERROR(VLOOKUP(E738,Sales_Reps!$A$2:$E$31,3,FALSE),"")</f>
        <v>East</v>
      </c>
      <c r="O738" t="str">
        <f>IFERROR(VLOOKUP(C738,Customers!$A$2:$F$301,5,FALSE),"")</f>
        <v>Retail</v>
      </c>
      <c r="P738">
        <f>IFERROR(VLOOKUP(C738,Customers!$A$2:$F$301,3,FALSE),"")</f>
        <v>49</v>
      </c>
      <c r="Q738" s="41">
        <f t="shared" si="20"/>
        <v>0.56957236842105263</v>
      </c>
      <c r="R738" t="str">
        <f>IFERROR(VLOOKUP(C738,Customers!$A$2:$F$301,1,FALSE),"")</f>
        <v>CUST-0163</v>
      </c>
      <c r="S738" s="27" t="b">
        <f>IFERROR(VLOOKUP(D738,Products!$A$2:$F$61,6,FALSE),"")</f>
        <v>1</v>
      </c>
      <c r="BL738">
        <v>0</v>
      </c>
      <c r="BO738">
        <v>0</v>
      </c>
      <c r="BP738">
        <v>0</v>
      </c>
    </row>
    <row r="739" spans="1:68" x14ac:dyDescent="0.35">
      <c r="A739" s="26" t="str">
        <f>Orders!A739</f>
        <v>ORD-00738</v>
      </c>
      <c r="B739" s="33">
        <f>Orders!B739</f>
        <v>45299</v>
      </c>
      <c r="C739" t="str">
        <f>Orders!C739</f>
        <v>CUST-0299</v>
      </c>
      <c r="D739" t="str">
        <f>Orders!D739</f>
        <v>PROD-013</v>
      </c>
      <c r="E739" t="str">
        <f>Orders!E739</f>
        <v>R017</v>
      </c>
      <c r="F739">
        <f>Orders!F739</f>
        <v>7</v>
      </c>
      <c r="G739" s="35">
        <f>Orders!G739</f>
        <v>3640</v>
      </c>
      <c r="H739" s="37">
        <f>Orders!H739</f>
        <v>5.5</v>
      </c>
      <c r="I739" s="39">
        <f>Orders!I739</f>
        <v>24078.6</v>
      </c>
      <c r="J739" t="str">
        <f>Orders!J739</f>
        <v>Completed</v>
      </c>
      <c r="K739" t="str">
        <f>Orders!K739</f>
        <v>Mumbai</v>
      </c>
      <c r="L739" t="str">
        <f>IFERROR(VLOOKUP(D739,Products!$A$2:$F$61,3,FALSE),"")</f>
        <v>Apparel</v>
      </c>
      <c r="M739">
        <f>IFERROR(VLOOKUP(D739,Products!$A$2:$F$61,4,FALSE),"")</f>
        <v>2611</v>
      </c>
      <c r="N739" t="str">
        <f>IFERROR(VLOOKUP(E739,Sales_Reps!$A$2:$E$31,3,FALSE),"")</f>
        <v>East</v>
      </c>
      <c r="O739" t="str">
        <f>IFERROR(VLOOKUP(C739,Customers!$A$2:$F$301,5,FALSE),"")</f>
        <v>Corporate</v>
      </c>
      <c r="P739">
        <f>IFERROR(VLOOKUP(C739,Customers!$A$2:$F$301,3,FALSE),"")</f>
        <v>51</v>
      </c>
      <c r="Q739" s="41">
        <f t="shared" si="20"/>
        <v>0.28269230769230769</v>
      </c>
      <c r="R739" t="str">
        <f>IFERROR(VLOOKUP(C739,Customers!$A$2:$F$301,1,FALSE),"")</f>
        <v>CUST-0299</v>
      </c>
      <c r="S739" s="27" t="b">
        <f>IFERROR(VLOOKUP(D739,Products!$A$2:$F$61,6,FALSE),"")</f>
        <v>1</v>
      </c>
      <c r="BL739">
        <v>0</v>
      </c>
      <c r="BO739">
        <v>0</v>
      </c>
      <c r="BP739">
        <v>0</v>
      </c>
    </row>
    <row r="740" spans="1:68" x14ac:dyDescent="0.35">
      <c r="A740" s="26" t="str">
        <f>Orders!A740</f>
        <v>ORD-00739</v>
      </c>
      <c r="B740" s="33">
        <f>Orders!B740</f>
        <v>45336</v>
      </c>
      <c r="C740" t="str">
        <f>Orders!C740</f>
        <v>CUST-0240</v>
      </c>
      <c r="D740" t="str">
        <f>Orders!D740</f>
        <v>PROD-008</v>
      </c>
      <c r="E740" t="str">
        <f>Orders!E740</f>
        <v>R013</v>
      </c>
      <c r="F740">
        <f>Orders!F740</f>
        <v>1</v>
      </c>
      <c r="G740" s="35">
        <f>Orders!G740</f>
        <v>2660</v>
      </c>
      <c r="H740" s="37">
        <f>Orders!H740</f>
        <v>6.1</v>
      </c>
      <c r="I740" s="39">
        <f>Orders!I740</f>
        <v>2497.7399999999998</v>
      </c>
      <c r="J740" t="str">
        <f>Orders!J740</f>
        <v>Cancelled</v>
      </c>
      <c r="K740" t="str">
        <f>Orders!K740</f>
        <v>Chennai</v>
      </c>
      <c r="L740" t="str">
        <f>IFERROR(VLOOKUP(D740,Products!$A$2:$F$61,3,FALSE),"")</f>
        <v>Electronics</v>
      </c>
      <c r="M740">
        <f>IFERROR(VLOOKUP(D740,Products!$A$2:$F$61,4,FALSE),"")</f>
        <v>1259</v>
      </c>
      <c r="N740" t="str">
        <f>IFERROR(VLOOKUP(E740,Sales_Reps!$A$2:$E$31,3,FALSE),"")</f>
        <v>South</v>
      </c>
      <c r="O740" t="str">
        <f>IFERROR(VLOOKUP(C740,Customers!$A$2:$F$301,5,FALSE),"")</f>
        <v>Corporate</v>
      </c>
      <c r="P740">
        <f>IFERROR(VLOOKUP(C740,Customers!$A$2:$F$301,3,FALSE),"")</f>
        <v>35</v>
      </c>
      <c r="Q740" s="41">
        <f t="shared" si="20"/>
        <v>0.52669172932330832</v>
      </c>
      <c r="R740" t="str">
        <f>IFERROR(VLOOKUP(C740,Customers!$A$2:$F$301,1,FALSE),"")</f>
        <v>CUST-0240</v>
      </c>
      <c r="S740" s="27" t="b">
        <f>IFERROR(VLOOKUP(D740,Products!$A$2:$F$61,6,FALSE),"")</f>
        <v>0</v>
      </c>
      <c r="BL740">
        <v>0</v>
      </c>
      <c r="BO740">
        <v>0</v>
      </c>
      <c r="BP740">
        <v>1</v>
      </c>
    </row>
    <row r="741" spans="1:68" x14ac:dyDescent="0.35">
      <c r="A741" s="26" t="str">
        <f>Orders!A741</f>
        <v>ORD-00740</v>
      </c>
      <c r="B741" s="33">
        <f>Orders!B741</f>
        <v>45300</v>
      </c>
      <c r="C741" t="str">
        <f>Orders!C741</f>
        <v>CUST-0291</v>
      </c>
      <c r="D741" t="str">
        <f>Orders!D741</f>
        <v>PROD-043</v>
      </c>
      <c r="E741" t="str">
        <f>Orders!E741</f>
        <v>R015</v>
      </c>
      <c r="F741">
        <f>Orders!F741</f>
        <v>8</v>
      </c>
      <c r="G741" s="35">
        <f>Orders!G741</f>
        <v>3350</v>
      </c>
      <c r="H741" s="37">
        <f>Orders!H741</f>
        <v>19.5</v>
      </c>
      <c r="I741" s="39">
        <f>Orders!I741</f>
        <v>21574</v>
      </c>
      <c r="J741" t="str">
        <f>Orders!J741</f>
        <v>Completed</v>
      </c>
      <c r="K741" t="str">
        <f>Orders!K741</f>
        <v>Pune</v>
      </c>
      <c r="L741" t="str">
        <f>IFERROR(VLOOKUP(D741,Products!$A$2:$F$61,3,FALSE),"")</f>
        <v>Beauty</v>
      </c>
      <c r="M741">
        <f>IFERROR(VLOOKUP(D741,Products!$A$2:$F$61,4,FALSE),"")</f>
        <v>1728</v>
      </c>
      <c r="N741" t="str">
        <f>IFERROR(VLOOKUP(E741,Sales_Reps!$A$2:$E$31,3,FALSE),"")</f>
        <v>South</v>
      </c>
      <c r="O741" t="str">
        <f>IFERROR(VLOOKUP(C741,Customers!$A$2:$F$301,5,FALSE),"")</f>
        <v>SMB</v>
      </c>
      <c r="P741">
        <f>IFERROR(VLOOKUP(C741,Customers!$A$2:$F$301,3,FALSE),"")</f>
        <v>29</v>
      </c>
      <c r="Q741" s="41">
        <f t="shared" si="20"/>
        <v>0.48417910447761192</v>
      </c>
      <c r="R741" t="str">
        <f>IFERROR(VLOOKUP(C741,Customers!$A$2:$F$301,1,FALSE),"")</f>
        <v>CUST-0291</v>
      </c>
      <c r="S741" s="27" t="b">
        <f>IFERROR(VLOOKUP(D741,Products!$A$2:$F$61,6,FALSE),"")</f>
        <v>1</v>
      </c>
      <c r="BL741">
        <v>0</v>
      </c>
      <c r="BO741">
        <v>0</v>
      </c>
      <c r="BP741">
        <v>0</v>
      </c>
    </row>
    <row r="742" spans="1:68" x14ac:dyDescent="0.35">
      <c r="A742" s="26" t="str">
        <f>Orders!A742</f>
        <v>ORD-00741</v>
      </c>
      <c r="B742" s="33">
        <f>Orders!B742</f>
        <v>45648</v>
      </c>
      <c r="C742" t="str">
        <f>Orders!C742</f>
        <v>CUST-0243</v>
      </c>
      <c r="D742" t="str">
        <f>Orders!D742</f>
        <v>PROD-039</v>
      </c>
      <c r="E742" t="str">
        <f>Orders!E742</f>
        <v>R019</v>
      </c>
      <c r="F742">
        <f>Orders!F742</f>
        <v>4</v>
      </c>
      <c r="G742" s="35">
        <f>Orders!G742</f>
        <v>4610</v>
      </c>
      <c r="H742" s="37">
        <f>Orders!H742</f>
        <v>24</v>
      </c>
      <c r="I742" s="39">
        <f>Orders!I742</f>
        <v>14014.4</v>
      </c>
      <c r="J742" t="str">
        <f>Orders!J742</f>
        <v>Completed</v>
      </c>
      <c r="K742" t="str">
        <f>Orders!K742</f>
        <v>Pune</v>
      </c>
      <c r="L742" t="str">
        <f>IFERROR(VLOOKUP(D742,Products!$A$2:$F$61,3,FALSE),"")</f>
        <v>Home</v>
      </c>
      <c r="M742">
        <f>IFERROR(VLOOKUP(D742,Products!$A$2:$F$61,4,FALSE),"")</f>
        <v>1850</v>
      </c>
      <c r="N742" t="str">
        <f>IFERROR(VLOOKUP(E742,Sales_Reps!$A$2:$E$31,3,FALSE),"")</f>
        <v>East</v>
      </c>
      <c r="O742" t="str">
        <f>IFERROR(VLOOKUP(C742,Customers!$A$2:$F$301,5,FALSE),"")</f>
        <v>SMB</v>
      </c>
      <c r="P742">
        <f>IFERROR(VLOOKUP(C742,Customers!$A$2:$F$301,3,FALSE),"")</f>
        <v>44</v>
      </c>
      <c r="Q742" s="41">
        <f t="shared" si="20"/>
        <v>0.59869848156182215</v>
      </c>
      <c r="R742" t="str">
        <f>IFERROR(VLOOKUP(C742,Customers!$A$2:$F$301,1,FALSE),"")</f>
        <v>CUST-0243</v>
      </c>
      <c r="S742" s="27" t="b">
        <f>IFERROR(VLOOKUP(D742,Products!$A$2:$F$61,6,FALSE),"")</f>
        <v>1</v>
      </c>
      <c r="BL742">
        <v>0</v>
      </c>
      <c r="BO742">
        <v>0</v>
      </c>
      <c r="BP742">
        <v>0</v>
      </c>
    </row>
    <row r="743" spans="1:68" x14ac:dyDescent="0.35">
      <c r="A743" s="26" t="str">
        <f>Orders!A743</f>
        <v>ORD-00742</v>
      </c>
      <c r="B743" s="33">
        <f>Orders!B743</f>
        <v>45293</v>
      </c>
      <c r="C743" t="str">
        <f>Orders!C743</f>
        <v>CUST-0073</v>
      </c>
      <c r="D743" t="str">
        <f>Orders!D743</f>
        <v>PROD-055</v>
      </c>
      <c r="E743" t="str">
        <f>Orders!E743</f>
        <v>R014</v>
      </c>
      <c r="F743">
        <f>Orders!F743</f>
        <v>7</v>
      </c>
      <c r="G743" s="35">
        <f>Orders!G743</f>
        <v>2860</v>
      </c>
      <c r="H743" s="37">
        <f>Orders!H743</f>
        <v>23.2</v>
      </c>
      <c r="I743" s="39">
        <f>Orders!I743</f>
        <v>15375.36</v>
      </c>
      <c r="J743" t="str">
        <f>Orders!J743</f>
        <v>Completed</v>
      </c>
      <c r="K743" t="str">
        <f>Orders!K743</f>
        <v>Pune</v>
      </c>
      <c r="L743" t="str">
        <f>IFERROR(VLOOKUP(D743,Products!$A$2:$F$61,3,FALSE),"")</f>
        <v>Sports</v>
      </c>
      <c r="M743">
        <f>IFERROR(VLOOKUP(D743,Products!$A$2:$F$61,4,FALSE),"")</f>
        <v>2028</v>
      </c>
      <c r="N743" t="str">
        <f>IFERROR(VLOOKUP(E743,Sales_Reps!$A$2:$E$31,3,FALSE),"")</f>
        <v>South</v>
      </c>
      <c r="O743" t="str">
        <f>IFERROR(VLOOKUP(C743,Customers!$A$2:$F$301,5,FALSE),"")</f>
        <v>Corporate</v>
      </c>
      <c r="P743">
        <f>IFERROR(VLOOKUP(C743,Customers!$A$2:$F$301,3,FALSE),"")</f>
        <v>40</v>
      </c>
      <c r="Q743" s="41">
        <f t="shared" si="20"/>
        <v>0.29090909090909089</v>
      </c>
      <c r="R743" t="str">
        <f>IFERROR(VLOOKUP(C743,Customers!$A$2:$F$301,1,FALSE),"")</f>
        <v>CUST-0073</v>
      </c>
      <c r="S743" s="27" t="b">
        <f>IFERROR(VLOOKUP(D743,Products!$A$2:$F$61,6,FALSE),"")</f>
        <v>1</v>
      </c>
      <c r="BL743">
        <v>0</v>
      </c>
      <c r="BO743">
        <v>0</v>
      </c>
      <c r="BP743">
        <v>0</v>
      </c>
    </row>
    <row r="744" spans="1:68" x14ac:dyDescent="0.35">
      <c r="A744" s="26" t="str">
        <f>Orders!A744</f>
        <v>ORD-00743</v>
      </c>
      <c r="B744" s="33">
        <f>Orders!B744</f>
        <v>45644</v>
      </c>
      <c r="C744" t="str">
        <f>Orders!C744</f>
        <v>CUST-0154</v>
      </c>
      <c r="D744" t="str">
        <f>Orders!D744</f>
        <v>PROD-043</v>
      </c>
      <c r="E744" t="str">
        <f>Orders!E744</f>
        <v>R013</v>
      </c>
      <c r="F744">
        <f>Orders!F744</f>
        <v>7</v>
      </c>
      <c r="G744" s="35">
        <f>Orders!G744</f>
        <v>3350</v>
      </c>
      <c r="H744" s="37">
        <f>Orders!H744</f>
        <v>10.6</v>
      </c>
      <c r="I744" s="39">
        <f>Orders!I744</f>
        <v>20964.3</v>
      </c>
      <c r="J744" t="str">
        <f>Orders!J744</f>
        <v>Pending</v>
      </c>
      <c r="K744" t="str">
        <f>Orders!K744</f>
        <v>Pune</v>
      </c>
      <c r="L744" t="str">
        <f>IFERROR(VLOOKUP(D744,Products!$A$2:$F$61,3,FALSE),"")</f>
        <v>Beauty</v>
      </c>
      <c r="M744">
        <f>IFERROR(VLOOKUP(D744,Products!$A$2:$F$61,4,FALSE),"")</f>
        <v>1728</v>
      </c>
      <c r="N744" t="str">
        <f>IFERROR(VLOOKUP(E744,Sales_Reps!$A$2:$E$31,3,FALSE),"")</f>
        <v>South</v>
      </c>
      <c r="O744" t="str">
        <f>IFERROR(VLOOKUP(C744,Customers!$A$2:$F$301,5,FALSE),"")</f>
        <v>Retail</v>
      </c>
      <c r="P744">
        <f>IFERROR(VLOOKUP(C744,Customers!$A$2:$F$301,3,FALSE),"")</f>
        <v>36</v>
      </c>
      <c r="Q744" s="41">
        <f t="shared" si="20"/>
        <v>0.48417910447761192</v>
      </c>
      <c r="R744" t="str">
        <f>IFERROR(VLOOKUP(C744,Customers!$A$2:$F$301,1,FALSE),"")</f>
        <v>CUST-0154</v>
      </c>
      <c r="S744" s="27" t="b">
        <f>IFERROR(VLOOKUP(D744,Products!$A$2:$F$61,6,FALSE),"")</f>
        <v>1</v>
      </c>
      <c r="BL744">
        <v>0</v>
      </c>
      <c r="BO744">
        <v>0</v>
      </c>
      <c r="BP744">
        <v>0</v>
      </c>
    </row>
    <row r="745" spans="1:68" x14ac:dyDescent="0.35">
      <c r="A745" s="26" t="str">
        <f>Orders!A745</f>
        <v>ORD-00744</v>
      </c>
      <c r="B745" s="33">
        <f>Orders!B745</f>
        <v>45589</v>
      </c>
      <c r="C745" t="str">
        <f>Orders!C745</f>
        <v>CUST-0084</v>
      </c>
      <c r="D745" t="str">
        <f>Orders!D745</f>
        <v>PROD-029</v>
      </c>
      <c r="E745" t="str">
        <f>Orders!E745</f>
        <v>R028</v>
      </c>
      <c r="F745">
        <f>Orders!F745</f>
        <v>5</v>
      </c>
      <c r="G745" s="35">
        <f>Orders!G745</f>
        <v>2210</v>
      </c>
      <c r="H745" s="37">
        <f>Orders!H745</f>
        <v>12.1</v>
      </c>
      <c r="I745" s="39">
        <f>Orders!I745</f>
        <v>9712.9500000000007</v>
      </c>
      <c r="J745" t="str">
        <f>Orders!J745</f>
        <v>Completed</v>
      </c>
      <c r="K745" t="str">
        <f>Orders!K745</f>
        <v>Chennai</v>
      </c>
      <c r="L745" t="str">
        <f>IFERROR(VLOOKUP(D745,Products!$A$2:$F$61,3,FALSE),"")</f>
        <v>Grocery</v>
      </c>
      <c r="M745">
        <f>IFERROR(VLOOKUP(D745,Products!$A$2:$F$61,4,FALSE),"")</f>
        <v>1010</v>
      </c>
      <c r="N745" t="str">
        <f>IFERROR(VLOOKUP(E745,Sales_Reps!$A$2:$E$31,3,FALSE),"")</f>
        <v>West</v>
      </c>
      <c r="O745" t="str">
        <f>IFERROR(VLOOKUP(C745,Customers!$A$2:$F$301,5,FALSE),"")</f>
        <v>Retail</v>
      </c>
      <c r="P745">
        <f>IFERROR(VLOOKUP(C745,Customers!$A$2:$F$301,3,FALSE),"")</f>
        <v>28</v>
      </c>
      <c r="Q745" s="41">
        <f t="shared" si="20"/>
        <v>0.54298642533936647</v>
      </c>
      <c r="R745" t="str">
        <f>IFERROR(VLOOKUP(C745,Customers!$A$2:$F$301,1,FALSE),"")</f>
        <v>CUST-0084</v>
      </c>
      <c r="S745" s="27" t="b">
        <f>IFERROR(VLOOKUP(D745,Products!$A$2:$F$61,6,FALSE),"")</f>
        <v>1</v>
      </c>
      <c r="BL745">
        <v>0</v>
      </c>
      <c r="BO745">
        <v>0</v>
      </c>
      <c r="BP745">
        <v>0</v>
      </c>
    </row>
    <row r="746" spans="1:68" x14ac:dyDescent="0.35">
      <c r="A746" s="26" t="str">
        <f>Orders!A746</f>
        <v>ORD-00745</v>
      </c>
      <c r="B746" s="33">
        <f>Orders!B746</f>
        <v>45329</v>
      </c>
      <c r="C746" t="str">
        <f>Orders!C746</f>
        <v>CUST-0228</v>
      </c>
      <c r="D746" t="str">
        <f>Orders!D746</f>
        <v>PROD-047</v>
      </c>
      <c r="E746" t="str">
        <f>Orders!E746</f>
        <v>R013</v>
      </c>
      <c r="F746">
        <f>Orders!F746</f>
        <v>1</v>
      </c>
      <c r="G746" s="35">
        <f>Orders!G746</f>
        <v>3450</v>
      </c>
      <c r="H746" s="37">
        <f>Orders!H746</f>
        <v>19.100000000000001</v>
      </c>
      <c r="I746" s="39">
        <f>Orders!I746</f>
        <v>2791.05</v>
      </c>
      <c r="J746" t="str">
        <f>Orders!J746</f>
        <v>Pending</v>
      </c>
      <c r="K746" t="str">
        <f>Orders!K746</f>
        <v>Pune</v>
      </c>
      <c r="L746" t="str">
        <f>IFERROR(VLOOKUP(D746,Products!$A$2:$F$61,3,FALSE),"")</f>
        <v>Beauty</v>
      </c>
      <c r="M746">
        <f>IFERROR(VLOOKUP(D746,Products!$A$2:$F$61,4,FALSE),"")</f>
        <v>2420</v>
      </c>
      <c r="N746" t="str">
        <f>IFERROR(VLOOKUP(E746,Sales_Reps!$A$2:$E$31,3,FALSE),"")</f>
        <v>South</v>
      </c>
      <c r="O746" t="str">
        <f>IFERROR(VLOOKUP(C746,Customers!$A$2:$F$301,5,FALSE),"")</f>
        <v>Corporate</v>
      </c>
      <c r="P746">
        <f>IFERROR(VLOOKUP(C746,Customers!$A$2:$F$301,3,FALSE),"")</f>
        <v>37</v>
      </c>
      <c r="Q746" s="41">
        <f t="shared" si="20"/>
        <v>0.29855072463768118</v>
      </c>
      <c r="R746" t="str">
        <f>IFERROR(VLOOKUP(C746,Customers!$A$2:$F$301,1,FALSE),"")</f>
        <v>CUST-0228</v>
      </c>
      <c r="S746" s="27" t="b">
        <f>IFERROR(VLOOKUP(D746,Products!$A$2:$F$61,6,FALSE),"")</f>
        <v>1</v>
      </c>
      <c r="BL746">
        <v>0</v>
      </c>
      <c r="BO746">
        <v>0</v>
      </c>
      <c r="BP746">
        <v>0</v>
      </c>
    </row>
    <row r="747" spans="1:68" x14ac:dyDescent="0.35">
      <c r="A747" s="26" t="str">
        <f>Orders!A747</f>
        <v>ORD-00746</v>
      </c>
      <c r="B747" s="33">
        <f>Orders!B747</f>
        <v>45587</v>
      </c>
      <c r="C747" t="str">
        <f>Orders!C747</f>
        <v>CUST-0232</v>
      </c>
      <c r="D747" t="str">
        <f>Orders!D747</f>
        <v>PROD-048</v>
      </c>
      <c r="E747" t="str">
        <f>Orders!E747</f>
        <v>R028</v>
      </c>
      <c r="F747">
        <f>Orders!F747</f>
        <v>5</v>
      </c>
      <c r="G747" s="35">
        <f>Orders!G747</f>
        <v>5100</v>
      </c>
      <c r="H747" s="37">
        <f>Orders!H747</f>
        <v>2.8</v>
      </c>
      <c r="I747" s="39">
        <f>Orders!I747</f>
        <v>24786</v>
      </c>
      <c r="J747" t="str">
        <f>Orders!J747</f>
        <v>Completed</v>
      </c>
      <c r="K747" t="str">
        <f>Orders!K747</f>
        <v>Hyderabad</v>
      </c>
      <c r="L747" t="str">
        <f>IFERROR(VLOOKUP(D747,Products!$A$2:$F$61,3,FALSE),"")</f>
        <v>Beauty</v>
      </c>
      <c r="M747">
        <f>IFERROR(VLOOKUP(D747,Products!$A$2:$F$61,4,FALSE),"")</f>
        <v>2237</v>
      </c>
      <c r="N747" t="str">
        <f>IFERROR(VLOOKUP(E747,Sales_Reps!$A$2:$E$31,3,FALSE),"")</f>
        <v>West</v>
      </c>
      <c r="O747" t="str">
        <f>IFERROR(VLOOKUP(C747,Customers!$A$2:$F$301,5,FALSE),"")</f>
        <v>Retail</v>
      </c>
      <c r="P747">
        <f>IFERROR(VLOOKUP(C747,Customers!$A$2:$F$301,3,FALSE),"")</f>
        <v>38</v>
      </c>
      <c r="Q747" s="41">
        <f t="shared" si="20"/>
        <v>0.56137254901960787</v>
      </c>
      <c r="R747" t="str">
        <f>IFERROR(VLOOKUP(C747,Customers!$A$2:$F$301,1,FALSE),"")</f>
        <v>CUST-0232</v>
      </c>
      <c r="S747" s="27" t="b">
        <f>IFERROR(VLOOKUP(D747,Products!$A$2:$F$61,6,FALSE),"")</f>
        <v>1</v>
      </c>
      <c r="BL747">
        <v>0</v>
      </c>
      <c r="BO747">
        <v>0</v>
      </c>
      <c r="BP747">
        <v>0</v>
      </c>
    </row>
    <row r="748" spans="1:68" x14ac:dyDescent="0.35">
      <c r="A748" s="26" t="str">
        <f>Orders!A748</f>
        <v>ORD-00747</v>
      </c>
      <c r="B748" s="33">
        <f>Orders!B748</f>
        <v>45423</v>
      </c>
      <c r="C748" t="str">
        <f>Orders!C748</f>
        <v>CUST-0129</v>
      </c>
      <c r="D748" t="str">
        <f>Orders!D748</f>
        <v>PROD-048</v>
      </c>
      <c r="E748" t="str">
        <f>Orders!E748</f>
        <v>R003</v>
      </c>
      <c r="F748">
        <f>Orders!F748</f>
        <v>9</v>
      </c>
      <c r="G748" s="35">
        <f>Orders!G748</f>
        <v>5100</v>
      </c>
      <c r="H748" s="37">
        <f>Orders!H748</f>
        <v>24.4</v>
      </c>
      <c r="I748" s="39">
        <f>Orders!I748</f>
        <v>34700.400000000001</v>
      </c>
      <c r="J748" t="str">
        <f>Orders!J748</f>
        <v>Completed</v>
      </c>
      <c r="K748" t="str">
        <f>Orders!K748</f>
        <v>Hyderabad</v>
      </c>
      <c r="L748" t="str">
        <f>IFERROR(VLOOKUP(D748,Products!$A$2:$F$61,3,FALSE),"")</f>
        <v>Beauty</v>
      </c>
      <c r="M748">
        <f>IFERROR(VLOOKUP(D748,Products!$A$2:$F$61,4,FALSE),"")</f>
        <v>2237</v>
      </c>
      <c r="N748" t="str">
        <f>IFERROR(VLOOKUP(E748,Sales_Reps!$A$2:$E$31,3,FALSE),"")</f>
        <v>North</v>
      </c>
      <c r="O748" t="str">
        <f>IFERROR(VLOOKUP(C748,Customers!$A$2:$F$301,5,FALSE),"")</f>
        <v>Retail</v>
      </c>
      <c r="P748">
        <f>IFERROR(VLOOKUP(C748,Customers!$A$2:$F$301,3,FALSE),"")</f>
        <v>29</v>
      </c>
      <c r="Q748" s="41">
        <f t="shared" si="20"/>
        <v>0.56137254901960787</v>
      </c>
      <c r="R748" t="str">
        <f>IFERROR(VLOOKUP(C748,Customers!$A$2:$F$301,1,FALSE),"")</f>
        <v>CUST-0129</v>
      </c>
      <c r="S748" s="27" t="b">
        <f>IFERROR(VLOOKUP(D748,Products!$A$2:$F$61,6,FALSE),"")</f>
        <v>1</v>
      </c>
      <c r="BL748">
        <v>0</v>
      </c>
      <c r="BO748">
        <v>0</v>
      </c>
      <c r="BP748">
        <v>0</v>
      </c>
    </row>
    <row r="749" spans="1:68" x14ac:dyDescent="0.35">
      <c r="A749" s="26" t="str">
        <f>Orders!A749</f>
        <v>ORD-00748</v>
      </c>
      <c r="B749" s="33">
        <f>Orders!B749</f>
        <v>45568</v>
      </c>
      <c r="C749" t="str">
        <f>Orders!C749</f>
        <v>CUST-0189</v>
      </c>
      <c r="D749" t="str">
        <f>Orders!D749</f>
        <v>PROD-037</v>
      </c>
      <c r="E749" t="str">
        <f>Orders!E749</f>
        <v>R006</v>
      </c>
      <c r="F749">
        <f>Orders!F749</f>
        <v>9</v>
      </c>
      <c r="G749" s="35">
        <f>Orders!G749</f>
        <v>660</v>
      </c>
      <c r="H749" s="37">
        <f>Orders!H749</f>
        <v>19.8</v>
      </c>
      <c r="I749" s="39">
        <f>Orders!I749</f>
        <v>4763.88</v>
      </c>
      <c r="J749" t="str">
        <f>Orders!J749</f>
        <v>Completed</v>
      </c>
      <c r="K749" t="str">
        <f>Orders!K749</f>
        <v>Chennai</v>
      </c>
      <c r="L749" t="str">
        <f>IFERROR(VLOOKUP(D749,Products!$A$2:$F$61,3,FALSE),"")</f>
        <v>Home</v>
      </c>
      <c r="M749">
        <f>IFERROR(VLOOKUP(D749,Products!$A$2:$F$61,4,FALSE),"")</f>
        <v>329</v>
      </c>
      <c r="N749" t="str">
        <f>IFERROR(VLOOKUP(E749,Sales_Reps!$A$2:$E$31,3,FALSE),"")</f>
        <v>North</v>
      </c>
      <c r="O749" t="str">
        <f>IFERROR(VLOOKUP(C749,Customers!$A$2:$F$301,5,FALSE),"")</f>
        <v>Retail</v>
      </c>
      <c r="P749">
        <f>IFERROR(VLOOKUP(C749,Customers!$A$2:$F$301,3,FALSE),"")</f>
        <v>41</v>
      </c>
      <c r="Q749" s="41">
        <f t="shared" si="20"/>
        <v>0.50151515151515147</v>
      </c>
      <c r="R749" t="str">
        <f>IFERROR(VLOOKUP(C749,Customers!$A$2:$F$301,1,FALSE),"")</f>
        <v>CUST-0189</v>
      </c>
      <c r="S749" s="27" t="b">
        <f>IFERROR(VLOOKUP(D749,Products!$A$2:$F$61,6,FALSE),"")</f>
        <v>1</v>
      </c>
      <c r="BL749">
        <v>0</v>
      </c>
      <c r="BO749">
        <v>0</v>
      </c>
      <c r="BP749">
        <v>0</v>
      </c>
    </row>
    <row r="750" spans="1:68" x14ac:dyDescent="0.35">
      <c r="A750" s="26" t="str">
        <f>Orders!A750</f>
        <v>ORD-00749</v>
      </c>
      <c r="B750" s="33">
        <f>Orders!B750</f>
        <v>45549</v>
      </c>
      <c r="C750" t="str">
        <f>Orders!C750</f>
        <v>CUST-0122</v>
      </c>
      <c r="D750" t="str">
        <f>Orders!D750</f>
        <v>PROD-026</v>
      </c>
      <c r="E750" t="str">
        <f>Orders!E750</f>
        <v>R006</v>
      </c>
      <c r="F750">
        <f>Orders!F750</f>
        <v>3</v>
      </c>
      <c r="G750" s="35">
        <f>Orders!G750</f>
        <v>4070</v>
      </c>
      <c r="H750" s="37">
        <f>Orders!H750</f>
        <v>27.1</v>
      </c>
      <c r="I750" s="39">
        <f>Orders!I750</f>
        <v>8901.09</v>
      </c>
      <c r="J750" t="str">
        <f>Orders!J750</f>
        <v>Completed</v>
      </c>
      <c r="K750" t="str">
        <f>Orders!K750</f>
        <v>Mumbai</v>
      </c>
      <c r="L750" t="str">
        <f>IFERROR(VLOOKUP(D750,Products!$A$2:$F$61,3,FALSE),"")</f>
        <v>Grocery</v>
      </c>
      <c r="M750">
        <f>IFERROR(VLOOKUP(D750,Products!$A$2:$F$61,4,FALSE),"")</f>
        <v>2027</v>
      </c>
      <c r="N750" t="str">
        <f>IFERROR(VLOOKUP(E750,Sales_Reps!$A$2:$E$31,3,FALSE),"")</f>
        <v>North</v>
      </c>
      <c r="O750" t="str">
        <f>IFERROR(VLOOKUP(C750,Customers!$A$2:$F$301,5,FALSE),"")</f>
        <v>Retail</v>
      </c>
      <c r="P750">
        <f>IFERROR(VLOOKUP(C750,Customers!$A$2:$F$301,3,FALSE),"")</f>
        <v>44</v>
      </c>
      <c r="Q750" s="41">
        <f t="shared" si="20"/>
        <v>0.50196560196560192</v>
      </c>
      <c r="R750" t="str">
        <f>IFERROR(VLOOKUP(C750,Customers!$A$2:$F$301,1,FALSE),"")</f>
        <v>CUST-0122</v>
      </c>
      <c r="S750" s="27" t="b">
        <f>IFERROR(VLOOKUP(D750,Products!$A$2:$F$61,6,FALSE),"")</f>
        <v>1</v>
      </c>
      <c r="BL750">
        <v>0</v>
      </c>
      <c r="BO750">
        <v>0</v>
      </c>
      <c r="BP750">
        <v>0</v>
      </c>
    </row>
    <row r="751" spans="1:68" x14ac:dyDescent="0.35">
      <c r="A751" s="26" t="str">
        <f>Orders!A751</f>
        <v>ORD-00750</v>
      </c>
      <c r="B751" s="33">
        <f>Orders!B751</f>
        <v>45504</v>
      </c>
      <c r="C751" t="str">
        <f>Orders!C751</f>
        <v>CUST-0170</v>
      </c>
      <c r="D751" t="str">
        <f>Orders!D751</f>
        <v>PROD-017</v>
      </c>
      <c r="E751" t="str">
        <f>Orders!E751</f>
        <v>R007</v>
      </c>
      <c r="F751">
        <f>Orders!F751</f>
        <v>2</v>
      </c>
      <c r="G751" s="35">
        <f>Orders!G751</f>
        <v>2510</v>
      </c>
      <c r="H751" s="37">
        <f>Orders!H751</f>
        <v>29.1</v>
      </c>
      <c r="I751" s="39">
        <f>Orders!I751</f>
        <v>3559.18</v>
      </c>
      <c r="J751" t="str">
        <f>Orders!J751</f>
        <v>Completed</v>
      </c>
      <c r="K751" t="str">
        <f>Orders!K751</f>
        <v>Mumbai</v>
      </c>
      <c r="L751" t="str">
        <f>IFERROR(VLOOKUP(D751,Products!$A$2:$F$61,3,FALSE),"")</f>
        <v>Apparel</v>
      </c>
      <c r="M751">
        <f>IFERROR(VLOOKUP(D751,Products!$A$2:$F$61,4,FALSE),"")</f>
        <v>1075</v>
      </c>
      <c r="N751" t="str">
        <f>IFERROR(VLOOKUP(E751,Sales_Reps!$A$2:$E$31,3,FALSE),"")</f>
        <v>North</v>
      </c>
      <c r="O751" t="str">
        <f>IFERROR(VLOOKUP(C751,Customers!$A$2:$F$301,5,FALSE),"")</f>
        <v>SMB</v>
      </c>
      <c r="P751">
        <f>IFERROR(VLOOKUP(C751,Customers!$A$2:$F$301,3,FALSE),"")</f>
        <v>22</v>
      </c>
      <c r="Q751" s="41">
        <f t="shared" si="20"/>
        <v>0.57171314741035861</v>
      </c>
      <c r="R751" t="str">
        <f>IFERROR(VLOOKUP(C751,Customers!$A$2:$F$301,1,FALSE),"")</f>
        <v>CUST-0170</v>
      </c>
      <c r="S751" s="27" t="b">
        <f>IFERROR(VLOOKUP(D751,Products!$A$2:$F$61,6,FALSE),"")</f>
        <v>0</v>
      </c>
      <c r="BL751">
        <v>0</v>
      </c>
      <c r="BO751">
        <v>0</v>
      </c>
      <c r="BP751">
        <v>1</v>
      </c>
    </row>
    <row r="752" spans="1:68" x14ac:dyDescent="0.35">
      <c r="A752" s="26" t="str">
        <f>Orders!A752</f>
        <v>ORD-00751</v>
      </c>
      <c r="B752" s="33">
        <f>Orders!B752</f>
        <v>45449</v>
      </c>
      <c r="C752" t="str">
        <f>Orders!C752</f>
        <v>CUST-0291</v>
      </c>
      <c r="D752" t="str">
        <f>Orders!D752</f>
        <v>PROD-036</v>
      </c>
      <c r="E752" t="str">
        <f>Orders!E752</f>
        <v>R030</v>
      </c>
      <c r="F752">
        <f>Orders!F752</f>
        <v>4</v>
      </c>
      <c r="G752" s="35">
        <f>Orders!G752</f>
        <v>3250</v>
      </c>
      <c r="H752" s="37">
        <f>Orders!H752</f>
        <v>21.1</v>
      </c>
      <c r="I752" s="39">
        <f>Orders!I752</f>
        <v>10257</v>
      </c>
      <c r="J752" t="str">
        <f>Orders!J752</f>
        <v>Completed</v>
      </c>
      <c r="K752" t="str">
        <f>Orders!K752</f>
        <v>Pune</v>
      </c>
      <c r="L752" t="str">
        <f>IFERROR(VLOOKUP(D752,Products!$A$2:$F$61,3,FALSE),"")</f>
        <v>Home</v>
      </c>
      <c r="M752">
        <f>IFERROR(VLOOKUP(D752,Products!$A$2:$F$61,4,FALSE),"")</f>
        <v>1556</v>
      </c>
      <c r="N752" t="str">
        <f>IFERROR(VLOOKUP(E752,Sales_Reps!$A$2:$E$31,3,FALSE),"")</f>
        <v>West</v>
      </c>
      <c r="O752" t="str">
        <f>IFERROR(VLOOKUP(C752,Customers!$A$2:$F$301,5,FALSE),"")</f>
        <v>SMB</v>
      </c>
      <c r="P752">
        <f>IFERROR(VLOOKUP(C752,Customers!$A$2:$F$301,3,FALSE),"")</f>
        <v>29</v>
      </c>
      <c r="Q752" s="41">
        <f t="shared" si="20"/>
        <v>0.52123076923076928</v>
      </c>
      <c r="R752" t="str">
        <f>IFERROR(VLOOKUP(C752,Customers!$A$2:$F$301,1,FALSE),"")</f>
        <v>CUST-0291</v>
      </c>
      <c r="S752" s="27" t="b">
        <f>IFERROR(VLOOKUP(D752,Products!$A$2:$F$61,6,FALSE),"")</f>
        <v>1</v>
      </c>
      <c r="BL752">
        <v>0</v>
      </c>
      <c r="BO752">
        <v>0</v>
      </c>
      <c r="BP752">
        <v>0</v>
      </c>
    </row>
    <row r="753" spans="1:68" x14ac:dyDescent="0.35">
      <c r="A753" s="26" t="str">
        <f>Orders!A753</f>
        <v>ORD-00752</v>
      </c>
      <c r="B753" s="33">
        <f>Orders!B753</f>
        <v>45600</v>
      </c>
      <c r="C753" t="str">
        <f>Orders!C753</f>
        <v>CUST-0090</v>
      </c>
      <c r="D753" t="str">
        <f>Orders!D753</f>
        <v>PROD-032</v>
      </c>
      <c r="E753" t="str">
        <f>Orders!E753</f>
        <v>R005</v>
      </c>
      <c r="F753">
        <f>Orders!F753</f>
        <v>3</v>
      </c>
      <c r="G753" s="35">
        <f>Orders!G753</f>
        <v>370</v>
      </c>
      <c r="H753" s="37">
        <f>Orders!H753</f>
        <v>7.7</v>
      </c>
      <c r="I753" s="39">
        <f>Orders!I753</f>
        <v>1024.53</v>
      </c>
      <c r="J753" t="str">
        <f>Orders!J753</f>
        <v>Completed</v>
      </c>
      <c r="K753" t="str">
        <f>Orders!K753</f>
        <v>Bengaluru</v>
      </c>
      <c r="L753" t="str">
        <f>IFERROR(VLOOKUP(D753,Products!$A$2:$F$61,3,FALSE),"")</f>
        <v>Home</v>
      </c>
      <c r="M753">
        <f>IFERROR(VLOOKUP(D753,Products!$A$2:$F$61,4,FALSE),"")</f>
        <v>288</v>
      </c>
      <c r="N753" t="str">
        <f>IFERROR(VLOOKUP(E753,Sales_Reps!$A$2:$E$31,3,FALSE),"")</f>
        <v>North</v>
      </c>
      <c r="O753" t="str">
        <f>IFERROR(VLOOKUP(C753,Customers!$A$2:$F$301,5,FALSE),"")</f>
        <v>Corporate</v>
      </c>
      <c r="P753">
        <f>IFERROR(VLOOKUP(C753,Customers!$A$2:$F$301,3,FALSE),"")</f>
        <v>26</v>
      </c>
      <c r="Q753" s="41">
        <f t="shared" si="20"/>
        <v>0.22162162162162163</v>
      </c>
      <c r="R753" t="str">
        <f>IFERROR(VLOOKUP(C753,Customers!$A$2:$F$301,1,FALSE),"")</f>
        <v>CUST-0090</v>
      </c>
      <c r="S753" s="27" t="b">
        <f>IFERROR(VLOOKUP(D753,Products!$A$2:$F$61,6,FALSE),"")</f>
        <v>1</v>
      </c>
      <c r="BL753">
        <v>0</v>
      </c>
      <c r="BO753">
        <v>0</v>
      </c>
      <c r="BP753">
        <v>0</v>
      </c>
    </row>
    <row r="754" spans="1:68" x14ac:dyDescent="0.35">
      <c r="A754" s="26" t="str">
        <f>Orders!A754</f>
        <v>ORD-00753</v>
      </c>
      <c r="B754" s="33">
        <f>Orders!B754</f>
        <v>45479</v>
      </c>
      <c r="C754" t="str">
        <f>Orders!C754</f>
        <v>CUST-0205</v>
      </c>
      <c r="D754" t="str">
        <f>Orders!D754</f>
        <v>PROD-020</v>
      </c>
      <c r="E754" t="str">
        <f>Orders!E754</f>
        <v>R006</v>
      </c>
      <c r="F754">
        <f>Orders!F754</f>
        <v>10</v>
      </c>
      <c r="G754" s="35">
        <f>Orders!G754</f>
        <v>820</v>
      </c>
      <c r="H754" s="37">
        <f>Orders!H754</f>
        <v>3.5</v>
      </c>
      <c r="I754" s="39">
        <f>Orders!I754</f>
        <v>7913</v>
      </c>
      <c r="J754" t="str">
        <f>Orders!J754</f>
        <v>Completed</v>
      </c>
      <c r="K754" t="str">
        <f>Orders!K754</f>
        <v>Pune</v>
      </c>
      <c r="L754" t="str">
        <f>IFERROR(VLOOKUP(D754,Products!$A$2:$F$61,3,FALSE),"")</f>
        <v>Apparel</v>
      </c>
      <c r="M754">
        <f>IFERROR(VLOOKUP(D754,Products!$A$2:$F$61,4,FALSE),"")</f>
        <v>391</v>
      </c>
      <c r="N754" t="str">
        <f>IFERROR(VLOOKUP(E754,Sales_Reps!$A$2:$E$31,3,FALSE),"")</f>
        <v>North</v>
      </c>
      <c r="O754" t="str">
        <f>IFERROR(VLOOKUP(C754,Customers!$A$2:$F$301,5,FALSE),"")</f>
        <v>Corporate</v>
      </c>
      <c r="P754">
        <f>IFERROR(VLOOKUP(C754,Customers!$A$2:$F$301,3,FALSE),"")</f>
        <v>29</v>
      </c>
      <c r="Q754" s="41">
        <f t="shared" si="20"/>
        <v>0.52317073170731709</v>
      </c>
      <c r="R754" t="str">
        <f>IFERROR(VLOOKUP(C754,Customers!$A$2:$F$301,1,FALSE),"")</f>
        <v>CUST-0205</v>
      </c>
      <c r="S754" s="27" t="b">
        <f>IFERROR(VLOOKUP(D754,Products!$A$2:$F$61,6,FALSE),"")</f>
        <v>1</v>
      </c>
      <c r="BL754">
        <v>0</v>
      </c>
      <c r="BO754">
        <v>0</v>
      </c>
      <c r="BP754">
        <v>0</v>
      </c>
    </row>
    <row r="755" spans="1:68" x14ac:dyDescent="0.35">
      <c r="A755" s="26" t="str">
        <f>Orders!A755</f>
        <v>ORD-00754</v>
      </c>
      <c r="B755" s="33">
        <f>Orders!B755</f>
        <v>45531</v>
      </c>
      <c r="C755" t="str">
        <f>Orders!C755</f>
        <v>CUST-0192</v>
      </c>
      <c r="D755" t="str">
        <f>Orders!D755</f>
        <v>PROD-026</v>
      </c>
      <c r="E755" t="str">
        <f>Orders!E755</f>
        <v>R029</v>
      </c>
      <c r="F755">
        <f>Orders!F755</f>
        <v>4</v>
      </c>
      <c r="G755" s="35">
        <f>Orders!G755</f>
        <v>4070</v>
      </c>
      <c r="H755" s="37">
        <f>Orders!H755</f>
        <v>23.8</v>
      </c>
      <c r="I755" s="39">
        <f>Orders!I755</f>
        <v>12405.36</v>
      </c>
      <c r="J755" t="str">
        <f>Orders!J755</f>
        <v>Completed</v>
      </c>
      <c r="K755" t="str">
        <f>Orders!K755</f>
        <v>Bengaluru</v>
      </c>
      <c r="L755" t="str">
        <f>IFERROR(VLOOKUP(D755,Products!$A$2:$F$61,3,FALSE),"")</f>
        <v>Grocery</v>
      </c>
      <c r="M755">
        <f>IFERROR(VLOOKUP(D755,Products!$A$2:$F$61,4,FALSE),"")</f>
        <v>2027</v>
      </c>
      <c r="N755" t="str">
        <f>IFERROR(VLOOKUP(E755,Sales_Reps!$A$2:$E$31,3,FALSE),"")</f>
        <v>West</v>
      </c>
      <c r="O755" t="str">
        <f>IFERROR(VLOOKUP(C755,Customers!$A$2:$F$301,5,FALSE),"")</f>
        <v>Retail</v>
      </c>
      <c r="P755">
        <f>IFERROR(VLOOKUP(C755,Customers!$A$2:$F$301,3,FALSE),"")</f>
        <v>55</v>
      </c>
      <c r="Q755" s="41">
        <f t="shared" si="20"/>
        <v>0.50196560196560192</v>
      </c>
      <c r="R755" t="str">
        <f>IFERROR(VLOOKUP(C755,Customers!$A$2:$F$301,1,FALSE),"")</f>
        <v>CUST-0192</v>
      </c>
      <c r="S755" s="27" t="b">
        <f>IFERROR(VLOOKUP(D755,Products!$A$2:$F$61,6,FALSE),"")</f>
        <v>1</v>
      </c>
      <c r="BL755">
        <v>0</v>
      </c>
      <c r="BO755">
        <v>0</v>
      </c>
      <c r="BP755">
        <v>0</v>
      </c>
    </row>
    <row r="756" spans="1:68" x14ac:dyDescent="0.35">
      <c r="A756" s="26" t="str">
        <f>Orders!A756</f>
        <v>ORD-00755</v>
      </c>
      <c r="B756" s="33">
        <f>Orders!B756</f>
        <v>45356</v>
      </c>
      <c r="C756" t="str">
        <f>Orders!C756</f>
        <v>CUST-0270</v>
      </c>
      <c r="D756" t="str">
        <f>Orders!D756</f>
        <v>PROD-023</v>
      </c>
      <c r="E756" t="str">
        <f>Orders!E756</f>
        <v>R011</v>
      </c>
      <c r="F756">
        <f>Orders!F756</f>
        <v>1</v>
      </c>
      <c r="G756" s="35">
        <f>Orders!G756</f>
        <v>2380</v>
      </c>
      <c r="H756" s="37">
        <f>Orders!H756</f>
        <v>19.600000000000001</v>
      </c>
      <c r="I756" s="39">
        <f>Orders!I756</f>
        <v>1913.52</v>
      </c>
      <c r="J756" t="str">
        <f>Orders!J756</f>
        <v>Cancelled</v>
      </c>
      <c r="K756" t="str">
        <f>Orders!K756</f>
        <v>Bengaluru</v>
      </c>
      <c r="L756" t="str">
        <f>IFERROR(VLOOKUP(D756,Products!$A$2:$F$61,3,FALSE),"")</f>
        <v>Grocery</v>
      </c>
      <c r="M756">
        <f>IFERROR(VLOOKUP(D756,Products!$A$2:$F$61,4,FALSE),"")</f>
        <v>1182</v>
      </c>
      <c r="N756" t="str">
        <f>IFERROR(VLOOKUP(E756,Sales_Reps!$A$2:$E$31,3,FALSE),"")</f>
        <v>South</v>
      </c>
      <c r="O756" t="str">
        <f>IFERROR(VLOOKUP(C756,Customers!$A$2:$F$301,5,FALSE),"")</f>
        <v>Retail</v>
      </c>
      <c r="P756">
        <f>IFERROR(VLOOKUP(C756,Customers!$A$2:$F$301,3,FALSE),"")</f>
        <v>29</v>
      </c>
      <c r="Q756" s="41">
        <f t="shared" si="20"/>
        <v>0.50336134453781511</v>
      </c>
      <c r="R756" t="str">
        <f>IFERROR(VLOOKUP(C756,Customers!$A$2:$F$301,1,FALSE),"")</f>
        <v>CUST-0270</v>
      </c>
      <c r="S756" s="27" t="b">
        <f>IFERROR(VLOOKUP(D756,Products!$A$2:$F$61,6,FALSE),"")</f>
        <v>1</v>
      </c>
      <c r="BL756">
        <v>0</v>
      </c>
      <c r="BO756">
        <v>0</v>
      </c>
      <c r="BP756">
        <v>0</v>
      </c>
    </row>
    <row r="757" spans="1:68" x14ac:dyDescent="0.35">
      <c r="A757" s="26" t="str">
        <f>Orders!A757</f>
        <v>ORD-00756</v>
      </c>
      <c r="B757" s="33">
        <f>Orders!B757</f>
        <v>45553</v>
      </c>
      <c r="C757" t="str">
        <f>Orders!C757</f>
        <v>CUST-0266</v>
      </c>
      <c r="D757" t="str">
        <f>Orders!D757</f>
        <v>PROD-038</v>
      </c>
      <c r="E757" t="str">
        <f>Orders!E757</f>
        <v>R030</v>
      </c>
      <c r="F757">
        <f>Orders!F757</f>
        <v>3</v>
      </c>
      <c r="G757" s="35">
        <f>Orders!G757</f>
        <v>5490</v>
      </c>
      <c r="H757" s="37">
        <f>Orders!H757</f>
        <v>2.5</v>
      </c>
      <c r="I757" s="39">
        <f>Orders!I757</f>
        <v>16058.25</v>
      </c>
      <c r="J757" t="str">
        <f>Orders!J757</f>
        <v>Completed</v>
      </c>
      <c r="K757" t="str">
        <f>Orders!K757</f>
        <v>Pune</v>
      </c>
      <c r="L757" t="str">
        <f>IFERROR(VLOOKUP(D757,Products!$A$2:$F$61,3,FALSE),"")</f>
        <v>Home</v>
      </c>
      <c r="M757">
        <f>IFERROR(VLOOKUP(D757,Products!$A$2:$F$61,4,FALSE),"")</f>
        <v>2549</v>
      </c>
      <c r="N757" t="str">
        <f>IFERROR(VLOOKUP(E757,Sales_Reps!$A$2:$E$31,3,FALSE),"")</f>
        <v>West</v>
      </c>
      <c r="O757" t="str">
        <f>IFERROR(VLOOKUP(C757,Customers!$A$2:$F$301,5,FALSE),"")</f>
        <v>Retail</v>
      </c>
      <c r="P757">
        <f>IFERROR(VLOOKUP(C757,Customers!$A$2:$F$301,3,FALSE),"")</f>
        <v>65</v>
      </c>
      <c r="Q757" s="41">
        <f t="shared" si="20"/>
        <v>0.53570127504553733</v>
      </c>
      <c r="R757" t="str">
        <f>IFERROR(VLOOKUP(C757,Customers!$A$2:$F$301,1,FALSE),"")</f>
        <v>CUST-0266</v>
      </c>
      <c r="S757" s="27" t="b">
        <f>IFERROR(VLOOKUP(D757,Products!$A$2:$F$61,6,FALSE),"")</f>
        <v>1</v>
      </c>
      <c r="BL757">
        <v>0</v>
      </c>
      <c r="BO757">
        <v>0</v>
      </c>
      <c r="BP757">
        <v>0</v>
      </c>
    </row>
    <row r="758" spans="1:68" x14ac:dyDescent="0.35">
      <c r="A758" s="26" t="str">
        <f>Orders!A758</f>
        <v>ORD-00757</v>
      </c>
      <c r="B758" s="33">
        <f>Orders!B758</f>
        <v>45492</v>
      </c>
      <c r="C758" t="str">
        <f>Orders!C758</f>
        <v>CUST-0208</v>
      </c>
      <c r="D758" t="str">
        <f>Orders!D758</f>
        <v>PROD-013</v>
      </c>
      <c r="E758" t="str">
        <f>Orders!E758</f>
        <v>R027</v>
      </c>
      <c r="F758">
        <f>Orders!F758</f>
        <v>3</v>
      </c>
      <c r="G758" s="35">
        <f>Orders!G758</f>
        <v>3640</v>
      </c>
      <c r="H758" s="37">
        <f>Orders!H758</f>
        <v>23.3</v>
      </c>
      <c r="I758" s="39">
        <f>Orders!I758</f>
        <v>8375.64</v>
      </c>
      <c r="J758" t="str">
        <f>Orders!J758</f>
        <v>Completed</v>
      </c>
      <c r="K758" t="str">
        <f>Orders!K758</f>
        <v>Mumbai</v>
      </c>
      <c r="L758" t="str">
        <f>IFERROR(VLOOKUP(D758,Products!$A$2:$F$61,3,FALSE),"")</f>
        <v>Apparel</v>
      </c>
      <c r="M758">
        <f>IFERROR(VLOOKUP(D758,Products!$A$2:$F$61,4,FALSE),"")</f>
        <v>2611</v>
      </c>
      <c r="N758" t="str">
        <f>IFERROR(VLOOKUP(E758,Sales_Reps!$A$2:$E$31,3,FALSE),"")</f>
        <v>West</v>
      </c>
      <c r="O758" t="str">
        <f>IFERROR(VLOOKUP(C758,Customers!$A$2:$F$301,5,FALSE),"")</f>
        <v>Retail</v>
      </c>
      <c r="P758">
        <f>IFERROR(VLOOKUP(C758,Customers!$A$2:$F$301,3,FALSE),"")</f>
        <v>49</v>
      </c>
      <c r="Q758" s="41">
        <f t="shared" si="20"/>
        <v>0.28269230769230769</v>
      </c>
      <c r="R758" t="str">
        <f>IFERROR(VLOOKUP(C758,Customers!$A$2:$F$301,1,FALSE),"")</f>
        <v>CUST-0208</v>
      </c>
      <c r="S758" s="27" t="b">
        <f>IFERROR(VLOOKUP(D758,Products!$A$2:$F$61,6,FALSE),"")</f>
        <v>1</v>
      </c>
      <c r="BL758">
        <v>0</v>
      </c>
      <c r="BO758">
        <v>0</v>
      </c>
      <c r="BP758">
        <v>0</v>
      </c>
    </row>
    <row r="759" spans="1:68" x14ac:dyDescent="0.35">
      <c r="A759" s="26" t="str">
        <f>Orders!A759</f>
        <v>ORD-00758</v>
      </c>
      <c r="B759" s="33">
        <f>Orders!B759</f>
        <v>45388</v>
      </c>
      <c r="C759" t="str">
        <f>Orders!C759</f>
        <v>CUST-0224</v>
      </c>
      <c r="D759" t="str">
        <f>Orders!D759</f>
        <v>PROD-039</v>
      </c>
      <c r="E759" t="str">
        <f>Orders!E759</f>
        <v>R018</v>
      </c>
      <c r="F759">
        <f>Orders!F759</f>
        <v>2</v>
      </c>
      <c r="G759" s="35">
        <f>Orders!G759</f>
        <v>4610</v>
      </c>
      <c r="H759" s="37">
        <f>Orders!H759</f>
        <v>5</v>
      </c>
      <c r="I759" s="39">
        <f>Orders!I759</f>
        <v>8759</v>
      </c>
      <c r="J759" t="str">
        <f>Orders!J759</f>
        <v>Pending</v>
      </c>
      <c r="K759" t="str">
        <f>Orders!K759</f>
        <v>Chennai</v>
      </c>
      <c r="L759" t="str">
        <f>IFERROR(VLOOKUP(D759,Products!$A$2:$F$61,3,FALSE),"")</f>
        <v>Home</v>
      </c>
      <c r="M759">
        <f>IFERROR(VLOOKUP(D759,Products!$A$2:$F$61,4,FALSE),"")</f>
        <v>1850</v>
      </c>
      <c r="N759" t="str">
        <f>IFERROR(VLOOKUP(E759,Sales_Reps!$A$2:$E$31,3,FALSE),"")</f>
        <v>East</v>
      </c>
      <c r="O759" t="str">
        <f>IFERROR(VLOOKUP(C759,Customers!$A$2:$F$301,5,FALSE),"")</f>
        <v>Corporate</v>
      </c>
      <c r="P759">
        <f>IFERROR(VLOOKUP(C759,Customers!$A$2:$F$301,3,FALSE),"")</f>
        <v>24</v>
      </c>
      <c r="Q759" s="41">
        <f t="shared" si="20"/>
        <v>0.59869848156182215</v>
      </c>
      <c r="R759" t="str">
        <f>IFERROR(VLOOKUP(C759,Customers!$A$2:$F$301,1,FALSE),"")</f>
        <v>CUST-0224</v>
      </c>
      <c r="S759" s="27" t="b">
        <f>IFERROR(VLOOKUP(D759,Products!$A$2:$F$61,6,FALSE),"")</f>
        <v>1</v>
      </c>
      <c r="BL759">
        <v>0</v>
      </c>
      <c r="BO759">
        <v>0</v>
      </c>
      <c r="BP759">
        <v>0</v>
      </c>
    </row>
    <row r="760" spans="1:68" x14ac:dyDescent="0.35">
      <c r="A760" s="26" t="str">
        <f>Orders!A760</f>
        <v>ORD-00759</v>
      </c>
      <c r="B760" s="33">
        <f>Orders!B760</f>
        <v>45369</v>
      </c>
      <c r="C760" t="str">
        <f>Orders!C760</f>
        <v>CUST-0264</v>
      </c>
      <c r="D760" t="str">
        <f>Orders!D760</f>
        <v>PROD-058</v>
      </c>
      <c r="E760" t="str">
        <f>Orders!E760</f>
        <v>R001</v>
      </c>
      <c r="F760">
        <f>Orders!F760</f>
        <v>8</v>
      </c>
      <c r="G760" s="35">
        <f>Orders!G760</f>
        <v>2400</v>
      </c>
      <c r="H760" s="37">
        <f>Orders!H760</f>
        <v>10</v>
      </c>
      <c r="I760" s="39">
        <f>Orders!I760</f>
        <v>17280</v>
      </c>
      <c r="J760" t="str">
        <f>Orders!J760</f>
        <v>Pending</v>
      </c>
      <c r="K760" t="str">
        <f>Orders!K760</f>
        <v>Pune</v>
      </c>
      <c r="L760" t="str">
        <f>IFERROR(VLOOKUP(D760,Products!$A$2:$F$61,3,FALSE),"")</f>
        <v>Sports</v>
      </c>
      <c r="M760">
        <f>IFERROR(VLOOKUP(D760,Products!$A$2:$F$61,4,FALSE),"")</f>
        <v>974</v>
      </c>
      <c r="N760" t="str">
        <f>IFERROR(VLOOKUP(E760,Sales_Reps!$A$2:$E$31,3,FALSE),"")</f>
        <v>North</v>
      </c>
      <c r="O760" t="str">
        <f>IFERROR(VLOOKUP(C760,Customers!$A$2:$F$301,5,FALSE),"")</f>
        <v>Retail</v>
      </c>
      <c r="P760">
        <f>IFERROR(VLOOKUP(C760,Customers!$A$2:$F$301,3,FALSE),"")</f>
        <v>59</v>
      </c>
      <c r="Q760" s="41">
        <f t="shared" si="20"/>
        <v>0.59416666666666662</v>
      </c>
      <c r="R760" t="str">
        <f>IFERROR(VLOOKUP(C760,Customers!$A$2:$F$301,1,FALSE),"")</f>
        <v>CUST-0264</v>
      </c>
      <c r="S760" s="27" t="b">
        <f>IFERROR(VLOOKUP(D760,Products!$A$2:$F$61,6,FALSE),"")</f>
        <v>1</v>
      </c>
      <c r="BL760">
        <v>0</v>
      </c>
      <c r="BO760">
        <v>0</v>
      </c>
      <c r="BP760">
        <v>0</v>
      </c>
    </row>
    <row r="761" spans="1:68" x14ac:dyDescent="0.35">
      <c r="A761" s="26" t="str">
        <f>Orders!A761</f>
        <v>ORD-00760</v>
      </c>
      <c r="B761" s="33">
        <f>Orders!B761</f>
        <v>45597</v>
      </c>
      <c r="C761" t="str">
        <f>Orders!C761</f>
        <v>CUST-0113</v>
      </c>
      <c r="D761" t="str">
        <f>Orders!D761</f>
        <v>PROD-043</v>
      </c>
      <c r="E761" t="str">
        <f>Orders!E761</f>
        <v>R002</v>
      </c>
      <c r="F761">
        <f>Orders!F761</f>
        <v>7</v>
      </c>
      <c r="G761" s="35">
        <f>Orders!G761</f>
        <v>3350</v>
      </c>
      <c r="H761" s="37">
        <f>Orders!H761</f>
        <v>23.7</v>
      </c>
      <c r="I761" s="39">
        <f>Orders!I761</f>
        <v>17892.349999999999</v>
      </c>
      <c r="J761" t="str">
        <f>Orders!J761</f>
        <v>Completed</v>
      </c>
      <c r="K761" t="str">
        <f>Orders!K761</f>
        <v>Delhi</v>
      </c>
      <c r="L761" t="str">
        <f>IFERROR(VLOOKUP(D761,Products!$A$2:$F$61,3,FALSE),"")</f>
        <v>Beauty</v>
      </c>
      <c r="M761">
        <f>IFERROR(VLOOKUP(D761,Products!$A$2:$F$61,4,FALSE),"")</f>
        <v>1728</v>
      </c>
      <c r="N761" t="str">
        <f>IFERROR(VLOOKUP(E761,Sales_Reps!$A$2:$E$31,3,FALSE),"")</f>
        <v>North</v>
      </c>
      <c r="O761" t="str">
        <f>IFERROR(VLOOKUP(C761,Customers!$A$2:$F$301,5,FALSE),"")</f>
        <v>Retail</v>
      </c>
      <c r="P761">
        <f>IFERROR(VLOOKUP(C761,Customers!$A$2:$F$301,3,FALSE),"")</f>
        <v>30</v>
      </c>
      <c r="Q761" s="41">
        <f t="shared" si="20"/>
        <v>0.48417910447761192</v>
      </c>
      <c r="R761" t="str">
        <f>IFERROR(VLOOKUP(C761,Customers!$A$2:$F$301,1,FALSE),"")</f>
        <v>CUST-0113</v>
      </c>
      <c r="S761" s="27" t="b">
        <f>IFERROR(VLOOKUP(D761,Products!$A$2:$F$61,6,FALSE),"")</f>
        <v>1</v>
      </c>
      <c r="BL761">
        <v>0</v>
      </c>
      <c r="BO761">
        <v>0</v>
      </c>
      <c r="BP761">
        <v>0</v>
      </c>
    </row>
    <row r="762" spans="1:68" x14ac:dyDescent="0.35">
      <c r="A762" s="26" t="str">
        <f>Orders!A762</f>
        <v>ORD-00761</v>
      </c>
      <c r="B762" s="33">
        <f>Orders!B762</f>
        <v>45611</v>
      </c>
      <c r="C762" t="str">
        <f>Orders!C762</f>
        <v>CUST-0160</v>
      </c>
      <c r="D762" t="str">
        <f>Orders!D762</f>
        <v>PROD-013</v>
      </c>
      <c r="E762" t="str">
        <f>Orders!E762</f>
        <v>R012</v>
      </c>
      <c r="F762">
        <f>Orders!F762</f>
        <v>4</v>
      </c>
      <c r="G762" s="35">
        <f>Orders!G762</f>
        <v>3640</v>
      </c>
      <c r="H762" s="37">
        <f>Orders!H762</f>
        <v>9.3000000000000007</v>
      </c>
      <c r="I762" s="39">
        <f>Orders!I762</f>
        <v>13205.92</v>
      </c>
      <c r="J762" t="str">
        <f>Orders!J762</f>
        <v>Cancelled</v>
      </c>
      <c r="K762" t="str">
        <f>Orders!K762</f>
        <v>Hyderabad</v>
      </c>
      <c r="L762" t="str">
        <f>IFERROR(VLOOKUP(D762,Products!$A$2:$F$61,3,FALSE),"")</f>
        <v>Apparel</v>
      </c>
      <c r="M762">
        <f>IFERROR(VLOOKUP(D762,Products!$A$2:$F$61,4,FALSE),"")</f>
        <v>2611</v>
      </c>
      <c r="N762" t="str">
        <f>IFERROR(VLOOKUP(E762,Sales_Reps!$A$2:$E$31,3,FALSE),"")</f>
        <v>South</v>
      </c>
      <c r="O762" t="str">
        <f>IFERROR(VLOOKUP(C762,Customers!$A$2:$F$301,5,FALSE),"")</f>
        <v>Retail</v>
      </c>
      <c r="P762">
        <f>IFERROR(VLOOKUP(C762,Customers!$A$2:$F$301,3,FALSE),"")</f>
        <v>27</v>
      </c>
      <c r="Q762" s="41">
        <f t="shared" si="20"/>
        <v>0.28269230769230769</v>
      </c>
      <c r="R762" t="str">
        <f>IFERROR(VLOOKUP(C762,Customers!$A$2:$F$301,1,FALSE),"")</f>
        <v>CUST-0160</v>
      </c>
      <c r="S762" s="27" t="b">
        <f>IFERROR(VLOOKUP(D762,Products!$A$2:$F$61,6,FALSE),"")</f>
        <v>1</v>
      </c>
      <c r="BL762">
        <v>0</v>
      </c>
      <c r="BO762">
        <v>0</v>
      </c>
      <c r="BP762">
        <v>0</v>
      </c>
    </row>
    <row r="763" spans="1:68" x14ac:dyDescent="0.35">
      <c r="A763" s="26" t="str">
        <f>Orders!A763</f>
        <v>ORD-00762</v>
      </c>
      <c r="B763" s="33">
        <f>Orders!B763</f>
        <v>45579</v>
      </c>
      <c r="C763" t="str">
        <f>Orders!C763</f>
        <v>CUST-0109</v>
      </c>
      <c r="D763" t="str">
        <f>Orders!D763</f>
        <v>PROD-013</v>
      </c>
      <c r="E763" t="str">
        <f>Orders!E763</f>
        <v>R028</v>
      </c>
      <c r="F763">
        <f>Orders!F763</f>
        <v>9</v>
      </c>
      <c r="G763" s="35">
        <f>Orders!G763</f>
        <v>3640</v>
      </c>
      <c r="H763" s="37">
        <f>Orders!H763</f>
        <v>13.1</v>
      </c>
      <c r="I763" s="39">
        <f>Orders!I763</f>
        <v>28468.44</v>
      </c>
      <c r="J763" t="str">
        <f>Orders!J763</f>
        <v>Pending</v>
      </c>
      <c r="K763" t="str">
        <f>Orders!K763</f>
        <v>Pune</v>
      </c>
      <c r="L763" t="str">
        <f>IFERROR(VLOOKUP(D763,Products!$A$2:$F$61,3,FALSE),"")</f>
        <v>Apparel</v>
      </c>
      <c r="M763">
        <f>IFERROR(VLOOKUP(D763,Products!$A$2:$F$61,4,FALSE),"")</f>
        <v>2611</v>
      </c>
      <c r="N763" t="str">
        <f>IFERROR(VLOOKUP(E763,Sales_Reps!$A$2:$E$31,3,FALSE),"")</f>
        <v>West</v>
      </c>
      <c r="O763" t="str">
        <f>IFERROR(VLOOKUP(C763,Customers!$A$2:$F$301,5,FALSE),"")</f>
        <v>Retail</v>
      </c>
      <c r="P763">
        <f>IFERROR(VLOOKUP(C763,Customers!$A$2:$F$301,3,FALSE),"")</f>
        <v>42</v>
      </c>
      <c r="Q763" s="41">
        <f t="shared" si="20"/>
        <v>0.28269230769230769</v>
      </c>
      <c r="R763" t="str">
        <f>IFERROR(VLOOKUP(C763,Customers!$A$2:$F$301,1,FALSE),"")</f>
        <v>CUST-0109</v>
      </c>
      <c r="S763" s="27" t="b">
        <f>IFERROR(VLOOKUP(D763,Products!$A$2:$F$61,6,FALSE),"")</f>
        <v>1</v>
      </c>
      <c r="BL763">
        <v>0</v>
      </c>
      <c r="BO763">
        <v>0</v>
      </c>
      <c r="BP763">
        <v>0</v>
      </c>
    </row>
    <row r="764" spans="1:68" x14ac:dyDescent="0.35">
      <c r="A764" s="26" t="str">
        <f>Orders!A764</f>
        <v>ORD-00763</v>
      </c>
      <c r="B764" s="33">
        <f>Orders!B764</f>
        <v>45634</v>
      </c>
      <c r="C764" t="str">
        <f>Orders!C764</f>
        <v>CUST-0107</v>
      </c>
      <c r="D764" t="str">
        <f>Orders!D764</f>
        <v>PROD-033</v>
      </c>
      <c r="E764" t="str">
        <f>Orders!E764</f>
        <v>R014</v>
      </c>
      <c r="F764">
        <f>Orders!F764</f>
        <v>2</v>
      </c>
      <c r="G764" s="35">
        <f>Orders!G764</f>
        <v>2030</v>
      </c>
      <c r="H764" s="37">
        <f>Orders!H764</f>
        <v>12.2</v>
      </c>
      <c r="I764" s="39">
        <f>Orders!I764</f>
        <v>3564.68</v>
      </c>
      <c r="J764" t="str">
        <f>Orders!J764</f>
        <v>Completed</v>
      </c>
      <c r="K764" t="str">
        <f>Orders!K764</f>
        <v>Pune</v>
      </c>
      <c r="L764" t="str">
        <f>IFERROR(VLOOKUP(D764,Products!$A$2:$F$61,3,FALSE),"")</f>
        <v>Home</v>
      </c>
      <c r="M764">
        <f>IFERROR(VLOOKUP(D764,Products!$A$2:$F$61,4,FALSE),"")</f>
        <v>1143</v>
      </c>
      <c r="N764" t="str">
        <f>IFERROR(VLOOKUP(E764,Sales_Reps!$A$2:$E$31,3,FALSE),"")</f>
        <v>South</v>
      </c>
      <c r="O764" t="str">
        <f>IFERROR(VLOOKUP(C764,Customers!$A$2:$F$301,5,FALSE),"")</f>
        <v>Retail</v>
      </c>
      <c r="P764">
        <f>IFERROR(VLOOKUP(C764,Customers!$A$2:$F$301,3,FALSE),"")</f>
        <v>50</v>
      </c>
      <c r="Q764" s="41">
        <f t="shared" si="20"/>
        <v>0.43694581280788175</v>
      </c>
      <c r="R764" t="str">
        <f>IFERROR(VLOOKUP(C764,Customers!$A$2:$F$301,1,FALSE),"")</f>
        <v>CUST-0107</v>
      </c>
      <c r="S764" s="27" t="b">
        <f>IFERROR(VLOOKUP(D764,Products!$A$2:$F$61,6,FALSE),"")</f>
        <v>1</v>
      </c>
      <c r="BL764">
        <v>0</v>
      </c>
      <c r="BO764">
        <v>0</v>
      </c>
      <c r="BP764">
        <v>0</v>
      </c>
    </row>
    <row r="765" spans="1:68" x14ac:dyDescent="0.35">
      <c r="A765" s="26" t="str">
        <f>Orders!A765</f>
        <v>ORD-00764</v>
      </c>
      <c r="B765" s="33">
        <f>Orders!B765</f>
        <v>45471</v>
      </c>
      <c r="C765" t="str">
        <f>Orders!C765</f>
        <v>CUST-0120</v>
      </c>
      <c r="D765" t="str">
        <f>Orders!D765</f>
        <v>PROD-012</v>
      </c>
      <c r="E765" t="str">
        <f>Orders!E765</f>
        <v>R002</v>
      </c>
      <c r="F765">
        <f>Orders!F765</f>
        <v>4</v>
      </c>
      <c r="G765" s="35">
        <f>Orders!G765</f>
        <v>3160</v>
      </c>
      <c r="H765" s="37">
        <f>Orders!H765</f>
        <v>7.5</v>
      </c>
      <c r="I765" s="39">
        <f>Orders!I765</f>
        <v>11692</v>
      </c>
      <c r="J765" t="str">
        <f>Orders!J765</f>
        <v>Completed</v>
      </c>
      <c r="K765" t="str">
        <f>Orders!K765</f>
        <v>Mumbai</v>
      </c>
      <c r="L765" t="str">
        <f>IFERROR(VLOOKUP(D765,Products!$A$2:$F$61,3,FALSE),"")</f>
        <v>Apparel</v>
      </c>
      <c r="M765">
        <f>IFERROR(VLOOKUP(D765,Products!$A$2:$F$61,4,FALSE),"")</f>
        <v>1886</v>
      </c>
      <c r="N765" t="str">
        <f>IFERROR(VLOOKUP(E765,Sales_Reps!$A$2:$E$31,3,FALSE),"")</f>
        <v>North</v>
      </c>
      <c r="O765" t="str">
        <f>IFERROR(VLOOKUP(C765,Customers!$A$2:$F$301,5,FALSE),"")</f>
        <v>Retail</v>
      </c>
      <c r="P765">
        <f>IFERROR(VLOOKUP(C765,Customers!$A$2:$F$301,3,FALSE),"")</f>
        <v>29</v>
      </c>
      <c r="Q765" s="41">
        <f t="shared" si="20"/>
        <v>0.4031645569620253</v>
      </c>
      <c r="R765" t="str">
        <f>IFERROR(VLOOKUP(C765,Customers!$A$2:$F$301,1,FALSE),"")</f>
        <v>CUST-0120</v>
      </c>
      <c r="S765" s="27" t="b">
        <f>IFERROR(VLOOKUP(D765,Products!$A$2:$F$61,6,FALSE),"")</f>
        <v>1</v>
      </c>
      <c r="BL765">
        <v>0</v>
      </c>
      <c r="BO765">
        <v>0</v>
      </c>
      <c r="BP765">
        <v>0</v>
      </c>
    </row>
    <row r="766" spans="1:68" x14ac:dyDescent="0.35">
      <c r="A766" s="26" t="str">
        <f>Orders!A766</f>
        <v>ORD-00765</v>
      </c>
      <c r="B766" s="33">
        <f>Orders!B766</f>
        <v>45327</v>
      </c>
      <c r="C766" t="str">
        <f>Orders!C766</f>
        <v>CUST-0225</v>
      </c>
      <c r="D766" t="str">
        <f>Orders!D766</f>
        <v>PROD-026</v>
      </c>
      <c r="E766" t="str">
        <f>Orders!E766</f>
        <v>R029</v>
      </c>
      <c r="F766">
        <f>Orders!F766</f>
        <v>10</v>
      </c>
      <c r="G766" s="35">
        <f>Orders!G766</f>
        <v>4070</v>
      </c>
      <c r="H766" s="37">
        <f>Orders!H766</f>
        <v>8.3000000000000007</v>
      </c>
      <c r="I766" s="39">
        <f>Orders!I766</f>
        <v>37321.9</v>
      </c>
      <c r="J766" t="str">
        <f>Orders!J766</f>
        <v>Completed</v>
      </c>
      <c r="K766" t="str">
        <f>Orders!K766</f>
        <v>Chennai</v>
      </c>
      <c r="L766" t="str">
        <f>IFERROR(VLOOKUP(D766,Products!$A$2:$F$61,3,FALSE),"")</f>
        <v>Grocery</v>
      </c>
      <c r="M766">
        <f>IFERROR(VLOOKUP(D766,Products!$A$2:$F$61,4,FALSE),"")</f>
        <v>2027</v>
      </c>
      <c r="N766" t="str">
        <f>IFERROR(VLOOKUP(E766,Sales_Reps!$A$2:$E$31,3,FALSE),"")</f>
        <v>West</v>
      </c>
      <c r="O766" t="str">
        <f>IFERROR(VLOOKUP(C766,Customers!$A$2:$F$301,5,FALSE),"")</f>
        <v>SMB</v>
      </c>
      <c r="P766">
        <f>IFERROR(VLOOKUP(C766,Customers!$A$2:$F$301,3,FALSE),"")</f>
        <v>26</v>
      </c>
      <c r="Q766" s="41">
        <f t="shared" si="20"/>
        <v>0.50196560196560192</v>
      </c>
      <c r="R766" t="str">
        <f>IFERROR(VLOOKUP(C766,Customers!$A$2:$F$301,1,FALSE),"")</f>
        <v>CUST-0225</v>
      </c>
      <c r="S766" s="27" t="b">
        <f>IFERROR(VLOOKUP(D766,Products!$A$2:$F$61,6,FALSE),"")</f>
        <v>1</v>
      </c>
      <c r="BL766">
        <v>0</v>
      </c>
      <c r="BO766">
        <v>0</v>
      </c>
      <c r="BP766">
        <v>0</v>
      </c>
    </row>
    <row r="767" spans="1:68" x14ac:dyDescent="0.35">
      <c r="A767" s="26" t="str">
        <f>Orders!A767</f>
        <v>ORD-00766</v>
      </c>
      <c r="B767" s="33">
        <f>Orders!B767</f>
        <v>45343</v>
      </c>
      <c r="C767" t="str">
        <f>Orders!C767</f>
        <v>CUST-0134</v>
      </c>
      <c r="D767" t="str">
        <f>Orders!D767</f>
        <v>PROD-025</v>
      </c>
      <c r="E767" t="str">
        <f>Orders!E767</f>
        <v>R024</v>
      </c>
      <c r="F767">
        <f>Orders!F767</f>
        <v>8</v>
      </c>
      <c r="G767" s="35">
        <f>Orders!G767</f>
        <v>4060</v>
      </c>
      <c r="H767" s="37">
        <f>Orders!H767</f>
        <v>8.5</v>
      </c>
      <c r="I767" s="39">
        <f>Orders!I767</f>
        <v>29719.200000000001</v>
      </c>
      <c r="J767" t="str">
        <f>Orders!J767</f>
        <v>Completed</v>
      </c>
      <c r="K767" t="str">
        <f>Orders!K767</f>
        <v>Delhi</v>
      </c>
      <c r="L767" t="str">
        <f>IFERROR(VLOOKUP(D767,Products!$A$2:$F$61,3,FALSE),"")</f>
        <v>Grocery</v>
      </c>
      <c r="M767">
        <f>IFERROR(VLOOKUP(D767,Products!$A$2:$F$61,4,FALSE),"")</f>
        <v>2911</v>
      </c>
      <c r="N767" t="str">
        <f>IFERROR(VLOOKUP(E767,Sales_Reps!$A$2:$E$31,3,FALSE),"")</f>
        <v>West</v>
      </c>
      <c r="O767" t="str">
        <f>IFERROR(VLOOKUP(C767,Customers!$A$2:$F$301,5,FALSE),"")</f>
        <v>Retail</v>
      </c>
      <c r="P767">
        <f>IFERROR(VLOOKUP(C767,Customers!$A$2:$F$301,3,FALSE),"")</f>
        <v>40</v>
      </c>
      <c r="Q767" s="41">
        <f t="shared" si="20"/>
        <v>0.28300492610837441</v>
      </c>
      <c r="R767" t="str">
        <f>IFERROR(VLOOKUP(C767,Customers!$A$2:$F$301,1,FALSE),"")</f>
        <v>CUST-0134</v>
      </c>
      <c r="S767" s="27" t="b">
        <f>IFERROR(VLOOKUP(D767,Products!$A$2:$F$61,6,FALSE),"")</f>
        <v>1</v>
      </c>
      <c r="BL767">
        <v>0</v>
      </c>
      <c r="BO767">
        <v>0</v>
      </c>
      <c r="BP767">
        <v>0</v>
      </c>
    </row>
    <row r="768" spans="1:68" x14ac:dyDescent="0.35">
      <c r="A768" s="26" t="str">
        <f>Orders!A768</f>
        <v>ORD-00767</v>
      </c>
      <c r="B768" s="33">
        <f>Orders!B768</f>
        <v>45334</v>
      </c>
      <c r="C768" t="str">
        <f>Orders!C768</f>
        <v>CUST-0279</v>
      </c>
      <c r="D768" t="str">
        <f>Orders!D768</f>
        <v>PROD-057</v>
      </c>
      <c r="E768" t="str">
        <f>Orders!E768</f>
        <v>R018</v>
      </c>
      <c r="F768">
        <f>Orders!F768</f>
        <v>8</v>
      </c>
      <c r="G768" s="35">
        <f>Orders!G768</f>
        <v>960</v>
      </c>
      <c r="H768" s="37">
        <f>Orders!H768</f>
        <v>8.6999999999999993</v>
      </c>
      <c r="I768" s="39">
        <f>Orders!I768</f>
        <v>7011.84</v>
      </c>
      <c r="J768" t="str">
        <f>Orders!J768</f>
        <v>Completed</v>
      </c>
      <c r="K768" t="str">
        <f>Orders!K768</f>
        <v>Mumbai</v>
      </c>
      <c r="L768" t="str">
        <f>IFERROR(VLOOKUP(D768,Products!$A$2:$F$61,3,FALSE),"")</f>
        <v>Sports</v>
      </c>
      <c r="M768">
        <f>IFERROR(VLOOKUP(D768,Products!$A$2:$F$61,4,FALSE),"")</f>
        <v>705</v>
      </c>
      <c r="N768" t="str">
        <f>IFERROR(VLOOKUP(E768,Sales_Reps!$A$2:$E$31,3,FALSE),"")</f>
        <v>East</v>
      </c>
      <c r="O768" t="str">
        <f>IFERROR(VLOOKUP(C768,Customers!$A$2:$F$301,5,FALSE),"")</f>
        <v>Retail</v>
      </c>
      <c r="P768">
        <f>IFERROR(VLOOKUP(C768,Customers!$A$2:$F$301,3,FALSE),"")</f>
        <v>56</v>
      </c>
      <c r="Q768" s="41">
        <f t="shared" si="20"/>
        <v>0.265625</v>
      </c>
      <c r="R768" t="str">
        <f>IFERROR(VLOOKUP(C768,Customers!$A$2:$F$301,1,FALSE),"")</f>
        <v>CUST-0279</v>
      </c>
      <c r="S768" s="27" t="b">
        <f>IFERROR(VLOOKUP(D768,Products!$A$2:$F$61,6,FALSE),"")</f>
        <v>1</v>
      </c>
      <c r="BL768">
        <v>0</v>
      </c>
      <c r="BO768">
        <v>0</v>
      </c>
      <c r="BP768">
        <v>0</v>
      </c>
    </row>
    <row r="769" spans="1:68" x14ac:dyDescent="0.35">
      <c r="A769" s="26" t="str">
        <f>Orders!A769</f>
        <v>ORD-00768</v>
      </c>
      <c r="B769" s="33">
        <f>Orders!B769</f>
        <v>45306</v>
      </c>
      <c r="C769" t="str">
        <f>Orders!C769</f>
        <v>CUST-0247</v>
      </c>
      <c r="D769" t="str">
        <f>Orders!D769</f>
        <v>PROD-022</v>
      </c>
      <c r="E769" t="str">
        <f>Orders!E769</f>
        <v>R027</v>
      </c>
      <c r="F769">
        <f>Orders!F769</f>
        <v>2</v>
      </c>
      <c r="G769" s="35">
        <f>Orders!G769</f>
        <v>2270</v>
      </c>
      <c r="H769" s="37">
        <f>Orders!H769</f>
        <v>10.199999999999999</v>
      </c>
      <c r="I769" s="39">
        <f>Orders!I769</f>
        <v>4076.92</v>
      </c>
      <c r="J769" t="str">
        <f>Orders!J769</f>
        <v>Completed</v>
      </c>
      <c r="K769" t="str">
        <f>Orders!K769</f>
        <v>Pune</v>
      </c>
      <c r="L769" t="str">
        <f>IFERROR(VLOOKUP(D769,Products!$A$2:$F$61,3,FALSE),"")</f>
        <v>Grocery</v>
      </c>
      <c r="M769">
        <f>IFERROR(VLOOKUP(D769,Products!$A$2:$F$61,4,FALSE),"")</f>
        <v>1412</v>
      </c>
      <c r="N769" t="str">
        <f>IFERROR(VLOOKUP(E769,Sales_Reps!$A$2:$E$31,3,FALSE),"")</f>
        <v>West</v>
      </c>
      <c r="O769" t="str">
        <f>IFERROR(VLOOKUP(C769,Customers!$A$2:$F$301,5,FALSE),"")</f>
        <v>SMB</v>
      </c>
      <c r="P769">
        <f>IFERROR(VLOOKUP(C769,Customers!$A$2:$F$301,3,FALSE),"")</f>
        <v>35</v>
      </c>
      <c r="Q769" s="41">
        <f t="shared" si="20"/>
        <v>0.37797356828193834</v>
      </c>
      <c r="R769" t="str">
        <f>IFERROR(VLOOKUP(C769,Customers!$A$2:$F$301,1,FALSE),"")</f>
        <v>CUST-0247</v>
      </c>
      <c r="S769" s="27" t="b">
        <f>IFERROR(VLOOKUP(D769,Products!$A$2:$F$61,6,FALSE),"")</f>
        <v>1</v>
      </c>
      <c r="BL769">
        <v>0</v>
      </c>
      <c r="BO769">
        <v>0</v>
      </c>
      <c r="BP769">
        <v>0</v>
      </c>
    </row>
    <row r="770" spans="1:68" x14ac:dyDescent="0.35">
      <c r="A770" s="26" t="str">
        <f>Orders!A770</f>
        <v>ORD-00769</v>
      </c>
      <c r="B770" s="33">
        <f>Orders!B770</f>
        <v>45296</v>
      </c>
      <c r="C770" t="str">
        <f>Orders!C770</f>
        <v>CUST-0129</v>
      </c>
      <c r="D770" t="str">
        <f>Orders!D770</f>
        <v>PROD-027</v>
      </c>
      <c r="E770" t="str">
        <f>Orders!E770</f>
        <v>R007</v>
      </c>
      <c r="F770">
        <f>Orders!F770</f>
        <v>1</v>
      </c>
      <c r="G770" s="35">
        <f>Orders!G770</f>
        <v>3780</v>
      </c>
      <c r="H770" s="37">
        <f>Orders!H770</f>
        <v>15.3</v>
      </c>
      <c r="I770" s="39">
        <f>Orders!I770</f>
        <v>3201.66</v>
      </c>
      <c r="J770" t="str">
        <f>Orders!J770</f>
        <v>Cancelled</v>
      </c>
      <c r="K770" t="str">
        <f>Orders!K770</f>
        <v>Hyderabad</v>
      </c>
      <c r="L770" t="str">
        <f>IFERROR(VLOOKUP(D770,Products!$A$2:$F$61,3,FALSE),"")</f>
        <v>Grocery</v>
      </c>
      <c r="M770">
        <f>IFERROR(VLOOKUP(D770,Products!$A$2:$F$61,4,FALSE),"")</f>
        <v>2436</v>
      </c>
      <c r="N770" t="str">
        <f>IFERROR(VLOOKUP(E770,Sales_Reps!$A$2:$E$31,3,FALSE),"")</f>
        <v>North</v>
      </c>
      <c r="O770" t="str">
        <f>IFERROR(VLOOKUP(C770,Customers!$A$2:$F$301,5,FALSE),"")</f>
        <v>Retail</v>
      </c>
      <c r="P770">
        <f>IFERROR(VLOOKUP(C770,Customers!$A$2:$F$301,3,FALSE),"")</f>
        <v>29</v>
      </c>
      <c r="Q770" s="41">
        <f t="shared" ref="Q770:Q833" si="21">IFERROR((G770-M770)/G770,0)</f>
        <v>0.35555555555555557</v>
      </c>
      <c r="R770" t="str">
        <f>IFERROR(VLOOKUP(C770,Customers!$A$2:$F$301,1,FALSE),"")</f>
        <v>CUST-0129</v>
      </c>
      <c r="S770" s="27" t="b">
        <f>IFERROR(VLOOKUP(D770,Products!$A$2:$F$61,6,FALSE),"")</f>
        <v>1</v>
      </c>
      <c r="BL770">
        <v>0</v>
      </c>
      <c r="BO770">
        <v>0</v>
      </c>
      <c r="BP770">
        <v>0</v>
      </c>
    </row>
    <row r="771" spans="1:68" x14ac:dyDescent="0.35">
      <c r="A771" s="26" t="str">
        <f>Orders!A771</f>
        <v>ORD-00770</v>
      </c>
      <c r="B771" s="33">
        <f>Orders!B771</f>
        <v>45489</v>
      </c>
      <c r="C771" t="str">
        <f>Orders!C771</f>
        <v>CUST-0038</v>
      </c>
      <c r="D771" t="str">
        <f>Orders!D771</f>
        <v>PROD-042</v>
      </c>
      <c r="E771" t="str">
        <f>Orders!E771</f>
        <v>R028</v>
      </c>
      <c r="F771">
        <f>Orders!F771</f>
        <v>10</v>
      </c>
      <c r="G771" s="35">
        <f>Orders!G771</f>
        <v>2290</v>
      </c>
      <c r="H771" s="37">
        <f>Orders!H771</f>
        <v>2.4</v>
      </c>
      <c r="I771" s="39">
        <f>Orders!I771</f>
        <v>22350.400000000001</v>
      </c>
      <c r="J771" t="str">
        <f>Orders!J771</f>
        <v>Pending</v>
      </c>
      <c r="K771" t="str">
        <f>Orders!K771</f>
        <v>Mumbai</v>
      </c>
      <c r="L771" t="str">
        <f>IFERROR(VLOOKUP(D771,Products!$A$2:$F$61,3,FALSE),"")</f>
        <v>Beauty</v>
      </c>
      <c r="M771">
        <f>IFERROR(VLOOKUP(D771,Products!$A$2:$F$61,4,FALSE),"")</f>
        <v>1219</v>
      </c>
      <c r="N771" t="str">
        <f>IFERROR(VLOOKUP(E771,Sales_Reps!$A$2:$E$31,3,FALSE),"")</f>
        <v>West</v>
      </c>
      <c r="O771" t="str">
        <f>IFERROR(VLOOKUP(C771,Customers!$A$2:$F$301,5,FALSE),"")</f>
        <v>Retail</v>
      </c>
      <c r="P771">
        <f>IFERROR(VLOOKUP(C771,Customers!$A$2:$F$301,3,FALSE),"")</f>
        <v>57</v>
      </c>
      <c r="Q771" s="41">
        <f t="shared" si="21"/>
        <v>0.46768558951965067</v>
      </c>
      <c r="R771" t="str">
        <f>IFERROR(VLOOKUP(C771,Customers!$A$2:$F$301,1,FALSE),"")</f>
        <v>CUST-0038</v>
      </c>
      <c r="S771" s="27" t="b">
        <f>IFERROR(VLOOKUP(D771,Products!$A$2:$F$61,6,FALSE),"")</f>
        <v>1</v>
      </c>
      <c r="BL771">
        <v>0</v>
      </c>
      <c r="BO771">
        <v>0</v>
      </c>
      <c r="BP771">
        <v>0</v>
      </c>
    </row>
    <row r="772" spans="1:68" x14ac:dyDescent="0.35">
      <c r="A772" s="26" t="str">
        <f>Orders!A772</f>
        <v>ORD-00771</v>
      </c>
      <c r="B772" s="33">
        <f>Orders!B772</f>
        <v>45416</v>
      </c>
      <c r="C772" t="str">
        <f>Orders!C772</f>
        <v>CUST-0109</v>
      </c>
      <c r="D772" t="str">
        <f>Orders!D772</f>
        <v>PROD-043</v>
      </c>
      <c r="E772" t="str">
        <f>Orders!E772</f>
        <v>R017</v>
      </c>
      <c r="F772">
        <f>Orders!F772</f>
        <v>5</v>
      </c>
      <c r="G772" s="35">
        <f>Orders!G772</f>
        <v>3350</v>
      </c>
      <c r="H772" s="37">
        <f>Orders!H772</f>
        <v>18.5</v>
      </c>
      <c r="I772" s="39">
        <f>Orders!I772</f>
        <v>13651.25</v>
      </c>
      <c r="J772" t="str">
        <f>Orders!J772</f>
        <v>Cancelled</v>
      </c>
      <c r="K772" t="str">
        <f>Orders!K772</f>
        <v>Pune</v>
      </c>
      <c r="L772" t="str">
        <f>IFERROR(VLOOKUP(D772,Products!$A$2:$F$61,3,FALSE),"")</f>
        <v>Beauty</v>
      </c>
      <c r="M772">
        <f>IFERROR(VLOOKUP(D772,Products!$A$2:$F$61,4,FALSE),"")</f>
        <v>1728</v>
      </c>
      <c r="N772" t="str">
        <f>IFERROR(VLOOKUP(E772,Sales_Reps!$A$2:$E$31,3,FALSE),"")</f>
        <v>East</v>
      </c>
      <c r="O772" t="str">
        <f>IFERROR(VLOOKUP(C772,Customers!$A$2:$F$301,5,FALSE),"")</f>
        <v>Retail</v>
      </c>
      <c r="P772">
        <f>IFERROR(VLOOKUP(C772,Customers!$A$2:$F$301,3,FALSE),"")</f>
        <v>42</v>
      </c>
      <c r="Q772" s="41">
        <f t="shared" si="21"/>
        <v>0.48417910447761192</v>
      </c>
      <c r="R772" t="str">
        <f>IFERROR(VLOOKUP(C772,Customers!$A$2:$F$301,1,FALSE),"")</f>
        <v>CUST-0109</v>
      </c>
      <c r="S772" s="27" t="b">
        <f>IFERROR(VLOOKUP(D772,Products!$A$2:$F$61,6,FALSE),"")</f>
        <v>1</v>
      </c>
      <c r="BL772">
        <v>0</v>
      </c>
      <c r="BO772">
        <v>0</v>
      </c>
      <c r="BP772">
        <v>0</v>
      </c>
    </row>
    <row r="773" spans="1:68" x14ac:dyDescent="0.35">
      <c r="A773" s="26" t="str">
        <f>Orders!A773</f>
        <v>ORD-00772</v>
      </c>
      <c r="B773" s="33">
        <f>Orders!B773</f>
        <v>45347</v>
      </c>
      <c r="C773" t="str">
        <f>Orders!C773</f>
        <v>CUST-0051</v>
      </c>
      <c r="D773" t="str">
        <f>Orders!D773</f>
        <v>PROD-017</v>
      </c>
      <c r="E773" t="str">
        <f>Orders!E773</f>
        <v>R021</v>
      </c>
      <c r="F773">
        <f>Orders!F773</f>
        <v>7</v>
      </c>
      <c r="G773" s="35">
        <f>Orders!G773</f>
        <v>2510</v>
      </c>
      <c r="H773" s="37">
        <f>Orders!H773</f>
        <v>4.2</v>
      </c>
      <c r="I773" s="39">
        <f>Orders!I773</f>
        <v>16832.060000000001</v>
      </c>
      <c r="J773" t="str">
        <f>Orders!J773</f>
        <v>Cancelled</v>
      </c>
      <c r="K773" t="str">
        <f>Orders!K773</f>
        <v>Pune</v>
      </c>
      <c r="L773" t="str">
        <f>IFERROR(VLOOKUP(D773,Products!$A$2:$F$61,3,FALSE),"")</f>
        <v>Apparel</v>
      </c>
      <c r="M773">
        <f>IFERROR(VLOOKUP(D773,Products!$A$2:$F$61,4,FALSE),"")</f>
        <v>1075</v>
      </c>
      <c r="N773" t="str">
        <f>IFERROR(VLOOKUP(E773,Sales_Reps!$A$2:$E$31,3,FALSE),"")</f>
        <v>East</v>
      </c>
      <c r="O773" t="str">
        <f>IFERROR(VLOOKUP(C773,Customers!$A$2:$F$301,5,FALSE),"")</f>
        <v>SMB</v>
      </c>
      <c r="P773">
        <f>IFERROR(VLOOKUP(C773,Customers!$A$2:$F$301,3,FALSE),"")</f>
        <v>54</v>
      </c>
      <c r="Q773" s="41">
        <f t="shared" si="21"/>
        <v>0.57171314741035861</v>
      </c>
      <c r="R773" t="str">
        <f>IFERROR(VLOOKUP(C773,Customers!$A$2:$F$301,1,FALSE),"")</f>
        <v>CUST-0051</v>
      </c>
      <c r="S773" s="27" t="b">
        <f>IFERROR(VLOOKUP(D773,Products!$A$2:$F$61,6,FALSE),"")</f>
        <v>0</v>
      </c>
      <c r="BL773">
        <v>0</v>
      </c>
      <c r="BO773">
        <v>0</v>
      </c>
      <c r="BP773">
        <v>1</v>
      </c>
    </row>
    <row r="774" spans="1:68" x14ac:dyDescent="0.35">
      <c r="A774" s="26" t="str">
        <f>Orders!A774</f>
        <v>ORD-00773</v>
      </c>
      <c r="B774" s="33">
        <f>Orders!B774</f>
        <v>45652</v>
      </c>
      <c r="C774" t="str">
        <f>Orders!C774</f>
        <v>CUST-0265</v>
      </c>
      <c r="D774" t="str">
        <f>Orders!D774</f>
        <v>PROD-002</v>
      </c>
      <c r="E774" t="str">
        <f>Orders!E774</f>
        <v>R018</v>
      </c>
      <c r="F774">
        <f>Orders!F774</f>
        <v>1</v>
      </c>
      <c r="G774" s="35">
        <f>Orders!G774</f>
        <v>2600</v>
      </c>
      <c r="H774" s="37">
        <f>Orders!H774</f>
        <v>2.2000000000000002</v>
      </c>
      <c r="I774" s="39">
        <f>Orders!I774</f>
        <v>2542.8000000000002</v>
      </c>
      <c r="J774" t="str">
        <f>Orders!J774</f>
        <v>Completed</v>
      </c>
      <c r="K774" t="str">
        <f>Orders!K774</f>
        <v>Chennai</v>
      </c>
      <c r="L774" t="str">
        <f>IFERROR(VLOOKUP(D774,Products!$A$2:$F$61,3,FALSE),"")</f>
        <v>Electronics</v>
      </c>
      <c r="M774">
        <f>IFERROR(VLOOKUP(D774,Products!$A$2:$F$61,4,FALSE),"")</f>
        <v>1052</v>
      </c>
      <c r="N774" t="str">
        <f>IFERROR(VLOOKUP(E774,Sales_Reps!$A$2:$E$31,3,FALSE),"")</f>
        <v>East</v>
      </c>
      <c r="O774" t="str">
        <f>IFERROR(VLOOKUP(C774,Customers!$A$2:$F$301,5,FALSE),"")</f>
        <v>Retail</v>
      </c>
      <c r="P774">
        <f>IFERROR(VLOOKUP(C774,Customers!$A$2:$F$301,3,FALSE),"")</f>
        <v>49</v>
      </c>
      <c r="Q774" s="41">
        <f t="shared" si="21"/>
        <v>0.5953846153846154</v>
      </c>
      <c r="R774" t="str">
        <f>IFERROR(VLOOKUP(C774,Customers!$A$2:$F$301,1,FALSE),"")</f>
        <v>CUST-0265</v>
      </c>
      <c r="S774" s="27" t="b">
        <f>IFERROR(VLOOKUP(D774,Products!$A$2:$F$61,6,FALSE),"")</f>
        <v>1</v>
      </c>
      <c r="BL774">
        <v>0</v>
      </c>
      <c r="BO774">
        <v>0</v>
      </c>
      <c r="BP774">
        <v>0</v>
      </c>
    </row>
    <row r="775" spans="1:68" x14ac:dyDescent="0.35">
      <c r="A775" s="26" t="str">
        <f>Orders!A775</f>
        <v>ORD-00774</v>
      </c>
      <c r="B775" s="33">
        <f>Orders!B775</f>
        <v>45467</v>
      </c>
      <c r="C775" t="str">
        <f>Orders!C775</f>
        <v>CUST-0192</v>
      </c>
      <c r="D775" t="str">
        <f>Orders!D775</f>
        <v>PROD-053</v>
      </c>
      <c r="E775" t="str">
        <f>Orders!E775</f>
        <v>R003</v>
      </c>
      <c r="F775">
        <f>Orders!F775</f>
        <v>8</v>
      </c>
      <c r="G775" s="35">
        <f>Orders!G775</f>
        <v>470</v>
      </c>
      <c r="H775" s="37">
        <f>Orders!H775</f>
        <v>25.2</v>
      </c>
      <c r="I775" s="39">
        <f>Orders!I775</f>
        <v>2812.48</v>
      </c>
      <c r="J775" t="str">
        <f>Orders!J775</f>
        <v>Completed</v>
      </c>
      <c r="K775" t="str">
        <f>Orders!K775</f>
        <v>Bengaluru</v>
      </c>
      <c r="L775" t="str">
        <f>IFERROR(VLOOKUP(D775,Products!$A$2:$F$61,3,FALSE),"")</f>
        <v>Sports</v>
      </c>
      <c r="M775">
        <f>IFERROR(VLOOKUP(D775,Products!$A$2:$F$61,4,FALSE),"")</f>
        <v>302</v>
      </c>
      <c r="N775" t="str">
        <f>IFERROR(VLOOKUP(E775,Sales_Reps!$A$2:$E$31,3,FALSE),"")</f>
        <v>North</v>
      </c>
      <c r="O775" t="str">
        <f>IFERROR(VLOOKUP(C775,Customers!$A$2:$F$301,5,FALSE),"")</f>
        <v>Retail</v>
      </c>
      <c r="P775">
        <f>IFERROR(VLOOKUP(C775,Customers!$A$2:$F$301,3,FALSE),"")</f>
        <v>55</v>
      </c>
      <c r="Q775" s="41">
        <f t="shared" si="21"/>
        <v>0.35744680851063831</v>
      </c>
      <c r="R775" t="str">
        <f>IFERROR(VLOOKUP(C775,Customers!$A$2:$F$301,1,FALSE),"")</f>
        <v>CUST-0192</v>
      </c>
      <c r="S775" s="27" t="b">
        <f>IFERROR(VLOOKUP(D775,Products!$A$2:$F$61,6,FALSE),"")</f>
        <v>0</v>
      </c>
      <c r="BL775">
        <v>0</v>
      </c>
      <c r="BO775">
        <v>0</v>
      </c>
      <c r="BP775">
        <v>1</v>
      </c>
    </row>
    <row r="776" spans="1:68" x14ac:dyDescent="0.35">
      <c r="A776" s="26" t="str">
        <f>Orders!A776</f>
        <v>ORD-00775</v>
      </c>
      <c r="B776" s="33">
        <f>Orders!B776</f>
        <v>45558</v>
      </c>
      <c r="C776" t="str">
        <f>Orders!C776</f>
        <v>CUST-0241</v>
      </c>
      <c r="D776" t="str">
        <f>Orders!D776</f>
        <v>PROD-040</v>
      </c>
      <c r="E776" t="str">
        <f>Orders!E776</f>
        <v>R012</v>
      </c>
      <c r="F776">
        <f>Orders!F776</f>
        <v>6</v>
      </c>
      <c r="G776" s="35">
        <f>Orders!G776</f>
        <v>1080</v>
      </c>
      <c r="H776" s="37">
        <f>Orders!H776</f>
        <v>25</v>
      </c>
      <c r="I776" s="39">
        <f>Orders!I776</f>
        <v>4860</v>
      </c>
      <c r="J776" t="str">
        <f>Orders!J776</f>
        <v>Completed</v>
      </c>
      <c r="K776" t="str">
        <f>Orders!K776</f>
        <v>Pune</v>
      </c>
      <c r="L776" t="str">
        <f>IFERROR(VLOOKUP(D776,Products!$A$2:$F$61,3,FALSE),"")</f>
        <v>Home</v>
      </c>
      <c r="M776">
        <f>IFERROR(VLOOKUP(D776,Products!$A$2:$F$61,4,FALSE),"")</f>
        <v>519</v>
      </c>
      <c r="N776" t="str">
        <f>IFERROR(VLOOKUP(E776,Sales_Reps!$A$2:$E$31,3,FALSE),"")</f>
        <v>South</v>
      </c>
      <c r="O776" t="str">
        <f>IFERROR(VLOOKUP(C776,Customers!$A$2:$F$301,5,FALSE),"")</f>
        <v>Corporate</v>
      </c>
      <c r="P776">
        <f>IFERROR(VLOOKUP(C776,Customers!$A$2:$F$301,3,FALSE),"")</f>
        <v>47</v>
      </c>
      <c r="Q776" s="41">
        <f t="shared" si="21"/>
        <v>0.51944444444444449</v>
      </c>
      <c r="R776" t="str">
        <f>IFERROR(VLOOKUP(C776,Customers!$A$2:$F$301,1,FALSE),"")</f>
        <v>CUST-0241</v>
      </c>
      <c r="S776" s="27" t="b">
        <f>IFERROR(VLOOKUP(D776,Products!$A$2:$F$61,6,FALSE),"")</f>
        <v>1</v>
      </c>
      <c r="BL776">
        <v>0</v>
      </c>
      <c r="BO776">
        <v>0</v>
      </c>
      <c r="BP776">
        <v>0</v>
      </c>
    </row>
    <row r="777" spans="1:68" x14ac:dyDescent="0.35">
      <c r="A777" s="26" t="str">
        <f>Orders!A777</f>
        <v>ORD-00776</v>
      </c>
      <c r="B777" s="33">
        <f>Orders!B777</f>
        <v>45645</v>
      </c>
      <c r="C777" t="str">
        <f>Orders!C777</f>
        <v>CUST-0243</v>
      </c>
      <c r="D777" t="str">
        <f>Orders!D777</f>
        <v>PROD-054</v>
      </c>
      <c r="E777" t="str">
        <f>Orders!E777</f>
        <v>R019</v>
      </c>
      <c r="F777">
        <f>Orders!F777</f>
        <v>2</v>
      </c>
      <c r="G777" s="35">
        <f>Orders!G777</f>
        <v>1010</v>
      </c>
      <c r="H777" s="37">
        <f>Orders!H777</f>
        <v>16.100000000000001</v>
      </c>
      <c r="I777" s="39">
        <f>Orders!I777</f>
        <v>1694.78</v>
      </c>
      <c r="J777" t="str">
        <f>Orders!J777</f>
        <v>Completed</v>
      </c>
      <c r="K777" t="str">
        <f>Orders!K777</f>
        <v>Pune</v>
      </c>
      <c r="L777" t="str">
        <f>IFERROR(VLOOKUP(D777,Products!$A$2:$F$61,3,FALSE),"")</f>
        <v>Sports</v>
      </c>
      <c r="M777">
        <f>IFERROR(VLOOKUP(D777,Products!$A$2:$F$61,4,FALSE),"")</f>
        <v>516</v>
      </c>
      <c r="N777" t="str">
        <f>IFERROR(VLOOKUP(E777,Sales_Reps!$A$2:$E$31,3,FALSE),"")</f>
        <v>East</v>
      </c>
      <c r="O777" t="str">
        <f>IFERROR(VLOOKUP(C777,Customers!$A$2:$F$301,5,FALSE),"")</f>
        <v>SMB</v>
      </c>
      <c r="P777">
        <f>IFERROR(VLOOKUP(C777,Customers!$A$2:$F$301,3,FALSE),"")</f>
        <v>44</v>
      </c>
      <c r="Q777" s="41">
        <f t="shared" si="21"/>
        <v>0.4891089108910891</v>
      </c>
      <c r="R777" t="str">
        <f>IFERROR(VLOOKUP(C777,Customers!$A$2:$F$301,1,FALSE),"")</f>
        <v>CUST-0243</v>
      </c>
      <c r="S777" s="27" t="b">
        <f>IFERROR(VLOOKUP(D777,Products!$A$2:$F$61,6,FALSE),"")</f>
        <v>1</v>
      </c>
      <c r="BL777">
        <v>0</v>
      </c>
      <c r="BO777">
        <v>0</v>
      </c>
      <c r="BP777">
        <v>0</v>
      </c>
    </row>
    <row r="778" spans="1:68" x14ac:dyDescent="0.35">
      <c r="A778" s="26" t="str">
        <f>Orders!A778</f>
        <v>ORD-00777</v>
      </c>
      <c r="B778" s="33">
        <f>Orders!B778</f>
        <v>45418</v>
      </c>
      <c r="C778" t="str">
        <f>Orders!C778</f>
        <v>CUST-0016</v>
      </c>
      <c r="D778" t="str">
        <f>Orders!D778</f>
        <v>PROD-004</v>
      </c>
      <c r="E778" t="str">
        <f>Orders!E778</f>
        <v>R002</v>
      </c>
      <c r="F778">
        <f>Orders!F778</f>
        <v>6</v>
      </c>
      <c r="G778" s="35">
        <f>Orders!G778</f>
        <v>3870</v>
      </c>
      <c r="H778" s="37">
        <f>Orders!H778</f>
        <v>22.4</v>
      </c>
      <c r="I778" s="39">
        <f>Orders!I778</f>
        <v>18018.72</v>
      </c>
      <c r="J778" t="str">
        <f>Orders!J778</f>
        <v>Cancelled</v>
      </c>
      <c r="K778" t="str">
        <f>Orders!K778</f>
        <v>Delhi</v>
      </c>
      <c r="L778" t="str">
        <f>IFERROR(VLOOKUP(D778,Products!$A$2:$F$61,3,FALSE),"")</f>
        <v>Electronics</v>
      </c>
      <c r="M778">
        <f>IFERROR(VLOOKUP(D778,Products!$A$2:$F$61,4,FALSE),"")</f>
        <v>1559</v>
      </c>
      <c r="N778" t="str">
        <f>IFERROR(VLOOKUP(E778,Sales_Reps!$A$2:$E$31,3,FALSE),"")</f>
        <v>North</v>
      </c>
      <c r="O778" t="str">
        <f>IFERROR(VLOOKUP(C778,Customers!$A$2:$F$301,5,FALSE),"")</f>
        <v>SMB</v>
      </c>
      <c r="P778">
        <f>IFERROR(VLOOKUP(C778,Customers!$A$2:$F$301,3,FALSE),"")</f>
        <v>26</v>
      </c>
      <c r="Q778" s="41">
        <f t="shared" si="21"/>
        <v>0.59715762273901807</v>
      </c>
      <c r="R778" t="str">
        <f>IFERROR(VLOOKUP(C778,Customers!$A$2:$F$301,1,FALSE),"")</f>
        <v>CUST-0016</v>
      </c>
      <c r="S778" s="27" t="b">
        <f>IFERROR(VLOOKUP(D778,Products!$A$2:$F$61,6,FALSE),"")</f>
        <v>1</v>
      </c>
      <c r="BL778">
        <v>0</v>
      </c>
      <c r="BO778">
        <v>0</v>
      </c>
      <c r="BP778">
        <v>0</v>
      </c>
    </row>
    <row r="779" spans="1:68" x14ac:dyDescent="0.35">
      <c r="A779" s="26" t="str">
        <f>Orders!A779</f>
        <v>ORD-00778</v>
      </c>
      <c r="B779" s="33">
        <f>Orders!B779</f>
        <v>45655</v>
      </c>
      <c r="C779" t="str">
        <f>Orders!C779</f>
        <v>CUST-0249</v>
      </c>
      <c r="D779" t="str">
        <f>Orders!D779</f>
        <v>PROD-033</v>
      </c>
      <c r="E779" t="str">
        <f>Orders!E779</f>
        <v>R027</v>
      </c>
      <c r="F779">
        <f>Orders!F779</f>
        <v>3</v>
      </c>
      <c r="G779" s="35">
        <f>Orders!G779</f>
        <v>2030</v>
      </c>
      <c r="H779" s="37">
        <f>Orders!H779</f>
        <v>18.5</v>
      </c>
      <c r="I779" s="39">
        <f>Orders!I779</f>
        <v>4963.3500000000004</v>
      </c>
      <c r="J779" t="str">
        <f>Orders!J779</f>
        <v>Completed</v>
      </c>
      <c r="K779" t="str">
        <f>Orders!K779</f>
        <v>Mumbai</v>
      </c>
      <c r="L779" t="str">
        <f>IFERROR(VLOOKUP(D779,Products!$A$2:$F$61,3,FALSE),"")</f>
        <v>Home</v>
      </c>
      <c r="M779">
        <f>IFERROR(VLOOKUP(D779,Products!$A$2:$F$61,4,FALSE),"")</f>
        <v>1143</v>
      </c>
      <c r="N779" t="str">
        <f>IFERROR(VLOOKUP(E779,Sales_Reps!$A$2:$E$31,3,FALSE),"")</f>
        <v>West</v>
      </c>
      <c r="O779" t="str">
        <f>IFERROR(VLOOKUP(C779,Customers!$A$2:$F$301,5,FALSE),"")</f>
        <v>Retail</v>
      </c>
      <c r="P779">
        <f>IFERROR(VLOOKUP(C779,Customers!$A$2:$F$301,3,FALSE),"")</f>
        <v>44</v>
      </c>
      <c r="Q779" s="41">
        <f t="shared" si="21"/>
        <v>0.43694581280788175</v>
      </c>
      <c r="R779" t="str">
        <f>IFERROR(VLOOKUP(C779,Customers!$A$2:$F$301,1,FALSE),"")</f>
        <v>CUST-0249</v>
      </c>
      <c r="S779" s="27" t="b">
        <f>IFERROR(VLOOKUP(D779,Products!$A$2:$F$61,6,FALSE),"")</f>
        <v>1</v>
      </c>
      <c r="BL779">
        <v>0</v>
      </c>
      <c r="BO779">
        <v>0</v>
      </c>
      <c r="BP779">
        <v>0</v>
      </c>
    </row>
    <row r="780" spans="1:68" x14ac:dyDescent="0.35">
      <c r="A780" s="26" t="str">
        <f>Orders!A780</f>
        <v>ORD-00779</v>
      </c>
      <c r="B780" s="33">
        <f>Orders!B780</f>
        <v>45540</v>
      </c>
      <c r="C780" t="str">
        <f>Orders!C780</f>
        <v>CUST-0021</v>
      </c>
      <c r="D780" t="str">
        <f>Orders!D780</f>
        <v>PROD-040</v>
      </c>
      <c r="E780" t="str">
        <f>Orders!E780</f>
        <v>R027</v>
      </c>
      <c r="F780">
        <f>Orders!F780</f>
        <v>7</v>
      </c>
      <c r="G780" s="35">
        <f>Orders!G780</f>
        <v>1080</v>
      </c>
      <c r="H780" s="37">
        <f>Orders!H780</f>
        <v>6.8</v>
      </c>
      <c r="I780" s="39">
        <f>Orders!I780</f>
        <v>7045.92</v>
      </c>
      <c r="J780" t="str">
        <f>Orders!J780</f>
        <v>Pending</v>
      </c>
      <c r="K780" t="str">
        <f>Orders!K780</f>
        <v>Pune</v>
      </c>
      <c r="L780" t="str">
        <f>IFERROR(VLOOKUP(D780,Products!$A$2:$F$61,3,FALSE),"")</f>
        <v>Home</v>
      </c>
      <c r="M780">
        <f>IFERROR(VLOOKUP(D780,Products!$A$2:$F$61,4,FALSE),"")</f>
        <v>519</v>
      </c>
      <c r="N780" t="str">
        <f>IFERROR(VLOOKUP(E780,Sales_Reps!$A$2:$E$31,3,FALSE),"")</f>
        <v>West</v>
      </c>
      <c r="O780" t="str">
        <f>IFERROR(VLOOKUP(C780,Customers!$A$2:$F$301,5,FALSE),"")</f>
        <v>Retail</v>
      </c>
      <c r="P780">
        <f>IFERROR(VLOOKUP(C780,Customers!$A$2:$F$301,3,FALSE),"")</f>
        <v>44</v>
      </c>
      <c r="Q780" s="41">
        <f t="shared" si="21"/>
        <v>0.51944444444444449</v>
      </c>
      <c r="R780" t="str">
        <f>IFERROR(VLOOKUP(C780,Customers!$A$2:$F$301,1,FALSE),"")</f>
        <v>CUST-0021</v>
      </c>
      <c r="S780" s="27" t="b">
        <f>IFERROR(VLOOKUP(D780,Products!$A$2:$F$61,6,FALSE),"")</f>
        <v>1</v>
      </c>
      <c r="BL780">
        <v>0</v>
      </c>
      <c r="BO780">
        <v>0</v>
      </c>
      <c r="BP780">
        <v>0</v>
      </c>
    </row>
    <row r="781" spans="1:68" x14ac:dyDescent="0.35">
      <c r="A781" s="26" t="str">
        <f>Orders!A781</f>
        <v>ORD-00780</v>
      </c>
      <c r="B781" s="33">
        <f>Orders!B781</f>
        <v>45609</v>
      </c>
      <c r="C781" t="str">
        <f>Orders!C781</f>
        <v>CUST-0255</v>
      </c>
      <c r="D781" t="str">
        <f>Orders!D781</f>
        <v>PROD-035</v>
      </c>
      <c r="E781" t="str">
        <f>Orders!E781</f>
        <v>R009</v>
      </c>
      <c r="F781">
        <f>Orders!F781</f>
        <v>1</v>
      </c>
      <c r="G781" s="35">
        <f>Orders!G781</f>
        <v>1090</v>
      </c>
      <c r="H781" s="37">
        <f>Orders!H781</f>
        <v>20.6</v>
      </c>
      <c r="I781" s="39">
        <f>Orders!I781</f>
        <v>865.46</v>
      </c>
      <c r="J781" t="str">
        <f>Orders!J781</f>
        <v>Completed</v>
      </c>
      <c r="K781" t="str">
        <f>Orders!K781</f>
        <v>Chennai</v>
      </c>
      <c r="L781" t="str">
        <f>IFERROR(VLOOKUP(D781,Products!$A$2:$F$61,3,FALSE),"")</f>
        <v>Home</v>
      </c>
      <c r="M781">
        <f>IFERROR(VLOOKUP(D781,Products!$A$2:$F$61,4,FALSE),"")</f>
        <v>464</v>
      </c>
      <c r="N781" t="str">
        <f>IFERROR(VLOOKUP(E781,Sales_Reps!$A$2:$E$31,3,FALSE),"")</f>
        <v>South</v>
      </c>
      <c r="O781" t="str">
        <f>IFERROR(VLOOKUP(C781,Customers!$A$2:$F$301,5,FALSE),"")</f>
        <v>Corporate</v>
      </c>
      <c r="P781">
        <f>IFERROR(VLOOKUP(C781,Customers!$A$2:$F$301,3,FALSE),"")</f>
        <v>51</v>
      </c>
      <c r="Q781" s="41">
        <f t="shared" si="21"/>
        <v>0.57431192660550456</v>
      </c>
      <c r="R781" t="str">
        <f>IFERROR(VLOOKUP(C781,Customers!$A$2:$F$301,1,FALSE),"")</f>
        <v>CUST-0255</v>
      </c>
      <c r="S781" s="27" t="b">
        <f>IFERROR(VLOOKUP(D781,Products!$A$2:$F$61,6,FALSE),"")</f>
        <v>1</v>
      </c>
      <c r="BL781">
        <v>0</v>
      </c>
      <c r="BO781">
        <v>0</v>
      </c>
      <c r="BP781">
        <v>0</v>
      </c>
    </row>
    <row r="782" spans="1:68" x14ac:dyDescent="0.35">
      <c r="A782" s="26" t="str">
        <f>Orders!A782</f>
        <v>ORD-00781</v>
      </c>
      <c r="B782" s="33">
        <f>Orders!B782</f>
        <v>45528</v>
      </c>
      <c r="C782" t="str">
        <f>Orders!C782</f>
        <v>CUST-0084</v>
      </c>
      <c r="D782" t="str">
        <f>Orders!D782</f>
        <v>PROD-032</v>
      </c>
      <c r="E782" t="str">
        <f>Orders!E782</f>
        <v>R011</v>
      </c>
      <c r="F782">
        <f>Orders!F782</f>
        <v>8</v>
      </c>
      <c r="G782" s="35">
        <f>Orders!G782</f>
        <v>370</v>
      </c>
      <c r="H782" s="37">
        <f>Orders!H782</f>
        <v>1.7</v>
      </c>
      <c r="I782" s="39">
        <f>Orders!I782</f>
        <v>2909.68</v>
      </c>
      <c r="J782" t="str">
        <f>Orders!J782</f>
        <v>Completed</v>
      </c>
      <c r="K782" t="str">
        <f>Orders!K782</f>
        <v>Chennai</v>
      </c>
      <c r="L782" t="str">
        <f>IFERROR(VLOOKUP(D782,Products!$A$2:$F$61,3,FALSE),"")</f>
        <v>Home</v>
      </c>
      <c r="M782">
        <f>IFERROR(VLOOKUP(D782,Products!$A$2:$F$61,4,FALSE),"")</f>
        <v>288</v>
      </c>
      <c r="N782" t="str">
        <f>IFERROR(VLOOKUP(E782,Sales_Reps!$A$2:$E$31,3,FALSE),"")</f>
        <v>South</v>
      </c>
      <c r="O782" t="str">
        <f>IFERROR(VLOOKUP(C782,Customers!$A$2:$F$301,5,FALSE),"")</f>
        <v>Retail</v>
      </c>
      <c r="P782">
        <f>IFERROR(VLOOKUP(C782,Customers!$A$2:$F$301,3,FALSE),"")</f>
        <v>28</v>
      </c>
      <c r="Q782" s="41">
        <f t="shared" si="21"/>
        <v>0.22162162162162163</v>
      </c>
      <c r="R782" t="str">
        <f>IFERROR(VLOOKUP(C782,Customers!$A$2:$F$301,1,FALSE),"")</f>
        <v>CUST-0084</v>
      </c>
      <c r="S782" s="27" t="b">
        <f>IFERROR(VLOOKUP(D782,Products!$A$2:$F$61,6,FALSE),"")</f>
        <v>1</v>
      </c>
      <c r="BL782">
        <v>0</v>
      </c>
      <c r="BO782">
        <v>0</v>
      </c>
      <c r="BP782">
        <v>0</v>
      </c>
    </row>
    <row r="783" spans="1:68" x14ac:dyDescent="0.35">
      <c r="A783" s="26" t="str">
        <f>Orders!A783</f>
        <v>ORD-00782</v>
      </c>
      <c r="B783" s="33">
        <f>Orders!B783</f>
        <v>45625</v>
      </c>
      <c r="C783" t="str">
        <f>Orders!C783</f>
        <v>CUST-0289</v>
      </c>
      <c r="D783" t="str">
        <f>Orders!D783</f>
        <v>PROD-018</v>
      </c>
      <c r="E783" t="str">
        <f>Orders!E783</f>
        <v>R018</v>
      </c>
      <c r="F783">
        <f>Orders!F783</f>
        <v>7</v>
      </c>
      <c r="G783" s="35">
        <f>Orders!G783</f>
        <v>3560</v>
      </c>
      <c r="H783" s="37">
        <f>Orders!H783</f>
        <v>28.7</v>
      </c>
      <c r="I783" s="39">
        <f>Orders!I783</f>
        <v>17767.96</v>
      </c>
      <c r="J783" t="str">
        <f>Orders!J783</f>
        <v>Completed</v>
      </c>
      <c r="K783" t="str">
        <f>Orders!K783</f>
        <v>Mumbai</v>
      </c>
      <c r="L783" t="str">
        <f>IFERROR(VLOOKUP(D783,Products!$A$2:$F$61,3,FALSE),"")</f>
        <v>Apparel</v>
      </c>
      <c r="M783">
        <f>IFERROR(VLOOKUP(D783,Products!$A$2:$F$61,4,FALSE),"")</f>
        <v>2629</v>
      </c>
      <c r="N783" t="str">
        <f>IFERROR(VLOOKUP(E783,Sales_Reps!$A$2:$E$31,3,FALSE),"")</f>
        <v>East</v>
      </c>
      <c r="O783" t="str">
        <f>IFERROR(VLOOKUP(C783,Customers!$A$2:$F$301,5,FALSE),"")</f>
        <v>Retail</v>
      </c>
      <c r="P783">
        <f>IFERROR(VLOOKUP(C783,Customers!$A$2:$F$301,3,FALSE),"")</f>
        <v>54</v>
      </c>
      <c r="Q783" s="41">
        <f t="shared" si="21"/>
        <v>0.26151685393258428</v>
      </c>
      <c r="R783" t="str">
        <f>IFERROR(VLOOKUP(C783,Customers!$A$2:$F$301,1,FALSE),"")</f>
        <v>CUST-0289</v>
      </c>
      <c r="S783" s="27" t="b">
        <f>IFERROR(VLOOKUP(D783,Products!$A$2:$F$61,6,FALSE),"")</f>
        <v>1</v>
      </c>
      <c r="BL783">
        <v>0</v>
      </c>
      <c r="BO783">
        <v>0</v>
      </c>
      <c r="BP783">
        <v>0</v>
      </c>
    </row>
    <row r="784" spans="1:68" x14ac:dyDescent="0.35">
      <c r="A784" s="26" t="str">
        <f>Orders!A784</f>
        <v>ORD-00783</v>
      </c>
      <c r="B784" s="33">
        <f>Orders!B784</f>
        <v>45444</v>
      </c>
      <c r="C784" t="str">
        <f>Orders!C784</f>
        <v>CUST-0026</v>
      </c>
      <c r="D784" t="str">
        <f>Orders!D784</f>
        <v>PROD-050</v>
      </c>
      <c r="E784" t="str">
        <f>Orders!E784</f>
        <v>R016</v>
      </c>
      <c r="F784">
        <f>Orders!F784</f>
        <v>9</v>
      </c>
      <c r="G784" s="35">
        <f>Orders!G784</f>
        <v>6080</v>
      </c>
      <c r="H784" s="37">
        <f>Orders!H784</f>
        <v>16.3</v>
      </c>
      <c r="I784" s="39">
        <f>Orders!I784</f>
        <v>45800.639999999999</v>
      </c>
      <c r="J784" t="str">
        <f>Orders!J784</f>
        <v>Cancelled</v>
      </c>
      <c r="K784" t="str">
        <f>Orders!K784</f>
        <v>Pune</v>
      </c>
      <c r="L784" t="str">
        <f>IFERROR(VLOOKUP(D784,Products!$A$2:$F$61,3,FALSE),"")</f>
        <v>Beauty</v>
      </c>
      <c r="M784">
        <f>IFERROR(VLOOKUP(D784,Products!$A$2:$F$61,4,FALSE),"")</f>
        <v>2617</v>
      </c>
      <c r="N784" t="str">
        <f>IFERROR(VLOOKUP(E784,Sales_Reps!$A$2:$E$31,3,FALSE),"")</f>
        <v>South</v>
      </c>
      <c r="O784" t="str">
        <f>IFERROR(VLOOKUP(C784,Customers!$A$2:$F$301,5,FALSE),"")</f>
        <v>Retail</v>
      </c>
      <c r="P784">
        <f>IFERROR(VLOOKUP(C784,Customers!$A$2:$F$301,3,FALSE),"")</f>
        <v>62</v>
      </c>
      <c r="Q784" s="41">
        <f t="shared" si="21"/>
        <v>0.56957236842105263</v>
      </c>
      <c r="R784" t="str">
        <f>IFERROR(VLOOKUP(C784,Customers!$A$2:$F$301,1,FALSE),"")</f>
        <v>CUST-0026</v>
      </c>
      <c r="S784" s="27" t="b">
        <f>IFERROR(VLOOKUP(D784,Products!$A$2:$F$61,6,FALSE),"")</f>
        <v>1</v>
      </c>
      <c r="BL784">
        <v>0</v>
      </c>
      <c r="BO784">
        <v>0</v>
      </c>
      <c r="BP784">
        <v>0</v>
      </c>
    </row>
    <row r="785" spans="1:68" x14ac:dyDescent="0.35">
      <c r="A785" s="26" t="str">
        <f>Orders!A785</f>
        <v>ORD-00784</v>
      </c>
      <c r="B785" s="33">
        <f>Orders!B785</f>
        <v>45505</v>
      </c>
      <c r="C785" t="str">
        <f>Orders!C785</f>
        <v>CUST-0273</v>
      </c>
      <c r="D785" t="str">
        <f>Orders!D785</f>
        <v>PROD-051</v>
      </c>
      <c r="E785" t="str">
        <f>Orders!E785</f>
        <v>R015</v>
      </c>
      <c r="F785">
        <f>Orders!F785</f>
        <v>2</v>
      </c>
      <c r="G785" s="35">
        <f>Orders!G785</f>
        <v>3450</v>
      </c>
      <c r="H785" s="37">
        <f>Orders!H785</f>
        <v>17.600000000000001</v>
      </c>
      <c r="I785" s="39">
        <f>Orders!I785</f>
        <v>5685.6</v>
      </c>
      <c r="J785" t="str">
        <f>Orders!J785</f>
        <v>Pending</v>
      </c>
      <c r="K785" t="str">
        <f>Orders!K785</f>
        <v>Hyderabad</v>
      </c>
      <c r="L785" t="str">
        <f>IFERROR(VLOOKUP(D785,Products!$A$2:$F$61,3,FALSE),"")</f>
        <v>Sports</v>
      </c>
      <c r="M785">
        <f>IFERROR(VLOOKUP(D785,Products!$A$2:$F$61,4,FALSE),"")</f>
        <v>2467</v>
      </c>
      <c r="N785" t="str">
        <f>IFERROR(VLOOKUP(E785,Sales_Reps!$A$2:$E$31,3,FALSE),"")</f>
        <v>South</v>
      </c>
      <c r="O785" t="str">
        <f>IFERROR(VLOOKUP(C785,Customers!$A$2:$F$301,5,FALSE),"")</f>
        <v>Corporate</v>
      </c>
      <c r="P785">
        <f>IFERROR(VLOOKUP(C785,Customers!$A$2:$F$301,3,FALSE),"")</f>
        <v>32</v>
      </c>
      <c r="Q785" s="41">
        <f t="shared" si="21"/>
        <v>0.28492753623188405</v>
      </c>
      <c r="R785" t="str">
        <f>IFERROR(VLOOKUP(C785,Customers!$A$2:$F$301,1,FALSE),"")</f>
        <v>CUST-0273</v>
      </c>
      <c r="S785" s="27" t="b">
        <f>IFERROR(VLOOKUP(D785,Products!$A$2:$F$61,6,FALSE),"")</f>
        <v>1</v>
      </c>
      <c r="BL785">
        <v>0</v>
      </c>
      <c r="BO785">
        <v>0</v>
      </c>
      <c r="BP785">
        <v>0</v>
      </c>
    </row>
    <row r="786" spans="1:68" x14ac:dyDescent="0.35">
      <c r="A786" s="26" t="str">
        <f>Orders!A786</f>
        <v>ORD-00785</v>
      </c>
      <c r="B786" s="33">
        <f>Orders!B786</f>
        <v>45401</v>
      </c>
      <c r="C786" t="str">
        <f>Orders!C786</f>
        <v>CUST-0069</v>
      </c>
      <c r="D786" t="str">
        <f>Orders!D786</f>
        <v>PROD-034</v>
      </c>
      <c r="E786" t="str">
        <f>Orders!E786</f>
        <v>R009</v>
      </c>
      <c r="F786">
        <f>Orders!F786</f>
        <v>1</v>
      </c>
      <c r="G786" s="35">
        <f>Orders!G786</f>
        <v>5080</v>
      </c>
      <c r="H786" s="37">
        <f>Orders!H786</f>
        <v>5.9</v>
      </c>
      <c r="I786" s="39">
        <f>Orders!I786</f>
        <v>4780.28</v>
      </c>
      <c r="J786" t="str">
        <f>Orders!J786</f>
        <v>Completed</v>
      </c>
      <c r="K786" t="str">
        <f>Orders!K786</f>
        <v>Chennai</v>
      </c>
      <c r="L786" t="str">
        <f>IFERROR(VLOOKUP(D786,Products!$A$2:$F$61,3,FALSE),"")</f>
        <v>Home</v>
      </c>
      <c r="M786">
        <f>IFERROR(VLOOKUP(D786,Products!$A$2:$F$61,4,FALSE),"")</f>
        <v>2459</v>
      </c>
      <c r="N786" t="str">
        <f>IFERROR(VLOOKUP(E786,Sales_Reps!$A$2:$E$31,3,FALSE),"")</f>
        <v>South</v>
      </c>
      <c r="O786" t="str">
        <f>IFERROR(VLOOKUP(C786,Customers!$A$2:$F$301,5,FALSE),"")</f>
        <v>Retail</v>
      </c>
      <c r="P786">
        <f>IFERROR(VLOOKUP(C786,Customers!$A$2:$F$301,3,FALSE),"")</f>
        <v>51</v>
      </c>
      <c r="Q786" s="41">
        <f t="shared" si="21"/>
        <v>0.51594488188976373</v>
      </c>
      <c r="R786" t="str">
        <f>IFERROR(VLOOKUP(C786,Customers!$A$2:$F$301,1,FALSE),"")</f>
        <v>CUST-0069</v>
      </c>
      <c r="S786" s="27" t="b">
        <f>IFERROR(VLOOKUP(D786,Products!$A$2:$F$61,6,FALSE),"")</f>
        <v>1</v>
      </c>
      <c r="BL786">
        <v>0</v>
      </c>
      <c r="BO786">
        <v>0</v>
      </c>
      <c r="BP786">
        <v>0</v>
      </c>
    </row>
    <row r="787" spans="1:68" x14ac:dyDescent="0.35">
      <c r="A787" s="26" t="str">
        <f>Orders!A787</f>
        <v>ORD-00786</v>
      </c>
      <c r="B787" s="33">
        <f>Orders!B787</f>
        <v>45364</v>
      </c>
      <c r="C787" t="str">
        <f>Orders!C787</f>
        <v>CUST-0236</v>
      </c>
      <c r="D787" t="str">
        <f>Orders!D787</f>
        <v>PROD-011</v>
      </c>
      <c r="E787" t="str">
        <f>Orders!E787</f>
        <v>R023</v>
      </c>
      <c r="F787">
        <f>Orders!F787</f>
        <v>7</v>
      </c>
      <c r="G787" s="35">
        <f>Orders!G787</f>
        <v>3450</v>
      </c>
      <c r="H787" s="37">
        <f>Orders!H787</f>
        <v>17.399999999999999</v>
      </c>
      <c r="I787" s="39">
        <f>Orders!I787</f>
        <v>19947.900000000001</v>
      </c>
      <c r="J787" t="str">
        <f>Orders!J787</f>
        <v>Completed</v>
      </c>
      <c r="K787" t="str">
        <f>Orders!K787</f>
        <v>Hyderabad</v>
      </c>
      <c r="L787" t="str">
        <f>IFERROR(VLOOKUP(D787,Products!$A$2:$F$61,3,FALSE),"")</f>
        <v>Apparel</v>
      </c>
      <c r="M787">
        <f>IFERROR(VLOOKUP(D787,Products!$A$2:$F$61,4,FALSE),"")</f>
        <v>1748</v>
      </c>
      <c r="N787" t="str">
        <f>IFERROR(VLOOKUP(E787,Sales_Reps!$A$2:$E$31,3,FALSE),"")</f>
        <v>East</v>
      </c>
      <c r="O787" t="str">
        <f>IFERROR(VLOOKUP(C787,Customers!$A$2:$F$301,5,FALSE),"")</f>
        <v>SMB</v>
      </c>
      <c r="P787">
        <f>IFERROR(VLOOKUP(C787,Customers!$A$2:$F$301,3,FALSE),"")</f>
        <v>28</v>
      </c>
      <c r="Q787" s="41">
        <f t="shared" si="21"/>
        <v>0.49333333333333335</v>
      </c>
      <c r="R787" t="str">
        <f>IFERROR(VLOOKUP(C787,Customers!$A$2:$F$301,1,FALSE),"")</f>
        <v>CUST-0236</v>
      </c>
      <c r="S787" s="27" t="b">
        <f>IFERROR(VLOOKUP(D787,Products!$A$2:$F$61,6,FALSE),"")</f>
        <v>1</v>
      </c>
      <c r="BL787">
        <v>0</v>
      </c>
      <c r="BO787">
        <v>0</v>
      </c>
      <c r="BP787">
        <v>0</v>
      </c>
    </row>
    <row r="788" spans="1:68" x14ac:dyDescent="0.35">
      <c r="A788" s="26" t="str">
        <f>Orders!A788</f>
        <v>ORD-00787</v>
      </c>
      <c r="B788" s="33">
        <f>Orders!B788</f>
        <v>45403</v>
      </c>
      <c r="C788" t="str">
        <f>Orders!C788</f>
        <v>CUST-0060</v>
      </c>
      <c r="D788" t="str">
        <f>Orders!D788</f>
        <v>PROD-024</v>
      </c>
      <c r="E788" t="str">
        <f>Orders!E788</f>
        <v>R009</v>
      </c>
      <c r="F788">
        <f>Orders!F788</f>
        <v>8</v>
      </c>
      <c r="G788" s="35">
        <f>Orders!G788</f>
        <v>2270</v>
      </c>
      <c r="H788" s="37">
        <f>Orders!H788</f>
        <v>24.7</v>
      </c>
      <c r="I788" s="39">
        <f>Orders!I788</f>
        <v>13674.48</v>
      </c>
      <c r="J788" t="str">
        <f>Orders!J788</f>
        <v>Completed</v>
      </c>
      <c r="K788" t="str">
        <f>Orders!K788</f>
        <v>Pune</v>
      </c>
      <c r="L788" t="str">
        <f>IFERROR(VLOOKUP(D788,Products!$A$2:$F$61,3,FALSE),"")</f>
        <v>Grocery</v>
      </c>
      <c r="M788">
        <f>IFERROR(VLOOKUP(D788,Products!$A$2:$F$61,4,FALSE),"")</f>
        <v>1203</v>
      </c>
      <c r="N788" t="str">
        <f>IFERROR(VLOOKUP(E788,Sales_Reps!$A$2:$E$31,3,FALSE),"")</f>
        <v>South</v>
      </c>
      <c r="O788" t="str">
        <f>IFERROR(VLOOKUP(C788,Customers!$A$2:$F$301,5,FALSE),"")</f>
        <v>Retail</v>
      </c>
      <c r="P788">
        <f>IFERROR(VLOOKUP(C788,Customers!$A$2:$F$301,3,FALSE),"")</f>
        <v>39</v>
      </c>
      <c r="Q788" s="41">
        <f t="shared" si="21"/>
        <v>0.47004405286343615</v>
      </c>
      <c r="R788" t="str">
        <f>IFERROR(VLOOKUP(C788,Customers!$A$2:$F$301,1,FALSE),"")</f>
        <v>CUST-0060</v>
      </c>
      <c r="S788" s="27" t="b">
        <f>IFERROR(VLOOKUP(D788,Products!$A$2:$F$61,6,FALSE),"")</f>
        <v>1</v>
      </c>
      <c r="BL788">
        <v>0</v>
      </c>
      <c r="BO788">
        <v>0</v>
      </c>
      <c r="BP788">
        <v>0</v>
      </c>
    </row>
    <row r="789" spans="1:68" x14ac:dyDescent="0.35">
      <c r="A789" s="26" t="str">
        <f>Orders!A789</f>
        <v>ORD-00788</v>
      </c>
      <c r="B789" s="33">
        <f>Orders!B789</f>
        <v>45599</v>
      </c>
      <c r="C789" t="str">
        <f>Orders!C789</f>
        <v>CUST-0243</v>
      </c>
      <c r="D789" t="str">
        <f>Orders!D789</f>
        <v>PROD-012</v>
      </c>
      <c r="E789" t="str">
        <f>Orders!E789</f>
        <v>R023</v>
      </c>
      <c r="F789">
        <f>Orders!F789</f>
        <v>3</v>
      </c>
      <c r="G789" s="35">
        <f>Orders!G789</f>
        <v>3160</v>
      </c>
      <c r="H789" s="37">
        <f>Orders!H789</f>
        <v>1.5</v>
      </c>
      <c r="I789" s="39">
        <f>Orders!I789</f>
        <v>9337.7999999999993</v>
      </c>
      <c r="J789" t="str">
        <f>Orders!J789</f>
        <v>Pending</v>
      </c>
      <c r="K789" t="str">
        <f>Orders!K789</f>
        <v>Pune</v>
      </c>
      <c r="L789" t="str">
        <f>IFERROR(VLOOKUP(D789,Products!$A$2:$F$61,3,FALSE),"")</f>
        <v>Apparel</v>
      </c>
      <c r="M789">
        <f>IFERROR(VLOOKUP(D789,Products!$A$2:$F$61,4,FALSE),"")</f>
        <v>1886</v>
      </c>
      <c r="N789" t="str">
        <f>IFERROR(VLOOKUP(E789,Sales_Reps!$A$2:$E$31,3,FALSE),"")</f>
        <v>East</v>
      </c>
      <c r="O789" t="str">
        <f>IFERROR(VLOOKUP(C789,Customers!$A$2:$F$301,5,FALSE),"")</f>
        <v>SMB</v>
      </c>
      <c r="P789">
        <f>IFERROR(VLOOKUP(C789,Customers!$A$2:$F$301,3,FALSE),"")</f>
        <v>44</v>
      </c>
      <c r="Q789" s="41">
        <f t="shared" si="21"/>
        <v>0.4031645569620253</v>
      </c>
      <c r="R789" t="str">
        <f>IFERROR(VLOOKUP(C789,Customers!$A$2:$F$301,1,FALSE),"")</f>
        <v>CUST-0243</v>
      </c>
      <c r="S789" s="27" t="b">
        <f>IFERROR(VLOOKUP(D789,Products!$A$2:$F$61,6,FALSE),"")</f>
        <v>1</v>
      </c>
      <c r="BL789">
        <v>0</v>
      </c>
      <c r="BO789">
        <v>0</v>
      </c>
      <c r="BP789">
        <v>0</v>
      </c>
    </row>
    <row r="790" spans="1:68" x14ac:dyDescent="0.35">
      <c r="A790" s="26" t="str">
        <f>Orders!A790</f>
        <v>ORD-00789</v>
      </c>
      <c r="B790" s="33">
        <f>Orders!B790</f>
        <v>45389</v>
      </c>
      <c r="C790" t="str">
        <f>Orders!C790</f>
        <v>CUST-0188</v>
      </c>
      <c r="D790" t="str">
        <f>Orders!D790</f>
        <v>PROD-043</v>
      </c>
      <c r="E790" t="str">
        <f>Orders!E790</f>
        <v>R029</v>
      </c>
      <c r="F790">
        <f>Orders!F790</f>
        <v>6</v>
      </c>
      <c r="G790" s="35">
        <f>Orders!G790</f>
        <v>3350</v>
      </c>
      <c r="H790" s="37">
        <f>Orders!H790</f>
        <v>0.9</v>
      </c>
      <c r="I790" s="39">
        <f>Orders!I790</f>
        <v>19919.099999999999</v>
      </c>
      <c r="J790" t="str">
        <f>Orders!J790</f>
        <v>Pending</v>
      </c>
      <c r="K790" t="str">
        <f>Orders!K790</f>
        <v>Bengaluru</v>
      </c>
      <c r="L790" t="str">
        <f>IFERROR(VLOOKUP(D790,Products!$A$2:$F$61,3,FALSE),"")</f>
        <v>Beauty</v>
      </c>
      <c r="M790">
        <f>IFERROR(VLOOKUP(D790,Products!$A$2:$F$61,4,FALSE),"")</f>
        <v>1728</v>
      </c>
      <c r="N790" t="str">
        <f>IFERROR(VLOOKUP(E790,Sales_Reps!$A$2:$E$31,3,FALSE),"")</f>
        <v>West</v>
      </c>
      <c r="O790" t="str">
        <f>IFERROR(VLOOKUP(C790,Customers!$A$2:$F$301,5,FALSE),"")</f>
        <v>Retail</v>
      </c>
      <c r="P790">
        <f>IFERROR(VLOOKUP(C790,Customers!$A$2:$F$301,3,FALSE),"")</f>
        <v>54</v>
      </c>
      <c r="Q790" s="41">
        <f t="shared" si="21"/>
        <v>0.48417910447761192</v>
      </c>
      <c r="R790" t="str">
        <f>IFERROR(VLOOKUP(C790,Customers!$A$2:$F$301,1,FALSE),"")</f>
        <v>CUST-0188</v>
      </c>
      <c r="S790" s="27" t="b">
        <f>IFERROR(VLOOKUP(D790,Products!$A$2:$F$61,6,FALSE),"")</f>
        <v>1</v>
      </c>
      <c r="BL790">
        <v>0</v>
      </c>
      <c r="BO790">
        <v>0</v>
      </c>
      <c r="BP790">
        <v>0</v>
      </c>
    </row>
    <row r="791" spans="1:68" x14ac:dyDescent="0.35">
      <c r="A791" s="26" t="str">
        <f>Orders!A791</f>
        <v>ORD-00790</v>
      </c>
      <c r="B791" s="33">
        <f>Orders!B791</f>
        <v>45506</v>
      </c>
      <c r="C791" t="str">
        <f>Orders!C791</f>
        <v>CUST-0174</v>
      </c>
      <c r="D791" t="str">
        <f>Orders!D791</f>
        <v>PROD-044</v>
      </c>
      <c r="E791" t="str">
        <f>Orders!E791</f>
        <v>R029</v>
      </c>
      <c r="F791">
        <f>Orders!F791</f>
        <v>7</v>
      </c>
      <c r="G791" s="35">
        <f>Orders!G791</f>
        <v>1650</v>
      </c>
      <c r="H791" s="37">
        <f>Orders!H791</f>
        <v>5.6</v>
      </c>
      <c r="I791" s="39">
        <f>Orders!I791</f>
        <v>10903.2</v>
      </c>
      <c r="J791" t="str">
        <f>Orders!J791</f>
        <v>Refunded</v>
      </c>
      <c r="K791" t="str">
        <f>Orders!K791</f>
        <v>Pune</v>
      </c>
      <c r="L791" t="str">
        <f>IFERROR(VLOOKUP(D791,Products!$A$2:$F$61,3,FALSE),"")</f>
        <v>Beauty</v>
      </c>
      <c r="M791">
        <f>IFERROR(VLOOKUP(D791,Products!$A$2:$F$61,4,FALSE),"")</f>
        <v>1222</v>
      </c>
      <c r="N791" t="str">
        <f>IFERROR(VLOOKUP(E791,Sales_Reps!$A$2:$E$31,3,FALSE),"")</f>
        <v>West</v>
      </c>
      <c r="O791" t="str">
        <f>IFERROR(VLOOKUP(C791,Customers!$A$2:$F$301,5,FALSE),"")</f>
        <v>Retail</v>
      </c>
      <c r="P791">
        <f>IFERROR(VLOOKUP(C791,Customers!$A$2:$F$301,3,FALSE),"")</f>
        <v>54</v>
      </c>
      <c r="Q791" s="41">
        <f t="shared" si="21"/>
        <v>0.2593939393939394</v>
      </c>
      <c r="R791" t="str">
        <f>IFERROR(VLOOKUP(C791,Customers!$A$2:$F$301,1,FALSE),"")</f>
        <v>CUST-0174</v>
      </c>
      <c r="S791" s="27" t="b">
        <f>IFERROR(VLOOKUP(D791,Products!$A$2:$F$61,6,FALSE),"")</f>
        <v>1</v>
      </c>
      <c r="BL791">
        <v>0</v>
      </c>
      <c r="BO791">
        <v>0</v>
      </c>
      <c r="BP791">
        <v>0</v>
      </c>
    </row>
    <row r="792" spans="1:68" x14ac:dyDescent="0.35">
      <c r="A792" s="26" t="str">
        <f>Orders!A792</f>
        <v>ORD-00791</v>
      </c>
      <c r="B792" s="33">
        <f>Orders!B792</f>
        <v>45402</v>
      </c>
      <c r="C792" t="str">
        <f>Orders!C792</f>
        <v>CUST-0016</v>
      </c>
      <c r="D792" t="str">
        <f>Orders!D792</f>
        <v>PROD-038</v>
      </c>
      <c r="E792" t="str">
        <f>Orders!E792</f>
        <v>R003</v>
      </c>
      <c r="F792">
        <f>Orders!F792</f>
        <v>1</v>
      </c>
      <c r="G792" s="35">
        <f>Orders!G792</f>
        <v>5490</v>
      </c>
      <c r="H792" s="37">
        <f>Orders!H792</f>
        <v>5.8</v>
      </c>
      <c r="I792" s="39">
        <f>Orders!I792</f>
        <v>5171.58</v>
      </c>
      <c r="J792" t="str">
        <f>Orders!J792</f>
        <v>Completed</v>
      </c>
      <c r="K792" t="str">
        <f>Orders!K792</f>
        <v>Delhi</v>
      </c>
      <c r="L792" t="str">
        <f>IFERROR(VLOOKUP(D792,Products!$A$2:$F$61,3,FALSE),"")</f>
        <v>Home</v>
      </c>
      <c r="M792">
        <f>IFERROR(VLOOKUP(D792,Products!$A$2:$F$61,4,FALSE),"")</f>
        <v>2549</v>
      </c>
      <c r="N792" t="str">
        <f>IFERROR(VLOOKUP(E792,Sales_Reps!$A$2:$E$31,3,FALSE),"")</f>
        <v>North</v>
      </c>
      <c r="O792" t="str">
        <f>IFERROR(VLOOKUP(C792,Customers!$A$2:$F$301,5,FALSE),"")</f>
        <v>SMB</v>
      </c>
      <c r="P792">
        <f>IFERROR(VLOOKUP(C792,Customers!$A$2:$F$301,3,FALSE),"")</f>
        <v>26</v>
      </c>
      <c r="Q792" s="41">
        <f t="shared" si="21"/>
        <v>0.53570127504553733</v>
      </c>
      <c r="R792" t="str">
        <f>IFERROR(VLOOKUP(C792,Customers!$A$2:$F$301,1,FALSE),"")</f>
        <v>CUST-0016</v>
      </c>
      <c r="S792" s="27" t="b">
        <f>IFERROR(VLOOKUP(D792,Products!$A$2:$F$61,6,FALSE),"")</f>
        <v>1</v>
      </c>
      <c r="BL792">
        <v>0</v>
      </c>
      <c r="BO792">
        <v>0</v>
      </c>
      <c r="BP792">
        <v>0</v>
      </c>
    </row>
    <row r="793" spans="1:68" x14ac:dyDescent="0.35">
      <c r="A793" s="26" t="str">
        <f>Orders!A793</f>
        <v>ORD-00792</v>
      </c>
      <c r="B793" s="33">
        <f>Orders!B793</f>
        <v>45405</v>
      </c>
      <c r="C793" t="str">
        <f>Orders!C793</f>
        <v>CUST-0184</v>
      </c>
      <c r="D793" t="str">
        <f>Orders!D793</f>
        <v>PROD-040</v>
      </c>
      <c r="E793" t="str">
        <f>Orders!E793</f>
        <v>R024</v>
      </c>
      <c r="F793">
        <f>Orders!F793</f>
        <v>3</v>
      </c>
      <c r="G793" s="35">
        <f>Orders!G793</f>
        <v>1080</v>
      </c>
      <c r="H793" s="37">
        <f>Orders!H793</f>
        <v>20.9</v>
      </c>
      <c r="I793" s="39">
        <f>Orders!I793</f>
        <v>2562.84</v>
      </c>
      <c r="J793" t="str">
        <f>Orders!J793</f>
        <v>Completed</v>
      </c>
      <c r="K793" t="str">
        <f>Orders!K793</f>
        <v>Pune</v>
      </c>
      <c r="L793" t="str">
        <f>IFERROR(VLOOKUP(D793,Products!$A$2:$F$61,3,FALSE),"")</f>
        <v>Home</v>
      </c>
      <c r="M793">
        <f>IFERROR(VLOOKUP(D793,Products!$A$2:$F$61,4,FALSE),"")</f>
        <v>519</v>
      </c>
      <c r="N793" t="str">
        <f>IFERROR(VLOOKUP(E793,Sales_Reps!$A$2:$E$31,3,FALSE),"")</f>
        <v>West</v>
      </c>
      <c r="O793" t="str">
        <f>IFERROR(VLOOKUP(C793,Customers!$A$2:$F$301,5,FALSE),"")</f>
        <v>Retail</v>
      </c>
      <c r="P793">
        <f>IFERROR(VLOOKUP(C793,Customers!$A$2:$F$301,3,FALSE),"")</f>
        <v>63</v>
      </c>
      <c r="Q793" s="41">
        <f t="shared" si="21"/>
        <v>0.51944444444444449</v>
      </c>
      <c r="R793" t="str">
        <f>IFERROR(VLOOKUP(C793,Customers!$A$2:$F$301,1,FALSE),"")</f>
        <v>CUST-0184</v>
      </c>
      <c r="S793" s="27" t="b">
        <f>IFERROR(VLOOKUP(D793,Products!$A$2:$F$61,6,FALSE),"")</f>
        <v>1</v>
      </c>
      <c r="BL793">
        <v>0</v>
      </c>
      <c r="BO793">
        <v>0</v>
      </c>
      <c r="BP793">
        <v>0</v>
      </c>
    </row>
    <row r="794" spans="1:68" x14ac:dyDescent="0.35">
      <c r="A794" s="26" t="str">
        <f>Orders!A794</f>
        <v>ORD-00793</v>
      </c>
      <c r="B794" s="33">
        <f>Orders!B794</f>
        <v>45434</v>
      </c>
      <c r="C794" t="str">
        <f>Orders!C794</f>
        <v>CUST-9568</v>
      </c>
      <c r="D794" t="str">
        <f>Orders!D794</f>
        <v>PROD-027</v>
      </c>
      <c r="E794" t="str">
        <f>Orders!E794</f>
        <v>R018</v>
      </c>
      <c r="F794">
        <f>Orders!F794</f>
        <v>10</v>
      </c>
      <c r="G794" s="35">
        <f>Orders!G794</f>
        <v>3780</v>
      </c>
      <c r="H794" s="37">
        <f>Orders!H794</f>
        <v>5.5</v>
      </c>
      <c r="I794" s="39">
        <f>Orders!I794</f>
        <v>35721</v>
      </c>
      <c r="J794" t="str">
        <f>Orders!J794</f>
        <v>Completed</v>
      </c>
      <c r="K794" t="str">
        <f>Orders!K794</f>
        <v>Hyderabad</v>
      </c>
      <c r="L794" t="str">
        <f>IFERROR(VLOOKUP(D794,Products!$A$2:$F$61,3,FALSE),"")</f>
        <v>Grocery</v>
      </c>
      <c r="M794">
        <f>IFERROR(VLOOKUP(D794,Products!$A$2:$F$61,4,FALSE),"")</f>
        <v>2436</v>
      </c>
      <c r="N794" t="str">
        <f>IFERROR(VLOOKUP(E794,Sales_Reps!$A$2:$E$31,3,FALSE),"")</f>
        <v>East</v>
      </c>
      <c r="O794" t="str">
        <f>IFERROR(VLOOKUP(C794,Customers!$A$2:$F$301,5,FALSE),"")</f>
        <v/>
      </c>
      <c r="P794" t="str">
        <f>IFERROR(VLOOKUP(C794,Customers!$A$2:$F$301,3,FALSE),"")</f>
        <v/>
      </c>
      <c r="Q794" s="41">
        <f t="shared" si="21"/>
        <v>0.35555555555555557</v>
      </c>
      <c r="R794" t="str">
        <f>IFERROR(VLOOKUP(C794,Customers!$A$2:$F$301,1,FALSE),"")</f>
        <v/>
      </c>
      <c r="S794" s="27" t="b">
        <f>IFERROR(VLOOKUP(D794,Products!$A$2:$F$61,6,FALSE),"")</f>
        <v>1</v>
      </c>
      <c r="BL794">
        <v>0</v>
      </c>
      <c r="BO794">
        <v>1</v>
      </c>
      <c r="BP794">
        <v>0</v>
      </c>
    </row>
    <row r="795" spans="1:68" x14ac:dyDescent="0.35">
      <c r="A795" s="26" t="str">
        <f>Orders!A795</f>
        <v>ORD-00794</v>
      </c>
      <c r="B795" s="33">
        <f>Orders!B795</f>
        <v>45558</v>
      </c>
      <c r="C795" t="str">
        <f>Orders!C795</f>
        <v>CUST-0118</v>
      </c>
      <c r="D795" t="str">
        <f>Orders!D795</f>
        <v>PROD-033</v>
      </c>
      <c r="E795" t="str">
        <f>Orders!E795</f>
        <v>R030</v>
      </c>
      <c r="F795">
        <f>Orders!F795</f>
        <v>2</v>
      </c>
      <c r="G795" s="35">
        <f>Orders!G795</f>
        <v>2030</v>
      </c>
      <c r="H795" s="37">
        <f>Orders!H795</f>
        <v>2</v>
      </c>
      <c r="I795" s="39">
        <f>Orders!I795</f>
        <v>3978.8</v>
      </c>
      <c r="J795" t="str">
        <f>Orders!J795</f>
        <v>Pending</v>
      </c>
      <c r="K795" t="str">
        <f>Orders!K795</f>
        <v>Hyderabad</v>
      </c>
      <c r="L795" t="str">
        <f>IFERROR(VLOOKUP(D795,Products!$A$2:$F$61,3,FALSE),"")</f>
        <v>Home</v>
      </c>
      <c r="M795">
        <f>IFERROR(VLOOKUP(D795,Products!$A$2:$F$61,4,FALSE),"")</f>
        <v>1143</v>
      </c>
      <c r="N795" t="str">
        <f>IFERROR(VLOOKUP(E795,Sales_Reps!$A$2:$E$31,3,FALSE),"")</f>
        <v>West</v>
      </c>
      <c r="O795" t="str">
        <f>IFERROR(VLOOKUP(C795,Customers!$A$2:$F$301,5,FALSE),"")</f>
        <v>Retail</v>
      </c>
      <c r="P795">
        <f>IFERROR(VLOOKUP(C795,Customers!$A$2:$F$301,3,FALSE),"")</f>
        <v>26</v>
      </c>
      <c r="Q795" s="41">
        <f t="shared" si="21"/>
        <v>0.43694581280788175</v>
      </c>
      <c r="R795" t="str">
        <f>IFERROR(VLOOKUP(C795,Customers!$A$2:$F$301,1,FALSE),"")</f>
        <v>CUST-0118</v>
      </c>
      <c r="S795" s="27" t="b">
        <f>IFERROR(VLOOKUP(D795,Products!$A$2:$F$61,6,FALSE),"")</f>
        <v>1</v>
      </c>
      <c r="BL795">
        <v>0</v>
      </c>
      <c r="BO795">
        <v>0</v>
      </c>
      <c r="BP795">
        <v>0</v>
      </c>
    </row>
    <row r="796" spans="1:68" x14ac:dyDescent="0.35">
      <c r="A796" s="26" t="str">
        <f>Orders!A796</f>
        <v>ORD-00795</v>
      </c>
      <c r="B796" s="33">
        <f>Orders!B796</f>
        <v>45582</v>
      </c>
      <c r="C796" t="str">
        <f>Orders!C796</f>
        <v>CUST-0271</v>
      </c>
      <c r="D796" t="str">
        <f>Orders!D796</f>
        <v>PROD-041</v>
      </c>
      <c r="E796" t="str">
        <f>Orders!E796</f>
        <v>R019</v>
      </c>
      <c r="F796">
        <f>Orders!F796</f>
        <v>8</v>
      </c>
      <c r="G796" s="35">
        <f>Orders!G796</f>
        <v>1540</v>
      </c>
      <c r="H796" s="37">
        <f>Orders!H796</f>
        <v>9</v>
      </c>
      <c r="I796" s="39">
        <f>Orders!I796</f>
        <v>11211.2</v>
      </c>
      <c r="J796" t="str">
        <f>Orders!J796</f>
        <v>Cancelled</v>
      </c>
      <c r="K796" t="str">
        <f>Orders!K796</f>
        <v>Bengaluru</v>
      </c>
      <c r="L796" t="str">
        <f>IFERROR(VLOOKUP(D796,Products!$A$2:$F$61,3,FALSE),"")</f>
        <v>Beauty</v>
      </c>
      <c r="M796">
        <f>IFERROR(VLOOKUP(D796,Products!$A$2:$F$61,4,FALSE),"")</f>
        <v>647</v>
      </c>
      <c r="N796" t="str">
        <f>IFERROR(VLOOKUP(E796,Sales_Reps!$A$2:$E$31,3,FALSE),"")</f>
        <v>East</v>
      </c>
      <c r="O796" t="str">
        <f>IFERROR(VLOOKUP(C796,Customers!$A$2:$F$301,5,FALSE),"")</f>
        <v>Corporate</v>
      </c>
      <c r="P796">
        <f>IFERROR(VLOOKUP(C796,Customers!$A$2:$F$301,3,FALSE),"")</f>
        <v>41</v>
      </c>
      <c r="Q796" s="41">
        <f t="shared" si="21"/>
        <v>0.57987012987012987</v>
      </c>
      <c r="R796" t="str">
        <f>IFERROR(VLOOKUP(C796,Customers!$A$2:$F$301,1,FALSE),"")</f>
        <v>CUST-0271</v>
      </c>
      <c r="S796" s="27" t="b">
        <f>IFERROR(VLOOKUP(D796,Products!$A$2:$F$61,6,FALSE),"")</f>
        <v>0</v>
      </c>
      <c r="BL796">
        <v>0</v>
      </c>
      <c r="BO796">
        <v>0</v>
      </c>
      <c r="BP796">
        <v>1</v>
      </c>
    </row>
    <row r="797" spans="1:68" x14ac:dyDescent="0.35">
      <c r="A797" s="26" t="str">
        <f>Orders!A797</f>
        <v>ORD-00796</v>
      </c>
      <c r="B797" s="33">
        <f>Orders!B797</f>
        <v>45601</v>
      </c>
      <c r="C797" t="str">
        <f>Orders!C797</f>
        <v>CUST-0147</v>
      </c>
      <c r="D797" t="str">
        <f>Orders!D797</f>
        <v>PROD-036</v>
      </c>
      <c r="E797" t="str">
        <f>Orders!E797</f>
        <v>R015</v>
      </c>
      <c r="F797">
        <f>Orders!F797</f>
        <v>9</v>
      </c>
      <c r="G797" s="35">
        <f>Orders!G797</f>
        <v>3250</v>
      </c>
      <c r="H797" s="37">
        <f>Orders!H797</f>
        <v>20.5</v>
      </c>
      <c r="I797" s="39">
        <f>Orders!I797</f>
        <v>23253.75</v>
      </c>
      <c r="J797" t="str">
        <f>Orders!J797</f>
        <v>Completed</v>
      </c>
      <c r="K797" t="str">
        <f>Orders!K797</f>
        <v>Pune</v>
      </c>
      <c r="L797" t="str">
        <f>IFERROR(VLOOKUP(D797,Products!$A$2:$F$61,3,FALSE),"")</f>
        <v>Home</v>
      </c>
      <c r="M797">
        <f>IFERROR(VLOOKUP(D797,Products!$A$2:$F$61,4,FALSE),"")</f>
        <v>1556</v>
      </c>
      <c r="N797" t="str">
        <f>IFERROR(VLOOKUP(E797,Sales_Reps!$A$2:$E$31,3,FALSE),"")</f>
        <v>South</v>
      </c>
      <c r="O797" t="str">
        <f>IFERROR(VLOOKUP(C797,Customers!$A$2:$F$301,5,FALSE),"")</f>
        <v>Retail</v>
      </c>
      <c r="P797">
        <f>IFERROR(VLOOKUP(C797,Customers!$A$2:$F$301,3,FALSE),"")</f>
        <v>56</v>
      </c>
      <c r="Q797" s="41">
        <f t="shared" si="21"/>
        <v>0.52123076923076928</v>
      </c>
      <c r="R797" t="str">
        <f>IFERROR(VLOOKUP(C797,Customers!$A$2:$F$301,1,FALSE),"")</f>
        <v>CUST-0147</v>
      </c>
      <c r="S797" s="27" t="b">
        <f>IFERROR(VLOOKUP(D797,Products!$A$2:$F$61,6,FALSE),"")</f>
        <v>1</v>
      </c>
      <c r="BL797">
        <v>0</v>
      </c>
      <c r="BO797">
        <v>0</v>
      </c>
      <c r="BP797">
        <v>0</v>
      </c>
    </row>
    <row r="798" spans="1:68" x14ac:dyDescent="0.35">
      <c r="A798" s="26" t="str">
        <f>Orders!A798</f>
        <v>ORD-00797</v>
      </c>
      <c r="B798" s="33">
        <f>Orders!B798</f>
        <v>45344</v>
      </c>
      <c r="C798" t="str">
        <f>Orders!C798</f>
        <v>CUST-0253</v>
      </c>
      <c r="D798" t="str">
        <f>Orders!D798</f>
        <v>PROD-047</v>
      </c>
      <c r="E798" t="str">
        <f>Orders!E798</f>
        <v>R005</v>
      </c>
      <c r="F798">
        <f>Orders!F798</f>
        <v>3</v>
      </c>
      <c r="G798" s="35">
        <f>Orders!G798</f>
        <v>3450</v>
      </c>
      <c r="H798" s="37">
        <f>Orders!H798</f>
        <v>17.899999999999999</v>
      </c>
      <c r="I798" s="39">
        <f>Orders!I798</f>
        <v>8497.35</v>
      </c>
      <c r="J798" t="str">
        <f>Orders!J798</f>
        <v>Completed</v>
      </c>
      <c r="K798" t="str">
        <f>Orders!K798</f>
        <v>Delhi</v>
      </c>
      <c r="L798" t="str">
        <f>IFERROR(VLOOKUP(D798,Products!$A$2:$F$61,3,FALSE),"")</f>
        <v>Beauty</v>
      </c>
      <c r="M798">
        <f>IFERROR(VLOOKUP(D798,Products!$A$2:$F$61,4,FALSE),"")</f>
        <v>2420</v>
      </c>
      <c r="N798" t="str">
        <f>IFERROR(VLOOKUP(E798,Sales_Reps!$A$2:$E$31,3,FALSE),"")</f>
        <v>North</v>
      </c>
      <c r="O798" t="str">
        <f>IFERROR(VLOOKUP(C798,Customers!$A$2:$F$301,5,FALSE),"")</f>
        <v>SMB</v>
      </c>
      <c r="P798">
        <f>IFERROR(VLOOKUP(C798,Customers!$A$2:$F$301,3,FALSE),"")</f>
        <v>53</v>
      </c>
      <c r="Q798" s="41">
        <f t="shared" si="21"/>
        <v>0.29855072463768118</v>
      </c>
      <c r="R798" t="str">
        <f>IFERROR(VLOOKUP(C798,Customers!$A$2:$F$301,1,FALSE),"")</f>
        <v>CUST-0253</v>
      </c>
      <c r="S798" s="27" t="b">
        <f>IFERROR(VLOOKUP(D798,Products!$A$2:$F$61,6,FALSE),"")</f>
        <v>1</v>
      </c>
      <c r="BL798">
        <v>0</v>
      </c>
      <c r="BO798">
        <v>0</v>
      </c>
      <c r="BP798">
        <v>0</v>
      </c>
    </row>
    <row r="799" spans="1:68" x14ac:dyDescent="0.35">
      <c r="A799" s="26" t="str">
        <f>Orders!A799</f>
        <v>ORD-00798</v>
      </c>
      <c r="B799" s="33">
        <f>Orders!B799</f>
        <v>45504</v>
      </c>
      <c r="C799" t="str">
        <f>Orders!C799</f>
        <v>CUST-0224</v>
      </c>
      <c r="D799" t="str">
        <f>Orders!D799</f>
        <v>PROD-038</v>
      </c>
      <c r="E799" t="str">
        <f>Orders!E799</f>
        <v>R008</v>
      </c>
      <c r="F799">
        <f>Orders!F799</f>
        <v>5</v>
      </c>
      <c r="G799" s="35">
        <f>Orders!G799</f>
        <v>5490</v>
      </c>
      <c r="H799" s="37">
        <f>Orders!H799</f>
        <v>7.9</v>
      </c>
      <c r="I799" s="39">
        <f>Orders!I799</f>
        <v>25281.45</v>
      </c>
      <c r="J799" t="str">
        <f>Orders!J799</f>
        <v>Completed</v>
      </c>
      <c r="K799" t="str">
        <f>Orders!K799</f>
        <v>Chennai</v>
      </c>
      <c r="L799" t="str">
        <f>IFERROR(VLOOKUP(D799,Products!$A$2:$F$61,3,FALSE),"")</f>
        <v>Home</v>
      </c>
      <c r="M799">
        <f>IFERROR(VLOOKUP(D799,Products!$A$2:$F$61,4,FALSE),"")</f>
        <v>2549</v>
      </c>
      <c r="N799" t="str">
        <f>IFERROR(VLOOKUP(E799,Sales_Reps!$A$2:$E$31,3,FALSE),"")</f>
        <v>North</v>
      </c>
      <c r="O799" t="str">
        <f>IFERROR(VLOOKUP(C799,Customers!$A$2:$F$301,5,FALSE),"")</f>
        <v>Corporate</v>
      </c>
      <c r="P799">
        <f>IFERROR(VLOOKUP(C799,Customers!$A$2:$F$301,3,FALSE),"")</f>
        <v>24</v>
      </c>
      <c r="Q799" s="41">
        <f t="shared" si="21"/>
        <v>0.53570127504553733</v>
      </c>
      <c r="R799" t="str">
        <f>IFERROR(VLOOKUP(C799,Customers!$A$2:$F$301,1,FALSE),"")</f>
        <v>CUST-0224</v>
      </c>
      <c r="S799" s="27" t="b">
        <f>IFERROR(VLOOKUP(D799,Products!$A$2:$F$61,6,FALSE),"")</f>
        <v>1</v>
      </c>
      <c r="BL799">
        <v>0</v>
      </c>
      <c r="BO799">
        <v>0</v>
      </c>
      <c r="BP799">
        <v>0</v>
      </c>
    </row>
    <row r="800" spans="1:68" x14ac:dyDescent="0.35">
      <c r="A800" s="26" t="str">
        <f>Orders!A800</f>
        <v>ORD-00799</v>
      </c>
      <c r="B800" s="33">
        <f>Orders!B800</f>
        <v>45306</v>
      </c>
      <c r="C800" t="str">
        <f>Orders!C800</f>
        <v>CUST-0134</v>
      </c>
      <c r="D800" t="str">
        <f>Orders!D800</f>
        <v>PROD-032</v>
      </c>
      <c r="E800" t="str">
        <f>Orders!E800</f>
        <v>R029</v>
      </c>
      <c r="F800">
        <f>Orders!F800</f>
        <v>3</v>
      </c>
      <c r="G800" s="35">
        <f>Orders!G800</f>
        <v>370</v>
      </c>
      <c r="H800" s="37">
        <f>Orders!H800</f>
        <v>13.4</v>
      </c>
      <c r="I800" s="39">
        <f>Orders!I800</f>
        <v>961.26</v>
      </c>
      <c r="J800" t="str">
        <f>Orders!J800</f>
        <v>Completed</v>
      </c>
      <c r="K800" t="str">
        <f>Orders!K800</f>
        <v>Delhi</v>
      </c>
      <c r="L800" t="str">
        <f>IFERROR(VLOOKUP(D800,Products!$A$2:$F$61,3,FALSE),"")</f>
        <v>Home</v>
      </c>
      <c r="M800">
        <f>IFERROR(VLOOKUP(D800,Products!$A$2:$F$61,4,FALSE),"")</f>
        <v>288</v>
      </c>
      <c r="N800" t="str">
        <f>IFERROR(VLOOKUP(E800,Sales_Reps!$A$2:$E$31,3,FALSE),"")</f>
        <v>West</v>
      </c>
      <c r="O800" t="str">
        <f>IFERROR(VLOOKUP(C800,Customers!$A$2:$F$301,5,FALSE),"")</f>
        <v>Retail</v>
      </c>
      <c r="P800">
        <f>IFERROR(VLOOKUP(C800,Customers!$A$2:$F$301,3,FALSE),"")</f>
        <v>40</v>
      </c>
      <c r="Q800" s="41">
        <f t="shared" si="21"/>
        <v>0.22162162162162163</v>
      </c>
      <c r="R800" t="str">
        <f>IFERROR(VLOOKUP(C800,Customers!$A$2:$F$301,1,FALSE),"")</f>
        <v>CUST-0134</v>
      </c>
      <c r="S800" s="27" t="b">
        <f>IFERROR(VLOOKUP(D800,Products!$A$2:$F$61,6,FALSE),"")</f>
        <v>1</v>
      </c>
      <c r="BL800">
        <v>0</v>
      </c>
      <c r="BO800">
        <v>0</v>
      </c>
      <c r="BP800">
        <v>0</v>
      </c>
    </row>
    <row r="801" spans="1:68" x14ac:dyDescent="0.35">
      <c r="A801" s="26" t="str">
        <f>Orders!A801</f>
        <v>ORD-00800</v>
      </c>
      <c r="B801" s="33">
        <f>Orders!B801</f>
        <v>45413</v>
      </c>
      <c r="C801" t="str">
        <f>Orders!C801</f>
        <v>CUST-0287</v>
      </c>
      <c r="D801" t="str">
        <f>Orders!D801</f>
        <v>PROD-001</v>
      </c>
      <c r="E801" t="str">
        <f>Orders!E801</f>
        <v>R009</v>
      </c>
      <c r="F801">
        <f>Orders!F801</f>
        <v>7</v>
      </c>
      <c r="G801" s="35">
        <f>Orders!G801</f>
        <v>5330</v>
      </c>
      <c r="H801" s="37">
        <f>Orders!H801</f>
        <v>29.7</v>
      </c>
      <c r="I801" s="39">
        <f>Orders!I801</f>
        <v>26228.93</v>
      </c>
      <c r="J801" t="str">
        <f>Orders!J801</f>
        <v>Pending</v>
      </c>
      <c r="K801" t="str">
        <f>Orders!K801</f>
        <v>Chennai</v>
      </c>
      <c r="L801" t="str">
        <f>IFERROR(VLOOKUP(D801,Products!$A$2:$F$61,3,FALSE),"")</f>
        <v>Electronics</v>
      </c>
      <c r="M801">
        <f>IFERROR(VLOOKUP(D801,Products!$A$2:$F$61,4,FALSE),"")</f>
        <v>2405</v>
      </c>
      <c r="N801" t="str">
        <f>IFERROR(VLOOKUP(E801,Sales_Reps!$A$2:$E$31,3,FALSE),"")</f>
        <v>South</v>
      </c>
      <c r="O801" t="str">
        <f>IFERROR(VLOOKUP(C801,Customers!$A$2:$F$301,5,FALSE),"")</f>
        <v>SMB</v>
      </c>
      <c r="P801">
        <f>IFERROR(VLOOKUP(C801,Customers!$A$2:$F$301,3,FALSE),"")</f>
        <v>53</v>
      </c>
      <c r="Q801" s="41">
        <f t="shared" si="21"/>
        <v>0.54878048780487809</v>
      </c>
      <c r="R801" t="str">
        <f>IFERROR(VLOOKUP(C801,Customers!$A$2:$F$301,1,FALSE),"")</f>
        <v>CUST-0287</v>
      </c>
      <c r="S801" s="27" t="b">
        <f>IFERROR(VLOOKUP(D801,Products!$A$2:$F$61,6,FALSE),"")</f>
        <v>1</v>
      </c>
      <c r="BL801">
        <v>0</v>
      </c>
      <c r="BO801">
        <v>0</v>
      </c>
      <c r="BP801">
        <v>0</v>
      </c>
    </row>
    <row r="802" spans="1:68" x14ac:dyDescent="0.35">
      <c r="A802" s="26" t="str">
        <f>Orders!A802</f>
        <v>ORD-00801</v>
      </c>
      <c r="B802" s="33">
        <f>Orders!B802</f>
        <v>45368</v>
      </c>
      <c r="C802" t="str">
        <f>Orders!C802</f>
        <v>CUST-0144</v>
      </c>
      <c r="D802" t="str">
        <f>Orders!D802</f>
        <v>PROD-051</v>
      </c>
      <c r="E802" t="str">
        <f>Orders!E802</f>
        <v>R016</v>
      </c>
      <c r="F802">
        <f>Orders!F802</f>
        <v>8</v>
      </c>
      <c r="G802" s="35">
        <f>Orders!G802</f>
        <v>3450</v>
      </c>
      <c r="H802" s="37">
        <f>Orders!H802</f>
        <v>23.7</v>
      </c>
      <c r="I802" s="39">
        <f>Orders!I802</f>
        <v>21058.799999999999</v>
      </c>
      <c r="J802" t="str">
        <f>Orders!J802</f>
        <v>Completed</v>
      </c>
      <c r="K802" t="str">
        <f>Orders!K802</f>
        <v>Chennai</v>
      </c>
      <c r="L802" t="str">
        <f>IFERROR(VLOOKUP(D802,Products!$A$2:$F$61,3,FALSE),"")</f>
        <v>Sports</v>
      </c>
      <c r="M802">
        <f>IFERROR(VLOOKUP(D802,Products!$A$2:$F$61,4,FALSE),"")</f>
        <v>2467</v>
      </c>
      <c r="N802" t="str">
        <f>IFERROR(VLOOKUP(E802,Sales_Reps!$A$2:$E$31,3,FALSE),"")</f>
        <v>South</v>
      </c>
      <c r="O802" t="str">
        <f>IFERROR(VLOOKUP(C802,Customers!$A$2:$F$301,5,FALSE),"")</f>
        <v>Retail</v>
      </c>
      <c r="P802">
        <f>IFERROR(VLOOKUP(C802,Customers!$A$2:$F$301,3,FALSE),"")</f>
        <v>49</v>
      </c>
      <c r="Q802" s="41">
        <f t="shared" si="21"/>
        <v>0.28492753623188405</v>
      </c>
      <c r="R802" t="str">
        <f>IFERROR(VLOOKUP(C802,Customers!$A$2:$F$301,1,FALSE),"")</f>
        <v>CUST-0144</v>
      </c>
      <c r="S802" s="27" t="b">
        <f>IFERROR(VLOOKUP(D802,Products!$A$2:$F$61,6,FALSE),"")</f>
        <v>1</v>
      </c>
      <c r="BL802">
        <v>0</v>
      </c>
      <c r="BO802">
        <v>0</v>
      </c>
      <c r="BP802">
        <v>0</v>
      </c>
    </row>
    <row r="803" spans="1:68" x14ac:dyDescent="0.35">
      <c r="A803" s="26" t="str">
        <f>Orders!A803</f>
        <v>ORD-00802</v>
      </c>
      <c r="B803" s="33">
        <f>Orders!B803</f>
        <v>45316</v>
      </c>
      <c r="C803" t="str">
        <f>Orders!C803</f>
        <v>CUST-0255</v>
      </c>
      <c r="D803" t="str">
        <f>Orders!D803</f>
        <v>PROD-011</v>
      </c>
      <c r="E803" t="str">
        <f>Orders!E803</f>
        <v>R027</v>
      </c>
      <c r="F803">
        <f>Orders!F803</f>
        <v>8</v>
      </c>
      <c r="G803" s="35">
        <f>Orders!G803</f>
        <v>3450</v>
      </c>
      <c r="H803" s="37">
        <f>Orders!H803</f>
        <v>5.4</v>
      </c>
      <c r="I803" s="39">
        <f>Orders!I803</f>
        <v>26109.599999999999</v>
      </c>
      <c r="J803" t="str">
        <f>Orders!J803</f>
        <v>Completed</v>
      </c>
      <c r="K803" t="str">
        <f>Orders!K803</f>
        <v>Chennai</v>
      </c>
      <c r="L803" t="str">
        <f>IFERROR(VLOOKUP(D803,Products!$A$2:$F$61,3,FALSE),"")</f>
        <v>Apparel</v>
      </c>
      <c r="M803">
        <f>IFERROR(VLOOKUP(D803,Products!$A$2:$F$61,4,FALSE),"")</f>
        <v>1748</v>
      </c>
      <c r="N803" t="str">
        <f>IFERROR(VLOOKUP(E803,Sales_Reps!$A$2:$E$31,3,FALSE),"")</f>
        <v>West</v>
      </c>
      <c r="O803" t="str">
        <f>IFERROR(VLOOKUP(C803,Customers!$A$2:$F$301,5,FALSE),"")</f>
        <v>Corporate</v>
      </c>
      <c r="P803">
        <f>IFERROR(VLOOKUP(C803,Customers!$A$2:$F$301,3,FALSE),"")</f>
        <v>51</v>
      </c>
      <c r="Q803" s="41">
        <f t="shared" si="21"/>
        <v>0.49333333333333335</v>
      </c>
      <c r="R803" t="str">
        <f>IFERROR(VLOOKUP(C803,Customers!$A$2:$F$301,1,FALSE),"")</f>
        <v>CUST-0255</v>
      </c>
      <c r="S803" s="27" t="b">
        <f>IFERROR(VLOOKUP(D803,Products!$A$2:$F$61,6,FALSE),"")</f>
        <v>1</v>
      </c>
      <c r="BL803">
        <v>0</v>
      </c>
      <c r="BO803">
        <v>0</v>
      </c>
      <c r="BP803">
        <v>0</v>
      </c>
    </row>
    <row r="804" spans="1:68" x14ac:dyDescent="0.35">
      <c r="A804" s="26" t="str">
        <f>Orders!A804</f>
        <v>ORD-00803</v>
      </c>
      <c r="B804" s="33">
        <f>Orders!B804</f>
        <v>45652</v>
      </c>
      <c r="C804" t="str">
        <f>Orders!C804</f>
        <v>CUST-0054</v>
      </c>
      <c r="D804" t="str">
        <f>Orders!D804</f>
        <v>PROD-050</v>
      </c>
      <c r="E804" t="str">
        <f>Orders!E804</f>
        <v>R029</v>
      </c>
      <c r="F804">
        <f>Orders!F804</f>
        <v>1</v>
      </c>
      <c r="G804" s="35">
        <f>Orders!G804</f>
        <v>6080</v>
      </c>
      <c r="H804" s="37">
        <f>Orders!H804</f>
        <v>22.3</v>
      </c>
      <c r="I804" s="39">
        <f>Orders!I804</f>
        <v>4724.16</v>
      </c>
      <c r="J804" t="str">
        <f>Orders!J804</f>
        <v>Completed</v>
      </c>
      <c r="K804" t="str">
        <f>Orders!K804</f>
        <v>Mumbai</v>
      </c>
      <c r="L804" t="str">
        <f>IFERROR(VLOOKUP(D804,Products!$A$2:$F$61,3,FALSE),"")</f>
        <v>Beauty</v>
      </c>
      <c r="M804">
        <f>IFERROR(VLOOKUP(D804,Products!$A$2:$F$61,4,FALSE),"")</f>
        <v>2617</v>
      </c>
      <c r="N804" t="str">
        <f>IFERROR(VLOOKUP(E804,Sales_Reps!$A$2:$E$31,3,FALSE),"")</f>
        <v>West</v>
      </c>
      <c r="O804" t="str">
        <f>IFERROR(VLOOKUP(C804,Customers!$A$2:$F$301,5,FALSE),"")</f>
        <v>Corporate</v>
      </c>
      <c r="P804">
        <f>IFERROR(VLOOKUP(C804,Customers!$A$2:$F$301,3,FALSE),"")</f>
        <v>62</v>
      </c>
      <c r="Q804" s="41">
        <f t="shared" si="21"/>
        <v>0.56957236842105263</v>
      </c>
      <c r="R804" t="str">
        <f>IFERROR(VLOOKUP(C804,Customers!$A$2:$F$301,1,FALSE),"")</f>
        <v>CUST-0054</v>
      </c>
      <c r="S804" s="27" t="b">
        <f>IFERROR(VLOOKUP(D804,Products!$A$2:$F$61,6,FALSE),"")</f>
        <v>1</v>
      </c>
      <c r="BL804">
        <v>0</v>
      </c>
      <c r="BO804">
        <v>0</v>
      </c>
      <c r="BP804">
        <v>0</v>
      </c>
    </row>
    <row r="805" spans="1:68" x14ac:dyDescent="0.35">
      <c r="A805" s="26" t="str">
        <f>Orders!A805</f>
        <v>ORD-00804</v>
      </c>
      <c r="B805" s="33">
        <f>Orders!B805</f>
        <v>45597</v>
      </c>
      <c r="C805" t="str">
        <f>Orders!C805</f>
        <v>CUST-0283</v>
      </c>
      <c r="D805" t="str">
        <f>Orders!D805</f>
        <v>PROD-017</v>
      </c>
      <c r="E805" t="str">
        <f>Orders!E805</f>
        <v>R011</v>
      </c>
      <c r="F805">
        <f>Orders!F805</f>
        <v>9</v>
      </c>
      <c r="G805" s="35">
        <f>Orders!G805</f>
        <v>2510</v>
      </c>
      <c r="H805" s="37">
        <f>Orders!H805</f>
        <v>27.4</v>
      </c>
      <c r="I805" s="39">
        <f>Orders!I805</f>
        <v>16400.34</v>
      </c>
      <c r="J805" t="str">
        <f>Orders!J805</f>
        <v>Completed</v>
      </c>
      <c r="K805" t="str">
        <f>Orders!K805</f>
        <v>Delhi</v>
      </c>
      <c r="L805" t="str">
        <f>IFERROR(VLOOKUP(D805,Products!$A$2:$F$61,3,FALSE),"")</f>
        <v>Apparel</v>
      </c>
      <c r="M805">
        <f>IFERROR(VLOOKUP(D805,Products!$A$2:$F$61,4,FALSE),"")</f>
        <v>1075</v>
      </c>
      <c r="N805" t="str">
        <f>IFERROR(VLOOKUP(E805,Sales_Reps!$A$2:$E$31,3,FALSE),"")</f>
        <v>South</v>
      </c>
      <c r="O805" t="str">
        <f>IFERROR(VLOOKUP(C805,Customers!$A$2:$F$301,5,FALSE),"")</f>
        <v>SMB</v>
      </c>
      <c r="P805">
        <f>IFERROR(VLOOKUP(C805,Customers!$A$2:$F$301,3,FALSE),"")</f>
        <v>50</v>
      </c>
      <c r="Q805" s="41">
        <f t="shared" si="21"/>
        <v>0.57171314741035861</v>
      </c>
      <c r="R805" t="str">
        <f>IFERROR(VLOOKUP(C805,Customers!$A$2:$F$301,1,FALSE),"")</f>
        <v>CUST-0283</v>
      </c>
      <c r="S805" s="27" t="b">
        <f>IFERROR(VLOOKUP(D805,Products!$A$2:$F$61,6,FALSE),"")</f>
        <v>0</v>
      </c>
      <c r="BL805">
        <v>0</v>
      </c>
      <c r="BO805">
        <v>0</v>
      </c>
      <c r="BP805">
        <v>1</v>
      </c>
    </row>
    <row r="806" spans="1:68" x14ac:dyDescent="0.35">
      <c r="A806" s="26" t="str">
        <f>Orders!A806</f>
        <v>ORD-00805</v>
      </c>
      <c r="B806" s="33">
        <f>Orders!B806</f>
        <v>45392</v>
      </c>
      <c r="C806" t="str">
        <f>Orders!C806</f>
        <v>CUST-0182</v>
      </c>
      <c r="D806" t="str">
        <f>Orders!D806</f>
        <v>PROD-054</v>
      </c>
      <c r="E806" t="str">
        <f>Orders!E806</f>
        <v>R012</v>
      </c>
      <c r="F806">
        <f>Orders!F806</f>
        <v>10</v>
      </c>
      <c r="G806" s="35">
        <f>Orders!G806</f>
        <v>1010</v>
      </c>
      <c r="H806" s="37">
        <f>Orders!H806</f>
        <v>28.4</v>
      </c>
      <c r="I806" s="39">
        <f>Orders!I806</f>
        <v>7231.6</v>
      </c>
      <c r="J806" t="str">
        <f>Orders!J806</f>
        <v>Completed</v>
      </c>
      <c r="K806" t="str">
        <f>Orders!K806</f>
        <v>Mumbai</v>
      </c>
      <c r="L806" t="str">
        <f>IFERROR(VLOOKUP(D806,Products!$A$2:$F$61,3,FALSE),"")</f>
        <v>Sports</v>
      </c>
      <c r="M806">
        <f>IFERROR(VLOOKUP(D806,Products!$A$2:$F$61,4,FALSE),"")</f>
        <v>516</v>
      </c>
      <c r="N806" t="str">
        <f>IFERROR(VLOOKUP(E806,Sales_Reps!$A$2:$E$31,3,FALSE),"")</f>
        <v>South</v>
      </c>
      <c r="O806" t="str">
        <f>IFERROR(VLOOKUP(C806,Customers!$A$2:$F$301,5,FALSE),"")</f>
        <v>Retail</v>
      </c>
      <c r="P806">
        <f>IFERROR(VLOOKUP(C806,Customers!$A$2:$F$301,3,FALSE),"")</f>
        <v>54</v>
      </c>
      <c r="Q806" s="41">
        <f t="shared" si="21"/>
        <v>0.4891089108910891</v>
      </c>
      <c r="R806" t="str">
        <f>IFERROR(VLOOKUP(C806,Customers!$A$2:$F$301,1,FALSE),"")</f>
        <v>CUST-0182</v>
      </c>
      <c r="S806" s="27" t="b">
        <f>IFERROR(VLOOKUP(D806,Products!$A$2:$F$61,6,FALSE),"")</f>
        <v>1</v>
      </c>
      <c r="BL806">
        <v>0</v>
      </c>
      <c r="BO806">
        <v>0</v>
      </c>
      <c r="BP806">
        <v>0</v>
      </c>
    </row>
    <row r="807" spans="1:68" x14ac:dyDescent="0.35">
      <c r="A807" s="26" t="str">
        <f>Orders!A807</f>
        <v>ORD-00806</v>
      </c>
      <c r="B807" s="33">
        <f>Orders!B807</f>
        <v>45401</v>
      </c>
      <c r="C807" t="str">
        <f>Orders!C807</f>
        <v>CUST-0289</v>
      </c>
      <c r="D807" t="str">
        <f>Orders!D807</f>
        <v>PROD-018</v>
      </c>
      <c r="E807" t="str">
        <f>Orders!E807</f>
        <v>R023</v>
      </c>
      <c r="F807">
        <f>Orders!F807</f>
        <v>1</v>
      </c>
      <c r="G807" s="35">
        <f>Orders!G807</f>
        <v>3560</v>
      </c>
      <c r="H807" s="37">
        <f>Orders!H807</f>
        <v>26</v>
      </c>
      <c r="I807" s="39">
        <f>Orders!I807</f>
        <v>2634.4</v>
      </c>
      <c r="J807" t="str">
        <f>Orders!J807</f>
        <v>Completed</v>
      </c>
      <c r="K807" t="str">
        <f>Orders!K807</f>
        <v>Mumbai</v>
      </c>
      <c r="L807" t="str">
        <f>IFERROR(VLOOKUP(D807,Products!$A$2:$F$61,3,FALSE),"")</f>
        <v>Apparel</v>
      </c>
      <c r="M807">
        <f>IFERROR(VLOOKUP(D807,Products!$A$2:$F$61,4,FALSE),"")</f>
        <v>2629</v>
      </c>
      <c r="N807" t="str">
        <f>IFERROR(VLOOKUP(E807,Sales_Reps!$A$2:$E$31,3,FALSE),"")</f>
        <v>East</v>
      </c>
      <c r="O807" t="str">
        <f>IFERROR(VLOOKUP(C807,Customers!$A$2:$F$301,5,FALSE),"")</f>
        <v>Retail</v>
      </c>
      <c r="P807">
        <f>IFERROR(VLOOKUP(C807,Customers!$A$2:$F$301,3,FALSE),"")</f>
        <v>54</v>
      </c>
      <c r="Q807" s="41">
        <f t="shared" si="21"/>
        <v>0.26151685393258428</v>
      </c>
      <c r="R807" t="str">
        <f>IFERROR(VLOOKUP(C807,Customers!$A$2:$F$301,1,FALSE),"")</f>
        <v>CUST-0289</v>
      </c>
      <c r="S807" s="27" t="b">
        <f>IFERROR(VLOOKUP(D807,Products!$A$2:$F$61,6,FALSE),"")</f>
        <v>1</v>
      </c>
      <c r="BL807">
        <v>0</v>
      </c>
      <c r="BO807">
        <v>0</v>
      </c>
      <c r="BP807">
        <v>0</v>
      </c>
    </row>
    <row r="808" spans="1:68" x14ac:dyDescent="0.35">
      <c r="A808" s="26" t="str">
        <f>Orders!A808</f>
        <v>ORD-00807</v>
      </c>
      <c r="B808" s="33">
        <f>Orders!B808</f>
        <v>45397</v>
      </c>
      <c r="C808" t="str">
        <f>Orders!C808</f>
        <v>CUST-0104</v>
      </c>
      <c r="D808" t="str">
        <f>Orders!D808</f>
        <v>PROD-045</v>
      </c>
      <c r="E808" t="str">
        <f>Orders!E808</f>
        <v>R006</v>
      </c>
      <c r="F808">
        <f>Orders!F808</f>
        <v>8</v>
      </c>
      <c r="G808" s="35">
        <f>Orders!G808</f>
        <v>3020</v>
      </c>
      <c r="H808" s="37">
        <f>Orders!H808</f>
        <v>6.9</v>
      </c>
      <c r="I808" s="39">
        <f>Orders!I808</f>
        <v>22492.959999999999</v>
      </c>
      <c r="J808" t="str">
        <f>Orders!J808</f>
        <v>Completed</v>
      </c>
      <c r="K808" t="str">
        <f>Orders!K808</f>
        <v>Hyderabad</v>
      </c>
      <c r="L808" t="str">
        <f>IFERROR(VLOOKUP(D808,Products!$A$2:$F$61,3,FALSE),"")</f>
        <v>Beauty</v>
      </c>
      <c r="M808">
        <f>IFERROR(VLOOKUP(D808,Products!$A$2:$F$61,4,FALSE),"")</f>
        <v>1626</v>
      </c>
      <c r="N808" t="str">
        <f>IFERROR(VLOOKUP(E808,Sales_Reps!$A$2:$E$31,3,FALSE),"")</f>
        <v>North</v>
      </c>
      <c r="O808" t="str">
        <f>IFERROR(VLOOKUP(C808,Customers!$A$2:$F$301,5,FALSE),"")</f>
        <v>Corporate</v>
      </c>
      <c r="P808">
        <f>IFERROR(VLOOKUP(C808,Customers!$A$2:$F$301,3,FALSE),"")</f>
        <v>43</v>
      </c>
      <c r="Q808" s="41">
        <f t="shared" si="21"/>
        <v>0.46158940397350995</v>
      </c>
      <c r="R808" t="str">
        <f>IFERROR(VLOOKUP(C808,Customers!$A$2:$F$301,1,FALSE),"")</f>
        <v>CUST-0104</v>
      </c>
      <c r="S808" s="27" t="b">
        <f>IFERROR(VLOOKUP(D808,Products!$A$2:$F$61,6,FALSE),"")</f>
        <v>1</v>
      </c>
      <c r="BL808">
        <v>0</v>
      </c>
      <c r="BO808">
        <v>0</v>
      </c>
      <c r="BP808">
        <v>0</v>
      </c>
    </row>
    <row r="809" spans="1:68" x14ac:dyDescent="0.35">
      <c r="A809" s="26" t="str">
        <f>Orders!A809</f>
        <v>ORD-00808</v>
      </c>
      <c r="B809" s="33">
        <f>Orders!B809</f>
        <v>45301</v>
      </c>
      <c r="C809" t="str">
        <f>Orders!C809</f>
        <v>CUST-0085</v>
      </c>
      <c r="D809" t="str">
        <f>Orders!D809</f>
        <v>PROD-026</v>
      </c>
      <c r="E809" t="str">
        <f>Orders!E809</f>
        <v>R017</v>
      </c>
      <c r="F809">
        <f>Orders!F809</f>
        <v>1</v>
      </c>
      <c r="G809" s="35">
        <f>Orders!G809</f>
        <v>4070</v>
      </c>
      <c r="H809" s="37">
        <f>Orders!H809</f>
        <v>8.1999999999999993</v>
      </c>
      <c r="I809" s="39">
        <f>Orders!I809</f>
        <v>3736.26</v>
      </c>
      <c r="J809" t="str">
        <f>Orders!J809</f>
        <v>Completed</v>
      </c>
      <c r="K809" t="str">
        <f>Orders!K809</f>
        <v>Chennai</v>
      </c>
      <c r="L809" t="str">
        <f>IFERROR(VLOOKUP(D809,Products!$A$2:$F$61,3,FALSE),"")</f>
        <v>Grocery</v>
      </c>
      <c r="M809">
        <f>IFERROR(VLOOKUP(D809,Products!$A$2:$F$61,4,FALSE),"")</f>
        <v>2027</v>
      </c>
      <c r="N809" t="str">
        <f>IFERROR(VLOOKUP(E809,Sales_Reps!$A$2:$E$31,3,FALSE),"")</f>
        <v>East</v>
      </c>
      <c r="O809" t="str">
        <f>IFERROR(VLOOKUP(C809,Customers!$A$2:$F$301,5,FALSE),"")</f>
        <v>Retail</v>
      </c>
      <c r="P809">
        <f>IFERROR(VLOOKUP(C809,Customers!$A$2:$F$301,3,FALSE),"")</f>
        <v>26</v>
      </c>
      <c r="Q809" s="41">
        <f t="shared" si="21"/>
        <v>0.50196560196560192</v>
      </c>
      <c r="R809" t="str">
        <f>IFERROR(VLOOKUP(C809,Customers!$A$2:$F$301,1,FALSE),"")</f>
        <v>CUST-0085</v>
      </c>
      <c r="S809" s="27" t="b">
        <f>IFERROR(VLOOKUP(D809,Products!$A$2:$F$61,6,FALSE),"")</f>
        <v>1</v>
      </c>
      <c r="BL809">
        <v>0</v>
      </c>
      <c r="BO809">
        <v>0</v>
      </c>
      <c r="BP809">
        <v>0</v>
      </c>
    </row>
    <row r="810" spans="1:68" x14ac:dyDescent="0.35">
      <c r="A810" s="26" t="str">
        <f>Orders!A810</f>
        <v>ORD-00809</v>
      </c>
      <c r="B810" s="33">
        <f>Orders!B810</f>
        <v>45347</v>
      </c>
      <c r="C810" t="str">
        <f>Orders!C810</f>
        <v>CUST-0120</v>
      </c>
      <c r="D810" t="str">
        <f>Orders!D810</f>
        <v>PROD-032</v>
      </c>
      <c r="E810" t="str">
        <f>Orders!E810</f>
        <v>R020</v>
      </c>
      <c r="F810">
        <f>Orders!F810</f>
        <v>9</v>
      </c>
      <c r="G810" s="35">
        <f>Orders!G810</f>
        <v>370</v>
      </c>
      <c r="H810" s="37">
        <f>Orders!H810</f>
        <v>19.8</v>
      </c>
      <c r="I810" s="39">
        <f>Orders!I810</f>
        <v>2670.66</v>
      </c>
      <c r="J810" t="str">
        <f>Orders!J810</f>
        <v>Completed</v>
      </c>
      <c r="K810" t="str">
        <f>Orders!K810</f>
        <v>Mumbai</v>
      </c>
      <c r="L810" t="str">
        <f>IFERROR(VLOOKUP(D810,Products!$A$2:$F$61,3,FALSE),"")</f>
        <v>Home</v>
      </c>
      <c r="M810">
        <f>IFERROR(VLOOKUP(D810,Products!$A$2:$F$61,4,FALSE),"")</f>
        <v>288</v>
      </c>
      <c r="N810" t="str">
        <f>IFERROR(VLOOKUP(E810,Sales_Reps!$A$2:$E$31,3,FALSE),"")</f>
        <v>East</v>
      </c>
      <c r="O810" t="str">
        <f>IFERROR(VLOOKUP(C810,Customers!$A$2:$F$301,5,FALSE),"")</f>
        <v>Retail</v>
      </c>
      <c r="P810">
        <f>IFERROR(VLOOKUP(C810,Customers!$A$2:$F$301,3,FALSE),"")</f>
        <v>29</v>
      </c>
      <c r="Q810" s="41">
        <f t="shared" si="21"/>
        <v>0.22162162162162163</v>
      </c>
      <c r="R810" t="str">
        <f>IFERROR(VLOOKUP(C810,Customers!$A$2:$F$301,1,FALSE),"")</f>
        <v>CUST-0120</v>
      </c>
      <c r="S810" s="27" t="b">
        <f>IFERROR(VLOOKUP(D810,Products!$A$2:$F$61,6,FALSE),"")</f>
        <v>1</v>
      </c>
      <c r="BL810">
        <v>0</v>
      </c>
      <c r="BO810">
        <v>0</v>
      </c>
      <c r="BP810">
        <v>0</v>
      </c>
    </row>
    <row r="811" spans="1:68" x14ac:dyDescent="0.35">
      <c r="A811" s="26" t="str">
        <f>Orders!A811</f>
        <v>ORD-00810</v>
      </c>
      <c r="B811" s="33">
        <f>Orders!B811</f>
        <v>45544</v>
      </c>
      <c r="C811" t="str">
        <f>Orders!C811</f>
        <v>CUST-0236</v>
      </c>
      <c r="D811" t="str">
        <f>Orders!D811</f>
        <v>PROD-030</v>
      </c>
      <c r="E811" t="str">
        <f>Orders!E811</f>
        <v>R020</v>
      </c>
      <c r="F811">
        <f>Orders!F811</f>
        <v>6</v>
      </c>
      <c r="G811" s="35">
        <f>Orders!G811</f>
        <v>970</v>
      </c>
      <c r="H811" s="37">
        <f>Orders!H811</f>
        <v>16.2</v>
      </c>
      <c r="I811" s="39">
        <f>Orders!I811</f>
        <v>4877.16</v>
      </c>
      <c r="J811" t="str">
        <f>Orders!J811</f>
        <v>Completed</v>
      </c>
      <c r="K811" t="str">
        <f>Orders!K811</f>
        <v>Hyderabad</v>
      </c>
      <c r="L811" t="str">
        <f>IFERROR(VLOOKUP(D811,Products!$A$2:$F$61,3,FALSE),"")</f>
        <v>Grocery</v>
      </c>
      <c r="M811">
        <f>IFERROR(VLOOKUP(D811,Products!$A$2:$F$61,4,FALSE),"")</f>
        <v>434</v>
      </c>
      <c r="N811" t="str">
        <f>IFERROR(VLOOKUP(E811,Sales_Reps!$A$2:$E$31,3,FALSE),"")</f>
        <v>East</v>
      </c>
      <c r="O811" t="str">
        <f>IFERROR(VLOOKUP(C811,Customers!$A$2:$F$301,5,FALSE),"")</f>
        <v>SMB</v>
      </c>
      <c r="P811">
        <f>IFERROR(VLOOKUP(C811,Customers!$A$2:$F$301,3,FALSE),"")</f>
        <v>28</v>
      </c>
      <c r="Q811" s="41">
        <f t="shared" si="21"/>
        <v>0.5525773195876289</v>
      </c>
      <c r="R811" t="str">
        <f>IFERROR(VLOOKUP(C811,Customers!$A$2:$F$301,1,FALSE),"")</f>
        <v>CUST-0236</v>
      </c>
      <c r="S811" s="27" t="b">
        <f>IFERROR(VLOOKUP(D811,Products!$A$2:$F$61,6,FALSE),"")</f>
        <v>1</v>
      </c>
      <c r="BL811">
        <v>0</v>
      </c>
      <c r="BO811">
        <v>0</v>
      </c>
      <c r="BP811">
        <v>0</v>
      </c>
    </row>
    <row r="812" spans="1:68" x14ac:dyDescent="0.35">
      <c r="A812" s="26" t="str">
        <f>Orders!A812</f>
        <v>ORD-00811</v>
      </c>
      <c r="B812" s="33">
        <f>Orders!B812</f>
        <v>45633</v>
      </c>
      <c r="C812" t="str">
        <f>Orders!C812</f>
        <v>CUST-0094</v>
      </c>
      <c r="D812" t="str">
        <f>Orders!D812</f>
        <v>PROD-015</v>
      </c>
      <c r="E812" t="str">
        <f>Orders!E812</f>
        <v>R019</v>
      </c>
      <c r="F812">
        <f>Orders!F812</f>
        <v>10</v>
      </c>
      <c r="G812" s="35">
        <f>Orders!G812</f>
        <v>2720</v>
      </c>
      <c r="H812" s="37">
        <f>Orders!H812</f>
        <v>3</v>
      </c>
      <c r="I812" s="39">
        <f>Orders!I812</f>
        <v>26384</v>
      </c>
      <c r="J812" t="str">
        <f>Orders!J812</f>
        <v>Pending</v>
      </c>
      <c r="K812" t="str">
        <f>Orders!K812</f>
        <v>Pune</v>
      </c>
      <c r="L812" t="str">
        <f>IFERROR(VLOOKUP(D812,Products!$A$2:$F$61,3,FALSE),"")</f>
        <v>Apparel</v>
      </c>
      <c r="M812">
        <f>IFERROR(VLOOKUP(D812,Products!$A$2:$F$61,4,FALSE),"")</f>
        <v>1962</v>
      </c>
      <c r="N812" t="str">
        <f>IFERROR(VLOOKUP(E812,Sales_Reps!$A$2:$E$31,3,FALSE),"")</f>
        <v>East</v>
      </c>
      <c r="O812" t="str">
        <f>IFERROR(VLOOKUP(C812,Customers!$A$2:$F$301,5,FALSE),"")</f>
        <v>SMB</v>
      </c>
      <c r="P812">
        <f>IFERROR(VLOOKUP(C812,Customers!$A$2:$F$301,3,FALSE),"")</f>
        <v>60</v>
      </c>
      <c r="Q812" s="41">
        <f t="shared" si="21"/>
        <v>0.2786764705882353</v>
      </c>
      <c r="R812" t="str">
        <f>IFERROR(VLOOKUP(C812,Customers!$A$2:$F$301,1,FALSE),"")</f>
        <v>CUST-0094</v>
      </c>
      <c r="S812" s="27" t="b">
        <f>IFERROR(VLOOKUP(D812,Products!$A$2:$F$61,6,FALSE),"")</f>
        <v>1</v>
      </c>
      <c r="BL812">
        <v>0</v>
      </c>
      <c r="BO812">
        <v>0</v>
      </c>
      <c r="BP812">
        <v>0</v>
      </c>
    </row>
    <row r="813" spans="1:68" x14ac:dyDescent="0.35">
      <c r="A813" s="26" t="str">
        <f>Orders!A813</f>
        <v>ORD-00812</v>
      </c>
      <c r="B813" s="33">
        <f>Orders!B813</f>
        <v>45293</v>
      </c>
      <c r="C813" t="str">
        <f>Orders!C813</f>
        <v>CUST-0030</v>
      </c>
      <c r="D813" t="str">
        <f>Orders!D813</f>
        <v>PROD-058</v>
      </c>
      <c r="E813" t="str">
        <f>Orders!E813</f>
        <v>R014</v>
      </c>
      <c r="F813">
        <f>Orders!F813</f>
        <v>7</v>
      </c>
      <c r="G813" s="35">
        <f>Orders!G813</f>
        <v>2400</v>
      </c>
      <c r="H813" s="37">
        <f>Orders!H813</f>
        <v>29.4</v>
      </c>
      <c r="I813" s="39">
        <f>Orders!I813</f>
        <v>11860.8</v>
      </c>
      <c r="J813" t="str">
        <f>Orders!J813</f>
        <v>Completed</v>
      </c>
      <c r="K813" t="str">
        <f>Orders!K813</f>
        <v>Bengaluru</v>
      </c>
      <c r="L813" t="str">
        <f>IFERROR(VLOOKUP(D813,Products!$A$2:$F$61,3,FALSE),"")</f>
        <v>Sports</v>
      </c>
      <c r="M813">
        <f>IFERROR(VLOOKUP(D813,Products!$A$2:$F$61,4,FALSE),"")</f>
        <v>974</v>
      </c>
      <c r="N813" t="str">
        <f>IFERROR(VLOOKUP(E813,Sales_Reps!$A$2:$E$31,3,FALSE),"")</f>
        <v>South</v>
      </c>
      <c r="O813" t="str">
        <f>IFERROR(VLOOKUP(C813,Customers!$A$2:$F$301,5,FALSE),"")</f>
        <v>Corporate</v>
      </c>
      <c r="P813">
        <f>IFERROR(VLOOKUP(C813,Customers!$A$2:$F$301,3,FALSE),"")</f>
        <v>43</v>
      </c>
      <c r="Q813" s="41">
        <f t="shared" si="21"/>
        <v>0.59416666666666662</v>
      </c>
      <c r="R813" t="str">
        <f>IFERROR(VLOOKUP(C813,Customers!$A$2:$F$301,1,FALSE),"")</f>
        <v>CUST-0030</v>
      </c>
      <c r="S813" s="27" t="b">
        <f>IFERROR(VLOOKUP(D813,Products!$A$2:$F$61,6,FALSE),"")</f>
        <v>1</v>
      </c>
      <c r="BL813">
        <v>0</v>
      </c>
      <c r="BO813">
        <v>0</v>
      </c>
      <c r="BP813">
        <v>0</v>
      </c>
    </row>
    <row r="814" spans="1:68" x14ac:dyDescent="0.35">
      <c r="A814" s="26" t="str">
        <f>Orders!A814</f>
        <v>ORD-00813</v>
      </c>
      <c r="B814" s="33">
        <f>Orders!B814</f>
        <v>45564</v>
      </c>
      <c r="C814" t="str">
        <f>Orders!C814</f>
        <v>CUST-0172</v>
      </c>
      <c r="D814" t="str">
        <f>Orders!D814</f>
        <v>PROD-018</v>
      </c>
      <c r="E814" t="str">
        <f>Orders!E814</f>
        <v>R012</v>
      </c>
      <c r="F814">
        <f>Orders!F814</f>
        <v>8</v>
      </c>
      <c r="G814" s="35">
        <f>Orders!G814</f>
        <v>3560</v>
      </c>
      <c r="H814" s="37">
        <f>Orders!H814</f>
        <v>21.7</v>
      </c>
      <c r="I814" s="39">
        <f>Orders!I814</f>
        <v>22299.84</v>
      </c>
      <c r="J814" t="str">
        <f>Orders!J814</f>
        <v>Completed</v>
      </c>
      <c r="K814" t="str">
        <f>Orders!K814</f>
        <v>Pune</v>
      </c>
      <c r="L814" t="str">
        <f>IFERROR(VLOOKUP(D814,Products!$A$2:$F$61,3,FALSE),"")</f>
        <v>Apparel</v>
      </c>
      <c r="M814">
        <f>IFERROR(VLOOKUP(D814,Products!$A$2:$F$61,4,FALSE),"")</f>
        <v>2629</v>
      </c>
      <c r="N814" t="str">
        <f>IFERROR(VLOOKUP(E814,Sales_Reps!$A$2:$E$31,3,FALSE),"")</f>
        <v>South</v>
      </c>
      <c r="O814" t="str">
        <f>IFERROR(VLOOKUP(C814,Customers!$A$2:$F$301,5,FALSE),"")</f>
        <v>Retail</v>
      </c>
      <c r="P814">
        <f>IFERROR(VLOOKUP(C814,Customers!$A$2:$F$301,3,FALSE),"")</f>
        <v>65</v>
      </c>
      <c r="Q814" s="41">
        <f t="shared" si="21"/>
        <v>0.26151685393258428</v>
      </c>
      <c r="R814" t="str">
        <f>IFERROR(VLOOKUP(C814,Customers!$A$2:$F$301,1,FALSE),"")</f>
        <v>CUST-0172</v>
      </c>
      <c r="S814" s="27" t="b">
        <f>IFERROR(VLOOKUP(D814,Products!$A$2:$F$61,6,FALSE),"")</f>
        <v>1</v>
      </c>
      <c r="BL814">
        <v>0</v>
      </c>
      <c r="BO814">
        <v>0</v>
      </c>
      <c r="BP814">
        <v>0</v>
      </c>
    </row>
    <row r="815" spans="1:68" x14ac:dyDescent="0.35">
      <c r="A815" s="26" t="str">
        <f>Orders!A815</f>
        <v>ORD-00814</v>
      </c>
      <c r="B815" s="33">
        <f>Orders!B815</f>
        <v>45385</v>
      </c>
      <c r="C815" t="str">
        <f>Orders!C815</f>
        <v>CUST-0221</v>
      </c>
      <c r="D815" t="str">
        <f>Orders!D815</f>
        <v>PROD-026</v>
      </c>
      <c r="E815" t="str">
        <f>Orders!E815</f>
        <v>R015</v>
      </c>
      <c r="F815">
        <f>Orders!F815</f>
        <v>7</v>
      </c>
      <c r="G815" s="35">
        <f>Orders!G815</f>
        <v>4070</v>
      </c>
      <c r="H815" s="37">
        <f>Orders!H815</f>
        <v>10.5</v>
      </c>
      <c r="I815" s="39">
        <f>Orders!I815</f>
        <v>25498.55</v>
      </c>
      <c r="J815" t="str">
        <f>Orders!J815</f>
        <v>Completed</v>
      </c>
      <c r="K815" t="str">
        <f>Orders!K815</f>
        <v>Delhi</v>
      </c>
      <c r="L815" t="str">
        <f>IFERROR(VLOOKUP(D815,Products!$A$2:$F$61,3,FALSE),"")</f>
        <v>Grocery</v>
      </c>
      <c r="M815">
        <f>IFERROR(VLOOKUP(D815,Products!$A$2:$F$61,4,FALSE),"")</f>
        <v>2027</v>
      </c>
      <c r="N815" t="str">
        <f>IFERROR(VLOOKUP(E815,Sales_Reps!$A$2:$E$31,3,FALSE),"")</f>
        <v>South</v>
      </c>
      <c r="O815" t="str">
        <f>IFERROR(VLOOKUP(C815,Customers!$A$2:$F$301,5,FALSE),"")</f>
        <v>SMB</v>
      </c>
      <c r="P815">
        <f>IFERROR(VLOOKUP(C815,Customers!$A$2:$F$301,3,FALSE),"")</f>
        <v>29</v>
      </c>
      <c r="Q815" s="41">
        <f t="shared" si="21"/>
        <v>0.50196560196560192</v>
      </c>
      <c r="R815" t="str">
        <f>IFERROR(VLOOKUP(C815,Customers!$A$2:$F$301,1,FALSE),"")</f>
        <v>CUST-0221</v>
      </c>
      <c r="S815" s="27" t="b">
        <f>IFERROR(VLOOKUP(D815,Products!$A$2:$F$61,6,FALSE),"")</f>
        <v>1</v>
      </c>
      <c r="BL815">
        <v>0</v>
      </c>
      <c r="BO815">
        <v>0</v>
      </c>
      <c r="BP815">
        <v>0</v>
      </c>
    </row>
    <row r="816" spans="1:68" x14ac:dyDescent="0.35">
      <c r="A816" s="26" t="str">
        <f>Orders!A816</f>
        <v>ORD-01052</v>
      </c>
      <c r="B816" s="33">
        <f>Orders!B816</f>
        <v>45299</v>
      </c>
      <c r="C816" t="str">
        <f>Orders!C816</f>
        <v>CUST-0151</v>
      </c>
      <c r="D816" t="str">
        <f>Orders!D816</f>
        <v>PROD-052</v>
      </c>
      <c r="E816" t="str">
        <f>Orders!E816</f>
        <v>R008</v>
      </c>
      <c r="F816">
        <f>Orders!F816</f>
        <v>3</v>
      </c>
      <c r="G816" s="35">
        <f>Orders!G816</f>
        <v>5410</v>
      </c>
      <c r="H816" s="37">
        <f>Orders!H816</f>
        <v>0.2</v>
      </c>
      <c r="I816" s="39">
        <f>Orders!I816</f>
        <v>16197.54</v>
      </c>
      <c r="J816" t="str">
        <f>Orders!J816</f>
        <v>Completed</v>
      </c>
      <c r="K816" t="str">
        <f>Orders!K816</f>
        <v>Mumbai</v>
      </c>
      <c r="L816" t="str">
        <f>IFERROR(VLOOKUP(D816,Products!$A$2:$F$61,3,FALSE),"")</f>
        <v>Sports</v>
      </c>
      <c r="M816">
        <f>IFERROR(VLOOKUP(D816,Products!$A$2:$F$61,4,FALSE),"")</f>
        <v>2265</v>
      </c>
      <c r="N816" t="str">
        <f>IFERROR(VLOOKUP(E816,Sales_Reps!$A$2:$E$31,3,FALSE),"")</f>
        <v>North</v>
      </c>
      <c r="O816" t="str">
        <f>IFERROR(VLOOKUP(C816,Customers!$A$2:$F$301,5,FALSE),"")</f>
        <v>Retail</v>
      </c>
      <c r="P816">
        <f>IFERROR(VLOOKUP(C816,Customers!$A$2:$F$301,3,FALSE),"")</f>
        <v>53</v>
      </c>
      <c r="Q816" s="41">
        <f t="shared" si="21"/>
        <v>0.58133086876155271</v>
      </c>
      <c r="R816" t="str">
        <f>IFERROR(VLOOKUP(C816,Customers!$A$2:$F$301,1,FALSE),"")</f>
        <v>CUST-0151</v>
      </c>
      <c r="S816" s="27" t="b">
        <f>IFERROR(VLOOKUP(D816,Products!$A$2:$F$61,6,FALSE),"")</f>
        <v>1</v>
      </c>
      <c r="BL816">
        <v>0.5</v>
      </c>
      <c r="BO816">
        <v>0</v>
      </c>
      <c r="BP816">
        <v>0</v>
      </c>
    </row>
    <row r="817" spans="1:68" x14ac:dyDescent="0.35">
      <c r="A817" s="26" t="str">
        <f>Orders!A817</f>
        <v>ORD-00816</v>
      </c>
      <c r="B817" s="33">
        <f>Orders!B817</f>
        <v>45651</v>
      </c>
      <c r="C817" t="str">
        <f>Orders!C817</f>
        <v>CUST-0068</v>
      </c>
      <c r="D817" t="str">
        <f>Orders!D817</f>
        <v>PROD-021</v>
      </c>
      <c r="E817" t="str">
        <f>Orders!E817</f>
        <v>R028</v>
      </c>
      <c r="F817">
        <f>Orders!F817</f>
        <v>4</v>
      </c>
      <c r="G817" s="35">
        <f>Orders!G817</f>
        <v>2760</v>
      </c>
      <c r="H817" s="37">
        <f>Orders!H817</f>
        <v>27.5</v>
      </c>
      <c r="I817" s="39">
        <f>Orders!I817</f>
        <v>8004</v>
      </c>
      <c r="J817" t="str">
        <f>Orders!J817</f>
        <v>Cancelled</v>
      </c>
      <c r="K817" t="str">
        <f>Orders!K817</f>
        <v>Delhi</v>
      </c>
      <c r="L817" t="str">
        <f>IFERROR(VLOOKUP(D817,Products!$A$2:$F$61,3,FALSE),"")</f>
        <v>Grocery</v>
      </c>
      <c r="M817">
        <f>IFERROR(VLOOKUP(D817,Products!$A$2:$F$61,4,FALSE),"")</f>
        <v>1435</v>
      </c>
      <c r="N817" t="str">
        <f>IFERROR(VLOOKUP(E817,Sales_Reps!$A$2:$E$31,3,FALSE),"")</f>
        <v>West</v>
      </c>
      <c r="O817" t="str">
        <f>IFERROR(VLOOKUP(C817,Customers!$A$2:$F$301,5,FALSE),"")</f>
        <v>SMB</v>
      </c>
      <c r="P817">
        <f>IFERROR(VLOOKUP(C817,Customers!$A$2:$F$301,3,FALSE),"")</f>
        <v>48</v>
      </c>
      <c r="Q817" s="41">
        <f t="shared" si="21"/>
        <v>0.48007246376811596</v>
      </c>
      <c r="R817" t="str">
        <f>IFERROR(VLOOKUP(C817,Customers!$A$2:$F$301,1,FALSE),"")</f>
        <v>CUST-0068</v>
      </c>
      <c r="S817" s="27" t="b">
        <f>IFERROR(VLOOKUP(D817,Products!$A$2:$F$61,6,FALSE),"")</f>
        <v>1</v>
      </c>
      <c r="BL817">
        <v>0</v>
      </c>
      <c r="BO817">
        <v>0</v>
      </c>
      <c r="BP817">
        <v>0</v>
      </c>
    </row>
    <row r="818" spans="1:68" x14ac:dyDescent="0.35">
      <c r="A818" s="26" t="str">
        <f>Orders!A818</f>
        <v>ORD-01136</v>
      </c>
      <c r="B818" s="33">
        <f>Orders!B818</f>
        <v>45474</v>
      </c>
      <c r="C818" t="str">
        <f>Orders!C818</f>
        <v>CUST-0165</v>
      </c>
      <c r="D818" t="str">
        <f>Orders!D818</f>
        <v>PROD-034</v>
      </c>
      <c r="E818" t="str">
        <f>Orders!E818</f>
        <v>R013</v>
      </c>
      <c r="F818">
        <f>Orders!F818</f>
        <v>3</v>
      </c>
      <c r="G818" s="35">
        <f>Orders!G818</f>
        <v>5080</v>
      </c>
      <c r="H818" s="37">
        <f>Orders!H818</f>
        <v>27.2</v>
      </c>
      <c r="I818" s="39">
        <f>Orders!I818</f>
        <v>11094.72</v>
      </c>
      <c r="J818" t="str">
        <f>Orders!J818</f>
        <v>Completed</v>
      </c>
      <c r="K818" t="str">
        <f>Orders!K818</f>
        <v>Pune</v>
      </c>
      <c r="L818" t="str">
        <f>IFERROR(VLOOKUP(D818,Products!$A$2:$F$61,3,FALSE),"")</f>
        <v>Home</v>
      </c>
      <c r="M818">
        <f>IFERROR(VLOOKUP(D818,Products!$A$2:$F$61,4,FALSE),"")</f>
        <v>2459</v>
      </c>
      <c r="N818" t="str">
        <f>IFERROR(VLOOKUP(E818,Sales_Reps!$A$2:$E$31,3,FALSE),"")</f>
        <v>South</v>
      </c>
      <c r="O818" t="str">
        <f>IFERROR(VLOOKUP(C818,Customers!$A$2:$F$301,5,FALSE),"")</f>
        <v>Retail</v>
      </c>
      <c r="P818">
        <f>IFERROR(VLOOKUP(C818,Customers!$A$2:$F$301,3,FALSE),"")</f>
        <v>29</v>
      </c>
      <c r="Q818" s="41">
        <f t="shared" si="21"/>
        <v>0.51594488188976373</v>
      </c>
      <c r="R818" t="str">
        <f>IFERROR(VLOOKUP(C818,Customers!$A$2:$F$301,1,FALSE),"")</f>
        <v>CUST-0165</v>
      </c>
      <c r="S818" s="27" t="b">
        <f>IFERROR(VLOOKUP(D818,Products!$A$2:$F$61,6,FALSE),"")</f>
        <v>1</v>
      </c>
      <c r="BL818">
        <v>0.5</v>
      </c>
      <c r="BO818">
        <v>0</v>
      </c>
      <c r="BP818">
        <v>0</v>
      </c>
    </row>
    <row r="819" spans="1:68" x14ac:dyDescent="0.35">
      <c r="A819" s="26" t="str">
        <f>Orders!A819</f>
        <v>ORD-00818</v>
      </c>
      <c r="B819" s="33">
        <f>Orders!B819</f>
        <v>45391</v>
      </c>
      <c r="C819" t="str">
        <f>Orders!C819</f>
        <v>CUST-0060</v>
      </c>
      <c r="D819" t="str">
        <f>Orders!D819</f>
        <v>PROD-035</v>
      </c>
      <c r="E819" t="str">
        <f>Orders!E819</f>
        <v>R017</v>
      </c>
      <c r="F819">
        <f>Orders!F819</f>
        <v>5</v>
      </c>
      <c r="G819" s="35">
        <f>Orders!G819</f>
        <v>1090</v>
      </c>
      <c r="H819" s="37">
        <f>Orders!H819</f>
        <v>3.3</v>
      </c>
      <c r="I819" s="39">
        <f>Orders!I819</f>
        <v>5270.15</v>
      </c>
      <c r="J819" t="str">
        <f>Orders!J819</f>
        <v>Completed</v>
      </c>
      <c r="K819" t="str">
        <f>Orders!K819</f>
        <v>Pune</v>
      </c>
      <c r="L819" t="str">
        <f>IFERROR(VLOOKUP(D819,Products!$A$2:$F$61,3,FALSE),"")</f>
        <v>Home</v>
      </c>
      <c r="M819">
        <f>IFERROR(VLOOKUP(D819,Products!$A$2:$F$61,4,FALSE),"")</f>
        <v>464</v>
      </c>
      <c r="N819" t="str">
        <f>IFERROR(VLOOKUP(E819,Sales_Reps!$A$2:$E$31,3,FALSE),"")</f>
        <v>East</v>
      </c>
      <c r="O819" t="str">
        <f>IFERROR(VLOOKUP(C819,Customers!$A$2:$F$301,5,FALSE),"")</f>
        <v>Retail</v>
      </c>
      <c r="P819">
        <f>IFERROR(VLOOKUP(C819,Customers!$A$2:$F$301,3,FALSE),"")</f>
        <v>39</v>
      </c>
      <c r="Q819" s="41">
        <f t="shared" si="21"/>
        <v>0.57431192660550456</v>
      </c>
      <c r="R819" t="str">
        <f>IFERROR(VLOOKUP(C819,Customers!$A$2:$F$301,1,FALSE),"")</f>
        <v>CUST-0060</v>
      </c>
      <c r="S819" s="27" t="b">
        <f>IFERROR(VLOOKUP(D819,Products!$A$2:$F$61,6,FALSE),"")</f>
        <v>1</v>
      </c>
      <c r="BL819">
        <v>0</v>
      </c>
      <c r="BO819">
        <v>0</v>
      </c>
      <c r="BP819">
        <v>0</v>
      </c>
    </row>
    <row r="820" spans="1:68" x14ac:dyDescent="0.35">
      <c r="A820" s="26" t="str">
        <f>Orders!A820</f>
        <v>ORD-00819</v>
      </c>
      <c r="B820" s="33">
        <f>Orders!B820</f>
        <v>45328</v>
      </c>
      <c r="C820" t="str">
        <f>Orders!C820</f>
        <v>CUST-0130</v>
      </c>
      <c r="D820" t="str">
        <f>Orders!D820</f>
        <v>PROD-023</v>
      </c>
      <c r="E820" t="str">
        <f>Orders!E820</f>
        <v>R029</v>
      </c>
      <c r="F820">
        <f>Orders!F820</f>
        <v>10</v>
      </c>
      <c r="G820" s="35">
        <f>Orders!G820</f>
        <v>2380</v>
      </c>
      <c r="H820" s="37">
        <f>Orders!H820</f>
        <v>7</v>
      </c>
      <c r="I820" s="39">
        <f>Orders!I820</f>
        <v>22134</v>
      </c>
      <c r="J820" t="str">
        <f>Orders!J820</f>
        <v>Completed</v>
      </c>
      <c r="K820" t="str">
        <f>Orders!K820</f>
        <v>Bengaluru</v>
      </c>
      <c r="L820" t="str">
        <f>IFERROR(VLOOKUP(D820,Products!$A$2:$F$61,3,FALSE),"")</f>
        <v>Grocery</v>
      </c>
      <c r="M820">
        <f>IFERROR(VLOOKUP(D820,Products!$A$2:$F$61,4,FALSE),"")</f>
        <v>1182</v>
      </c>
      <c r="N820" t="str">
        <f>IFERROR(VLOOKUP(E820,Sales_Reps!$A$2:$E$31,3,FALSE),"")</f>
        <v>West</v>
      </c>
      <c r="O820" t="str">
        <f>IFERROR(VLOOKUP(C820,Customers!$A$2:$F$301,5,FALSE),"")</f>
        <v>Corporate</v>
      </c>
      <c r="P820">
        <f>IFERROR(VLOOKUP(C820,Customers!$A$2:$F$301,3,FALSE),"")</f>
        <v>41</v>
      </c>
      <c r="Q820" s="41">
        <f t="shared" si="21"/>
        <v>0.50336134453781511</v>
      </c>
      <c r="R820" t="str">
        <f>IFERROR(VLOOKUP(C820,Customers!$A$2:$F$301,1,FALSE),"")</f>
        <v>CUST-0130</v>
      </c>
      <c r="S820" s="27" t="b">
        <f>IFERROR(VLOOKUP(D820,Products!$A$2:$F$61,6,FALSE),"")</f>
        <v>1</v>
      </c>
      <c r="BL820">
        <v>0</v>
      </c>
      <c r="BO820">
        <v>0</v>
      </c>
      <c r="BP820">
        <v>0</v>
      </c>
    </row>
    <row r="821" spans="1:68" x14ac:dyDescent="0.35">
      <c r="A821" s="26" t="str">
        <f>Orders!A821</f>
        <v>ORD-00820</v>
      </c>
      <c r="B821" s="33">
        <f>Orders!B821</f>
        <v>45490</v>
      </c>
      <c r="C821" t="str">
        <f>Orders!C821</f>
        <v>CUST-0023</v>
      </c>
      <c r="D821" t="str">
        <f>Orders!D821</f>
        <v>PROD-012</v>
      </c>
      <c r="E821" t="str">
        <f>Orders!E821</f>
        <v>R026</v>
      </c>
      <c r="F821">
        <f>Orders!F821</f>
        <v>5</v>
      </c>
      <c r="G821" s="35">
        <f>Orders!G821</f>
        <v>3160</v>
      </c>
      <c r="H821" s="37">
        <f>Orders!H821</f>
        <v>25.6</v>
      </c>
      <c r="I821" s="39">
        <f>Orders!I821</f>
        <v>11755.2</v>
      </c>
      <c r="J821" t="str">
        <f>Orders!J821</f>
        <v>Completed</v>
      </c>
      <c r="K821" t="str">
        <f>Orders!K821</f>
        <v>Chennai</v>
      </c>
      <c r="L821" t="str">
        <f>IFERROR(VLOOKUP(D821,Products!$A$2:$F$61,3,FALSE),"")</f>
        <v>Apparel</v>
      </c>
      <c r="M821">
        <f>IFERROR(VLOOKUP(D821,Products!$A$2:$F$61,4,FALSE),"")</f>
        <v>1886</v>
      </c>
      <c r="N821" t="str">
        <f>IFERROR(VLOOKUP(E821,Sales_Reps!$A$2:$E$31,3,FALSE),"")</f>
        <v>West</v>
      </c>
      <c r="O821" t="str">
        <f>IFERROR(VLOOKUP(C821,Customers!$A$2:$F$301,5,FALSE),"")</f>
        <v>SMB</v>
      </c>
      <c r="P821">
        <f>IFERROR(VLOOKUP(C821,Customers!$A$2:$F$301,3,FALSE),"")</f>
        <v>43</v>
      </c>
      <c r="Q821" s="41">
        <f t="shared" si="21"/>
        <v>0.4031645569620253</v>
      </c>
      <c r="R821" t="str">
        <f>IFERROR(VLOOKUP(C821,Customers!$A$2:$F$301,1,FALSE),"")</f>
        <v>CUST-0023</v>
      </c>
      <c r="S821" s="27" t="b">
        <f>IFERROR(VLOOKUP(D821,Products!$A$2:$F$61,6,FALSE),"")</f>
        <v>1</v>
      </c>
      <c r="BL821">
        <v>0</v>
      </c>
      <c r="BO821">
        <v>0</v>
      </c>
      <c r="BP821">
        <v>0</v>
      </c>
    </row>
    <row r="822" spans="1:68" x14ac:dyDescent="0.35">
      <c r="A822" s="26" t="str">
        <f>Orders!A822</f>
        <v>ORD-00821</v>
      </c>
      <c r="B822" s="33">
        <f>Orders!B822</f>
        <v>45362</v>
      </c>
      <c r="C822" t="str">
        <f>Orders!C822</f>
        <v>CUST-0089</v>
      </c>
      <c r="D822" t="str">
        <f>Orders!D822</f>
        <v>PROD-058</v>
      </c>
      <c r="E822" t="str">
        <f>Orders!E822</f>
        <v>R029</v>
      </c>
      <c r="F822">
        <f>Orders!F822</f>
        <v>9</v>
      </c>
      <c r="G822" s="35">
        <f>Orders!G822</f>
        <v>2400</v>
      </c>
      <c r="H822" s="37">
        <f>Orders!H822</f>
        <v>8.4</v>
      </c>
      <c r="I822" s="39">
        <f>Orders!I822</f>
        <v>19785.599999999999</v>
      </c>
      <c r="J822" t="str">
        <f>Orders!J822</f>
        <v>Completed</v>
      </c>
      <c r="K822" t="str">
        <f>Orders!K822</f>
        <v>Mumbai</v>
      </c>
      <c r="L822" t="str">
        <f>IFERROR(VLOOKUP(D822,Products!$A$2:$F$61,3,FALSE),"")</f>
        <v>Sports</v>
      </c>
      <c r="M822">
        <f>IFERROR(VLOOKUP(D822,Products!$A$2:$F$61,4,FALSE),"")</f>
        <v>974</v>
      </c>
      <c r="N822" t="str">
        <f>IFERROR(VLOOKUP(E822,Sales_Reps!$A$2:$E$31,3,FALSE),"")</f>
        <v>West</v>
      </c>
      <c r="O822" t="str">
        <f>IFERROR(VLOOKUP(C822,Customers!$A$2:$F$301,5,FALSE),"")</f>
        <v>SMB</v>
      </c>
      <c r="P822">
        <f>IFERROR(VLOOKUP(C822,Customers!$A$2:$F$301,3,FALSE),"")</f>
        <v>43</v>
      </c>
      <c r="Q822" s="41">
        <f t="shared" si="21"/>
        <v>0.59416666666666662</v>
      </c>
      <c r="R822" t="str">
        <f>IFERROR(VLOOKUP(C822,Customers!$A$2:$F$301,1,FALSE),"")</f>
        <v>CUST-0089</v>
      </c>
      <c r="S822" s="27" t="b">
        <f>IFERROR(VLOOKUP(D822,Products!$A$2:$F$61,6,FALSE),"")</f>
        <v>1</v>
      </c>
      <c r="BL822">
        <v>0</v>
      </c>
      <c r="BO822">
        <v>0</v>
      </c>
      <c r="BP822">
        <v>0</v>
      </c>
    </row>
    <row r="823" spans="1:68" x14ac:dyDescent="0.35">
      <c r="A823" s="26" t="str">
        <f>Orders!A823</f>
        <v>ORD-00822</v>
      </c>
      <c r="B823" s="33">
        <f>Orders!B823</f>
        <v>45449</v>
      </c>
      <c r="C823" t="str">
        <f>Orders!C823</f>
        <v>CUST-0300</v>
      </c>
      <c r="D823" t="str">
        <f>Orders!D823</f>
        <v>PROD-002</v>
      </c>
      <c r="E823" t="str">
        <f>Orders!E823</f>
        <v>R020</v>
      </c>
      <c r="F823">
        <f>Orders!F823</f>
        <v>4</v>
      </c>
      <c r="G823" s="35">
        <f>Orders!G823</f>
        <v>2600</v>
      </c>
      <c r="H823" s="37">
        <f>Orders!H823</f>
        <v>4.2</v>
      </c>
      <c r="I823" s="39">
        <f>Orders!I823</f>
        <v>9963.2000000000007</v>
      </c>
      <c r="J823" t="str">
        <f>Orders!J823</f>
        <v>Completed</v>
      </c>
      <c r="K823" t="str">
        <f>Orders!K823</f>
        <v>Mumbai</v>
      </c>
      <c r="L823" t="str">
        <f>IFERROR(VLOOKUP(D823,Products!$A$2:$F$61,3,FALSE),"")</f>
        <v>Electronics</v>
      </c>
      <c r="M823">
        <f>IFERROR(VLOOKUP(D823,Products!$A$2:$F$61,4,FALSE),"")</f>
        <v>1052</v>
      </c>
      <c r="N823" t="str">
        <f>IFERROR(VLOOKUP(E823,Sales_Reps!$A$2:$E$31,3,FALSE),"")</f>
        <v>East</v>
      </c>
      <c r="O823" t="str">
        <f>IFERROR(VLOOKUP(C823,Customers!$A$2:$F$301,5,FALSE),"")</f>
        <v>Retail</v>
      </c>
      <c r="P823">
        <f>IFERROR(VLOOKUP(C823,Customers!$A$2:$F$301,3,FALSE),"")</f>
        <v>38</v>
      </c>
      <c r="Q823" s="41">
        <f t="shared" si="21"/>
        <v>0.5953846153846154</v>
      </c>
      <c r="R823" t="str">
        <f>IFERROR(VLOOKUP(C823,Customers!$A$2:$F$301,1,FALSE),"")</f>
        <v>CUST-0300</v>
      </c>
      <c r="S823" s="27" t="b">
        <f>IFERROR(VLOOKUP(D823,Products!$A$2:$F$61,6,FALSE),"")</f>
        <v>1</v>
      </c>
      <c r="BL823">
        <v>0</v>
      </c>
      <c r="BO823">
        <v>0</v>
      </c>
      <c r="BP823">
        <v>0</v>
      </c>
    </row>
    <row r="824" spans="1:68" x14ac:dyDescent="0.35">
      <c r="A824" s="26" t="str">
        <f>Orders!A824</f>
        <v>ORD-00823</v>
      </c>
      <c r="B824" s="33">
        <f>Orders!B824</f>
        <v>45409</v>
      </c>
      <c r="C824" t="str">
        <f>Orders!C824</f>
        <v>CUST-9578</v>
      </c>
      <c r="D824" t="str">
        <f>Orders!D824</f>
        <v>PROD-024</v>
      </c>
      <c r="E824" t="str">
        <f>Orders!E824</f>
        <v>R023</v>
      </c>
      <c r="F824">
        <f>Orders!F824</f>
        <v>5</v>
      </c>
      <c r="G824" s="35">
        <f>Orders!G824</f>
        <v>2270</v>
      </c>
      <c r="H824" s="37">
        <f>Orders!H824</f>
        <v>0.1</v>
      </c>
      <c r="I824" s="39">
        <f>Orders!I824</f>
        <v>11338.65</v>
      </c>
      <c r="J824" t="str">
        <f>Orders!J824</f>
        <v>Completed</v>
      </c>
      <c r="K824" t="str">
        <f>Orders!K824</f>
        <v>Mumbai</v>
      </c>
      <c r="L824" t="str">
        <f>IFERROR(VLOOKUP(D824,Products!$A$2:$F$61,3,FALSE),"")</f>
        <v>Grocery</v>
      </c>
      <c r="M824">
        <f>IFERROR(VLOOKUP(D824,Products!$A$2:$F$61,4,FALSE),"")</f>
        <v>1203</v>
      </c>
      <c r="N824" t="str">
        <f>IFERROR(VLOOKUP(E824,Sales_Reps!$A$2:$E$31,3,FALSE),"")</f>
        <v>East</v>
      </c>
      <c r="O824" t="str">
        <f>IFERROR(VLOOKUP(C824,Customers!$A$2:$F$301,5,FALSE),"")</f>
        <v/>
      </c>
      <c r="P824" t="str">
        <f>IFERROR(VLOOKUP(C824,Customers!$A$2:$F$301,3,FALSE),"")</f>
        <v/>
      </c>
      <c r="Q824" s="41">
        <f t="shared" si="21"/>
        <v>0.47004405286343615</v>
      </c>
      <c r="R824" t="str">
        <f>IFERROR(VLOOKUP(C824,Customers!$A$2:$F$301,1,FALSE),"")</f>
        <v/>
      </c>
      <c r="S824" s="27" t="b">
        <f>IFERROR(VLOOKUP(D824,Products!$A$2:$F$61,6,FALSE),"")</f>
        <v>1</v>
      </c>
      <c r="BL824">
        <v>0</v>
      </c>
      <c r="BO824">
        <v>1</v>
      </c>
      <c r="BP824">
        <v>0</v>
      </c>
    </row>
    <row r="825" spans="1:68" x14ac:dyDescent="0.35">
      <c r="A825" s="26" t="str">
        <f>Orders!A825</f>
        <v>ORD-00824</v>
      </c>
      <c r="B825" s="33">
        <f>Orders!B825</f>
        <v>45465</v>
      </c>
      <c r="C825" t="str">
        <f>Orders!C825</f>
        <v>CUST-0130</v>
      </c>
      <c r="D825" t="str">
        <f>Orders!D825</f>
        <v>PROD-038</v>
      </c>
      <c r="E825" t="str">
        <f>Orders!E825</f>
        <v>R020</v>
      </c>
      <c r="F825">
        <f>Orders!F825</f>
        <v>7</v>
      </c>
      <c r="G825" s="35">
        <f>Orders!G825</f>
        <v>5490</v>
      </c>
      <c r="H825" s="37">
        <f>Orders!H825</f>
        <v>14.9</v>
      </c>
      <c r="I825" s="39">
        <f>Orders!I825</f>
        <v>32703.93</v>
      </c>
      <c r="J825" t="str">
        <f>Orders!J825</f>
        <v>Completed</v>
      </c>
      <c r="K825" t="str">
        <f>Orders!K825</f>
        <v>Bengaluru</v>
      </c>
      <c r="L825" t="str">
        <f>IFERROR(VLOOKUP(D825,Products!$A$2:$F$61,3,FALSE),"")</f>
        <v>Home</v>
      </c>
      <c r="M825">
        <f>IFERROR(VLOOKUP(D825,Products!$A$2:$F$61,4,FALSE),"")</f>
        <v>2549</v>
      </c>
      <c r="N825" t="str">
        <f>IFERROR(VLOOKUP(E825,Sales_Reps!$A$2:$E$31,3,FALSE),"")</f>
        <v>East</v>
      </c>
      <c r="O825" t="str">
        <f>IFERROR(VLOOKUP(C825,Customers!$A$2:$F$301,5,FALSE),"")</f>
        <v>Corporate</v>
      </c>
      <c r="P825">
        <f>IFERROR(VLOOKUP(C825,Customers!$A$2:$F$301,3,FALSE),"")</f>
        <v>41</v>
      </c>
      <c r="Q825" s="41">
        <f t="shared" si="21"/>
        <v>0.53570127504553733</v>
      </c>
      <c r="R825" t="str">
        <f>IFERROR(VLOOKUP(C825,Customers!$A$2:$F$301,1,FALSE),"")</f>
        <v>CUST-0130</v>
      </c>
      <c r="S825" s="27" t="b">
        <f>IFERROR(VLOOKUP(D825,Products!$A$2:$F$61,6,FALSE),"")</f>
        <v>1</v>
      </c>
      <c r="BL825">
        <v>0</v>
      </c>
      <c r="BO825">
        <v>0</v>
      </c>
      <c r="BP825">
        <v>0</v>
      </c>
    </row>
    <row r="826" spans="1:68" x14ac:dyDescent="0.35">
      <c r="A826" s="26" t="str">
        <f>Orders!A826</f>
        <v>ORD-00825</v>
      </c>
      <c r="B826" s="33">
        <f>Orders!B826</f>
        <v>45415</v>
      </c>
      <c r="C826" t="str">
        <f>Orders!C826</f>
        <v>CUST-0247</v>
      </c>
      <c r="D826" t="str">
        <f>Orders!D826</f>
        <v>PROD-004</v>
      </c>
      <c r="E826" t="str">
        <f>Orders!E826</f>
        <v>R009</v>
      </c>
      <c r="F826">
        <f>Orders!F826</f>
        <v>5</v>
      </c>
      <c r="G826" s="35">
        <f>Orders!G826</f>
        <v>3870</v>
      </c>
      <c r="H826" s="37">
        <f>Orders!H826</f>
        <v>13.3</v>
      </c>
      <c r="I826" s="39">
        <f>Orders!I826</f>
        <v>16776.45</v>
      </c>
      <c r="J826" t="str">
        <f>Orders!J826</f>
        <v>Cancelled</v>
      </c>
      <c r="K826" t="str">
        <f>Orders!K826</f>
        <v>Pune</v>
      </c>
      <c r="L826" t="str">
        <f>IFERROR(VLOOKUP(D826,Products!$A$2:$F$61,3,FALSE),"")</f>
        <v>Electronics</v>
      </c>
      <c r="M826">
        <f>IFERROR(VLOOKUP(D826,Products!$A$2:$F$61,4,FALSE),"")</f>
        <v>1559</v>
      </c>
      <c r="N826" t="str">
        <f>IFERROR(VLOOKUP(E826,Sales_Reps!$A$2:$E$31,3,FALSE),"")</f>
        <v>South</v>
      </c>
      <c r="O826" t="str">
        <f>IFERROR(VLOOKUP(C826,Customers!$A$2:$F$301,5,FALSE),"")</f>
        <v>SMB</v>
      </c>
      <c r="P826">
        <f>IFERROR(VLOOKUP(C826,Customers!$A$2:$F$301,3,FALSE),"")</f>
        <v>35</v>
      </c>
      <c r="Q826" s="41">
        <f t="shared" si="21"/>
        <v>0.59715762273901807</v>
      </c>
      <c r="R826" t="str">
        <f>IFERROR(VLOOKUP(C826,Customers!$A$2:$F$301,1,FALSE),"")</f>
        <v>CUST-0247</v>
      </c>
      <c r="S826" s="27" t="b">
        <f>IFERROR(VLOOKUP(D826,Products!$A$2:$F$61,6,FALSE),"")</f>
        <v>1</v>
      </c>
      <c r="BL826">
        <v>0</v>
      </c>
      <c r="BO826">
        <v>0</v>
      </c>
      <c r="BP826">
        <v>0</v>
      </c>
    </row>
    <row r="827" spans="1:68" x14ac:dyDescent="0.35">
      <c r="A827" s="26" t="str">
        <f>Orders!A827</f>
        <v>ORD-00826</v>
      </c>
      <c r="B827" s="33">
        <f>Orders!B827</f>
        <v>45372</v>
      </c>
      <c r="C827" t="str">
        <f>Orders!C827</f>
        <v>CUST-0256</v>
      </c>
      <c r="D827" t="str">
        <f>Orders!D827</f>
        <v>PROD-049</v>
      </c>
      <c r="E827" t="str">
        <f>Orders!E827</f>
        <v>R024</v>
      </c>
      <c r="F827">
        <f>Orders!F827</f>
        <v>2</v>
      </c>
      <c r="G827" s="35">
        <f>Orders!G827</f>
        <v>960</v>
      </c>
      <c r="H827" s="37">
        <f>Orders!H827</f>
        <v>17.5</v>
      </c>
      <c r="I827" s="39">
        <f>Orders!I827</f>
        <v>1584</v>
      </c>
      <c r="J827" t="str">
        <f>Orders!J827</f>
        <v>Completed</v>
      </c>
      <c r="K827" t="str">
        <f>Orders!K827</f>
        <v>Hyderabad</v>
      </c>
      <c r="L827" t="str">
        <f>IFERROR(VLOOKUP(D827,Products!$A$2:$F$61,3,FALSE),"")</f>
        <v>Beauty</v>
      </c>
      <c r="M827">
        <f>IFERROR(VLOOKUP(D827,Products!$A$2:$F$61,4,FALSE),"")</f>
        <v>675</v>
      </c>
      <c r="N827" t="str">
        <f>IFERROR(VLOOKUP(E827,Sales_Reps!$A$2:$E$31,3,FALSE),"")</f>
        <v>West</v>
      </c>
      <c r="O827" t="str">
        <f>IFERROR(VLOOKUP(C827,Customers!$A$2:$F$301,5,FALSE),"")</f>
        <v>Retail</v>
      </c>
      <c r="P827">
        <f>IFERROR(VLOOKUP(C827,Customers!$A$2:$F$301,3,FALSE),"")</f>
        <v>28</v>
      </c>
      <c r="Q827" s="41">
        <f t="shared" si="21"/>
        <v>0.296875</v>
      </c>
      <c r="R827" t="str">
        <f>IFERROR(VLOOKUP(C827,Customers!$A$2:$F$301,1,FALSE),"")</f>
        <v>CUST-0256</v>
      </c>
      <c r="S827" s="27" t="b">
        <f>IFERROR(VLOOKUP(D827,Products!$A$2:$F$61,6,FALSE),"")</f>
        <v>1</v>
      </c>
      <c r="BL827">
        <v>0</v>
      </c>
      <c r="BO827">
        <v>0</v>
      </c>
      <c r="BP827">
        <v>0</v>
      </c>
    </row>
    <row r="828" spans="1:68" x14ac:dyDescent="0.35">
      <c r="A828" s="26" t="str">
        <f>Orders!A828</f>
        <v>ORD-00827</v>
      </c>
      <c r="B828" s="33">
        <f>Orders!B828</f>
        <v>45405</v>
      </c>
      <c r="C828" t="str">
        <f>Orders!C828</f>
        <v>CUST-0213</v>
      </c>
      <c r="D828" t="str">
        <f>Orders!D828</f>
        <v>PROD-046</v>
      </c>
      <c r="E828" t="str">
        <f>Orders!E828</f>
        <v>R001</v>
      </c>
      <c r="F828">
        <f>Orders!F828</f>
        <v>4</v>
      </c>
      <c r="G828" s="35">
        <f>Orders!G828</f>
        <v>4880</v>
      </c>
      <c r="H828" s="37">
        <f>Orders!H828</f>
        <v>12.2</v>
      </c>
      <c r="I828" s="39">
        <f>Orders!I828</f>
        <v>17138.560000000001</v>
      </c>
      <c r="J828" t="str">
        <f>Orders!J828</f>
        <v>Cancelled</v>
      </c>
      <c r="K828" t="str">
        <f>Orders!K828</f>
        <v>Mumbai</v>
      </c>
      <c r="L828" t="str">
        <f>IFERROR(VLOOKUP(D828,Products!$A$2:$F$61,3,FALSE),"")</f>
        <v>Beauty</v>
      </c>
      <c r="M828">
        <f>IFERROR(VLOOKUP(D828,Products!$A$2:$F$61,4,FALSE),"")</f>
        <v>2768</v>
      </c>
      <c r="N828" t="str">
        <f>IFERROR(VLOOKUP(E828,Sales_Reps!$A$2:$E$31,3,FALSE),"")</f>
        <v>North</v>
      </c>
      <c r="O828" t="str">
        <f>IFERROR(VLOOKUP(C828,Customers!$A$2:$F$301,5,FALSE),"")</f>
        <v>Retail</v>
      </c>
      <c r="P828">
        <f>IFERROR(VLOOKUP(C828,Customers!$A$2:$F$301,3,FALSE),"")</f>
        <v>37</v>
      </c>
      <c r="Q828" s="41">
        <f t="shared" si="21"/>
        <v>0.43278688524590164</v>
      </c>
      <c r="R828" t="str">
        <f>IFERROR(VLOOKUP(C828,Customers!$A$2:$F$301,1,FALSE),"")</f>
        <v>CUST-0213</v>
      </c>
      <c r="S828" s="27" t="b">
        <f>IFERROR(VLOOKUP(D828,Products!$A$2:$F$61,6,FALSE),"")</f>
        <v>1</v>
      </c>
      <c r="BL828">
        <v>0</v>
      </c>
      <c r="BO828">
        <v>0</v>
      </c>
      <c r="BP828">
        <v>0</v>
      </c>
    </row>
    <row r="829" spans="1:68" x14ac:dyDescent="0.35">
      <c r="A829" s="26" t="str">
        <f>Orders!A829</f>
        <v>ORD-00828</v>
      </c>
      <c r="B829" s="33">
        <f>Orders!B829</f>
        <v>45419</v>
      </c>
      <c r="C829" t="str">
        <f>Orders!C829</f>
        <v>CUST-0183</v>
      </c>
      <c r="D829" t="str">
        <f>Orders!D829</f>
        <v>PROD-058</v>
      </c>
      <c r="E829" t="str">
        <f>Orders!E829</f>
        <v>R008</v>
      </c>
      <c r="F829">
        <f>Orders!F829</f>
        <v>5</v>
      </c>
      <c r="G829" s="35">
        <f>Orders!G829</f>
        <v>2400</v>
      </c>
      <c r="H829" s="37">
        <f>Orders!H829</f>
        <v>15</v>
      </c>
      <c r="I829" s="39">
        <f>Orders!I829</f>
        <v>10200</v>
      </c>
      <c r="J829" t="str">
        <f>Orders!J829</f>
        <v>Completed</v>
      </c>
      <c r="K829" t="str">
        <f>Orders!K829</f>
        <v>Mumbai</v>
      </c>
      <c r="L829" t="str">
        <f>IFERROR(VLOOKUP(D829,Products!$A$2:$F$61,3,FALSE),"")</f>
        <v>Sports</v>
      </c>
      <c r="M829">
        <f>IFERROR(VLOOKUP(D829,Products!$A$2:$F$61,4,FALSE),"")</f>
        <v>974</v>
      </c>
      <c r="N829" t="str">
        <f>IFERROR(VLOOKUP(E829,Sales_Reps!$A$2:$E$31,3,FALSE),"")</f>
        <v>North</v>
      </c>
      <c r="O829" t="str">
        <f>IFERROR(VLOOKUP(C829,Customers!$A$2:$F$301,5,FALSE),"")</f>
        <v>SMB</v>
      </c>
      <c r="P829">
        <f>IFERROR(VLOOKUP(C829,Customers!$A$2:$F$301,3,FALSE),"")</f>
        <v>27</v>
      </c>
      <c r="Q829" s="41">
        <f t="shared" si="21"/>
        <v>0.59416666666666662</v>
      </c>
      <c r="R829" t="str">
        <f>IFERROR(VLOOKUP(C829,Customers!$A$2:$F$301,1,FALSE),"")</f>
        <v>CUST-0183</v>
      </c>
      <c r="S829" s="27" t="b">
        <f>IFERROR(VLOOKUP(D829,Products!$A$2:$F$61,6,FALSE),"")</f>
        <v>1</v>
      </c>
      <c r="BL829">
        <v>0</v>
      </c>
      <c r="BO829">
        <v>0</v>
      </c>
      <c r="BP829">
        <v>0</v>
      </c>
    </row>
    <row r="830" spans="1:68" x14ac:dyDescent="0.35">
      <c r="A830" s="26" t="str">
        <f>Orders!A830</f>
        <v>ORD-00829</v>
      </c>
      <c r="B830" s="33">
        <f>Orders!B830</f>
        <v>45522</v>
      </c>
      <c r="C830" t="str">
        <f>Orders!C830</f>
        <v>CUST-0051</v>
      </c>
      <c r="D830" t="str">
        <f>Orders!D830</f>
        <v>PROD-016</v>
      </c>
      <c r="E830" t="str">
        <f>Orders!E830</f>
        <v>R015</v>
      </c>
      <c r="F830">
        <f>Orders!F830</f>
        <v>9</v>
      </c>
      <c r="G830" s="35">
        <f>Orders!G830</f>
        <v>620</v>
      </c>
      <c r="H830" s="37">
        <f>Orders!H830</f>
        <v>20.399999999999999</v>
      </c>
      <c r="I830" s="39">
        <f>Orders!I830</f>
        <v>4441.68</v>
      </c>
      <c r="J830" t="str">
        <f>Orders!J830</f>
        <v>Pending</v>
      </c>
      <c r="K830" t="str">
        <f>Orders!K830</f>
        <v>Pune</v>
      </c>
      <c r="L830" t="str">
        <f>IFERROR(VLOOKUP(D830,Products!$A$2:$F$61,3,FALSE),"")</f>
        <v>Apparel</v>
      </c>
      <c r="M830">
        <f>IFERROR(VLOOKUP(D830,Products!$A$2:$F$61,4,FALSE),"")</f>
        <v>396</v>
      </c>
      <c r="N830" t="str">
        <f>IFERROR(VLOOKUP(E830,Sales_Reps!$A$2:$E$31,3,FALSE),"")</f>
        <v>South</v>
      </c>
      <c r="O830" t="str">
        <f>IFERROR(VLOOKUP(C830,Customers!$A$2:$F$301,5,FALSE),"")</f>
        <v>SMB</v>
      </c>
      <c r="P830">
        <f>IFERROR(VLOOKUP(C830,Customers!$A$2:$F$301,3,FALSE),"")</f>
        <v>54</v>
      </c>
      <c r="Q830" s="41">
        <f t="shared" si="21"/>
        <v>0.36129032258064514</v>
      </c>
      <c r="R830" t="str">
        <f>IFERROR(VLOOKUP(C830,Customers!$A$2:$F$301,1,FALSE),"")</f>
        <v>CUST-0051</v>
      </c>
      <c r="S830" s="27" t="b">
        <f>IFERROR(VLOOKUP(D830,Products!$A$2:$F$61,6,FALSE),"")</f>
        <v>1</v>
      </c>
      <c r="BL830">
        <v>0</v>
      </c>
      <c r="BO830">
        <v>0</v>
      </c>
      <c r="BP830">
        <v>0</v>
      </c>
    </row>
    <row r="831" spans="1:68" x14ac:dyDescent="0.35">
      <c r="A831" s="26" t="str">
        <f>Orders!A831</f>
        <v>ORD-00830</v>
      </c>
      <c r="B831" s="33">
        <f>Orders!B831</f>
        <v>45513</v>
      </c>
      <c r="C831" t="str">
        <f>Orders!C831</f>
        <v>CUST-0001</v>
      </c>
      <c r="D831" t="str">
        <f>Orders!D831</f>
        <v>PROD-039</v>
      </c>
      <c r="E831" t="str">
        <f>Orders!E831</f>
        <v>R013</v>
      </c>
      <c r="F831">
        <f>Orders!F831</f>
        <v>1</v>
      </c>
      <c r="G831" s="35">
        <f>Orders!G831</f>
        <v>4610</v>
      </c>
      <c r="H831" s="37">
        <f>Orders!H831</f>
        <v>1.8</v>
      </c>
      <c r="I831" s="39">
        <f>Orders!I831</f>
        <v>4527.0200000000004</v>
      </c>
      <c r="J831" t="str">
        <f>Orders!J831</f>
        <v>Pending</v>
      </c>
      <c r="K831" t="str">
        <f>Orders!K831</f>
        <v>Pune</v>
      </c>
      <c r="L831" t="str">
        <f>IFERROR(VLOOKUP(D831,Products!$A$2:$F$61,3,FALSE),"")</f>
        <v>Home</v>
      </c>
      <c r="M831">
        <f>IFERROR(VLOOKUP(D831,Products!$A$2:$F$61,4,FALSE),"")</f>
        <v>1850</v>
      </c>
      <c r="N831" t="str">
        <f>IFERROR(VLOOKUP(E831,Sales_Reps!$A$2:$E$31,3,FALSE),"")</f>
        <v>South</v>
      </c>
      <c r="O831" t="str">
        <f>IFERROR(VLOOKUP(C831,Customers!$A$2:$F$301,5,FALSE),"")</f>
        <v>Retail</v>
      </c>
      <c r="P831">
        <f>IFERROR(VLOOKUP(C831,Customers!$A$2:$F$301,3,FALSE),"")</f>
        <v>36</v>
      </c>
      <c r="Q831" s="41">
        <f t="shared" si="21"/>
        <v>0.59869848156182215</v>
      </c>
      <c r="R831" t="str">
        <f>IFERROR(VLOOKUP(C831,Customers!$A$2:$F$301,1,FALSE),"")</f>
        <v>CUST-0001</v>
      </c>
      <c r="S831" s="27" t="b">
        <f>IFERROR(VLOOKUP(D831,Products!$A$2:$F$61,6,FALSE),"")</f>
        <v>1</v>
      </c>
      <c r="BL831">
        <v>0</v>
      </c>
      <c r="BO831">
        <v>0</v>
      </c>
      <c r="BP831">
        <v>0</v>
      </c>
    </row>
    <row r="832" spans="1:68" x14ac:dyDescent="0.35">
      <c r="A832" s="26" t="str">
        <f>Orders!A832</f>
        <v>ORD-00831</v>
      </c>
      <c r="B832" s="33">
        <f>Orders!B832</f>
        <v>45500</v>
      </c>
      <c r="C832" t="str">
        <f>Orders!C832</f>
        <v>CUST-0105</v>
      </c>
      <c r="D832" t="str">
        <f>Orders!D832</f>
        <v>PROD-039</v>
      </c>
      <c r="E832" t="str">
        <f>Orders!E832</f>
        <v>R014</v>
      </c>
      <c r="F832">
        <f>Orders!F832</f>
        <v>7</v>
      </c>
      <c r="G832" s="35">
        <f>Orders!G832</f>
        <v>4610</v>
      </c>
      <c r="H832" s="37">
        <f>Orders!H832</f>
        <v>27</v>
      </c>
      <c r="I832" s="39">
        <f>Orders!I832</f>
        <v>23557.1</v>
      </c>
      <c r="J832" t="str">
        <f>Orders!J832</f>
        <v>Completed</v>
      </c>
      <c r="K832" t="str">
        <f>Orders!K832</f>
        <v>Chennai</v>
      </c>
      <c r="L832" t="str">
        <f>IFERROR(VLOOKUP(D832,Products!$A$2:$F$61,3,FALSE),"")</f>
        <v>Home</v>
      </c>
      <c r="M832">
        <f>IFERROR(VLOOKUP(D832,Products!$A$2:$F$61,4,FALSE),"")</f>
        <v>1850</v>
      </c>
      <c r="N832" t="str">
        <f>IFERROR(VLOOKUP(E832,Sales_Reps!$A$2:$E$31,3,FALSE),"")</f>
        <v>South</v>
      </c>
      <c r="O832" t="str">
        <f>IFERROR(VLOOKUP(C832,Customers!$A$2:$F$301,5,FALSE),"")</f>
        <v>SMB</v>
      </c>
      <c r="P832">
        <f>IFERROR(VLOOKUP(C832,Customers!$A$2:$F$301,3,FALSE),"")</f>
        <v>51</v>
      </c>
      <c r="Q832" s="41">
        <f t="shared" si="21"/>
        <v>0.59869848156182215</v>
      </c>
      <c r="R832" t="str">
        <f>IFERROR(VLOOKUP(C832,Customers!$A$2:$F$301,1,FALSE),"")</f>
        <v>CUST-0105</v>
      </c>
      <c r="S832" s="27" t="b">
        <f>IFERROR(VLOOKUP(D832,Products!$A$2:$F$61,6,FALSE),"")</f>
        <v>1</v>
      </c>
      <c r="BL832">
        <v>0</v>
      </c>
      <c r="BO832">
        <v>0</v>
      </c>
      <c r="BP832">
        <v>0</v>
      </c>
    </row>
    <row r="833" spans="1:68" x14ac:dyDescent="0.35">
      <c r="A833" s="26" t="str">
        <f>Orders!A833</f>
        <v>ORD-00832</v>
      </c>
      <c r="B833" s="33">
        <f>Orders!B833</f>
        <v>45608</v>
      </c>
      <c r="C833" t="str">
        <f>Orders!C833</f>
        <v>CUST-0199</v>
      </c>
      <c r="D833" t="str">
        <f>Orders!D833</f>
        <v>PROD-030</v>
      </c>
      <c r="E833" t="str">
        <f>Orders!E833</f>
        <v>R029</v>
      </c>
      <c r="F833">
        <f>Orders!F833</f>
        <v>6</v>
      </c>
      <c r="G833" s="35">
        <f>Orders!G833</f>
        <v>970</v>
      </c>
      <c r="H833" s="37">
        <f>Orders!H833</f>
        <v>4.7</v>
      </c>
      <c r="I833" s="39">
        <f>Orders!I833</f>
        <v>5546.46</v>
      </c>
      <c r="J833" t="str">
        <f>Orders!J833</f>
        <v>Cancelled</v>
      </c>
      <c r="K833" t="str">
        <f>Orders!K833</f>
        <v>Hyderabad</v>
      </c>
      <c r="L833" t="str">
        <f>IFERROR(VLOOKUP(D833,Products!$A$2:$F$61,3,FALSE),"")</f>
        <v>Grocery</v>
      </c>
      <c r="M833">
        <f>IFERROR(VLOOKUP(D833,Products!$A$2:$F$61,4,FALSE),"")</f>
        <v>434</v>
      </c>
      <c r="N833" t="str">
        <f>IFERROR(VLOOKUP(E833,Sales_Reps!$A$2:$E$31,3,FALSE),"")</f>
        <v>West</v>
      </c>
      <c r="O833" t="str">
        <f>IFERROR(VLOOKUP(C833,Customers!$A$2:$F$301,5,FALSE),"")</f>
        <v>SMB</v>
      </c>
      <c r="P833">
        <f>IFERROR(VLOOKUP(C833,Customers!$A$2:$F$301,3,FALSE),"")</f>
        <v>31</v>
      </c>
      <c r="Q833" s="41">
        <f t="shared" si="21"/>
        <v>0.5525773195876289</v>
      </c>
      <c r="R833" t="str">
        <f>IFERROR(VLOOKUP(C833,Customers!$A$2:$F$301,1,FALSE),"")</f>
        <v>CUST-0199</v>
      </c>
      <c r="S833" s="27" t="b">
        <f>IFERROR(VLOOKUP(D833,Products!$A$2:$F$61,6,FALSE),"")</f>
        <v>1</v>
      </c>
      <c r="BL833">
        <v>0</v>
      </c>
      <c r="BO833">
        <v>0</v>
      </c>
      <c r="BP833">
        <v>0</v>
      </c>
    </row>
    <row r="834" spans="1:68" x14ac:dyDescent="0.35">
      <c r="A834" s="26" t="str">
        <f>Orders!A834</f>
        <v>ORD-00833</v>
      </c>
      <c r="B834" s="33">
        <f>Orders!B834</f>
        <v>45362</v>
      </c>
      <c r="C834" t="str">
        <f>Orders!C834</f>
        <v>CUST-0240</v>
      </c>
      <c r="D834" t="str">
        <f>Orders!D834</f>
        <v>PROD-007</v>
      </c>
      <c r="E834" t="str">
        <f>Orders!E834</f>
        <v>R026</v>
      </c>
      <c r="F834">
        <f>Orders!F834</f>
        <v>8</v>
      </c>
      <c r="G834" s="35">
        <f>Orders!G834</f>
        <v>1430</v>
      </c>
      <c r="H834" s="37">
        <f>Orders!H834</f>
        <v>8.6999999999999993</v>
      </c>
      <c r="I834" s="39">
        <f>Orders!I834</f>
        <v>10444.719999999999</v>
      </c>
      <c r="J834" t="str">
        <f>Orders!J834</f>
        <v>Completed</v>
      </c>
      <c r="K834" t="str">
        <f>Orders!K834</f>
        <v>Chennai</v>
      </c>
      <c r="L834" t="str">
        <f>IFERROR(VLOOKUP(D834,Products!$A$2:$F$61,3,FALSE),"")</f>
        <v>Electronics</v>
      </c>
      <c r="M834">
        <f>IFERROR(VLOOKUP(D834,Products!$A$2:$F$61,4,FALSE),"")</f>
        <v>861</v>
      </c>
      <c r="N834" t="str">
        <f>IFERROR(VLOOKUP(E834,Sales_Reps!$A$2:$E$31,3,FALSE),"")</f>
        <v>West</v>
      </c>
      <c r="O834" t="str">
        <f>IFERROR(VLOOKUP(C834,Customers!$A$2:$F$301,5,FALSE),"")</f>
        <v>Corporate</v>
      </c>
      <c r="P834">
        <f>IFERROR(VLOOKUP(C834,Customers!$A$2:$F$301,3,FALSE),"")</f>
        <v>35</v>
      </c>
      <c r="Q834" s="41">
        <f t="shared" ref="Q834:Q897" si="22">IFERROR((G834-M834)/G834,0)</f>
        <v>0.39790209790209791</v>
      </c>
      <c r="R834" t="str">
        <f>IFERROR(VLOOKUP(C834,Customers!$A$2:$F$301,1,FALSE),"")</f>
        <v>CUST-0240</v>
      </c>
      <c r="S834" s="27" t="b">
        <f>IFERROR(VLOOKUP(D834,Products!$A$2:$F$61,6,FALSE),"")</f>
        <v>1</v>
      </c>
      <c r="BL834">
        <v>0</v>
      </c>
      <c r="BO834">
        <v>0</v>
      </c>
      <c r="BP834">
        <v>0</v>
      </c>
    </row>
    <row r="835" spans="1:68" x14ac:dyDescent="0.35">
      <c r="A835" s="26" t="str">
        <f>Orders!A835</f>
        <v>ORD-00834</v>
      </c>
      <c r="B835" s="33">
        <f>Orders!B835</f>
        <v>45348</v>
      </c>
      <c r="C835" t="str">
        <f>Orders!C835</f>
        <v>CUST-0283</v>
      </c>
      <c r="D835" t="str">
        <f>Orders!D835</f>
        <v>PROD-027</v>
      </c>
      <c r="E835" t="str">
        <f>Orders!E835</f>
        <v>R011</v>
      </c>
      <c r="F835">
        <f>Orders!F835</f>
        <v>5</v>
      </c>
      <c r="G835" s="35">
        <f>Orders!G835</f>
        <v>3780</v>
      </c>
      <c r="H835" s="37">
        <f>Orders!H835</f>
        <v>2.9</v>
      </c>
      <c r="I835" s="39">
        <f>Orders!I835</f>
        <v>18351.900000000001</v>
      </c>
      <c r="J835" t="str">
        <f>Orders!J835</f>
        <v>Completed</v>
      </c>
      <c r="K835" t="str">
        <f>Orders!K835</f>
        <v>Delhi</v>
      </c>
      <c r="L835" t="str">
        <f>IFERROR(VLOOKUP(D835,Products!$A$2:$F$61,3,FALSE),"")</f>
        <v>Grocery</v>
      </c>
      <c r="M835">
        <f>IFERROR(VLOOKUP(D835,Products!$A$2:$F$61,4,FALSE),"")</f>
        <v>2436</v>
      </c>
      <c r="N835" t="str">
        <f>IFERROR(VLOOKUP(E835,Sales_Reps!$A$2:$E$31,3,FALSE),"")</f>
        <v>South</v>
      </c>
      <c r="O835" t="str">
        <f>IFERROR(VLOOKUP(C835,Customers!$A$2:$F$301,5,FALSE),"")</f>
        <v>SMB</v>
      </c>
      <c r="P835">
        <f>IFERROR(VLOOKUP(C835,Customers!$A$2:$F$301,3,FALSE),"")</f>
        <v>50</v>
      </c>
      <c r="Q835" s="41">
        <f t="shared" si="22"/>
        <v>0.35555555555555557</v>
      </c>
      <c r="R835" t="str">
        <f>IFERROR(VLOOKUP(C835,Customers!$A$2:$F$301,1,FALSE),"")</f>
        <v>CUST-0283</v>
      </c>
      <c r="S835" s="27" t="b">
        <f>IFERROR(VLOOKUP(D835,Products!$A$2:$F$61,6,FALSE),"")</f>
        <v>1</v>
      </c>
      <c r="BL835">
        <v>0</v>
      </c>
      <c r="BO835">
        <v>0</v>
      </c>
      <c r="BP835">
        <v>0</v>
      </c>
    </row>
    <row r="836" spans="1:68" x14ac:dyDescent="0.35">
      <c r="A836" s="26" t="str">
        <f>Orders!A836</f>
        <v>ORD-00835</v>
      </c>
      <c r="B836" s="33">
        <f>Orders!B836</f>
        <v>45532</v>
      </c>
      <c r="C836" t="str">
        <f>Orders!C836</f>
        <v>CUST-0284</v>
      </c>
      <c r="D836" t="str">
        <f>Orders!D836</f>
        <v>PROD-041</v>
      </c>
      <c r="E836" t="str">
        <f>Orders!E836</f>
        <v>R023</v>
      </c>
      <c r="F836">
        <f>Orders!F836</f>
        <v>2</v>
      </c>
      <c r="G836" s="35">
        <f>Orders!G836</f>
        <v>1540</v>
      </c>
      <c r="H836" s="37">
        <f>Orders!H836</f>
        <v>12.7</v>
      </c>
      <c r="I836" s="39">
        <f>Orders!I836</f>
        <v>2688.84</v>
      </c>
      <c r="J836" t="str">
        <f>Orders!J836</f>
        <v>Completed</v>
      </c>
      <c r="K836" t="str">
        <f>Orders!K836</f>
        <v>Hyderabad</v>
      </c>
      <c r="L836" t="str">
        <f>IFERROR(VLOOKUP(D836,Products!$A$2:$F$61,3,FALSE),"")</f>
        <v>Beauty</v>
      </c>
      <c r="M836">
        <f>IFERROR(VLOOKUP(D836,Products!$A$2:$F$61,4,FALSE),"")</f>
        <v>647</v>
      </c>
      <c r="N836" t="str">
        <f>IFERROR(VLOOKUP(E836,Sales_Reps!$A$2:$E$31,3,FALSE),"")</f>
        <v>East</v>
      </c>
      <c r="O836" t="str">
        <f>IFERROR(VLOOKUP(C836,Customers!$A$2:$F$301,5,FALSE),"")</f>
        <v>SMB</v>
      </c>
      <c r="P836">
        <f>IFERROR(VLOOKUP(C836,Customers!$A$2:$F$301,3,FALSE),"")</f>
        <v>65</v>
      </c>
      <c r="Q836" s="41">
        <f t="shared" si="22"/>
        <v>0.57987012987012987</v>
      </c>
      <c r="R836" t="str">
        <f>IFERROR(VLOOKUP(C836,Customers!$A$2:$F$301,1,FALSE),"")</f>
        <v>CUST-0284</v>
      </c>
      <c r="S836" s="27" t="b">
        <f>IFERROR(VLOOKUP(D836,Products!$A$2:$F$61,6,FALSE),"")</f>
        <v>0</v>
      </c>
      <c r="BL836">
        <v>0</v>
      </c>
      <c r="BO836">
        <v>0</v>
      </c>
      <c r="BP836">
        <v>1</v>
      </c>
    </row>
    <row r="837" spans="1:68" x14ac:dyDescent="0.35">
      <c r="A837" s="26" t="str">
        <f>Orders!A837</f>
        <v>ORD-00836</v>
      </c>
      <c r="B837" s="33">
        <f>Orders!B837</f>
        <v>45492</v>
      </c>
      <c r="C837" t="str">
        <f>Orders!C837</f>
        <v>CUST-0060</v>
      </c>
      <c r="D837" t="str">
        <f>Orders!D837</f>
        <v>PROD-040</v>
      </c>
      <c r="E837" t="str">
        <f>Orders!E837</f>
        <v>R020</v>
      </c>
      <c r="F837">
        <f>Orders!F837</f>
        <v>9</v>
      </c>
      <c r="G837" s="35">
        <f>Orders!G837</f>
        <v>1080</v>
      </c>
      <c r="H837" s="37">
        <f>Orders!H837</f>
        <v>11.2</v>
      </c>
      <c r="I837" s="39">
        <f>Orders!I837</f>
        <v>8631.36</v>
      </c>
      <c r="J837" t="str">
        <f>Orders!J837</f>
        <v>Cancelled</v>
      </c>
      <c r="K837" t="str">
        <f>Orders!K837</f>
        <v>Pune</v>
      </c>
      <c r="L837" t="str">
        <f>IFERROR(VLOOKUP(D837,Products!$A$2:$F$61,3,FALSE),"")</f>
        <v>Home</v>
      </c>
      <c r="M837">
        <f>IFERROR(VLOOKUP(D837,Products!$A$2:$F$61,4,FALSE),"")</f>
        <v>519</v>
      </c>
      <c r="N837" t="str">
        <f>IFERROR(VLOOKUP(E837,Sales_Reps!$A$2:$E$31,3,FALSE),"")</f>
        <v>East</v>
      </c>
      <c r="O837" t="str">
        <f>IFERROR(VLOOKUP(C837,Customers!$A$2:$F$301,5,FALSE),"")</f>
        <v>Retail</v>
      </c>
      <c r="P837">
        <f>IFERROR(VLOOKUP(C837,Customers!$A$2:$F$301,3,FALSE),"")</f>
        <v>39</v>
      </c>
      <c r="Q837" s="41">
        <f t="shared" si="22"/>
        <v>0.51944444444444449</v>
      </c>
      <c r="R837" t="str">
        <f>IFERROR(VLOOKUP(C837,Customers!$A$2:$F$301,1,FALSE),"")</f>
        <v>CUST-0060</v>
      </c>
      <c r="S837" s="27" t="b">
        <f>IFERROR(VLOOKUP(D837,Products!$A$2:$F$61,6,FALSE),"")</f>
        <v>1</v>
      </c>
      <c r="BL837">
        <v>0</v>
      </c>
      <c r="BO837">
        <v>0</v>
      </c>
      <c r="BP837">
        <v>0</v>
      </c>
    </row>
    <row r="838" spans="1:68" x14ac:dyDescent="0.35">
      <c r="A838" s="26" t="str">
        <f>Orders!A838</f>
        <v>ORD-00837</v>
      </c>
      <c r="B838" s="33">
        <f>Orders!B838</f>
        <v>45368</v>
      </c>
      <c r="C838" t="str">
        <f>Orders!C838</f>
        <v>CUST-0266</v>
      </c>
      <c r="D838" t="str">
        <f>Orders!D838</f>
        <v>PROD-058</v>
      </c>
      <c r="E838" t="str">
        <f>Orders!E838</f>
        <v>R007</v>
      </c>
      <c r="F838">
        <f>Orders!F838</f>
        <v>3</v>
      </c>
      <c r="G838" s="35">
        <f>Orders!G838</f>
        <v>2400</v>
      </c>
      <c r="H838" s="37">
        <f>Orders!H838</f>
        <v>28.6</v>
      </c>
      <c r="I838" s="39">
        <f>Orders!I838</f>
        <v>5140.8</v>
      </c>
      <c r="J838" t="str">
        <f>Orders!J838</f>
        <v>Completed</v>
      </c>
      <c r="K838" t="str">
        <f>Orders!K838</f>
        <v>Pune</v>
      </c>
      <c r="L838" t="str">
        <f>IFERROR(VLOOKUP(D838,Products!$A$2:$F$61,3,FALSE),"")</f>
        <v>Sports</v>
      </c>
      <c r="M838">
        <f>IFERROR(VLOOKUP(D838,Products!$A$2:$F$61,4,FALSE),"")</f>
        <v>974</v>
      </c>
      <c r="N838" t="str">
        <f>IFERROR(VLOOKUP(E838,Sales_Reps!$A$2:$E$31,3,FALSE),"")</f>
        <v>North</v>
      </c>
      <c r="O838" t="str">
        <f>IFERROR(VLOOKUP(C838,Customers!$A$2:$F$301,5,FALSE),"")</f>
        <v>Retail</v>
      </c>
      <c r="P838">
        <f>IFERROR(VLOOKUP(C838,Customers!$A$2:$F$301,3,FALSE),"")</f>
        <v>65</v>
      </c>
      <c r="Q838" s="41">
        <f t="shared" si="22"/>
        <v>0.59416666666666662</v>
      </c>
      <c r="R838" t="str">
        <f>IFERROR(VLOOKUP(C838,Customers!$A$2:$F$301,1,FALSE),"")</f>
        <v>CUST-0266</v>
      </c>
      <c r="S838" s="27" t="b">
        <f>IFERROR(VLOOKUP(D838,Products!$A$2:$F$61,6,FALSE),"")</f>
        <v>1</v>
      </c>
      <c r="BL838">
        <v>0</v>
      </c>
      <c r="BO838">
        <v>0</v>
      </c>
      <c r="BP838">
        <v>0</v>
      </c>
    </row>
    <row r="839" spans="1:68" x14ac:dyDescent="0.35">
      <c r="A839" s="26" t="str">
        <f>Orders!A839</f>
        <v>ORD-00838</v>
      </c>
      <c r="B839" s="33">
        <f>Orders!B839</f>
        <v>45448</v>
      </c>
      <c r="C839" t="str">
        <f>Orders!C839</f>
        <v>CUST-0056</v>
      </c>
      <c r="D839" t="str">
        <f>Orders!D839</f>
        <v>PROD-040</v>
      </c>
      <c r="E839" t="str">
        <f>Orders!E839</f>
        <v>R018</v>
      </c>
      <c r="F839">
        <f>Orders!F839</f>
        <v>5</v>
      </c>
      <c r="G839" s="35">
        <f>Orders!G839</f>
        <v>1080</v>
      </c>
      <c r="H839" s="37">
        <f>Orders!H839</f>
        <v>18.3</v>
      </c>
      <c r="I839" s="39">
        <f>Orders!I839</f>
        <v>4411.8</v>
      </c>
      <c r="J839" t="str">
        <f>Orders!J839</f>
        <v>Completed</v>
      </c>
      <c r="K839" t="str">
        <f>Orders!K839</f>
        <v>Bengaluru</v>
      </c>
      <c r="L839" t="str">
        <f>IFERROR(VLOOKUP(D839,Products!$A$2:$F$61,3,FALSE),"")</f>
        <v>Home</v>
      </c>
      <c r="M839">
        <f>IFERROR(VLOOKUP(D839,Products!$A$2:$F$61,4,FALSE),"")</f>
        <v>519</v>
      </c>
      <c r="N839" t="str">
        <f>IFERROR(VLOOKUP(E839,Sales_Reps!$A$2:$E$31,3,FALSE),"")</f>
        <v>East</v>
      </c>
      <c r="O839" t="str">
        <f>IFERROR(VLOOKUP(C839,Customers!$A$2:$F$301,5,FALSE),"")</f>
        <v>SMB</v>
      </c>
      <c r="P839">
        <f>IFERROR(VLOOKUP(C839,Customers!$A$2:$F$301,3,FALSE),"")</f>
        <v>46</v>
      </c>
      <c r="Q839" s="41">
        <f t="shared" si="22"/>
        <v>0.51944444444444449</v>
      </c>
      <c r="R839" t="str">
        <f>IFERROR(VLOOKUP(C839,Customers!$A$2:$F$301,1,FALSE),"")</f>
        <v>CUST-0056</v>
      </c>
      <c r="S839" s="27" t="b">
        <f>IFERROR(VLOOKUP(D839,Products!$A$2:$F$61,6,FALSE),"")</f>
        <v>1</v>
      </c>
      <c r="BL839">
        <v>0</v>
      </c>
      <c r="BO839">
        <v>0</v>
      </c>
      <c r="BP839">
        <v>0</v>
      </c>
    </row>
    <row r="840" spans="1:68" x14ac:dyDescent="0.35">
      <c r="A840" s="26" t="str">
        <f>Orders!A840</f>
        <v>ORD-00839</v>
      </c>
      <c r="B840" s="33">
        <f>Orders!B840</f>
        <v>45610</v>
      </c>
      <c r="C840" t="str">
        <f>Orders!C840</f>
        <v>CUST-0187</v>
      </c>
      <c r="D840" t="str">
        <f>Orders!D840</f>
        <v>PROD-024</v>
      </c>
      <c r="E840" t="str">
        <f>Orders!E840</f>
        <v>R027</v>
      </c>
      <c r="F840">
        <f>Orders!F840</f>
        <v>7</v>
      </c>
      <c r="G840" s="35">
        <f>Orders!G840</f>
        <v>2270</v>
      </c>
      <c r="H840" s="37">
        <f>Orders!H840</f>
        <v>1.7</v>
      </c>
      <c r="I840" s="39">
        <f>Orders!I840</f>
        <v>15619.87</v>
      </c>
      <c r="J840" t="str">
        <f>Orders!J840</f>
        <v>Cancelled</v>
      </c>
      <c r="K840" t="str">
        <f>Orders!K840</f>
        <v>Chennai</v>
      </c>
      <c r="L840" t="str">
        <f>IFERROR(VLOOKUP(D840,Products!$A$2:$F$61,3,FALSE),"")</f>
        <v>Grocery</v>
      </c>
      <c r="M840">
        <f>IFERROR(VLOOKUP(D840,Products!$A$2:$F$61,4,FALSE),"")</f>
        <v>1203</v>
      </c>
      <c r="N840" t="str">
        <f>IFERROR(VLOOKUP(E840,Sales_Reps!$A$2:$E$31,3,FALSE),"")</f>
        <v>West</v>
      </c>
      <c r="O840" t="str">
        <f>IFERROR(VLOOKUP(C840,Customers!$A$2:$F$301,5,FALSE),"")</f>
        <v>SMB</v>
      </c>
      <c r="P840">
        <f>IFERROR(VLOOKUP(C840,Customers!$A$2:$F$301,3,FALSE),"")</f>
        <v>51</v>
      </c>
      <c r="Q840" s="41">
        <f t="shared" si="22"/>
        <v>0.47004405286343615</v>
      </c>
      <c r="R840" t="str">
        <f>IFERROR(VLOOKUP(C840,Customers!$A$2:$F$301,1,FALSE),"")</f>
        <v>CUST-0187</v>
      </c>
      <c r="S840" s="27" t="b">
        <f>IFERROR(VLOOKUP(D840,Products!$A$2:$F$61,6,FALSE),"")</f>
        <v>1</v>
      </c>
      <c r="BL840">
        <v>0</v>
      </c>
      <c r="BO840">
        <v>0</v>
      </c>
      <c r="BP840">
        <v>0</v>
      </c>
    </row>
    <row r="841" spans="1:68" x14ac:dyDescent="0.35">
      <c r="A841" s="26" t="str">
        <f>Orders!A841</f>
        <v>ORD-00840</v>
      </c>
      <c r="B841" s="33">
        <f>Orders!B841</f>
        <v>45438</v>
      </c>
      <c r="C841" t="str">
        <f>Orders!C841</f>
        <v>CUST-0183</v>
      </c>
      <c r="D841" t="str">
        <f>Orders!D841</f>
        <v>PROD-028</v>
      </c>
      <c r="E841" t="str">
        <f>Orders!E841</f>
        <v>R026</v>
      </c>
      <c r="F841">
        <f>Orders!F841</f>
        <v>8</v>
      </c>
      <c r="G841" s="35">
        <f>Orders!G841</f>
        <v>3660</v>
      </c>
      <c r="H841" s="37">
        <f>Orders!H841</f>
        <v>19.100000000000001</v>
      </c>
      <c r="I841" s="39">
        <f>Orders!I841</f>
        <v>23687.52</v>
      </c>
      <c r="J841" t="str">
        <f>Orders!J841</f>
        <v>Cancelled</v>
      </c>
      <c r="K841" t="str">
        <f>Orders!K841</f>
        <v>Mumbai</v>
      </c>
      <c r="L841" t="str">
        <f>IFERROR(VLOOKUP(D841,Products!$A$2:$F$61,3,FALSE),"")</f>
        <v>Grocery</v>
      </c>
      <c r="M841">
        <f>IFERROR(VLOOKUP(D841,Products!$A$2:$F$61,4,FALSE),"")</f>
        <v>2214</v>
      </c>
      <c r="N841" t="str">
        <f>IFERROR(VLOOKUP(E841,Sales_Reps!$A$2:$E$31,3,FALSE),"")</f>
        <v>West</v>
      </c>
      <c r="O841" t="str">
        <f>IFERROR(VLOOKUP(C841,Customers!$A$2:$F$301,5,FALSE),"")</f>
        <v>SMB</v>
      </c>
      <c r="P841">
        <f>IFERROR(VLOOKUP(C841,Customers!$A$2:$F$301,3,FALSE),"")</f>
        <v>27</v>
      </c>
      <c r="Q841" s="41">
        <f t="shared" si="22"/>
        <v>0.39508196721311473</v>
      </c>
      <c r="R841" t="str">
        <f>IFERROR(VLOOKUP(C841,Customers!$A$2:$F$301,1,FALSE),"")</f>
        <v>CUST-0183</v>
      </c>
      <c r="S841" s="27" t="b">
        <f>IFERROR(VLOOKUP(D841,Products!$A$2:$F$61,6,FALSE),"")</f>
        <v>0</v>
      </c>
      <c r="BL841">
        <v>0</v>
      </c>
      <c r="BO841">
        <v>0</v>
      </c>
      <c r="BP841">
        <v>1</v>
      </c>
    </row>
    <row r="842" spans="1:68" x14ac:dyDescent="0.35">
      <c r="A842" s="26" t="str">
        <f>Orders!A842</f>
        <v>ORD-00841</v>
      </c>
      <c r="B842" s="33">
        <f>Orders!B842</f>
        <v>45477</v>
      </c>
      <c r="C842" t="str">
        <f>Orders!C842</f>
        <v>CUST-0068</v>
      </c>
      <c r="D842" t="str">
        <f>Orders!D842</f>
        <v>PROD-036</v>
      </c>
      <c r="E842" t="str">
        <f>Orders!E842</f>
        <v>R003</v>
      </c>
      <c r="F842">
        <f>Orders!F842</f>
        <v>5</v>
      </c>
      <c r="G842" s="35">
        <f>Orders!G842</f>
        <v>3250</v>
      </c>
      <c r="H842" s="37">
        <f>Orders!H842</f>
        <v>12.9</v>
      </c>
      <c r="I842" s="39">
        <f>Orders!I842</f>
        <v>14153.75</v>
      </c>
      <c r="J842" t="str">
        <f>Orders!J842</f>
        <v>Completed</v>
      </c>
      <c r="K842" t="str">
        <f>Orders!K842</f>
        <v>Delhi</v>
      </c>
      <c r="L842" t="str">
        <f>IFERROR(VLOOKUP(D842,Products!$A$2:$F$61,3,FALSE),"")</f>
        <v>Home</v>
      </c>
      <c r="M842">
        <f>IFERROR(VLOOKUP(D842,Products!$A$2:$F$61,4,FALSE),"")</f>
        <v>1556</v>
      </c>
      <c r="N842" t="str">
        <f>IFERROR(VLOOKUP(E842,Sales_Reps!$A$2:$E$31,3,FALSE),"")</f>
        <v>North</v>
      </c>
      <c r="O842" t="str">
        <f>IFERROR(VLOOKUP(C842,Customers!$A$2:$F$301,5,FALSE),"")</f>
        <v>SMB</v>
      </c>
      <c r="P842">
        <f>IFERROR(VLOOKUP(C842,Customers!$A$2:$F$301,3,FALSE),"")</f>
        <v>48</v>
      </c>
      <c r="Q842" s="41">
        <f t="shared" si="22"/>
        <v>0.52123076923076928</v>
      </c>
      <c r="R842" t="str">
        <f>IFERROR(VLOOKUP(C842,Customers!$A$2:$F$301,1,FALSE),"")</f>
        <v>CUST-0068</v>
      </c>
      <c r="S842" s="27" t="b">
        <f>IFERROR(VLOOKUP(D842,Products!$A$2:$F$61,6,FALSE),"")</f>
        <v>1</v>
      </c>
      <c r="BL842">
        <v>0</v>
      </c>
      <c r="BO842">
        <v>0</v>
      </c>
      <c r="BP842">
        <v>0</v>
      </c>
    </row>
    <row r="843" spans="1:68" x14ac:dyDescent="0.35">
      <c r="A843" s="26" t="str">
        <f>Orders!A843</f>
        <v>ORD-00842</v>
      </c>
      <c r="B843" s="33">
        <f>Orders!B843</f>
        <v>45328</v>
      </c>
      <c r="C843" t="str">
        <f>Orders!C843</f>
        <v>CUST-0135</v>
      </c>
      <c r="D843" t="str">
        <f>Orders!D843</f>
        <v>PROD-044</v>
      </c>
      <c r="E843" t="str">
        <f>Orders!E843</f>
        <v>R012</v>
      </c>
      <c r="F843">
        <f>Orders!F843</f>
        <v>4</v>
      </c>
      <c r="G843" s="35">
        <f>Orders!G843</f>
        <v>1650</v>
      </c>
      <c r="H843" s="37">
        <f>Orders!H843</f>
        <v>4.0999999999999996</v>
      </c>
      <c r="I843" s="39">
        <f>Orders!I843</f>
        <v>6329.4</v>
      </c>
      <c r="J843" t="str">
        <f>Orders!J843</f>
        <v>Completed</v>
      </c>
      <c r="K843" t="str">
        <f>Orders!K843</f>
        <v>Pune</v>
      </c>
      <c r="L843" t="str">
        <f>IFERROR(VLOOKUP(D843,Products!$A$2:$F$61,3,FALSE),"")</f>
        <v>Beauty</v>
      </c>
      <c r="M843">
        <f>IFERROR(VLOOKUP(D843,Products!$A$2:$F$61,4,FALSE),"")</f>
        <v>1222</v>
      </c>
      <c r="N843" t="str">
        <f>IFERROR(VLOOKUP(E843,Sales_Reps!$A$2:$E$31,3,FALSE),"")</f>
        <v>South</v>
      </c>
      <c r="O843" t="str">
        <f>IFERROR(VLOOKUP(C843,Customers!$A$2:$F$301,5,FALSE),"")</f>
        <v>SMB</v>
      </c>
      <c r="P843">
        <f>IFERROR(VLOOKUP(C843,Customers!$A$2:$F$301,3,FALSE),"")</f>
        <v>24</v>
      </c>
      <c r="Q843" s="41">
        <f t="shared" si="22"/>
        <v>0.2593939393939394</v>
      </c>
      <c r="R843" t="str">
        <f>IFERROR(VLOOKUP(C843,Customers!$A$2:$F$301,1,FALSE),"")</f>
        <v>CUST-0135</v>
      </c>
      <c r="S843" s="27" t="b">
        <f>IFERROR(VLOOKUP(D843,Products!$A$2:$F$61,6,FALSE),"")</f>
        <v>1</v>
      </c>
      <c r="BL843">
        <v>0</v>
      </c>
      <c r="BO843">
        <v>0</v>
      </c>
      <c r="BP843">
        <v>0</v>
      </c>
    </row>
    <row r="844" spans="1:68" x14ac:dyDescent="0.35">
      <c r="A844" s="26" t="str">
        <f>Orders!A844</f>
        <v>ORD-00843</v>
      </c>
      <c r="B844" s="33">
        <f>Orders!B844</f>
        <v>45624</v>
      </c>
      <c r="C844" t="str">
        <f>Orders!C844</f>
        <v>CUST-0191</v>
      </c>
      <c r="D844" t="str">
        <f>Orders!D844</f>
        <v>PROD-034</v>
      </c>
      <c r="E844" t="str">
        <f>Orders!E844</f>
        <v>R003</v>
      </c>
      <c r="F844">
        <f>Orders!F844</f>
        <v>6</v>
      </c>
      <c r="G844" s="35">
        <f>Orders!G844</f>
        <v>5080</v>
      </c>
      <c r="H844" s="37">
        <f>Orders!H844</f>
        <v>3</v>
      </c>
      <c r="I844" s="39">
        <f>Orders!I844</f>
        <v>29565.599999999999</v>
      </c>
      <c r="J844" t="str">
        <f>Orders!J844</f>
        <v>Completed</v>
      </c>
      <c r="K844" t="str">
        <f>Orders!K844</f>
        <v>Hyderabad</v>
      </c>
      <c r="L844" t="str">
        <f>IFERROR(VLOOKUP(D844,Products!$A$2:$F$61,3,FALSE),"")</f>
        <v>Home</v>
      </c>
      <c r="M844">
        <f>IFERROR(VLOOKUP(D844,Products!$A$2:$F$61,4,FALSE),"")</f>
        <v>2459</v>
      </c>
      <c r="N844" t="str">
        <f>IFERROR(VLOOKUP(E844,Sales_Reps!$A$2:$E$31,3,FALSE),"")</f>
        <v>North</v>
      </c>
      <c r="O844" t="str">
        <f>IFERROR(VLOOKUP(C844,Customers!$A$2:$F$301,5,FALSE),"")</f>
        <v>SMB</v>
      </c>
      <c r="P844">
        <f>IFERROR(VLOOKUP(C844,Customers!$A$2:$F$301,3,FALSE),"")</f>
        <v>43</v>
      </c>
      <c r="Q844" s="41">
        <f t="shared" si="22"/>
        <v>0.51594488188976373</v>
      </c>
      <c r="R844" t="str">
        <f>IFERROR(VLOOKUP(C844,Customers!$A$2:$F$301,1,FALSE),"")</f>
        <v>CUST-0191</v>
      </c>
      <c r="S844" s="27" t="b">
        <f>IFERROR(VLOOKUP(D844,Products!$A$2:$F$61,6,FALSE),"")</f>
        <v>1</v>
      </c>
      <c r="BL844">
        <v>0</v>
      </c>
      <c r="BO844">
        <v>0</v>
      </c>
      <c r="BP844">
        <v>0</v>
      </c>
    </row>
    <row r="845" spans="1:68" x14ac:dyDescent="0.35">
      <c r="A845" s="26" t="str">
        <f>Orders!A845</f>
        <v>ORD-00844</v>
      </c>
      <c r="B845" s="33">
        <f>Orders!B845</f>
        <v>45614</v>
      </c>
      <c r="C845" t="str">
        <f>Orders!C845</f>
        <v>CUST-0244</v>
      </c>
      <c r="D845" t="str">
        <f>Orders!D845</f>
        <v>PROD-051</v>
      </c>
      <c r="E845" t="str">
        <f>Orders!E845</f>
        <v>R027</v>
      </c>
      <c r="F845">
        <f>Orders!F845</f>
        <v>8</v>
      </c>
      <c r="G845" s="35">
        <f>Orders!G845</f>
        <v>3450</v>
      </c>
      <c r="H845" s="37">
        <f>Orders!H845</f>
        <v>20.9</v>
      </c>
      <c r="I845" s="39">
        <f>Orders!I845</f>
        <v>21831.599999999999</v>
      </c>
      <c r="J845" t="str">
        <f>Orders!J845</f>
        <v>Completed</v>
      </c>
      <c r="K845" t="str">
        <f>Orders!K845</f>
        <v>Bengaluru</v>
      </c>
      <c r="L845" t="str">
        <f>IFERROR(VLOOKUP(D845,Products!$A$2:$F$61,3,FALSE),"")</f>
        <v>Sports</v>
      </c>
      <c r="M845">
        <f>IFERROR(VLOOKUP(D845,Products!$A$2:$F$61,4,FALSE),"")</f>
        <v>2467</v>
      </c>
      <c r="N845" t="str">
        <f>IFERROR(VLOOKUP(E845,Sales_Reps!$A$2:$E$31,3,FALSE),"")</f>
        <v>West</v>
      </c>
      <c r="O845" t="str">
        <f>IFERROR(VLOOKUP(C845,Customers!$A$2:$F$301,5,FALSE),"")</f>
        <v>Retail</v>
      </c>
      <c r="P845">
        <f>IFERROR(VLOOKUP(C845,Customers!$A$2:$F$301,3,FALSE),"")</f>
        <v>61</v>
      </c>
      <c r="Q845" s="41">
        <f t="shared" si="22"/>
        <v>0.28492753623188405</v>
      </c>
      <c r="R845" t="str">
        <f>IFERROR(VLOOKUP(C845,Customers!$A$2:$F$301,1,FALSE),"")</f>
        <v>CUST-0244</v>
      </c>
      <c r="S845" s="27" t="b">
        <f>IFERROR(VLOOKUP(D845,Products!$A$2:$F$61,6,FALSE),"")</f>
        <v>1</v>
      </c>
      <c r="BL845">
        <v>0</v>
      </c>
      <c r="BO845">
        <v>0</v>
      </c>
      <c r="BP845">
        <v>0</v>
      </c>
    </row>
    <row r="846" spans="1:68" x14ac:dyDescent="0.35">
      <c r="A846" s="26" t="str">
        <f>Orders!A846</f>
        <v>ORD-00845</v>
      </c>
      <c r="B846" s="33">
        <f>Orders!B846</f>
        <v>45429</v>
      </c>
      <c r="C846" t="str">
        <f>Orders!C846</f>
        <v>CUST-0189</v>
      </c>
      <c r="D846" t="str">
        <f>Orders!D846</f>
        <v>PROD-043</v>
      </c>
      <c r="E846" t="str">
        <f>Orders!E846</f>
        <v>R018</v>
      </c>
      <c r="F846">
        <f>Orders!F846</f>
        <v>6</v>
      </c>
      <c r="G846" s="35">
        <f>Orders!G846</f>
        <v>3350</v>
      </c>
      <c r="H846" s="37">
        <f>Orders!H846</f>
        <v>24.8</v>
      </c>
      <c r="I846" s="39">
        <f>Orders!I846</f>
        <v>15115.2</v>
      </c>
      <c r="J846" t="str">
        <f>Orders!J846</f>
        <v>Completed</v>
      </c>
      <c r="K846" t="str">
        <f>Orders!K846</f>
        <v>Chennai</v>
      </c>
      <c r="L846" t="str">
        <f>IFERROR(VLOOKUP(D846,Products!$A$2:$F$61,3,FALSE),"")</f>
        <v>Beauty</v>
      </c>
      <c r="M846">
        <f>IFERROR(VLOOKUP(D846,Products!$A$2:$F$61,4,FALSE),"")</f>
        <v>1728</v>
      </c>
      <c r="N846" t="str">
        <f>IFERROR(VLOOKUP(E846,Sales_Reps!$A$2:$E$31,3,FALSE),"")</f>
        <v>East</v>
      </c>
      <c r="O846" t="str">
        <f>IFERROR(VLOOKUP(C846,Customers!$A$2:$F$301,5,FALSE),"")</f>
        <v>Retail</v>
      </c>
      <c r="P846">
        <f>IFERROR(VLOOKUP(C846,Customers!$A$2:$F$301,3,FALSE),"")</f>
        <v>41</v>
      </c>
      <c r="Q846" s="41">
        <f t="shared" si="22"/>
        <v>0.48417910447761192</v>
      </c>
      <c r="R846" t="str">
        <f>IFERROR(VLOOKUP(C846,Customers!$A$2:$F$301,1,FALSE),"")</f>
        <v>CUST-0189</v>
      </c>
      <c r="S846" s="27" t="b">
        <f>IFERROR(VLOOKUP(D846,Products!$A$2:$F$61,6,FALSE),"")</f>
        <v>1</v>
      </c>
      <c r="BL846">
        <v>0</v>
      </c>
      <c r="BO846">
        <v>0</v>
      </c>
      <c r="BP846">
        <v>0</v>
      </c>
    </row>
    <row r="847" spans="1:68" x14ac:dyDescent="0.35">
      <c r="A847" s="26" t="str">
        <f>Orders!A847</f>
        <v>ORD-00846</v>
      </c>
      <c r="B847" s="33">
        <f>Orders!B847</f>
        <v>45451</v>
      </c>
      <c r="C847" t="str">
        <f>Orders!C847</f>
        <v>CUST-0166</v>
      </c>
      <c r="D847" t="str">
        <f>Orders!D847</f>
        <v>PROD-029</v>
      </c>
      <c r="E847" t="str">
        <f>Orders!E847</f>
        <v>R027</v>
      </c>
      <c r="F847">
        <f>Orders!F847</f>
        <v>10</v>
      </c>
      <c r="G847" s="35">
        <f>Orders!G847</f>
        <v>2210</v>
      </c>
      <c r="H847" s="37">
        <f>Orders!H847</f>
        <v>4.2</v>
      </c>
      <c r="I847" s="39">
        <f>Orders!I847</f>
        <v>21171.8</v>
      </c>
      <c r="J847" t="str">
        <f>Orders!J847</f>
        <v>Completed</v>
      </c>
      <c r="K847" t="str">
        <f>Orders!K847</f>
        <v>Hyderabad</v>
      </c>
      <c r="L847" t="str">
        <f>IFERROR(VLOOKUP(D847,Products!$A$2:$F$61,3,FALSE),"")</f>
        <v>Grocery</v>
      </c>
      <c r="M847">
        <f>IFERROR(VLOOKUP(D847,Products!$A$2:$F$61,4,FALSE),"")</f>
        <v>1010</v>
      </c>
      <c r="N847" t="str">
        <f>IFERROR(VLOOKUP(E847,Sales_Reps!$A$2:$E$31,3,FALSE),"")</f>
        <v>West</v>
      </c>
      <c r="O847" t="str">
        <f>IFERROR(VLOOKUP(C847,Customers!$A$2:$F$301,5,FALSE),"")</f>
        <v>Retail</v>
      </c>
      <c r="P847">
        <f>IFERROR(VLOOKUP(C847,Customers!$A$2:$F$301,3,FALSE),"")</f>
        <v>31</v>
      </c>
      <c r="Q847" s="41">
        <f t="shared" si="22"/>
        <v>0.54298642533936647</v>
      </c>
      <c r="R847" t="str">
        <f>IFERROR(VLOOKUP(C847,Customers!$A$2:$F$301,1,FALSE),"")</f>
        <v>CUST-0166</v>
      </c>
      <c r="S847" s="27" t="b">
        <f>IFERROR(VLOOKUP(D847,Products!$A$2:$F$61,6,FALSE),"")</f>
        <v>1</v>
      </c>
      <c r="BL847">
        <v>0</v>
      </c>
      <c r="BO847">
        <v>0</v>
      </c>
      <c r="BP847">
        <v>0</v>
      </c>
    </row>
    <row r="848" spans="1:68" x14ac:dyDescent="0.35">
      <c r="A848" s="26" t="str">
        <f>Orders!A848</f>
        <v>ORD-00847</v>
      </c>
      <c r="B848" s="33">
        <f>Orders!B848</f>
        <v>45444</v>
      </c>
      <c r="C848" t="str">
        <f>Orders!C848</f>
        <v>CUST-0167</v>
      </c>
      <c r="D848" t="str">
        <f>Orders!D848</f>
        <v>PROD-046</v>
      </c>
      <c r="E848" t="str">
        <f>Orders!E848</f>
        <v>R006</v>
      </c>
      <c r="F848">
        <f>Orders!F848</f>
        <v>10</v>
      </c>
      <c r="G848" s="35">
        <f>Orders!G848</f>
        <v>4880</v>
      </c>
      <c r="H848" s="37">
        <f>Orders!H848</f>
        <v>0.7</v>
      </c>
      <c r="I848" s="39">
        <f>Orders!I848</f>
        <v>48458.400000000001</v>
      </c>
      <c r="J848" t="str">
        <f>Orders!J848</f>
        <v>Completed</v>
      </c>
      <c r="K848" t="str">
        <f>Orders!K848</f>
        <v>Delhi</v>
      </c>
      <c r="L848" t="str">
        <f>IFERROR(VLOOKUP(D848,Products!$A$2:$F$61,3,FALSE),"")</f>
        <v>Beauty</v>
      </c>
      <c r="M848">
        <f>IFERROR(VLOOKUP(D848,Products!$A$2:$F$61,4,FALSE),"")</f>
        <v>2768</v>
      </c>
      <c r="N848" t="str">
        <f>IFERROR(VLOOKUP(E848,Sales_Reps!$A$2:$E$31,3,FALSE),"")</f>
        <v>North</v>
      </c>
      <c r="O848" t="str">
        <f>IFERROR(VLOOKUP(C848,Customers!$A$2:$F$301,5,FALSE),"")</f>
        <v>Retail</v>
      </c>
      <c r="P848">
        <f>IFERROR(VLOOKUP(C848,Customers!$A$2:$F$301,3,FALSE),"")</f>
        <v>43</v>
      </c>
      <c r="Q848" s="41">
        <f t="shared" si="22"/>
        <v>0.43278688524590164</v>
      </c>
      <c r="R848" t="str">
        <f>IFERROR(VLOOKUP(C848,Customers!$A$2:$F$301,1,FALSE),"")</f>
        <v>CUST-0167</v>
      </c>
      <c r="S848" s="27" t="b">
        <f>IFERROR(VLOOKUP(D848,Products!$A$2:$F$61,6,FALSE),"")</f>
        <v>1</v>
      </c>
      <c r="BL848">
        <v>0</v>
      </c>
      <c r="BO848">
        <v>0</v>
      </c>
      <c r="BP848">
        <v>0</v>
      </c>
    </row>
    <row r="849" spans="1:68" x14ac:dyDescent="0.35">
      <c r="A849" s="26" t="str">
        <f>Orders!A849</f>
        <v>ORD-00848</v>
      </c>
      <c r="B849" s="33">
        <f>Orders!B849</f>
        <v>45369</v>
      </c>
      <c r="C849" t="str">
        <f>Orders!C849</f>
        <v>CUST-0265</v>
      </c>
      <c r="D849" t="str">
        <f>Orders!D849</f>
        <v>PROD-055</v>
      </c>
      <c r="E849" t="str">
        <f>Orders!E849</f>
        <v>R004</v>
      </c>
      <c r="F849">
        <f>Orders!F849</f>
        <v>7</v>
      </c>
      <c r="G849" s="35">
        <f>Orders!G849</f>
        <v>2860</v>
      </c>
      <c r="H849" s="37">
        <f>Orders!H849</f>
        <v>28.1</v>
      </c>
      <c r="I849" s="39">
        <f>Orders!I849</f>
        <v>14394.38</v>
      </c>
      <c r="J849" t="str">
        <f>Orders!J849</f>
        <v>Pending</v>
      </c>
      <c r="K849" t="str">
        <f>Orders!K849</f>
        <v>Chennai</v>
      </c>
      <c r="L849" t="str">
        <f>IFERROR(VLOOKUP(D849,Products!$A$2:$F$61,3,FALSE),"")</f>
        <v>Sports</v>
      </c>
      <c r="M849">
        <f>IFERROR(VLOOKUP(D849,Products!$A$2:$F$61,4,FALSE),"")</f>
        <v>2028</v>
      </c>
      <c r="N849" t="str">
        <f>IFERROR(VLOOKUP(E849,Sales_Reps!$A$2:$E$31,3,FALSE),"")</f>
        <v>North</v>
      </c>
      <c r="O849" t="str">
        <f>IFERROR(VLOOKUP(C849,Customers!$A$2:$F$301,5,FALSE),"")</f>
        <v>Retail</v>
      </c>
      <c r="P849">
        <f>IFERROR(VLOOKUP(C849,Customers!$A$2:$F$301,3,FALSE),"")</f>
        <v>49</v>
      </c>
      <c r="Q849" s="41">
        <f t="shared" si="22"/>
        <v>0.29090909090909089</v>
      </c>
      <c r="R849" t="str">
        <f>IFERROR(VLOOKUP(C849,Customers!$A$2:$F$301,1,FALSE),"")</f>
        <v>CUST-0265</v>
      </c>
      <c r="S849" s="27" t="b">
        <f>IFERROR(VLOOKUP(D849,Products!$A$2:$F$61,6,FALSE),"")</f>
        <v>1</v>
      </c>
      <c r="BL849">
        <v>0</v>
      </c>
      <c r="BO849">
        <v>0</v>
      </c>
      <c r="BP849">
        <v>0</v>
      </c>
    </row>
    <row r="850" spans="1:68" x14ac:dyDescent="0.35">
      <c r="A850" s="26" t="str">
        <f>Orders!A850</f>
        <v>ORD-00849</v>
      </c>
      <c r="B850" s="33">
        <f>Orders!B850</f>
        <v>45581</v>
      </c>
      <c r="C850" t="str">
        <f>Orders!C850</f>
        <v>CUST-0172</v>
      </c>
      <c r="D850" t="str">
        <f>Orders!D850</f>
        <v>PROD-030</v>
      </c>
      <c r="E850" t="str">
        <f>Orders!E850</f>
        <v>R005</v>
      </c>
      <c r="F850">
        <f>Orders!F850</f>
        <v>3</v>
      </c>
      <c r="G850" s="35">
        <f>Orders!G850</f>
        <v>970</v>
      </c>
      <c r="H850" s="37">
        <f>Orders!H850</f>
        <v>28.3</v>
      </c>
      <c r="I850" s="39">
        <f>Orders!I850</f>
        <v>2086.4699999999998</v>
      </c>
      <c r="J850" t="str">
        <f>Orders!J850</f>
        <v>Completed</v>
      </c>
      <c r="K850" t="str">
        <f>Orders!K850</f>
        <v>Pune</v>
      </c>
      <c r="L850" t="str">
        <f>IFERROR(VLOOKUP(D850,Products!$A$2:$F$61,3,FALSE),"")</f>
        <v>Grocery</v>
      </c>
      <c r="M850">
        <f>IFERROR(VLOOKUP(D850,Products!$A$2:$F$61,4,FALSE),"")</f>
        <v>434</v>
      </c>
      <c r="N850" t="str">
        <f>IFERROR(VLOOKUP(E850,Sales_Reps!$A$2:$E$31,3,FALSE),"")</f>
        <v>North</v>
      </c>
      <c r="O850" t="str">
        <f>IFERROR(VLOOKUP(C850,Customers!$A$2:$F$301,5,FALSE),"")</f>
        <v>Retail</v>
      </c>
      <c r="P850">
        <f>IFERROR(VLOOKUP(C850,Customers!$A$2:$F$301,3,FALSE),"")</f>
        <v>65</v>
      </c>
      <c r="Q850" s="41">
        <f t="shared" si="22"/>
        <v>0.5525773195876289</v>
      </c>
      <c r="R850" t="str">
        <f>IFERROR(VLOOKUP(C850,Customers!$A$2:$F$301,1,FALSE),"")</f>
        <v>CUST-0172</v>
      </c>
      <c r="S850" s="27" t="b">
        <f>IFERROR(VLOOKUP(D850,Products!$A$2:$F$61,6,FALSE),"")</f>
        <v>1</v>
      </c>
      <c r="BL850">
        <v>0</v>
      </c>
      <c r="BO850">
        <v>0</v>
      </c>
      <c r="BP850">
        <v>0</v>
      </c>
    </row>
    <row r="851" spans="1:68" x14ac:dyDescent="0.35">
      <c r="A851" s="26" t="str">
        <f>Orders!A851</f>
        <v>ORD-00850</v>
      </c>
      <c r="B851" s="33">
        <f>Orders!B851</f>
        <v>45494</v>
      </c>
      <c r="C851" t="str">
        <f>Orders!C851</f>
        <v>CUST-0205</v>
      </c>
      <c r="D851" t="str">
        <f>Orders!D851</f>
        <v>PROD-022</v>
      </c>
      <c r="E851" t="str">
        <f>Orders!E851</f>
        <v>R008</v>
      </c>
      <c r="F851">
        <f>Orders!F851</f>
        <v>1</v>
      </c>
      <c r="G851" s="35">
        <f>Orders!G851</f>
        <v>2270</v>
      </c>
      <c r="H851" s="37">
        <f>Orders!H851</f>
        <v>15.1</v>
      </c>
      <c r="I851" s="39">
        <f>Orders!I851</f>
        <v>1927.23</v>
      </c>
      <c r="J851" t="str">
        <f>Orders!J851</f>
        <v>Completed</v>
      </c>
      <c r="K851" t="str">
        <f>Orders!K851</f>
        <v>Pune</v>
      </c>
      <c r="L851" t="str">
        <f>IFERROR(VLOOKUP(D851,Products!$A$2:$F$61,3,FALSE),"")</f>
        <v>Grocery</v>
      </c>
      <c r="M851">
        <f>IFERROR(VLOOKUP(D851,Products!$A$2:$F$61,4,FALSE),"")</f>
        <v>1412</v>
      </c>
      <c r="N851" t="str">
        <f>IFERROR(VLOOKUP(E851,Sales_Reps!$A$2:$E$31,3,FALSE),"")</f>
        <v>North</v>
      </c>
      <c r="O851" t="str">
        <f>IFERROR(VLOOKUP(C851,Customers!$A$2:$F$301,5,FALSE),"")</f>
        <v>Corporate</v>
      </c>
      <c r="P851">
        <f>IFERROR(VLOOKUP(C851,Customers!$A$2:$F$301,3,FALSE),"")</f>
        <v>29</v>
      </c>
      <c r="Q851" s="41">
        <f t="shared" si="22"/>
        <v>0.37797356828193834</v>
      </c>
      <c r="R851" t="str">
        <f>IFERROR(VLOOKUP(C851,Customers!$A$2:$F$301,1,FALSE),"")</f>
        <v>CUST-0205</v>
      </c>
      <c r="S851" s="27" t="b">
        <f>IFERROR(VLOOKUP(D851,Products!$A$2:$F$61,6,FALSE),"")</f>
        <v>1</v>
      </c>
      <c r="BL851">
        <v>0</v>
      </c>
      <c r="BO851">
        <v>0</v>
      </c>
      <c r="BP851">
        <v>0</v>
      </c>
    </row>
    <row r="852" spans="1:68" x14ac:dyDescent="0.35">
      <c r="A852" s="26" t="str">
        <f>Orders!A852</f>
        <v>ORD-00851</v>
      </c>
      <c r="B852" s="33">
        <f>Orders!B852</f>
        <v>45324</v>
      </c>
      <c r="C852" t="str">
        <f>Orders!C852</f>
        <v>CUST-0102</v>
      </c>
      <c r="D852" t="str">
        <f>Orders!D852</f>
        <v>PROD-018</v>
      </c>
      <c r="E852" t="str">
        <f>Orders!E852</f>
        <v>R015</v>
      </c>
      <c r="F852">
        <f>Orders!F852</f>
        <v>5</v>
      </c>
      <c r="G852" s="35">
        <f>Orders!G852</f>
        <v>3560</v>
      </c>
      <c r="H852" s="37">
        <f>Orders!H852</f>
        <v>11.5</v>
      </c>
      <c r="I852" s="39">
        <f>Orders!I852</f>
        <v>15753</v>
      </c>
      <c r="J852" t="str">
        <f>Orders!J852</f>
        <v>Completed</v>
      </c>
      <c r="K852" t="str">
        <f>Orders!K852</f>
        <v>Chennai</v>
      </c>
      <c r="L852" t="str">
        <f>IFERROR(VLOOKUP(D852,Products!$A$2:$F$61,3,FALSE),"")</f>
        <v>Apparel</v>
      </c>
      <c r="M852">
        <f>IFERROR(VLOOKUP(D852,Products!$A$2:$F$61,4,FALSE),"")</f>
        <v>2629</v>
      </c>
      <c r="N852" t="str">
        <f>IFERROR(VLOOKUP(E852,Sales_Reps!$A$2:$E$31,3,FALSE),"")</f>
        <v>South</v>
      </c>
      <c r="O852" t="str">
        <f>IFERROR(VLOOKUP(C852,Customers!$A$2:$F$301,5,FALSE),"")</f>
        <v>SMB</v>
      </c>
      <c r="P852">
        <f>IFERROR(VLOOKUP(C852,Customers!$A$2:$F$301,3,FALSE),"")</f>
        <v>62</v>
      </c>
      <c r="Q852" s="41">
        <f t="shared" si="22"/>
        <v>0.26151685393258428</v>
      </c>
      <c r="R852" t="str">
        <f>IFERROR(VLOOKUP(C852,Customers!$A$2:$F$301,1,FALSE),"")</f>
        <v>CUST-0102</v>
      </c>
      <c r="S852" s="27" t="b">
        <f>IFERROR(VLOOKUP(D852,Products!$A$2:$F$61,6,FALSE),"")</f>
        <v>1</v>
      </c>
      <c r="BL852">
        <v>0</v>
      </c>
      <c r="BO852">
        <v>0</v>
      </c>
      <c r="BP852">
        <v>0</v>
      </c>
    </row>
    <row r="853" spans="1:68" x14ac:dyDescent="0.35">
      <c r="A853" s="26" t="str">
        <f>Orders!A853</f>
        <v>ORD-00852</v>
      </c>
      <c r="B853" s="33">
        <f>Orders!B853</f>
        <v>45419</v>
      </c>
      <c r="C853" t="str">
        <f>Orders!C853</f>
        <v>CUST-0142</v>
      </c>
      <c r="D853" t="str">
        <f>Orders!D853</f>
        <v>PROD-052</v>
      </c>
      <c r="E853" t="str">
        <f>Orders!E853</f>
        <v>R010</v>
      </c>
      <c r="F853">
        <f>Orders!F853</f>
        <v>2</v>
      </c>
      <c r="G853" s="35">
        <f>Orders!G853</f>
        <v>5410</v>
      </c>
      <c r="H853" s="37">
        <f>Orders!H853</f>
        <v>14.8</v>
      </c>
      <c r="I853" s="39">
        <f>Orders!I853</f>
        <v>9218.64</v>
      </c>
      <c r="J853" t="str">
        <f>Orders!J853</f>
        <v>Pending</v>
      </c>
      <c r="K853" t="str">
        <f>Orders!K853</f>
        <v>Chennai</v>
      </c>
      <c r="L853" t="str">
        <f>IFERROR(VLOOKUP(D853,Products!$A$2:$F$61,3,FALSE),"")</f>
        <v>Sports</v>
      </c>
      <c r="M853">
        <f>IFERROR(VLOOKUP(D853,Products!$A$2:$F$61,4,FALSE),"")</f>
        <v>2265</v>
      </c>
      <c r="N853" t="str">
        <f>IFERROR(VLOOKUP(E853,Sales_Reps!$A$2:$E$31,3,FALSE),"")</f>
        <v>South</v>
      </c>
      <c r="O853" t="str">
        <f>IFERROR(VLOOKUP(C853,Customers!$A$2:$F$301,5,FALSE),"")</f>
        <v>Corporate</v>
      </c>
      <c r="P853">
        <f>IFERROR(VLOOKUP(C853,Customers!$A$2:$F$301,3,FALSE),"")</f>
        <v>55</v>
      </c>
      <c r="Q853" s="41">
        <f t="shared" si="22"/>
        <v>0.58133086876155271</v>
      </c>
      <c r="R853" t="str">
        <f>IFERROR(VLOOKUP(C853,Customers!$A$2:$F$301,1,FALSE),"")</f>
        <v>CUST-0142</v>
      </c>
      <c r="S853" s="27" t="b">
        <f>IFERROR(VLOOKUP(D853,Products!$A$2:$F$61,6,FALSE),"")</f>
        <v>1</v>
      </c>
      <c r="BL853">
        <v>0</v>
      </c>
      <c r="BO853">
        <v>0</v>
      </c>
      <c r="BP853">
        <v>0</v>
      </c>
    </row>
    <row r="854" spans="1:68" x14ac:dyDescent="0.35">
      <c r="A854" s="26" t="str">
        <f>Orders!A854</f>
        <v>ORD-00853</v>
      </c>
      <c r="B854" s="33">
        <f>Orders!B854</f>
        <v>45656</v>
      </c>
      <c r="C854" t="str">
        <f>Orders!C854</f>
        <v>CUST-0195</v>
      </c>
      <c r="D854" t="str">
        <f>Orders!D854</f>
        <v>PROD-019</v>
      </c>
      <c r="E854" t="str">
        <f>Orders!E854</f>
        <v>R006</v>
      </c>
      <c r="F854">
        <f>Orders!F854</f>
        <v>2</v>
      </c>
      <c r="G854" s="35">
        <f>Orders!G854</f>
        <v>2480</v>
      </c>
      <c r="H854" s="37">
        <f>Orders!H854</f>
        <v>27.2</v>
      </c>
      <c r="I854" s="39">
        <f>Orders!I854</f>
        <v>3610.88</v>
      </c>
      <c r="J854" t="str">
        <f>Orders!J854</f>
        <v>Completed</v>
      </c>
      <c r="K854" t="str">
        <f>Orders!K854</f>
        <v>Bengaluru</v>
      </c>
      <c r="L854" t="str">
        <f>IFERROR(VLOOKUP(D854,Products!$A$2:$F$61,3,FALSE),"")</f>
        <v>Apparel</v>
      </c>
      <c r="M854">
        <f>IFERROR(VLOOKUP(D854,Products!$A$2:$F$61,4,FALSE),"")</f>
        <v>1173</v>
      </c>
      <c r="N854" t="str">
        <f>IFERROR(VLOOKUP(E854,Sales_Reps!$A$2:$E$31,3,FALSE),"")</f>
        <v>North</v>
      </c>
      <c r="O854" t="str">
        <f>IFERROR(VLOOKUP(C854,Customers!$A$2:$F$301,5,FALSE),"")</f>
        <v>Retail</v>
      </c>
      <c r="P854">
        <f>IFERROR(VLOOKUP(C854,Customers!$A$2:$F$301,3,FALSE),"")</f>
        <v>28</v>
      </c>
      <c r="Q854" s="41">
        <f t="shared" si="22"/>
        <v>0.52701612903225803</v>
      </c>
      <c r="R854" t="str">
        <f>IFERROR(VLOOKUP(C854,Customers!$A$2:$F$301,1,FALSE),"")</f>
        <v>CUST-0195</v>
      </c>
      <c r="S854" s="27" t="b">
        <f>IFERROR(VLOOKUP(D854,Products!$A$2:$F$61,6,FALSE),"")</f>
        <v>1</v>
      </c>
      <c r="BL854">
        <v>0</v>
      </c>
      <c r="BO854">
        <v>0</v>
      </c>
      <c r="BP854">
        <v>0</v>
      </c>
    </row>
    <row r="855" spans="1:68" x14ac:dyDescent="0.35">
      <c r="A855" s="26" t="str">
        <f>Orders!A855</f>
        <v>ORD-00854</v>
      </c>
      <c r="B855" s="33">
        <f>Orders!B855</f>
        <v>45350</v>
      </c>
      <c r="C855" t="str">
        <f>Orders!C855</f>
        <v>CUST-0125</v>
      </c>
      <c r="D855" t="str">
        <f>Orders!D855</f>
        <v>PROD-020</v>
      </c>
      <c r="E855" t="str">
        <f>Orders!E855</f>
        <v>R014</v>
      </c>
      <c r="F855">
        <f>Orders!F855</f>
        <v>6</v>
      </c>
      <c r="G855" s="35">
        <f>Orders!G855</f>
        <v>820</v>
      </c>
      <c r="H855" s="37">
        <f>Orders!H855</f>
        <v>6.6</v>
      </c>
      <c r="I855" s="39">
        <f>Orders!I855</f>
        <v>4595.28</v>
      </c>
      <c r="J855" t="str">
        <f>Orders!J855</f>
        <v>Completed</v>
      </c>
      <c r="K855" t="str">
        <f>Orders!K855</f>
        <v>Delhi</v>
      </c>
      <c r="L855" t="str">
        <f>IFERROR(VLOOKUP(D855,Products!$A$2:$F$61,3,FALSE),"")</f>
        <v>Apparel</v>
      </c>
      <c r="M855">
        <f>IFERROR(VLOOKUP(D855,Products!$A$2:$F$61,4,FALSE),"")</f>
        <v>391</v>
      </c>
      <c r="N855" t="str">
        <f>IFERROR(VLOOKUP(E855,Sales_Reps!$A$2:$E$31,3,FALSE),"")</f>
        <v>South</v>
      </c>
      <c r="O855" t="str">
        <f>IFERROR(VLOOKUP(C855,Customers!$A$2:$F$301,5,FALSE),"")</f>
        <v>Retail</v>
      </c>
      <c r="P855">
        <f>IFERROR(VLOOKUP(C855,Customers!$A$2:$F$301,3,FALSE),"")</f>
        <v>45</v>
      </c>
      <c r="Q855" s="41">
        <f t="shared" si="22"/>
        <v>0.52317073170731709</v>
      </c>
      <c r="R855" t="str">
        <f>IFERROR(VLOOKUP(C855,Customers!$A$2:$F$301,1,FALSE),"")</f>
        <v>CUST-0125</v>
      </c>
      <c r="S855" s="27" t="b">
        <f>IFERROR(VLOOKUP(D855,Products!$A$2:$F$61,6,FALSE),"")</f>
        <v>1</v>
      </c>
      <c r="BL855">
        <v>0</v>
      </c>
      <c r="BO855">
        <v>0</v>
      </c>
      <c r="BP855">
        <v>0</v>
      </c>
    </row>
    <row r="856" spans="1:68" x14ac:dyDescent="0.35">
      <c r="A856" s="26" t="str">
        <f>Orders!A856</f>
        <v>ORD-00855</v>
      </c>
      <c r="B856" s="33">
        <f>Orders!B856</f>
        <v>45434</v>
      </c>
      <c r="C856" t="str">
        <f>Orders!C856</f>
        <v>CUST-0234</v>
      </c>
      <c r="D856" t="str">
        <f>Orders!D856</f>
        <v>PROD-001</v>
      </c>
      <c r="E856" t="str">
        <f>Orders!E856</f>
        <v>R015</v>
      </c>
      <c r="F856">
        <f>Orders!F856</f>
        <v>10</v>
      </c>
      <c r="G856" s="35">
        <f>Orders!G856</f>
        <v>5330</v>
      </c>
      <c r="H856" s="37">
        <f>Orders!H856</f>
        <v>16.100000000000001</v>
      </c>
      <c r="I856" s="39">
        <f>Orders!I856</f>
        <v>44718.7</v>
      </c>
      <c r="J856" t="str">
        <f>Orders!J856</f>
        <v>Completed</v>
      </c>
      <c r="K856" t="str">
        <f>Orders!K856</f>
        <v>Bengaluru</v>
      </c>
      <c r="L856" t="str">
        <f>IFERROR(VLOOKUP(D856,Products!$A$2:$F$61,3,FALSE),"")</f>
        <v>Electronics</v>
      </c>
      <c r="M856">
        <f>IFERROR(VLOOKUP(D856,Products!$A$2:$F$61,4,FALSE),"")</f>
        <v>2405</v>
      </c>
      <c r="N856" t="str">
        <f>IFERROR(VLOOKUP(E856,Sales_Reps!$A$2:$E$31,3,FALSE),"")</f>
        <v>South</v>
      </c>
      <c r="O856" t="str">
        <f>IFERROR(VLOOKUP(C856,Customers!$A$2:$F$301,5,FALSE),"")</f>
        <v>Retail</v>
      </c>
      <c r="P856">
        <f>IFERROR(VLOOKUP(C856,Customers!$A$2:$F$301,3,FALSE),"")</f>
        <v>34</v>
      </c>
      <c r="Q856" s="41">
        <f t="shared" si="22"/>
        <v>0.54878048780487809</v>
      </c>
      <c r="R856" t="str">
        <f>IFERROR(VLOOKUP(C856,Customers!$A$2:$F$301,1,FALSE),"")</f>
        <v>CUST-0234</v>
      </c>
      <c r="S856" s="27" t="b">
        <f>IFERROR(VLOOKUP(D856,Products!$A$2:$F$61,6,FALSE),"")</f>
        <v>1</v>
      </c>
      <c r="BL856">
        <v>0</v>
      </c>
      <c r="BO856">
        <v>0</v>
      </c>
      <c r="BP856">
        <v>0</v>
      </c>
    </row>
    <row r="857" spans="1:68" x14ac:dyDescent="0.35">
      <c r="A857" s="26" t="str">
        <f>Orders!A857</f>
        <v>ORD-00856</v>
      </c>
      <c r="B857" s="33">
        <f>Orders!B857</f>
        <v>45438</v>
      </c>
      <c r="C857" t="str">
        <f>Orders!C857</f>
        <v>CUST-0061</v>
      </c>
      <c r="D857" t="str">
        <f>Orders!D857</f>
        <v>PROD-047</v>
      </c>
      <c r="E857" t="str">
        <f>Orders!E857</f>
        <v>R004</v>
      </c>
      <c r="F857">
        <f>Orders!F857</f>
        <v>2</v>
      </c>
      <c r="G857" s="35">
        <f>Orders!G857</f>
        <v>3450</v>
      </c>
      <c r="H857" s="37">
        <f>Orders!H857</f>
        <v>11.3</v>
      </c>
      <c r="I857" s="39">
        <f>Orders!I857</f>
        <v>6120.3</v>
      </c>
      <c r="J857" t="str">
        <f>Orders!J857</f>
        <v>Pending</v>
      </c>
      <c r="K857" t="str">
        <f>Orders!K857</f>
        <v>Hyderabad</v>
      </c>
      <c r="L857" t="str">
        <f>IFERROR(VLOOKUP(D857,Products!$A$2:$F$61,3,FALSE),"")</f>
        <v>Beauty</v>
      </c>
      <c r="M857">
        <f>IFERROR(VLOOKUP(D857,Products!$A$2:$F$61,4,FALSE),"")</f>
        <v>2420</v>
      </c>
      <c r="N857" t="str">
        <f>IFERROR(VLOOKUP(E857,Sales_Reps!$A$2:$E$31,3,FALSE),"")</f>
        <v>North</v>
      </c>
      <c r="O857" t="str">
        <f>IFERROR(VLOOKUP(C857,Customers!$A$2:$F$301,5,FALSE),"")</f>
        <v>Retail</v>
      </c>
      <c r="P857">
        <f>IFERROR(VLOOKUP(C857,Customers!$A$2:$F$301,3,FALSE),"")</f>
        <v>64</v>
      </c>
      <c r="Q857" s="41">
        <f t="shared" si="22"/>
        <v>0.29855072463768118</v>
      </c>
      <c r="R857" t="str">
        <f>IFERROR(VLOOKUP(C857,Customers!$A$2:$F$301,1,FALSE),"")</f>
        <v>CUST-0061</v>
      </c>
      <c r="S857" s="27" t="b">
        <f>IFERROR(VLOOKUP(D857,Products!$A$2:$F$61,6,FALSE),"")</f>
        <v>1</v>
      </c>
      <c r="BL857">
        <v>0</v>
      </c>
      <c r="BO857">
        <v>0</v>
      </c>
      <c r="BP857">
        <v>0</v>
      </c>
    </row>
    <row r="858" spans="1:68" x14ac:dyDescent="0.35">
      <c r="A858" s="26" t="str">
        <f>Orders!A858</f>
        <v>ORD-00857</v>
      </c>
      <c r="B858" s="33">
        <f>Orders!B858</f>
        <v>45486</v>
      </c>
      <c r="C858" t="str">
        <f>Orders!C858</f>
        <v>CUST-0189</v>
      </c>
      <c r="D858" t="str">
        <f>Orders!D858</f>
        <v>PROD-049</v>
      </c>
      <c r="E858" t="str">
        <f>Orders!E858</f>
        <v>R023</v>
      </c>
      <c r="F858">
        <f>Orders!F858</f>
        <v>7</v>
      </c>
      <c r="G858" s="35">
        <f>Orders!G858</f>
        <v>960</v>
      </c>
      <c r="H858" s="37">
        <f>Orders!H858</f>
        <v>17.100000000000001</v>
      </c>
      <c r="I858" s="39">
        <f>Orders!I858</f>
        <v>5570.88</v>
      </c>
      <c r="J858" t="str">
        <f>Orders!J858</f>
        <v>Completed</v>
      </c>
      <c r="K858" t="str">
        <f>Orders!K858</f>
        <v>Chennai</v>
      </c>
      <c r="L858" t="str">
        <f>IFERROR(VLOOKUP(D858,Products!$A$2:$F$61,3,FALSE),"")</f>
        <v>Beauty</v>
      </c>
      <c r="M858">
        <f>IFERROR(VLOOKUP(D858,Products!$A$2:$F$61,4,FALSE),"")</f>
        <v>675</v>
      </c>
      <c r="N858" t="str">
        <f>IFERROR(VLOOKUP(E858,Sales_Reps!$A$2:$E$31,3,FALSE),"")</f>
        <v>East</v>
      </c>
      <c r="O858" t="str">
        <f>IFERROR(VLOOKUP(C858,Customers!$A$2:$F$301,5,FALSE),"")</f>
        <v>Retail</v>
      </c>
      <c r="P858">
        <f>IFERROR(VLOOKUP(C858,Customers!$A$2:$F$301,3,FALSE),"")</f>
        <v>41</v>
      </c>
      <c r="Q858" s="41">
        <f t="shared" si="22"/>
        <v>0.296875</v>
      </c>
      <c r="R858" t="str">
        <f>IFERROR(VLOOKUP(C858,Customers!$A$2:$F$301,1,FALSE),"")</f>
        <v>CUST-0189</v>
      </c>
      <c r="S858" s="27" t="b">
        <f>IFERROR(VLOOKUP(D858,Products!$A$2:$F$61,6,FALSE),"")</f>
        <v>1</v>
      </c>
      <c r="BL858">
        <v>0</v>
      </c>
      <c r="BO858">
        <v>0</v>
      </c>
      <c r="BP858">
        <v>0</v>
      </c>
    </row>
    <row r="859" spans="1:68" x14ac:dyDescent="0.35">
      <c r="A859" s="26" t="str">
        <f>Orders!A859</f>
        <v>ORD-00858</v>
      </c>
      <c r="B859" s="33">
        <f>Orders!B859</f>
        <v>45623</v>
      </c>
      <c r="C859" t="str">
        <f>Orders!C859</f>
        <v>CUST-0191</v>
      </c>
      <c r="D859" t="str">
        <f>Orders!D859</f>
        <v>PROD-011</v>
      </c>
      <c r="E859" t="str">
        <f>Orders!E859</f>
        <v>R003</v>
      </c>
      <c r="F859">
        <f>Orders!F859</f>
        <v>5</v>
      </c>
      <c r="G859" s="35">
        <f>Orders!G859</f>
        <v>3450</v>
      </c>
      <c r="H859" s="37">
        <f>Orders!H859</f>
        <v>22.9</v>
      </c>
      <c r="I859" s="39">
        <f>Orders!I859</f>
        <v>13299.75</v>
      </c>
      <c r="J859" t="str">
        <f>Orders!J859</f>
        <v>Completed</v>
      </c>
      <c r="K859" t="str">
        <f>Orders!K859</f>
        <v>Hyderabad</v>
      </c>
      <c r="L859" t="str">
        <f>IFERROR(VLOOKUP(D859,Products!$A$2:$F$61,3,FALSE),"")</f>
        <v>Apparel</v>
      </c>
      <c r="M859">
        <f>IFERROR(VLOOKUP(D859,Products!$A$2:$F$61,4,FALSE),"")</f>
        <v>1748</v>
      </c>
      <c r="N859" t="str">
        <f>IFERROR(VLOOKUP(E859,Sales_Reps!$A$2:$E$31,3,FALSE),"")</f>
        <v>North</v>
      </c>
      <c r="O859" t="str">
        <f>IFERROR(VLOOKUP(C859,Customers!$A$2:$F$301,5,FALSE),"")</f>
        <v>SMB</v>
      </c>
      <c r="P859">
        <f>IFERROR(VLOOKUP(C859,Customers!$A$2:$F$301,3,FALSE),"")</f>
        <v>43</v>
      </c>
      <c r="Q859" s="41">
        <f t="shared" si="22"/>
        <v>0.49333333333333335</v>
      </c>
      <c r="R859" t="str">
        <f>IFERROR(VLOOKUP(C859,Customers!$A$2:$F$301,1,FALSE),"")</f>
        <v>CUST-0191</v>
      </c>
      <c r="S859" s="27" t="b">
        <f>IFERROR(VLOOKUP(D859,Products!$A$2:$F$61,6,FALSE),"")</f>
        <v>1</v>
      </c>
      <c r="BL859">
        <v>0</v>
      </c>
      <c r="BO859">
        <v>0</v>
      </c>
      <c r="BP859">
        <v>0</v>
      </c>
    </row>
    <row r="860" spans="1:68" x14ac:dyDescent="0.35">
      <c r="A860" s="26" t="str">
        <f>Orders!A860</f>
        <v>ORD-00859</v>
      </c>
      <c r="B860" s="33">
        <f>Orders!B860</f>
        <v>45634</v>
      </c>
      <c r="C860" t="str">
        <f>Orders!C860</f>
        <v>CUST-0217</v>
      </c>
      <c r="D860" t="str">
        <f>Orders!D860</f>
        <v>PROD-009</v>
      </c>
      <c r="E860" t="str">
        <f>Orders!E860</f>
        <v>R008</v>
      </c>
      <c r="F860">
        <f>Orders!F860</f>
        <v>5</v>
      </c>
      <c r="G860" s="35">
        <f>Orders!G860</f>
        <v>1220</v>
      </c>
      <c r="H860" s="37">
        <f>Orders!H860</f>
        <v>0.3</v>
      </c>
      <c r="I860" s="39">
        <f>Orders!I860</f>
        <v>6081.7</v>
      </c>
      <c r="J860" t="str">
        <f>Orders!J860</f>
        <v>Completed</v>
      </c>
      <c r="K860" t="str">
        <f>Orders!K860</f>
        <v>Pune</v>
      </c>
      <c r="L860" t="str">
        <f>IFERROR(VLOOKUP(D860,Products!$A$2:$F$61,3,FALSE),"")</f>
        <v>Electronics</v>
      </c>
      <c r="M860">
        <f>IFERROR(VLOOKUP(D860,Products!$A$2:$F$61,4,FALSE),"")</f>
        <v>517</v>
      </c>
      <c r="N860" t="str">
        <f>IFERROR(VLOOKUP(E860,Sales_Reps!$A$2:$E$31,3,FALSE),"")</f>
        <v>North</v>
      </c>
      <c r="O860" t="str">
        <f>IFERROR(VLOOKUP(C860,Customers!$A$2:$F$301,5,FALSE),"")</f>
        <v>SMB</v>
      </c>
      <c r="P860">
        <f>IFERROR(VLOOKUP(C860,Customers!$A$2:$F$301,3,FALSE),"")</f>
        <v>59</v>
      </c>
      <c r="Q860" s="41">
        <f t="shared" si="22"/>
        <v>0.57622950819672136</v>
      </c>
      <c r="R860" t="str">
        <f>IFERROR(VLOOKUP(C860,Customers!$A$2:$F$301,1,FALSE),"")</f>
        <v>CUST-0217</v>
      </c>
      <c r="S860" s="27" t="b">
        <f>IFERROR(VLOOKUP(D860,Products!$A$2:$F$61,6,FALSE),"")</f>
        <v>1</v>
      </c>
      <c r="BL860">
        <v>0</v>
      </c>
      <c r="BO860">
        <v>0</v>
      </c>
      <c r="BP860">
        <v>0</v>
      </c>
    </row>
    <row r="861" spans="1:68" x14ac:dyDescent="0.35">
      <c r="A861" s="26" t="str">
        <f>Orders!A861</f>
        <v>ORD-00860</v>
      </c>
      <c r="B861" s="33">
        <f>Orders!B861</f>
        <v>45308</v>
      </c>
      <c r="C861" t="str">
        <f>Orders!C861</f>
        <v>CUST-0060</v>
      </c>
      <c r="D861" t="str">
        <f>Orders!D861</f>
        <v>PROD-001</v>
      </c>
      <c r="E861" t="str">
        <f>Orders!E861</f>
        <v>R007</v>
      </c>
      <c r="F861">
        <f>Orders!F861</f>
        <v>5</v>
      </c>
      <c r="G861" s="35">
        <f>Orders!G861</f>
        <v>5330</v>
      </c>
      <c r="H861" s="37">
        <f>Orders!H861</f>
        <v>29</v>
      </c>
      <c r="I861" s="39">
        <f>Orders!I861</f>
        <v>18921.5</v>
      </c>
      <c r="J861" t="str">
        <f>Orders!J861</f>
        <v>Completed</v>
      </c>
      <c r="K861" t="str">
        <f>Orders!K861</f>
        <v>Pune</v>
      </c>
      <c r="L861" t="str">
        <f>IFERROR(VLOOKUP(D861,Products!$A$2:$F$61,3,FALSE),"")</f>
        <v>Electronics</v>
      </c>
      <c r="M861">
        <f>IFERROR(VLOOKUP(D861,Products!$A$2:$F$61,4,FALSE),"")</f>
        <v>2405</v>
      </c>
      <c r="N861" t="str">
        <f>IFERROR(VLOOKUP(E861,Sales_Reps!$A$2:$E$31,3,FALSE),"")</f>
        <v>North</v>
      </c>
      <c r="O861" t="str">
        <f>IFERROR(VLOOKUP(C861,Customers!$A$2:$F$301,5,FALSE),"")</f>
        <v>Retail</v>
      </c>
      <c r="P861">
        <f>IFERROR(VLOOKUP(C861,Customers!$A$2:$F$301,3,FALSE),"")</f>
        <v>39</v>
      </c>
      <c r="Q861" s="41">
        <f t="shared" si="22"/>
        <v>0.54878048780487809</v>
      </c>
      <c r="R861" t="str">
        <f>IFERROR(VLOOKUP(C861,Customers!$A$2:$F$301,1,FALSE),"")</f>
        <v>CUST-0060</v>
      </c>
      <c r="S861" s="27" t="b">
        <f>IFERROR(VLOOKUP(D861,Products!$A$2:$F$61,6,FALSE),"")</f>
        <v>1</v>
      </c>
      <c r="BL861">
        <v>0</v>
      </c>
      <c r="BO861">
        <v>0</v>
      </c>
      <c r="BP861">
        <v>0</v>
      </c>
    </row>
    <row r="862" spans="1:68" x14ac:dyDescent="0.35">
      <c r="A862" s="26" t="str">
        <f>Orders!A862</f>
        <v>ORD-00861</v>
      </c>
      <c r="B862" s="33">
        <f>Orders!B862</f>
        <v>45641</v>
      </c>
      <c r="C862" t="str">
        <f>Orders!C862</f>
        <v>CUST-0270</v>
      </c>
      <c r="D862" t="str">
        <f>Orders!D862</f>
        <v>PROD-003</v>
      </c>
      <c r="E862" t="str">
        <f>Orders!E862</f>
        <v>R028</v>
      </c>
      <c r="F862">
        <f>Orders!F862</f>
        <v>3</v>
      </c>
      <c r="G862" s="35">
        <f>Orders!G862</f>
        <v>3570</v>
      </c>
      <c r="H862" s="37">
        <f>Orders!H862</f>
        <v>20</v>
      </c>
      <c r="I862" s="39">
        <f>Orders!I862</f>
        <v>8568</v>
      </c>
      <c r="J862" t="str">
        <f>Orders!J862</f>
        <v>Cancelled</v>
      </c>
      <c r="K862" t="str">
        <f>Orders!K862</f>
        <v>Bengaluru</v>
      </c>
      <c r="L862" t="str">
        <f>IFERROR(VLOOKUP(D862,Products!$A$2:$F$61,3,FALSE),"")</f>
        <v>Electronics</v>
      </c>
      <c r="M862">
        <f>IFERROR(VLOOKUP(D862,Products!$A$2:$F$61,4,FALSE),"")</f>
        <v>1665</v>
      </c>
      <c r="N862" t="str">
        <f>IFERROR(VLOOKUP(E862,Sales_Reps!$A$2:$E$31,3,FALSE),"")</f>
        <v>West</v>
      </c>
      <c r="O862" t="str">
        <f>IFERROR(VLOOKUP(C862,Customers!$A$2:$F$301,5,FALSE),"")</f>
        <v>Retail</v>
      </c>
      <c r="P862">
        <f>IFERROR(VLOOKUP(C862,Customers!$A$2:$F$301,3,FALSE),"")</f>
        <v>29</v>
      </c>
      <c r="Q862" s="41">
        <f t="shared" si="22"/>
        <v>0.53361344537815125</v>
      </c>
      <c r="R862" t="str">
        <f>IFERROR(VLOOKUP(C862,Customers!$A$2:$F$301,1,FALSE),"")</f>
        <v>CUST-0270</v>
      </c>
      <c r="S862" s="27" t="b">
        <f>IFERROR(VLOOKUP(D862,Products!$A$2:$F$61,6,FALSE),"")</f>
        <v>1</v>
      </c>
      <c r="BL862">
        <v>0</v>
      </c>
      <c r="BO862">
        <v>0</v>
      </c>
      <c r="BP862">
        <v>0</v>
      </c>
    </row>
    <row r="863" spans="1:68" x14ac:dyDescent="0.35">
      <c r="A863" s="26" t="str">
        <f>Orders!A863</f>
        <v>ORD-00862</v>
      </c>
      <c r="B863" s="33">
        <f>Orders!B863</f>
        <v>45396</v>
      </c>
      <c r="C863" t="str">
        <f>Orders!C863</f>
        <v>CUST-0279</v>
      </c>
      <c r="D863" t="str">
        <f>Orders!D863</f>
        <v>PROD-029</v>
      </c>
      <c r="E863" t="str">
        <f>Orders!E863</f>
        <v>R026</v>
      </c>
      <c r="F863">
        <f>Orders!F863</f>
        <v>9</v>
      </c>
      <c r="G863" s="35">
        <f>Orders!G863</f>
        <v>2210</v>
      </c>
      <c r="H863" s="37">
        <f>Orders!H863</f>
        <v>12.4</v>
      </c>
      <c r="I863" s="39">
        <f>Orders!I863</f>
        <v>17423.64</v>
      </c>
      <c r="J863" t="str">
        <f>Orders!J863</f>
        <v>Completed</v>
      </c>
      <c r="K863" t="str">
        <f>Orders!K863</f>
        <v>Mumbai</v>
      </c>
      <c r="L863" t="str">
        <f>IFERROR(VLOOKUP(D863,Products!$A$2:$F$61,3,FALSE),"")</f>
        <v>Grocery</v>
      </c>
      <c r="M863">
        <f>IFERROR(VLOOKUP(D863,Products!$A$2:$F$61,4,FALSE),"")</f>
        <v>1010</v>
      </c>
      <c r="N863" t="str">
        <f>IFERROR(VLOOKUP(E863,Sales_Reps!$A$2:$E$31,3,FALSE),"")</f>
        <v>West</v>
      </c>
      <c r="O863" t="str">
        <f>IFERROR(VLOOKUP(C863,Customers!$A$2:$F$301,5,FALSE),"")</f>
        <v>Retail</v>
      </c>
      <c r="P863">
        <f>IFERROR(VLOOKUP(C863,Customers!$A$2:$F$301,3,FALSE),"")</f>
        <v>56</v>
      </c>
      <c r="Q863" s="41">
        <f t="shared" si="22"/>
        <v>0.54298642533936647</v>
      </c>
      <c r="R863" t="str">
        <f>IFERROR(VLOOKUP(C863,Customers!$A$2:$F$301,1,FALSE),"")</f>
        <v>CUST-0279</v>
      </c>
      <c r="S863" s="27" t="b">
        <f>IFERROR(VLOOKUP(D863,Products!$A$2:$F$61,6,FALSE),"")</f>
        <v>1</v>
      </c>
      <c r="BL863">
        <v>0</v>
      </c>
      <c r="BO863">
        <v>0</v>
      </c>
      <c r="BP863">
        <v>0</v>
      </c>
    </row>
    <row r="864" spans="1:68" x14ac:dyDescent="0.35">
      <c r="A864" s="26" t="str">
        <f>Orders!A864</f>
        <v>ORD-00863</v>
      </c>
      <c r="B864" s="33">
        <f>Orders!B864</f>
        <v>45302</v>
      </c>
      <c r="C864" t="str">
        <f>Orders!C864</f>
        <v>CUST-0008</v>
      </c>
      <c r="D864" t="str">
        <f>Orders!D864</f>
        <v>PROD-059</v>
      </c>
      <c r="E864" t="str">
        <f>Orders!E864</f>
        <v>R029</v>
      </c>
      <c r="F864">
        <f>Orders!F864</f>
        <v>5</v>
      </c>
      <c r="G864" s="35">
        <f>Orders!G864</f>
        <v>3780</v>
      </c>
      <c r="H864" s="37">
        <f>Orders!H864</f>
        <v>3.9</v>
      </c>
      <c r="I864" s="39">
        <f>Orders!I864</f>
        <v>18162.900000000001</v>
      </c>
      <c r="J864" t="str">
        <f>Orders!J864</f>
        <v>Completed</v>
      </c>
      <c r="K864" t="str">
        <f>Orders!K864</f>
        <v>Pune</v>
      </c>
      <c r="L864" t="str">
        <f>IFERROR(VLOOKUP(D864,Products!$A$2:$F$61,3,FALSE),"")</f>
        <v>Sports</v>
      </c>
      <c r="M864">
        <f>IFERROR(VLOOKUP(D864,Products!$A$2:$F$61,4,FALSE),"")</f>
        <v>1860</v>
      </c>
      <c r="N864" t="str">
        <f>IFERROR(VLOOKUP(E864,Sales_Reps!$A$2:$E$31,3,FALSE),"")</f>
        <v>West</v>
      </c>
      <c r="O864" t="str">
        <f>IFERROR(VLOOKUP(C864,Customers!$A$2:$F$301,5,FALSE),"")</f>
        <v>SMB</v>
      </c>
      <c r="P864">
        <f>IFERROR(VLOOKUP(C864,Customers!$A$2:$F$301,3,FALSE),"")</f>
        <v>39</v>
      </c>
      <c r="Q864" s="41">
        <f t="shared" si="22"/>
        <v>0.50793650793650791</v>
      </c>
      <c r="R864" t="str">
        <f>IFERROR(VLOOKUP(C864,Customers!$A$2:$F$301,1,FALSE),"")</f>
        <v>CUST-0008</v>
      </c>
      <c r="S864" s="27" t="b">
        <f>IFERROR(VLOOKUP(D864,Products!$A$2:$F$61,6,FALSE),"")</f>
        <v>1</v>
      </c>
      <c r="BL864">
        <v>0</v>
      </c>
      <c r="BO864">
        <v>0</v>
      </c>
      <c r="BP864">
        <v>0</v>
      </c>
    </row>
    <row r="865" spans="1:68" x14ac:dyDescent="0.35">
      <c r="A865" s="26" t="str">
        <f>Orders!A865</f>
        <v>ORD-00864</v>
      </c>
      <c r="B865" s="33">
        <f>Orders!B865</f>
        <v>45626</v>
      </c>
      <c r="C865" t="str">
        <f>Orders!C865</f>
        <v>CUST-0259</v>
      </c>
      <c r="D865" t="str">
        <f>Orders!D865</f>
        <v>PROD-010</v>
      </c>
      <c r="E865" t="str">
        <f>Orders!E865</f>
        <v>R008</v>
      </c>
      <c r="F865">
        <f>Orders!F865</f>
        <v>10</v>
      </c>
      <c r="G865" s="35">
        <f>Orders!G865</f>
        <v>2640</v>
      </c>
      <c r="H865" s="37">
        <f>Orders!H865</f>
        <v>17.8</v>
      </c>
      <c r="I865" s="39">
        <f>Orders!I865</f>
        <v>21700.799999999999</v>
      </c>
      <c r="J865" t="str">
        <f>Orders!J865</f>
        <v>Refunded</v>
      </c>
      <c r="K865" t="str">
        <f>Orders!K865</f>
        <v>Mumbai</v>
      </c>
      <c r="L865" t="str">
        <f>IFERROR(VLOOKUP(D865,Products!$A$2:$F$61,3,FALSE),"")</f>
        <v>Electronics</v>
      </c>
      <c r="M865">
        <f>IFERROR(VLOOKUP(D865,Products!$A$2:$F$61,4,FALSE),"")</f>
        <v>1149</v>
      </c>
      <c r="N865" t="str">
        <f>IFERROR(VLOOKUP(E865,Sales_Reps!$A$2:$E$31,3,FALSE),"")</f>
        <v>North</v>
      </c>
      <c r="O865" t="str">
        <f>IFERROR(VLOOKUP(C865,Customers!$A$2:$F$301,5,FALSE),"")</f>
        <v>Retail</v>
      </c>
      <c r="P865">
        <f>IFERROR(VLOOKUP(C865,Customers!$A$2:$F$301,3,FALSE),"")</f>
        <v>34</v>
      </c>
      <c r="Q865" s="41">
        <f t="shared" si="22"/>
        <v>0.56477272727272732</v>
      </c>
      <c r="R865" t="str">
        <f>IFERROR(VLOOKUP(C865,Customers!$A$2:$F$301,1,FALSE),"")</f>
        <v>CUST-0259</v>
      </c>
      <c r="S865" s="27" t="b">
        <f>IFERROR(VLOOKUP(D865,Products!$A$2:$F$61,6,FALSE),"")</f>
        <v>1</v>
      </c>
      <c r="BL865">
        <v>0</v>
      </c>
      <c r="BO865">
        <v>0</v>
      </c>
      <c r="BP865">
        <v>0</v>
      </c>
    </row>
    <row r="866" spans="1:68" x14ac:dyDescent="0.35">
      <c r="A866" s="26" t="str">
        <f>Orders!A866</f>
        <v>ORD-00865</v>
      </c>
      <c r="B866" s="33">
        <f>Orders!B866</f>
        <v>45352</v>
      </c>
      <c r="C866" t="str">
        <f>Orders!C866</f>
        <v>CUST-0169</v>
      </c>
      <c r="D866" t="str">
        <f>Orders!D866</f>
        <v>PROD-005</v>
      </c>
      <c r="E866" t="str">
        <f>Orders!E866</f>
        <v>R024</v>
      </c>
      <c r="F866">
        <f>Orders!F866</f>
        <v>5</v>
      </c>
      <c r="G866" s="35">
        <f>Orders!G866</f>
        <v>300</v>
      </c>
      <c r="H866" s="37">
        <f>Orders!H866</f>
        <v>12.9</v>
      </c>
      <c r="I866" s="39">
        <f>Orders!I866</f>
        <v>1306.5</v>
      </c>
      <c r="J866" t="str">
        <f>Orders!J866</f>
        <v>Completed</v>
      </c>
      <c r="K866" t="str">
        <f>Orders!K866</f>
        <v>Bengaluru</v>
      </c>
      <c r="L866" t="str">
        <f>IFERROR(VLOOKUP(D866,Products!$A$2:$F$61,3,FALSE),"")</f>
        <v>Electronics</v>
      </c>
      <c r="M866">
        <f>IFERROR(VLOOKUP(D866,Products!$A$2:$F$61,4,FALSE),"")</f>
        <v>128</v>
      </c>
      <c r="N866" t="str">
        <f>IFERROR(VLOOKUP(E866,Sales_Reps!$A$2:$E$31,3,FALSE),"")</f>
        <v>West</v>
      </c>
      <c r="O866" t="str">
        <f>IFERROR(VLOOKUP(C866,Customers!$A$2:$F$301,5,FALSE),"")</f>
        <v>SMB</v>
      </c>
      <c r="P866">
        <f>IFERROR(VLOOKUP(C866,Customers!$A$2:$F$301,3,FALSE),"")</f>
        <v>42</v>
      </c>
      <c r="Q866" s="41">
        <f t="shared" si="22"/>
        <v>0.57333333333333336</v>
      </c>
      <c r="R866" t="str">
        <f>IFERROR(VLOOKUP(C866,Customers!$A$2:$F$301,1,FALSE),"")</f>
        <v>CUST-0169</v>
      </c>
      <c r="S866" s="27" t="b">
        <f>IFERROR(VLOOKUP(D866,Products!$A$2:$F$61,6,FALSE),"")</f>
        <v>1</v>
      </c>
      <c r="BL866">
        <v>0</v>
      </c>
      <c r="BO866">
        <v>0</v>
      </c>
      <c r="BP866">
        <v>0</v>
      </c>
    </row>
    <row r="867" spans="1:68" x14ac:dyDescent="0.35">
      <c r="A867" s="26" t="str">
        <f>Orders!A867</f>
        <v>ORD-00866</v>
      </c>
      <c r="B867" s="33">
        <f>Orders!B867</f>
        <v>45588</v>
      </c>
      <c r="C867" t="str">
        <f>Orders!C867</f>
        <v>CUST-0191</v>
      </c>
      <c r="D867" t="str">
        <f>Orders!D867</f>
        <v>PROD-058</v>
      </c>
      <c r="E867" t="str">
        <f>Orders!E867</f>
        <v>R013</v>
      </c>
      <c r="F867">
        <f>Orders!F867</f>
        <v>2</v>
      </c>
      <c r="G867" s="35">
        <f>Orders!G867</f>
        <v>2400</v>
      </c>
      <c r="H867" s="37">
        <f>Orders!H867</f>
        <v>17.100000000000001</v>
      </c>
      <c r="I867" s="39">
        <f>Orders!I867</f>
        <v>3979.2</v>
      </c>
      <c r="J867" t="str">
        <f>Orders!J867</f>
        <v>Pending</v>
      </c>
      <c r="K867" t="str">
        <f>Orders!K867</f>
        <v>Hyderabad</v>
      </c>
      <c r="L867" t="str">
        <f>IFERROR(VLOOKUP(D867,Products!$A$2:$F$61,3,FALSE),"")</f>
        <v>Sports</v>
      </c>
      <c r="M867">
        <f>IFERROR(VLOOKUP(D867,Products!$A$2:$F$61,4,FALSE),"")</f>
        <v>974</v>
      </c>
      <c r="N867" t="str">
        <f>IFERROR(VLOOKUP(E867,Sales_Reps!$A$2:$E$31,3,FALSE),"")</f>
        <v>South</v>
      </c>
      <c r="O867" t="str">
        <f>IFERROR(VLOOKUP(C867,Customers!$A$2:$F$301,5,FALSE),"")</f>
        <v>SMB</v>
      </c>
      <c r="P867">
        <f>IFERROR(VLOOKUP(C867,Customers!$A$2:$F$301,3,FALSE),"")</f>
        <v>43</v>
      </c>
      <c r="Q867" s="41">
        <f t="shared" si="22"/>
        <v>0.59416666666666662</v>
      </c>
      <c r="R867" t="str">
        <f>IFERROR(VLOOKUP(C867,Customers!$A$2:$F$301,1,FALSE),"")</f>
        <v>CUST-0191</v>
      </c>
      <c r="S867" s="27" t="b">
        <f>IFERROR(VLOOKUP(D867,Products!$A$2:$F$61,6,FALSE),"")</f>
        <v>1</v>
      </c>
      <c r="BL867">
        <v>0</v>
      </c>
      <c r="BO867">
        <v>0</v>
      </c>
      <c r="BP867">
        <v>0</v>
      </c>
    </row>
    <row r="868" spans="1:68" x14ac:dyDescent="0.35">
      <c r="A868" s="26" t="str">
        <f>Orders!A868</f>
        <v>ORD-00867</v>
      </c>
      <c r="B868" s="33">
        <f>Orders!B868</f>
        <v>45583</v>
      </c>
      <c r="C868" t="str">
        <f>Orders!C868</f>
        <v>CUST-0129</v>
      </c>
      <c r="D868" t="str">
        <f>Orders!D868</f>
        <v>PROD-040</v>
      </c>
      <c r="E868" t="str">
        <f>Orders!E868</f>
        <v>R026</v>
      </c>
      <c r="F868">
        <f>Orders!F868</f>
        <v>5</v>
      </c>
      <c r="G868" s="35">
        <f>Orders!G868</f>
        <v>1080</v>
      </c>
      <c r="H868" s="37">
        <f>Orders!H868</f>
        <v>15.7</v>
      </c>
      <c r="I868" s="39">
        <f>Orders!I868</f>
        <v>4552.2</v>
      </c>
      <c r="J868" t="str">
        <f>Orders!J868</f>
        <v>Pending</v>
      </c>
      <c r="K868" t="str">
        <f>Orders!K868</f>
        <v>Hyderabad</v>
      </c>
      <c r="L868" t="str">
        <f>IFERROR(VLOOKUP(D868,Products!$A$2:$F$61,3,FALSE),"")</f>
        <v>Home</v>
      </c>
      <c r="M868">
        <f>IFERROR(VLOOKUP(D868,Products!$A$2:$F$61,4,FALSE),"")</f>
        <v>519</v>
      </c>
      <c r="N868" t="str">
        <f>IFERROR(VLOOKUP(E868,Sales_Reps!$A$2:$E$31,3,FALSE),"")</f>
        <v>West</v>
      </c>
      <c r="O868" t="str">
        <f>IFERROR(VLOOKUP(C868,Customers!$A$2:$F$301,5,FALSE),"")</f>
        <v>Retail</v>
      </c>
      <c r="P868">
        <f>IFERROR(VLOOKUP(C868,Customers!$A$2:$F$301,3,FALSE),"")</f>
        <v>29</v>
      </c>
      <c r="Q868" s="41">
        <f t="shared" si="22"/>
        <v>0.51944444444444449</v>
      </c>
      <c r="R868" t="str">
        <f>IFERROR(VLOOKUP(C868,Customers!$A$2:$F$301,1,FALSE),"")</f>
        <v>CUST-0129</v>
      </c>
      <c r="S868" s="27" t="b">
        <f>IFERROR(VLOOKUP(D868,Products!$A$2:$F$61,6,FALSE),"")</f>
        <v>1</v>
      </c>
      <c r="BL868">
        <v>0</v>
      </c>
      <c r="BO868">
        <v>0</v>
      </c>
      <c r="BP868">
        <v>0</v>
      </c>
    </row>
    <row r="869" spans="1:68" x14ac:dyDescent="0.35">
      <c r="A869" s="26" t="str">
        <f>Orders!A869</f>
        <v>ORD-00868</v>
      </c>
      <c r="B869" s="33">
        <f>Orders!B869</f>
        <v>45528</v>
      </c>
      <c r="C869" t="str">
        <f>Orders!C869</f>
        <v>CUST-0066</v>
      </c>
      <c r="D869" t="str">
        <f>Orders!D869</f>
        <v>PROD-036</v>
      </c>
      <c r="E869" t="str">
        <f>Orders!E869</f>
        <v>R003</v>
      </c>
      <c r="F869">
        <f>Orders!F869</f>
        <v>1</v>
      </c>
      <c r="G869" s="35">
        <f>Orders!G869</f>
        <v>3250</v>
      </c>
      <c r="H869" s="37">
        <f>Orders!H869</f>
        <v>14.7</v>
      </c>
      <c r="I869" s="39">
        <f>Orders!I869</f>
        <v>2772.25</v>
      </c>
      <c r="J869" t="str">
        <f>Orders!J869</f>
        <v>Completed</v>
      </c>
      <c r="K869" t="str">
        <f>Orders!K869</f>
        <v>Delhi</v>
      </c>
      <c r="L869" t="str">
        <f>IFERROR(VLOOKUP(D869,Products!$A$2:$F$61,3,FALSE),"")</f>
        <v>Home</v>
      </c>
      <c r="M869">
        <f>IFERROR(VLOOKUP(D869,Products!$A$2:$F$61,4,FALSE),"")</f>
        <v>1556</v>
      </c>
      <c r="N869" t="str">
        <f>IFERROR(VLOOKUP(E869,Sales_Reps!$A$2:$E$31,3,FALSE),"")</f>
        <v>North</v>
      </c>
      <c r="O869" t="str">
        <f>IFERROR(VLOOKUP(C869,Customers!$A$2:$F$301,5,FALSE),"")</f>
        <v>Retail</v>
      </c>
      <c r="P869">
        <f>IFERROR(VLOOKUP(C869,Customers!$A$2:$F$301,3,FALSE),"")</f>
        <v>24</v>
      </c>
      <c r="Q869" s="41">
        <f t="shared" si="22"/>
        <v>0.52123076923076928</v>
      </c>
      <c r="R869" t="str">
        <f>IFERROR(VLOOKUP(C869,Customers!$A$2:$F$301,1,FALSE),"")</f>
        <v>CUST-0066</v>
      </c>
      <c r="S869" s="27" t="b">
        <f>IFERROR(VLOOKUP(D869,Products!$A$2:$F$61,6,FALSE),"")</f>
        <v>1</v>
      </c>
      <c r="BL869">
        <v>0</v>
      </c>
      <c r="BO869">
        <v>0</v>
      </c>
      <c r="BP869">
        <v>0</v>
      </c>
    </row>
    <row r="870" spans="1:68" x14ac:dyDescent="0.35">
      <c r="A870" s="26" t="str">
        <f>Orders!A870</f>
        <v>ORD-00869</v>
      </c>
      <c r="B870" s="33">
        <f>Orders!B870</f>
        <v>45400</v>
      </c>
      <c r="C870" t="str">
        <f>Orders!C870</f>
        <v>CUST-0114</v>
      </c>
      <c r="D870" t="str">
        <f>Orders!D870</f>
        <v>PROD-032</v>
      </c>
      <c r="E870" t="str">
        <f>Orders!E870</f>
        <v>R021</v>
      </c>
      <c r="F870">
        <f>Orders!F870</f>
        <v>7</v>
      </c>
      <c r="G870" s="35">
        <f>Orders!G870</f>
        <v>370</v>
      </c>
      <c r="H870" s="37">
        <f>Orders!H870</f>
        <v>6</v>
      </c>
      <c r="I870" s="39">
        <f>Orders!I870</f>
        <v>2434.6</v>
      </c>
      <c r="J870" t="str">
        <f>Orders!J870</f>
        <v>Cancelled</v>
      </c>
      <c r="K870" t="str">
        <f>Orders!K870</f>
        <v>Bengaluru</v>
      </c>
      <c r="L870" t="str">
        <f>IFERROR(VLOOKUP(D870,Products!$A$2:$F$61,3,FALSE),"")</f>
        <v>Home</v>
      </c>
      <c r="M870">
        <f>IFERROR(VLOOKUP(D870,Products!$A$2:$F$61,4,FALSE),"")</f>
        <v>288</v>
      </c>
      <c r="N870" t="str">
        <f>IFERROR(VLOOKUP(E870,Sales_Reps!$A$2:$E$31,3,FALSE),"")</f>
        <v>East</v>
      </c>
      <c r="O870" t="str">
        <f>IFERROR(VLOOKUP(C870,Customers!$A$2:$F$301,5,FALSE),"")</f>
        <v>Corporate</v>
      </c>
      <c r="P870">
        <f>IFERROR(VLOOKUP(C870,Customers!$A$2:$F$301,3,FALSE),"")</f>
        <v>42</v>
      </c>
      <c r="Q870" s="41">
        <f t="shared" si="22"/>
        <v>0.22162162162162163</v>
      </c>
      <c r="R870" t="str">
        <f>IFERROR(VLOOKUP(C870,Customers!$A$2:$F$301,1,FALSE),"")</f>
        <v>CUST-0114</v>
      </c>
      <c r="S870" s="27" t="b">
        <f>IFERROR(VLOOKUP(D870,Products!$A$2:$F$61,6,FALSE),"")</f>
        <v>1</v>
      </c>
      <c r="BL870">
        <v>0</v>
      </c>
      <c r="BO870">
        <v>0</v>
      </c>
      <c r="BP870">
        <v>0</v>
      </c>
    </row>
    <row r="871" spans="1:68" x14ac:dyDescent="0.35">
      <c r="A871" s="26" t="str">
        <f>Orders!A871</f>
        <v>ORD-00870</v>
      </c>
      <c r="B871" s="33">
        <f>Orders!B871</f>
        <v>45337</v>
      </c>
      <c r="C871" t="str">
        <f>Orders!C871</f>
        <v>CUST-9833</v>
      </c>
      <c r="D871" t="str">
        <f>Orders!D871</f>
        <v>PROD-038</v>
      </c>
      <c r="E871" t="str">
        <f>Orders!E871</f>
        <v>R029</v>
      </c>
      <c r="F871">
        <f>Orders!F871</f>
        <v>7</v>
      </c>
      <c r="G871" s="35">
        <f>Orders!G871</f>
        <v>5490</v>
      </c>
      <c r="H871" s="37">
        <f>Orders!H871</f>
        <v>10.199999999999999</v>
      </c>
      <c r="I871" s="39">
        <f>Orders!I871</f>
        <v>34510.14</v>
      </c>
      <c r="J871" t="str">
        <f>Orders!J871</f>
        <v>Completed</v>
      </c>
      <c r="K871" t="str">
        <f>Orders!K871</f>
        <v>Pune</v>
      </c>
      <c r="L871" t="str">
        <f>IFERROR(VLOOKUP(D871,Products!$A$2:$F$61,3,FALSE),"")</f>
        <v>Home</v>
      </c>
      <c r="M871">
        <f>IFERROR(VLOOKUP(D871,Products!$A$2:$F$61,4,FALSE),"")</f>
        <v>2549</v>
      </c>
      <c r="N871" t="str">
        <f>IFERROR(VLOOKUP(E871,Sales_Reps!$A$2:$E$31,3,FALSE),"")</f>
        <v>West</v>
      </c>
      <c r="O871" t="str">
        <f>IFERROR(VLOOKUP(C871,Customers!$A$2:$F$301,5,FALSE),"")</f>
        <v/>
      </c>
      <c r="P871" t="str">
        <f>IFERROR(VLOOKUP(C871,Customers!$A$2:$F$301,3,FALSE),"")</f>
        <v/>
      </c>
      <c r="Q871" s="41">
        <f t="shared" si="22"/>
        <v>0.53570127504553733</v>
      </c>
      <c r="R871" t="str">
        <f>IFERROR(VLOOKUP(C871,Customers!$A$2:$F$301,1,FALSE),"")</f>
        <v/>
      </c>
      <c r="S871" s="27" t="b">
        <f>IFERROR(VLOOKUP(D871,Products!$A$2:$F$61,6,FALSE),"")</f>
        <v>1</v>
      </c>
      <c r="BL871">
        <v>0</v>
      </c>
      <c r="BO871">
        <v>1</v>
      </c>
      <c r="BP871">
        <v>0</v>
      </c>
    </row>
    <row r="872" spans="1:68" x14ac:dyDescent="0.35">
      <c r="A872" s="26" t="str">
        <f>Orders!A872</f>
        <v>ORD-00871</v>
      </c>
      <c r="B872" s="33">
        <f>Orders!B872</f>
        <v>45482</v>
      </c>
      <c r="C872" t="str">
        <f>Orders!C872</f>
        <v>CUST-0076</v>
      </c>
      <c r="D872" t="str">
        <f>Orders!D872</f>
        <v>PROD-006</v>
      </c>
      <c r="E872" t="str">
        <f>Orders!E872</f>
        <v>R028</v>
      </c>
      <c r="F872">
        <f>Orders!F872</f>
        <v>3</v>
      </c>
      <c r="G872" s="35">
        <f>Orders!G872</f>
        <v>3970</v>
      </c>
      <c r="H872" s="37">
        <f>Orders!H872</f>
        <v>2.4</v>
      </c>
      <c r="I872" s="39">
        <f>Orders!I872</f>
        <v>11624.16</v>
      </c>
      <c r="J872" t="str">
        <f>Orders!J872</f>
        <v>Completed</v>
      </c>
      <c r="K872" t="str">
        <f>Orders!K872</f>
        <v>Mumbai</v>
      </c>
      <c r="L872" t="str">
        <f>IFERROR(VLOOKUP(D872,Products!$A$2:$F$61,3,FALSE),"")</f>
        <v>Electronics</v>
      </c>
      <c r="M872">
        <f>IFERROR(VLOOKUP(D872,Products!$A$2:$F$61,4,FALSE),"")</f>
        <v>2865</v>
      </c>
      <c r="N872" t="str">
        <f>IFERROR(VLOOKUP(E872,Sales_Reps!$A$2:$E$31,3,FALSE),"")</f>
        <v>West</v>
      </c>
      <c r="O872" t="str">
        <f>IFERROR(VLOOKUP(C872,Customers!$A$2:$F$301,5,FALSE),"")</f>
        <v>Retail</v>
      </c>
      <c r="P872">
        <f>IFERROR(VLOOKUP(C872,Customers!$A$2:$F$301,3,FALSE),"")</f>
        <v>38</v>
      </c>
      <c r="Q872" s="41">
        <f t="shared" si="22"/>
        <v>0.27833753148614609</v>
      </c>
      <c r="R872" t="str">
        <f>IFERROR(VLOOKUP(C872,Customers!$A$2:$F$301,1,FALSE),"")</f>
        <v>CUST-0076</v>
      </c>
      <c r="S872" s="27" t="b">
        <f>IFERROR(VLOOKUP(D872,Products!$A$2:$F$61,6,FALSE),"")</f>
        <v>1</v>
      </c>
      <c r="BL872">
        <v>0</v>
      </c>
      <c r="BO872">
        <v>0</v>
      </c>
      <c r="BP872">
        <v>0</v>
      </c>
    </row>
    <row r="873" spans="1:68" x14ac:dyDescent="0.35">
      <c r="A873" s="26" t="str">
        <f>Orders!A873</f>
        <v>ORD-00872</v>
      </c>
      <c r="B873" s="33">
        <f>Orders!B873</f>
        <v>45583</v>
      </c>
      <c r="C873" t="str">
        <f>Orders!C873</f>
        <v>CUST-0215</v>
      </c>
      <c r="D873" t="str">
        <f>Orders!D873</f>
        <v>PROD-009</v>
      </c>
      <c r="E873" t="str">
        <f>Orders!E873</f>
        <v>R007</v>
      </c>
      <c r="F873">
        <f>Orders!F873</f>
        <v>4</v>
      </c>
      <c r="G873" s="35">
        <f>Orders!G873</f>
        <v>1220</v>
      </c>
      <c r="H873" s="37">
        <f>Orders!H873</f>
        <v>25.3</v>
      </c>
      <c r="I873" s="39">
        <f>Orders!I873</f>
        <v>3645.36</v>
      </c>
      <c r="J873" t="str">
        <f>Orders!J873</f>
        <v>Completed</v>
      </c>
      <c r="K873" t="str">
        <f>Orders!K873</f>
        <v>Hyderabad</v>
      </c>
      <c r="L873" t="str">
        <f>IFERROR(VLOOKUP(D873,Products!$A$2:$F$61,3,FALSE),"")</f>
        <v>Electronics</v>
      </c>
      <c r="M873">
        <f>IFERROR(VLOOKUP(D873,Products!$A$2:$F$61,4,FALSE),"")</f>
        <v>517</v>
      </c>
      <c r="N873" t="str">
        <f>IFERROR(VLOOKUP(E873,Sales_Reps!$A$2:$E$31,3,FALSE),"")</f>
        <v>North</v>
      </c>
      <c r="O873" t="str">
        <f>IFERROR(VLOOKUP(C873,Customers!$A$2:$F$301,5,FALSE),"")</f>
        <v>Retail</v>
      </c>
      <c r="P873">
        <f>IFERROR(VLOOKUP(C873,Customers!$A$2:$F$301,3,FALSE),"")</f>
        <v>52</v>
      </c>
      <c r="Q873" s="41">
        <f t="shared" si="22"/>
        <v>0.57622950819672136</v>
      </c>
      <c r="R873" t="str">
        <f>IFERROR(VLOOKUP(C873,Customers!$A$2:$F$301,1,FALSE),"")</f>
        <v>CUST-0215</v>
      </c>
      <c r="S873" s="27" t="b">
        <f>IFERROR(VLOOKUP(D873,Products!$A$2:$F$61,6,FALSE),"")</f>
        <v>1</v>
      </c>
      <c r="BL873">
        <v>0</v>
      </c>
      <c r="BO873">
        <v>0</v>
      </c>
      <c r="BP873">
        <v>0</v>
      </c>
    </row>
    <row r="874" spans="1:68" x14ac:dyDescent="0.35">
      <c r="A874" s="26" t="str">
        <f>Orders!A874</f>
        <v>ORD-00873</v>
      </c>
      <c r="B874" s="33">
        <f>Orders!B874</f>
        <v>45409</v>
      </c>
      <c r="C874" t="str">
        <f>Orders!C874</f>
        <v>CUST-0061</v>
      </c>
      <c r="D874" t="str">
        <f>Orders!D874</f>
        <v>PROD-012</v>
      </c>
      <c r="E874" t="str">
        <f>Orders!E874</f>
        <v>R026</v>
      </c>
      <c r="F874">
        <f>Orders!F874</f>
        <v>3</v>
      </c>
      <c r="G874" s="35">
        <f>Orders!G874</f>
        <v>3160</v>
      </c>
      <c r="H874" s="37">
        <f>Orders!H874</f>
        <v>19.8</v>
      </c>
      <c r="I874" s="39">
        <f>Orders!I874</f>
        <v>7602.96</v>
      </c>
      <c r="J874" t="str">
        <f>Orders!J874</f>
        <v>Completed</v>
      </c>
      <c r="K874" t="str">
        <f>Orders!K874</f>
        <v>Hyderabad</v>
      </c>
      <c r="L874" t="str">
        <f>IFERROR(VLOOKUP(D874,Products!$A$2:$F$61,3,FALSE),"")</f>
        <v>Apparel</v>
      </c>
      <c r="M874">
        <f>IFERROR(VLOOKUP(D874,Products!$A$2:$F$61,4,FALSE),"")</f>
        <v>1886</v>
      </c>
      <c r="N874" t="str">
        <f>IFERROR(VLOOKUP(E874,Sales_Reps!$A$2:$E$31,3,FALSE),"")</f>
        <v>West</v>
      </c>
      <c r="O874" t="str">
        <f>IFERROR(VLOOKUP(C874,Customers!$A$2:$F$301,5,FALSE),"")</f>
        <v>Retail</v>
      </c>
      <c r="P874">
        <f>IFERROR(VLOOKUP(C874,Customers!$A$2:$F$301,3,FALSE),"")</f>
        <v>64</v>
      </c>
      <c r="Q874" s="41">
        <f t="shared" si="22"/>
        <v>0.4031645569620253</v>
      </c>
      <c r="R874" t="str">
        <f>IFERROR(VLOOKUP(C874,Customers!$A$2:$F$301,1,FALSE),"")</f>
        <v>CUST-0061</v>
      </c>
      <c r="S874" s="27" t="b">
        <f>IFERROR(VLOOKUP(D874,Products!$A$2:$F$61,6,FALSE),"")</f>
        <v>1</v>
      </c>
      <c r="BL874">
        <v>0</v>
      </c>
      <c r="BO874">
        <v>0</v>
      </c>
      <c r="BP874">
        <v>0</v>
      </c>
    </row>
    <row r="875" spans="1:68" x14ac:dyDescent="0.35">
      <c r="A875" s="26" t="str">
        <f>Orders!A875</f>
        <v>ORD-00874</v>
      </c>
      <c r="B875" s="33">
        <f>Orders!B875</f>
        <v>45430</v>
      </c>
      <c r="C875" t="str">
        <f>Orders!C875</f>
        <v>CUST-0249</v>
      </c>
      <c r="D875" t="str">
        <f>Orders!D875</f>
        <v>PROD-005</v>
      </c>
      <c r="E875" t="str">
        <f>Orders!E875</f>
        <v>R008</v>
      </c>
      <c r="F875">
        <f>Orders!F875</f>
        <v>1</v>
      </c>
      <c r="G875" s="35">
        <f>Orders!G875</f>
        <v>300</v>
      </c>
      <c r="H875" s="37">
        <f>Orders!H875</f>
        <v>24.5</v>
      </c>
      <c r="I875" s="39">
        <f>Orders!I875</f>
        <v>226.5</v>
      </c>
      <c r="J875" t="str">
        <f>Orders!J875</f>
        <v>Completed</v>
      </c>
      <c r="K875" t="str">
        <f>Orders!K875</f>
        <v>Mumbai</v>
      </c>
      <c r="L875" t="str">
        <f>IFERROR(VLOOKUP(D875,Products!$A$2:$F$61,3,FALSE),"")</f>
        <v>Electronics</v>
      </c>
      <c r="M875">
        <f>IFERROR(VLOOKUP(D875,Products!$A$2:$F$61,4,FALSE),"")</f>
        <v>128</v>
      </c>
      <c r="N875" t="str">
        <f>IFERROR(VLOOKUP(E875,Sales_Reps!$A$2:$E$31,3,FALSE),"")</f>
        <v>North</v>
      </c>
      <c r="O875" t="str">
        <f>IFERROR(VLOOKUP(C875,Customers!$A$2:$F$301,5,FALSE),"")</f>
        <v>Retail</v>
      </c>
      <c r="P875">
        <f>IFERROR(VLOOKUP(C875,Customers!$A$2:$F$301,3,FALSE),"")</f>
        <v>44</v>
      </c>
      <c r="Q875" s="41">
        <f t="shared" si="22"/>
        <v>0.57333333333333336</v>
      </c>
      <c r="R875" t="str">
        <f>IFERROR(VLOOKUP(C875,Customers!$A$2:$F$301,1,FALSE),"")</f>
        <v>CUST-0249</v>
      </c>
      <c r="S875" s="27" t="b">
        <f>IFERROR(VLOOKUP(D875,Products!$A$2:$F$61,6,FALSE),"")</f>
        <v>1</v>
      </c>
      <c r="BL875">
        <v>0</v>
      </c>
      <c r="BO875">
        <v>0</v>
      </c>
      <c r="BP875">
        <v>0</v>
      </c>
    </row>
    <row r="876" spans="1:68" x14ac:dyDescent="0.35">
      <c r="A876" s="26" t="str">
        <f>Orders!A876</f>
        <v>ORD-00875</v>
      </c>
      <c r="B876" s="33">
        <f>Orders!B876</f>
        <v>45654</v>
      </c>
      <c r="C876" t="str">
        <f>Orders!C876</f>
        <v>CUST-0105</v>
      </c>
      <c r="D876" t="str">
        <f>Orders!D876</f>
        <v>PROD-047</v>
      </c>
      <c r="E876" t="str">
        <f>Orders!E876</f>
        <v>R029</v>
      </c>
      <c r="F876">
        <f>Orders!F876</f>
        <v>5</v>
      </c>
      <c r="G876" s="35">
        <f>Orders!G876</f>
        <v>3450</v>
      </c>
      <c r="H876" s="37">
        <f>Orders!H876</f>
        <v>13.4</v>
      </c>
      <c r="I876" s="39">
        <f>Orders!I876</f>
        <v>14938.5</v>
      </c>
      <c r="J876" t="str">
        <f>Orders!J876</f>
        <v>Pending</v>
      </c>
      <c r="K876" t="str">
        <f>Orders!K876</f>
        <v>Chennai</v>
      </c>
      <c r="L876" t="str">
        <f>IFERROR(VLOOKUP(D876,Products!$A$2:$F$61,3,FALSE),"")</f>
        <v>Beauty</v>
      </c>
      <c r="M876">
        <f>IFERROR(VLOOKUP(D876,Products!$A$2:$F$61,4,FALSE),"")</f>
        <v>2420</v>
      </c>
      <c r="N876" t="str">
        <f>IFERROR(VLOOKUP(E876,Sales_Reps!$A$2:$E$31,3,FALSE),"")</f>
        <v>West</v>
      </c>
      <c r="O876" t="str">
        <f>IFERROR(VLOOKUP(C876,Customers!$A$2:$F$301,5,FALSE),"")</f>
        <v>SMB</v>
      </c>
      <c r="P876">
        <f>IFERROR(VLOOKUP(C876,Customers!$A$2:$F$301,3,FALSE),"")</f>
        <v>51</v>
      </c>
      <c r="Q876" s="41">
        <f t="shared" si="22"/>
        <v>0.29855072463768118</v>
      </c>
      <c r="R876" t="str">
        <f>IFERROR(VLOOKUP(C876,Customers!$A$2:$F$301,1,FALSE),"")</f>
        <v>CUST-0105</v>
      </c>
      <c r="S876" s="27" t="b">
        <f>IFERROR(VLOOKUP(D876,Products!$A$2:$F$61,6,FALSE),"")</f>
        <v>1</v>
      </c>
      <c r="BL876">
        <v>0</v>
      </c>
      <c r="BO876">
        <v>0</v>
      </c>
      <c r="BP876">
        <v>0</v>
      </c>
    </row>
    <row r="877" spans="1:68" x14ac:dyDescent="0.35">
      <c r="A877" s="26" t="str">
        <f>Orders!A877</f>
        <v>ORD-00876</v>
      </c>
      <c r="B877" s="33">
        <f>Orders!B877</f>
        <v>45397</v>
      </c>
      <c r="C877" t="str">
        <f>Orders!C877</f>
        <v>CUST-0161</v>
      </c>
      <c r="D877" t="str">
        <f>Orders!D877</f>
        <v>PROD-014</v>
      </c>
      <c r="E877" t="str">
        <f>Orders!E877</f>
        <v>R027</v>
      </c>
      <c r="F877">
        <f>Orders!F877</f>
        <v>7</v>
      </c>
      <c r="G877" s="35">
        <f>Orders!G877</f>
        <v>3620</v>
      </c>
      <c r="H877" s="37">
        <f>Orders!H877</f>
        <v>19.2</v>
      </c>
      <c r="I877" s="39">
        <f>Orders!I877</f>
        <v>20474.72</v>
      </c>
      <c r="J877" t="str">
        <f>Orders!J877</f>
        <v>Completed</v>
      </c>
      <c r="K877" t="str">
        <f>Orders!K877</f>
        <v>Chennai</v>
      </c>
      <c r="L877" t="str">
        <f>IFERROR(VLOOKUP(D877,Products!$A$2:$F$61,3,FALSE),"")</f>
        <v>Apparel</v>
      </c>
      <c r="M877">
        <f>IFERROR(VLOOKUP(D877,Products!$A$2:$F$61,4,FALSE),"")</f>
        <v>2509</v>
      </c>
      <c r="N877" t="str">
        <f>IFERROR(VLOOKUP(E877,Sales_Reps!$A$2:$E$31,3,FALSE),"")</f>
        <v>West</v>
      </c>
      <c r="O877" t="str">
        <f>IFERROR(VLOOKUP(C877,Customers!$A$2:$F$301,5,FALSE),"")</f>
        <v>Retail</v>
      </c>
      <c r="P877">
        <f>IFERROR(VLOOKUP(C877,Customers!$A$2:$F$301,3,FALSE),"")</f>
        <v>38</v>
      </c>
      <c r="Q877" s="41">
        <f t="shared" si="22"/>
        <v>0.3069060773480663</v>
      </c>
      <c r="R877" t="str">
        <f>IFERROR(VLOOKUP(C877,Customers!$A$2:$F$301,1,FALSE),"")</f>
        <v>CUST-0161</v>
      </c>
      <c r="S877" s="27" t="b">
        <f>IFERROR(VLOOKUP(D877,Products!$A$2:$F$61,6,FALSE),"")</f>
        <v>1</v>
      </c>
      <c r="BL877">
        <v>0</v>
      </c>
      <c r="BO877">
        <v>0</v>
      </c>
      <c r="BP877">
        <v>0</v>
      </c>
    </row>
    <row r="878" spans="1:68" x14ac:dyDescent="0.35">
      <c r="A878" s="26" t="str">
        <f>Orders!A878</f>
        <v>ORD-00877</v>
      </c>
      <c r="B878" s="33">
        <f>Orders!B878</f>
        <v>45505</v>
      </c>
      <c r="C878" t="str">
        <f>Orders!C878</f>
        <v>CUST-0275</v>
      </c>
      <c r="D878" t="str">
        <f>Orders!D878</f>
        <v>PROD-024</v>
      </c>
      <c r="E878" t="str">
        <f>Orders!E878</f>
        <v>R010</v>
      </c>
      <c r="F878">
        <f>Orders!F878</f>
        <v>10</v>
      </c>
      <c r="G878" s="35">
        <f>Orders!G878</f>
        <v>2270</v>
      </c>
      <c r="H878" s="37">
        <f>Orders!H878</f>
        <v>20.5</v>
      </c>
      <c r="I878" s="39">
        <f>Orders!I878</f>
        <v>18046.5</v>
      </c>
      <c r="J878" t="str">
        <f>Orders!J878</f>
        <v>Completed</v>
      </c>
      <c r="K878" t="str">
        <f>Orders!K878</f>
        <v>Mumbai</v>
      </c>
      <c r="L878" t="str">
        <f>IFERROR(VLOOKUP(D878,Products!$A$2:$F$61,3,FALSE),"")</f>
        <v>Grocery</v>
      </c>
      <c r="M878">
        <f>IFERROR(VLOOKUP(D878,Products!$A$2:$F$61,4,FALSE),"")</f>
        <v>1203</v>
      </c>
      <c r="N878" t="str">
        <f>IFERROR(VLOOKUP(E878,Sales_Reps!$A$2:$E$31,3,FALSE),"")</f>
        <v>South</v>
      </c>
      <c r="O878" t="str">
        <f>IFERROR(VLOOKUP(C878,Customers!$A$2:$F$301,5,FALSE),"")</f>
        <v>Retail</v>
      </c>
      <c r="P878">
        <f>IFERROR(VLOOKUP(C878,Customers!$A$2:$F$301,3,FALSE),"")</f>
        <v>36</v>
      </c>
      <c r="Q878" s="41">
        <f t="shared" si="22"/>
        <v>0.47004405286343615</v>
      </c>
      <c r="R878" t="str">
        <f>IFERROR(VLOOKUP(C878,Customers!$A$2:$F$301,1,FALSE),"")</f>
        <v>CUST-0275</v>
      </c>
      <c r="S878" s="27" t="b">
        <f>IFERROR(VLOOKUP(D878,Products!$A$2:$F$61,6,FALSE),"")</f>
        <v>1</v>
      </c>
      <c r="BL878">
        <v>0</v>
      </c>
      <c r="BO878">
        <v>0</v>
      </c>
      <c r="BP878">
        <v>0</v>
      </c>
    </row>
    <row r="879" spans="1:68" x14ac:dyDescent="0.35">
      <c r="A879" s="26" t="str">
        <f>Orders!A879</f>
        <v>ORD-00878</v>
      </c>
      <c r="B879" s="33">
        <f>Orders!B879</f>
        <v>45386</v>
      </c>
      <c r="C879" t="str">
        <f>Orders!C879</f>
        <v>CUST-0049</v>
      </c>
      <c r="D879" t="str">
        <f>Orders!D879</f>
        <v>PROD-015</v>
      </c>
      <c r="E879" t="str">
        <f>Orders!E879</f>
        <v>R024</v>
      </c>
      <c r="F879">
        <f>Orders!F879</f>
        <v>5</v>
      </c>
      <c r="G879" s="35">
        <f>Orders!G879</f>
        <v>2720</v>
      </c>
      <c r="H879" s="37">
        <f>Orders!H879</f>
        <v>29.3</v>
      </c>
      <c r="I879" s="39">
        <f>Orders!I879</f>
        <v>9615.2000000000007</v>
      </c>
      <c r="J879" t="str">
        <f>Orders!J879</f>
        <v>Completed</v>
      </c>
      <c r="K879" t="str">
        <f>Orders!K879</f>
        <v>Mumbai</v>
      </c>
      <c r="L879" t="str">
        <f>IFERROR(VLOOKUP(D879,Products!$A$2:$F$61,3,FALSE),"")</f>
        <v>Apparel</v>
      </c>
      <c r="M879">
        <f>IFERROR(VLOOKUP(D879,Products!$A$2:$F$61,4,FALSE),"")</f>
        <v>1962</v>
      </c>
      <c r="N879" t="str">
        <f>IFERROR(VLOOKUP(E879,Sales_Reps!$A$2:$E$31,3,FALSE),"")</f>
        <v>West</v>
      </c>
      <c r="O879" t="str">
        <f>IFERROR(VLOOKUP(C879,Customers!$A$2:$F$301,5,FALSE),"")</f>
        <v>Corporate</v>
      </c>
      <c r="P879">
        <f>IFERROR(VLOOKUP(C879,Customers!$A$2:$F$301,3,FALSE),"")</f>
        <v>42</v>
      </c>
      <c r="Q879" s="41">
        <f t="shared" si="22"/>
        <v>0.2786764705882353</v>
      </c>
      <c r="R879" t="str">
        <f>IFERROR(VLOOKUP(C879,Customers!$A$2:$F$301,1,FALSE),"")</f>
        <v>CUST-0049</v>
      </c>
      <c r="S879" s="27" t="b">
        <f>IFERROR(VLOOKUP(D879,Products!$A$2:$F$61,6,FALSE),"")</f>
        <v>1</v>
      </c>
      <c r="BL879">
        <v>0</v>
      </c>
      <c r="BO879">
        <v>0</v>
      </c>
      <c r="BP879">
        <v>0</v>
      </c>
    </row>
    <row r="880" spans="1:68" x14ac:dyDescent="0.35">
      <c r="A880" s="26" t="str">
        <f>Orders!A880</f>
        <v>ORD-00879</v>
      </c>
      <c r="B880" s="33">
        <f>Orders!B880</f>
        <v>45499</v>
      </c>
      <c r="C880" t="str">
        <f>Orders!C880</f>
        <v>CUST-0235</v>
      </c>
      <c r="D880" t="str">
        <f>Orders!D880</f>
        <v>PROD-027</v>
      </c>
      <c r="E880" t="str">
        <f>Orders!E880</f>
        <v>R022</v>
      </c>
      <c r="F880">
        <f>Orders!F880</f>
        <v>9</v>
      </c>
      <c r="G880" s="35">
        <f>Orders!G880</f>
        <v>3780</v>
      </c>
      <c r="H880" s="37">
        <f>Orders!H880</f>
        <v>2.2999999999999998</v>
      </c>
      <c r="I880" s="39">
        <f>Orders!I880</f>
        <v>33237.54</v>
      </c>
      <c r="J880" t="str">
        <f>Orders!J880</f>
        <v>Completed</v>
      </c>
      <c r="K880" t="str">
        <f>Orders!K880</f>
        <v>Chennai</v>
      </c>
      <c r="L880" t="str">
        <f>IFERROR(VLOOKUP(D880,Products!$A$2:$F$61,3,FALSE),"")</f>
        <v>Grocery</v>
      </c>
      <c r="M880">
        <f>IFERROR(VLOOKUP(D880,Products!$A$2:$F$61,4,FALSE),"")</f>
        <v>2436</v>
      </c>
      <c r="N880" t="str">
        <f>IFERROR(VLOOKUP(E880,Sales_Reps!$A$2:$E$31,3,FALSE),"")</f>
        <v>East</v>
      </c>
      <c r="O880" t="str">
        <f>IFERROR(VLOOKUP(C880,Customers!$A$2:$F$301,5,FALSE),"")</f>
        <v>Retail</v>
      </c>
      <c r="P880">
        <f>IFERROR(VLOOKUP(C880,Customers!$A$2:$F$301,3,FALSE),"")</f>
        <v>31</v>
      </c>
      <c r="Q880" s="41">
        <f t="shared" si="22"/>
        <v>0.35555555555555557</v>
      </c>
      <c r="R880" t="str">
        <f>IFERROR(VLOOKUP(C880,Customers!$A$2:$F$301,1,FALSE),"")</f>
        <v>CUST-0235</v>
      </c>
      <c r="S880" s="27" t="b">
        <f>IFERROR(VLOOKUP(D880,Products!$A$2:$F$61,6,FALSE),"")</f>
        <v>1</v>
      </c>
      <c r="BL880">
        <v>0</v>
      </c>
      <c r="BO880">
        <v>0</v>
      </c>
      <c r="BP880">
        <v>0</v>
      </c>
    </row>
    <row r="881" spans="1:68" x14ac:dyDescent="0.35">
      <c r="A881" s="26" t="str">
        <f>Orders!A881</f>
        <v>ORD-00880</v>
      </c>
      <c r="B881" s="33">
        <f>Orders!B881</f>
        <v>45636</v>
      </c>
      <c r="C881" t="str">
        <f>Orders!C881</f>
        <v>CUST-0220</v>
      </c>
      <c r="D881" t="str">
        <f>Orders!D881</f>
        <v>PROD-025</v>
      </c>
      <c r="E881" t="str">
        <f>Orders!E881</f>
        <v>R014</v>
      </c>
      <c r="F881">
        <f>Orders!F881</f>
        <v>9</v>
      </c>
      <c r="G881" s="35">
        <f>Orders!G881</f>
        <v>4060</v>
      </c>
      <c r="H881" s="37">
        <f>Orders!H881</f>
        <v>11.5</v>
      </c>
      <c r="I881" s="39">
        <f>Orders!I881</f>
        <v>32337.9</v>
      </c>
      <c r="J881" t="str">
        <f>Orders!J881</f>
        <v>Completed</v>
      </c>
      <c r="K881" t="str">
        <f>Orders!K881</f>
        <v>Chennai</v>
      </c>
      <c r="L881" t="str">
        <f>IFERROR(VLOOKUP(D881,Products!$A$2:$F$61,3,FALSE),"")</f>
        <v>Grocery</v>
      </c>
      <c r="M881">
        <f>IFERROR(VLOOKUP(D881,Products!$A$2:$F$61,4,FALSE),"")</f>
        <v>2911</v>
      </c>
      <c r="N881" t="str">
        <f>IFERROR(VLOOKUP(E881,Sales_Reps!$A$2:$E$31,3,FALSE),"")</f>
        <v>South</v>
      </c>
      <c r="O881" t="str">
        <f>IFERROR(VLOOKUP(C881,Customers!$A$2:$F$301,5,FALSE),"")</f>
        <v>Retail</v>
      </c>
      <c r="P881">
        <f>IFERROR(VLOOKUP(C881,Customers!$A$2:$F$301,3,FALSE),"")</f>
        <v>34</v>
      </c>
      <c r="Q881" s="41">
        <f t="shared" si="22"/>
        <v>0.28300492610837441</v>
      </c>
      <c r="R881" t="str">
        <f>IFERROR(VLOOKUP(C881,Customers!$A$2:$F$301,1,FALSE),"")</f>
        <v>CUST-0220</v>
      </c>
      <c r="S881" s="27" t="b">
        <f>IFERROR(VLOOKUP(D881,Products!$A$2:$F$61,6,FALSE),"")</f>
        <v>1</v>
      </c>
      <c r="BL881">
        <v>0</v>
      </c>
      <c r="BO881">
        <v>0</v>
      </c>
      <c r="BP881">
        <v>0</v>
      </c>
    </row>
    <row r="882" spans="1:68" x14ac:dyDescent="0.35">
      <c r="A882" s="26" t="str">
        <f>Orders!A882</f>
        <v>ORD-00881</v>
      </c>
      <c r="B882" s="33">
        <f>Orders!B882</f>
        <v>45517</v>
      </c>
      <c r="C882" t="str">
        <f>Orders!C882</f>
        <v>CUST-0298</v>
      </c>
      <c r="D882" t="str">
        <f>Orders!D882</f>
        <v>PROD-021</v>
      </c>
      <c r="E882" t="str">
        <f>Orders!E882</f>
        <v>R012</v>
      </c>
      <c r="F882">
        <f>Orders!F882</f>
        <v>10</v>
      </c>
      <c r="G882" s="35">
        <f>Orders!G882</f>
        <v>2760</v>
      </c>
      <c r="H882" s="37">
        <f>Orders!H882</f>
        <v>3.9</v>
      </c>
      <c r="I882" s="39">
        <f>Orders!I882</f>
        <v>26523.599999999999</v>
      </c>
      <c r="J882" t="str">
        <f>Orders!J882</f>
        <v>Refunded</v>
      </c>
      <c r="K882" t="str">
        <f>Orders!K882</f>
        <v>Delhi</v>
      </c>
      <c r="L882" t="str">
        <f>IFERROR(VLOOKUP(D882,Products!$A$2:$F$61,3,FALSE),"")</f>
        <v>Grocery</v>
      </c>
      <c r="M882">
        <f>IFERROR(VLOOKUP(D882,Products!$A$2:$F$61,4,FALSE),"")</f>
        <v>1435</v>
      </c>
      <c r="N882" t="str">
        <f>IFERROR(VLOOKUP(E882,Sales_Reps!$A$2:$E$31,3,FALSE),"")</f>
        <v>South</v>
      </c>
      <c r="O882" t="str">
        <f>IFERROR(VLOOKUP(C882,Customers!$A$2:$F$301,5,FALSE),"")</f>
        <v>Retail</v>
      </c>
      <c r="P882">
        <f>IFERROR(VLOOKUP(C882,Customers!$A$2:$F$301,3,FALSE),"")</f>
        <v>44</v>
      </c>
      <c r="Q882" s="41">
        <f t="shared" si="22"/>
        <v>0.48007246376811596</v>
      </c>
      <c r="R882" t="str">
        <f>IFERROR(VLOOKUP(C882,Customers!$A$2:$F$301,1,FALSE),"")</f>
        <v>CUST-0298</v>
      </c>
      <c r="S882" s="27" t="b">
        <f>IFERROR(VLOOKUP(D882,Products!$A$2:$F$61,6,FALSE),"")</f>
        <v>1</v>
      </c>
      <c r="BL882">
        <v>0.5</v>
      </c>
      <c r="BO882">
        <v>0</v>
      </c>
      <c r="BP882">
        <v>0</v>
      </c>
    </row>
    <row r="883" spans="1:68" x14ac:dyDescent="0.35">
      <c r="A883" s="26" t="str">
        <f>Orders!A883</f>
        <v>ORD-00882</v>
      </c>
      <c r="B883" s="33">
        <f>Orders!B883</f>
        <v>45593</v>
      </c>
      <c r="C883" t="str">
        <f>Orders!C883</f>
        <v>CUST-0222</v>
      </c>
      <c r="D883" t="str">
        <f>Orders!D883</f>
        <v>PROD-040</v>
      </c>
      <c r="E883" t="str">
        <f>Orders!E883</f>
        <v>R021</v>
      </c>
      <c r="F883">
        <f>Orders!F883</f>
        <v>10</v>
      </c>
      <c r="G883" s="35">
        <f>Orders!G883</f>
        <v>1080</v>
      </c>
      <c r="H883" s="37">
        <f>Orders!H883</f>
        <v>21.4</v>
      </c>
      <c r="I883" s="39">
        <f>Orders!I883</f>
        <v>8488.7999999999993</v>
      </c>
      <c r="J883" t="str">
        <f>Orders!J883</f>
        <v>Completed</v>
      </c>
      <c r="K883" t="str">
        <f>Orders!K883</f>
        <v>Chennai</v>
      </c>
      <c r="L883" t="str">
        <f>IFERROR(VLOOKUP(D883,Products!$A$2:$F$61,3,FALSE),"")</f>
        <v>Home</v>
      </c>
      <c r="M883">
        <f>IFERROR(VLOOKUP(D883,Products!$A$2:$F$61,4,FALSE),"")</f>
        <v>519</v>
      </c>
      <c r="N883" t="str">
        <f>IFERROR(VLOOKUP(E883,Sales_Reps!$A$2:$E$31,3,FALSE),"")</f>
        <v>East</v>
      </c>
      <c r="O883" t="str">
        <f>IFERROR(VLOOKUP(C883,Customers!$A$2:$F$301,5,FALSE),"")</f>
        <v>Retail</v>
      </c>
      <c r="P883">
        <f>IFERROR(VLOOKUP(C883,Customers!$A$2:$F$301,3,FALSE),"")</f>
        <v>37</v>
      </c>
      <c r="Q883" s="41">
        <f t="shared" si="22"/>
        <v>0.51944444444444449</v>
      </c>
      <c r="R883" t="str">
        <f>IFERROR(VLOOKUP(C883,Customers!$A$2:$F$301,1,FALSE),"")</f>
        <v>CUST-0222</v>
      </c>
      <c r="S883" s="27" t="b">
        <f>IFERROR(VLOOKUP(D883,Products!$A$2:$F$61,6,FALSE),"")</f>
        <v>1</v>
      </c>
      <c r="BL883">
        <v>0</v>
      </c>
      <c r="BO883">
        <v>0</v>
      </c>
      <c r="BP883">
        <v>0</v>
      </c>
    </row>
    <row r="884" spans="1:68" x14ac:dyDescent="0.35">
      <c r="A884" s="26" t="str">
        <f>Orders!A884</f>
        <v>ORD-00883</v>
      </c>
      <c r="B884" s="33">
        <f>Orders!B884</f>
        <v>45497</v>
      </c>
      <c r="C884" t="str">
        <f>Orders!C884</f>
        <v>CUST-0049</v>
      </c>
      <c r="D884" t="str">
        <f>Orders!D884</f>
        <v>PROD-034</v>
      </c>
      <c r="E884" t="str">
        <f>Orders!E884</f>
        <v>R023</v>
      </c>
      <c r="F884">
        <f>Orders!F884</f>
        <v>6</v>
      </c>
      <c r="G884" s="35">
        <f>Orders!G884</f>
        <v>5080</v>
      </c>
      <c r="H884" s="37">
        <f>Orders!H884</f>
        <v>29.8</v>
      </c>
      <c r="I884" s="39">
        <f>Orders!I884</f>
        <v>21396.959999999999</v>
      </c>
      <c r="J884" t="str">
        <f>Orders!J884</f>
        <v>Pending</v>
      </c>
      <c r="K884" t="str">
        <f>Orders!K884</f>
        <v>Mumbai</v>
      </c>
      <c r="L884" t="str">
        <f>IFERROR(VLOOKUP(D884,Products!$A$2:$F$61,3,FALSE),"")</f>
        <v>Home</v>
      </c>
      <c r="M884">
        <f>IFERROR(VLOOKUP(D884,Products!$A$2:$F$61,4,FALSE),"")</f>
        <v>2459</v>
      </c>
      <c r="N884" t="str">
        <f>IFERROR(VLOOKUP(E884,Sales_Reps!$A$2:$E$31,3,FALSE),"")</f>
        <v>East</v>
      </c>
      <c r="O884" t="str">
        <f>IFERROR(VLOOKUP(C884,Customers!$A$2:$F$301,5,FALSE),"")</f>
        <v>Corporate</v>
      </c>
      <c r="P884">
        <f>IFERROR(VLOOKUP(C884,Customers!$A$2:$F$301,3,FALSE),"")</f>
        <v>42</v>
      </c>
      <c r="Q884" s="41">
        <f t="shared" si="22"/>
        <v>0.51594488188976373</v>
      </c>
      <c r="R884" t="str">
        <f>IFERROR(VLOOKUP(C884,Customers!$A$2:$F$301,1,FALSE),"")</f>
        <v>CUST-0049</v>
      </c>
      <c r="S884" s="27" t="b">
        <f>IFERROR(VLOOKUP(D884,Products!$A$2:$F$61,6,FALSE),"")</f>
        <v>1</v>
      </c>
      <c r="BL884">
        <v>0</v>
      </c>
      <c r="BO884">
        <v>0</v>
      </c>
      <c r="BP884">
        <v>0</v>
      </c>
    </row>
    <row r="885" spans="1:68" x14ac:dyDescent="0.35">
      <c r="A885" s="26" t="str">
        <f>Orders!A885</f>
        <v>ORD-00884</v>
      </c>
      <c r="B885" s="33">
        <f>Orders!B885</f>
        <v>45293</v>
      </c>
      <c r="C885" t="str">
        <f>Orders!C885</f>
        <v>CUST-0147</v>
      </c>
      <c r="D885" t="str">
        <f>Orders!D885</f>
        <v>PROD-046</v>
      </c>
      <c r="E885" t="str">
        <f>Orders!E885</f>
        <v>R030</v>
      </c>
      <c r="F885">
        <f>Orders!F885</f>
        <v>1</v>
      </c>
      <c r="G885" s="35">
        <f>Orders!G885</f>
        <v>4880</v>
      </c>
      <c r="H885" s="37">
        <f>Orders!H885</f>
        <v>28.2</v>
      </c>
      <c r="I885" s="39">
        <f>Orders!I885</f>
        <v>3503.84</v>
      </c>
      <c r="J885" t="str">
        <f>Orders!J885</f>
        <v>Completed</v>
      </c>
      <c r="K885" t="str">
        <f>Orders!K885</f>
        <v>Pune</v>
      </c>
      <c r="L885" t="str">
        <f>IFERROR(VLOOKUP(D885,Products!$A$2:$F$61,3,FALSE),"")</f>
        <v>Beauty</v>
      </c>
      <c r="M885">
        <f>IFERROR(VLOOKUP(D885,Products!$A$2:$F$61,4,FALSE),"")</f>
        <v>2768</v>
      </c>
      <c r="N885" t="str">
        <f>IFERROR(VLOOKUP(E885,Sales_Reps!$A$2:$E$31,3,FALSE),"")</f>
        <v>West</v>
      </c>
      <c r="O885" t="str">
        <f>IFERROR(VLOOKUP(C885,Customers!$A$2:$F$301,5,FALSE),"")</f>
        <v>Retail</v>
      </c>
      <c r="P885">
        <f>IFERROR(VLOOKUP(C885,Customers!$A$2:$F$301,3,FALSE),"")</f>
        <v>56</v>
      </c>
      <c r="Q885" s="41">
        <f t="shared" si="22"/>
        <v>0.43278688524590164</v>
      </c>
      <c r="R885" t="str">
        <f>IFERROR(VLOOKUP(C885,Customers!$A$2:$F$301,1,FALSE),"")</f>
        <v>CUST-0147</v>
      </c>
      <c r="S885" s="27" t="b">
        <f>IFERROR(VLOOKUP(D885,Products!$A$2:$F$61,6,FALSE),"")</f>
        <v>1</v>
      </c>
      <c r="BL885">
        <v>0</v>
      </c>
      <c r="BO885">
        <v>0</v>
      </c>
      <c r="BP885">
        <v>0</v>
      </c>
    </row>
    <row r="886" spans="1:68" x14ac:dyDescent="0.35">
      <c r="A886" s="26" t="str">
        <f>Orders!A886</f>
        <v>ORD-00885</v>
      </c>
      <c r="B886" s="33">
        <f>Orders!B886</f>
        <v>45562</v>
      </c>
      <c r="C886" t="str">
        <f>Orders!C886</f>
        <v>CUST-0177</v>
      </c>
      <c r="D886" t="str">
        <f>Orders!D886</f>
        <v>PROD-022</v>
      </c>
      <c r="E886" t="str">
        <f>Orders!E886</f>
        <v>R027</v>
      </c>
      <c r="F886">
        <f>Orders!F886</f>
        <v>1</v>
      </c>
      <c r="G886" s="35">
        <f>Orders!G886</f>
        <v>2270</v>
      </c>
      <c r="H886" s="37">
        <f>Orders!H886</f>
        <v>27.8</v>
      </c>
      <c r="I886" s="39">
        <f>Orders!I886</f>
        <v>1638.94</v>
      </c>
      <c r="J886" t="str">
        <f>Orders!J886</f>
        <v>Completed</v>
      </c>
      <c r="K886" t="str">
        <f>Orders!K886</f>
        <v>Mumbai</v>
      </c>
      <c r="L886" t="str">
        <f>IFERROR(VLOOKUP(D886,Products!$A$2:$F$61,3,FALSE),"")</f>
        <v>Grocery</v>
      </c>
      <c r="M886">
        <f>IFERROR(VLOOKUP(D886,Products!$A$2:$F$61,4,FALSE),"")</f>
        <v>1412</v>
      </c>
      <c r="N886" t="str">
        <f>IFERROR(VLOOKUP(E886,Sales_Reps!$A$2:$E$31,3,FALSE),"")</f>
        <v>West</v>
      </c>
      <c r="O886" t="str">
        <f>IFERROR(VLOOKUP(C886,Customers!$A$2:$F$301,5,FALSE),"")</f>
        <v>SMB</v>
      </c>
      <c r="P886">
        <f>IFERROR(VLOOKUP(C886,Customers!$A$2:$F$301,3,FALSE),"")</f>
        <v>36</v>
      </c>
      <c r="Q886" s="41">
        <f t="shared" si="22"/>
        <v>0.37797356828193834</v>
      </c>
      <c r="R886" t="str">
        <f>IFERROR(VLOOKUP(C886,Customers!$A$2:$F$301,1,FALSE),"")</f>
        <v>CUST-0177</v>
      </c>
      <c r="S886" s="27" t="b">
        <f>IFERROR(VLOOKUP(D886,Products!$A$2:$F$61,6,FALSE),"")</f>
        <v>1</v>
      </c>
      <c r="BL886">
        <v>0</v>
      </c>
      <c r="BO886">
        <v>0</v>
      </c>
      <c r="BP886">
        <v>0</v>
      </c>
    </row>
    <row r="887" spans="1:68" x14ac:dyDescent="0.35">
      <c r="A887" s="26" t="str">
        <f>Orders!A887</f>
        <v>ORD-00886</v>
      </c>
      <c r="B887" s="33">
        <f>Orders!B887</f>
        <v>45638</v>
      </c>
      <c r="C887" t="str">
        <f>Orders!C887</f>
        <v>CUST-0121</v>
      </c>
      <c r="D887" t="str">
        <f>Orders!D887</f>
        <v>PROD-006</v>
      </c>
      <c r="E887" t="str">
        <f>Orders!E887</f>
        <v>R019</v>
      </c>
      <c r="F887">
        <f>Orders!F887</f>
        <v>9</v>
      </c>
      <c r="G887" s="35">
        <f>Orders!G887</f>
        <v>3970</v>
      </c>
      <c r="H887" s="37">
        <f>Orders!H887</f>
        <v>7</v>
      </c>
      <c r="I887" s="39">
        <f>Orders!I887</f>
        <v>33228.9</v>
      </c>
      <c r="J887" t="str">
        <f>Orders!J887</f>
        <v>Completed</v>
      </c>
      <c r="K887" t="str">
        <f>Orders!K887</f>
        <v>Delhi</v>
      </c>
      <c r="L887" t="str">
        <f>IFERROR(VLOOKUP(D887,Products!$A$2:$F$61,3,FALSE),"")</f>
        <v>Electronics</v>
      </c>
      <c r="M887">
        <f>IFERROR(VLOOKUP(D887,Products!$A$2:$F$61,4,FALSE),"")</f>
        <v>2865</v>
      </c>
      <c r="N887" t="str">
        <f>IFERROR(VLOOKUP(E887,Sales_Reps!$A$2:$E$31,3,FALSE),"")</f>
        <v>East</v>
      </c>
      <c r="O887" t="str">
        <f>IFERROR(VLOOKUP(C887,Customers!$A$2:$F$301,5,FALSE),"")</f>
        <v>SMB</v>
      </c>
      <c r="P887">
        <f>IFERROR(VLOOKUP(C887,Customers!$A$2:$F$301,3,FALSE),"")</f>
        <v>55</v>
      </c>
      <c r="Q887" s="41">
        <f t="shared" si="22"/>
        <v>0.27833753148614609</v>
      </c>
      <c r="R887" t="str">
        <f>IFERROR(VLOOKUP(C887,Customers!$A$2:$F$301,1,FALSE),"")</f>
        <v>CUST-0121</v>
      </c>
      <c r="S887" s="27" t="b">
        <f>IFERROR(VLOOKUP(D887,Products!$A$2:$F$61,6,FALSE),"")</f>
        <v>1</v>
      </c>
      <c r="BL887">
        <v>0</v>
      </c>
      <c r="BO887">
        <v>0</v>
      </c>
      <c r="BP887">
        <v>0</v>
      </c>
    </row>
    <row r="888" spans="1:68" x14ac:dyDescent="0.35">
      <c r="A888" s="26" t="str">
        <f>Orders!A888</f>
        <v>ORD-00887</v>
      </c>
      <c r="B888" s="33">
        <f>Orders!B888</f>
        <v>45408</v>
      </c>
      <c r="C888" t="str">
        <f>Orders!C888</f>
        <v>CUST-0262</v>
      </c>
      <c r="D888" t="str">
        <f>Orders!D888</f>
        <v>PROD-048</v>
      </c>
      <c r="E888" t="str">
        <f>Orders!E888</f>
        <v>R003</v>
      </c>
      <c r="F888">
        <f>Orders!F888</f>
        <v>9</v>
      </c>
      <c r="G888" s="35">
        <f>Orders!G888</f>
        <v>5100</v>
      </c>
      <c r="H888" s="37">
        <f>Orders!H888</f>
        <v>9.6999999999999993</v>
      </c>
      <c r="I888" s="39">
        <f>Orders!I888</f>
        <v>41447.699999999997</v>
      </c>
      <c r="J888" t="str">
        <f>Orders!J888</f>
        <v>Completed</v>
      </c>
      <c r="K888" t="str">
        <f>Orders!K888</f>
        <v>Mumbai</v>
      </c>
      <c r="L888" t="str">
        <f>IFERROR(VLOOKUP(D888,Products!$A$2:$F$61,3,FALSE),"")</f>
        <v>Beauty</v>
      </c>
      <c r="M888">
        <f>IFERROR(VLOOKUP(D888,Products!$A$2:$F$61,4,FALSE),"")</f>
        <v>2237</v>
      </c>
      <c r="N888" t="str">
        <f>IFERROR(VLOOKUP(E888,Sales_Reps!$A$2:$E$31,3,FALSE),"")</f>
        <v>North</v>
      </c>
      <c r="O888" t="str">
        <f>IFERROR(VLOOKUP(C888,Customers!$A$2:$F$301,5,FALSE),"")</f>
        <v>Retail</v>
      </c>
      <c r="P888">
        <f>IFERROR(VLOOKUP(C888,Customers!$A$2:$F$301,3,FALSE),"")</f>
        <v>52</v>
      </c>
      <c r="Q888" s="41">
        <f t="shared" si="22"/>
        <v>0.56137254901960787</v>
      </c>
      <c r="R888" t="str">
        <f>IFERROR(VLOOKUP(C888,Customers!$A$2:$F$301,1,FALSE),"")</f>
        <v>CUST-0262</v>
      </c>
      <c r="S888" s="27" t="b">
        <f>IFERROR(VLOOKUP(D888,Products!$A$2:$F$61,6,FALSE),"")</f>
        <v>1</v>
      </c>
      <c r="BL888">
        <v>0</v>
      </c>
      <c r="BO888">
        <v>0</v>
      </c>
      <c r="BP888">
        <v>0</v>
      </c>
    </row>
    <row r="889" spans="1:68" x14ac:dyDescent="0.35">
      <c r="A889" s="26" t="str">
        <f>Orders!A889</f>
        <v>ORD-00888</v>
      </c>
      <c r="B889" s="33">
        <f>Orders!B889</f>
        <v>45498</v>
      </c>
      <c r="C889" t="str">
        <f>Orders!C889</f>
        <v>CUST-0246</v>
      </c>
      <c r="D889" t="str">
        <f>Orders!D889</f>
        <v>PROD-060</v>
      </c>
      <c r="E889" t="str">
        <f>Orders!E889</f>
        <v>R005</v>
      </c>
      <c r="F889">
        <f>Orders!F889</f>
        <v>8</v>
      </c>
      <c r="G889" s="35">
        <f>Orders!G889</f>
        <v>190</v>
      </c>
      <c r="H889" s="37">
        <f>Orders!H889</f>
        <v>10.199999999999999</v>
      </c>
      <c r="I889" s="39">
        <f>Orders!I889</f>
        <v>1364.96</v>
      </c>
      <c r="J889" t="str">
        <f>Orders!J889</f>
        <v>Completed</v>
      </c>
      <c r="K889" t="str">
        <f>Orders!K889</f>
        <v>Delhi</v>
      </c>
      <c r="L889" t="str">
        <f>IFERROR(VLOOKUP(D889,Products!$A$2:$F$61,3,FALSE),"")</f>
        <v>Sports</v>
      </c>
      <c r="M889">
        <f>IFERROR(VLOOKUP(D889,Products!$A$2:$F$61,4,FALSE),"")</f>
        <v>147</v>
      </c>
      <c r="N889" t="str">
        <f>IFERROR(VLOOKUP(E889,Sales_Reps!$A$2:$E$31,3,FALSE),"")</f>
        <v>North</v>
      </c>
      <c r="O889" t="str">
        <f>IFERROR(VLOOKUP(C889,Customers!$A$2:$F$301,5,FALSE),"")</f>
        <v>SMB</v>
      </c>
      <c r="P889">
        <f>IFERROR(VLOOKUP(C889,Customers!$A$2:$F$301,3,FALSE),"")</f>
        <v>29</v>
      </c>
      <c r="Q889" s="41">
        <f t="shared" si="22"/>
        <v>0.22631578947368422</v>
      </c>
      <c r="R889" t="str">
        <f>IFERROR(VLOOKUP(C889,Customers!$A$2:$F$301,1,FALSE),"")</f>
        <v>CUST-0246</v>
      </c>
      <c r="S889" s="27" t="b">
        <f>IFERROR(VLOOKUP(D889,Products!$A$2:$F$61,6,FALSE),"")</f>
        <v>1</v>
      </c>
      <c r="BL889">
        <v>0</v>
      </c>
      <c r="BO889">
        <v>0</v>
      </c>
      <c r="BP889">
        <v>0</v>
      </c>
    </row>
    <row r="890" spans="1:68" x14ac:dyDescent="0.35">
      <c r="A890" s="26" t="str">
        <f>Orders!A890</f>
        <v>ORD-00889</v>
      </c>
      <c r="B890" s="33">
        <f>Orders!B890</f>
        <v>45649</v>
      </c>
      <c r="C890" t="str">
        <f>Orders!C890</f>
        <v>CUST-0070</v>
      </c>
      <c r="D890" t="str">
        <f>Orders!D890</f>
        <v>PROD-050</v>
      </c>
      <c r="E890" t="str">
        <f>Orders!E890</f>
        <v>R026</v>
      </c>
      <c r="F890">
        <f>Orders!F890</f>
        <v>1</v>
      </c>
      <c r="G890" s="35">
        <f>Orders!G890</f>
        <v>6080</v>
      </c>
      <c r="H890" s="37">
        <f>Orders!H890</f>
        <v>5.6</v>
      </c>
      <c r="I890" s="39">
        <f>Orders!I890</f>
        <v>5739.52</v>
      </c>
      <c r="J890" t="str">
        <f>Orders!J890</f>
        <v>Completed</v>
      </c>
      <c r="K890" t="str">
        <f>Orders!K890</f>
        <v>Mumbai</v>
      </c>
      <c r="L890" t="str">
        <f>IFERROR(VLOOKUP(D890,Products!$A$2:$F$61,3,FALSE),"")</f>
        <v>Beauty</v>
      </c>
      <c r="M890">
        <f>IFERROR(VLOOKUP(D890,Products!$A$2:$F$61,4,FALSE),"")</f>
        <v>2617</v>
      </c>
      <c r="N890" t="str">
        <f>IFERROR(VLOOKUP(E890,Sales_Reps!$A$2:$E$31,3,FALSE),"")</f>
        <v>West</v>
      </c>
      <c r="O890" t="str">
        <f>IFERROR(VLOOKUP(C890,Customers!$A$2:$F$301,5,FALSE),"")</f>
        <v>Retail</v>
      </c>
      <c r="P890">
        <f>IFERROR(VLOOKUP(C890,Customers!$A$2:$F$301,3,FALSE),"")</f>
        <v>42</v>
      </c>
      <c r="Q890" s="41">
        <f t="shared" si="22"/>
        <v>0.56957236842105263</v>
      </c>
      <c r="R890" t="str">
        <f>IFERROR(VLOOKUP(C890,Customers!$A$2:$F$301,1,FALSE),"")</f>
        <v>CUST-0070</v>
      </c>
      <c r="S890" s="27" t="b">
        <f>IFERROR(VLOOKUP(D890,Products!$A$2:$F$61,6,FALSE),"")</f>
        <v>1</v>
      </c>
      <c r="BL890">
        <v>0</v>
      </c>
      <c r="BO890">
        <v>0</v>
      </c>
      <c r="BP890">
        <v>0</v>
      </c>
    </row>
    <row r="891" spans="1:68" x14ac:dyDescent="0.35">
      <c r="A891" s="26" t="str">
        <f>Orders!A891</f>
        <v>ORD-00890</v>
      </c>
      <c r="B891" s="33">
        <f>Orders!B891</f>
        <v>45484</v>
      </c>
      <c r="C891" t="str">
        <f>Orders!C891</f>
        <v>CUST-0218</v>
      </c>
      <c r="D891" t="str">
        <f>Orders!D891</f>
        <v>PROD-057</v>
      </c>
      <c r="E891" t="str">
        <f>Orders!E891</f>
        <v>R020</v>
      </c>
      <c r="F891">
        <f>Orders!F891</f>
        <v>6</v>
      </c>
      <c r="G891" s="35">
        <f>Orders!G891</f>
        <v>960</v>
      </c>
      <c r="H891" s="37">
        <f>Orders!H891</f>
        <v>1.9</v>
      </c>
      <c r="I891" s="39">
        <f>Orders!I891</f>
        <v>5650.56</v>
      </c>
      <c r="J891" t="str">
        <f>Orders!J891</f>
        <v>Completed</v>
      </c>
      <c r="K891" t="str">
        <f>Orders!K891</f>
        <v>Mumbai</v>
      </c>
      <c r="L891" t="str">
        <f>IFERROR(VLOOKUP(D891,Products!$A$2:$F$61,3,FALSE),"")</f>
        <v>Sports</v>
      </c>
      <c r="M891">
        <f>IFERROR(VLOOKUP(D891,Products!$A$2:$F$61,4,FALSE),"")</f>
        <v>705</v>
      </c>
      <c r="N891" t="str">
        <f>IFERROR(VLOOKUP(E891,Sales_Reps!$A$2:$E$31,3,FALSE),"")</f>
        <v>East</v>
      </c>
      <c r="O891" t="str">
        <f>IFERROR(VLOOKUP(C891,Customers!$A$2:$F$301,5,FALSE),"")</f>
        <v>Retail</v>
      </c>
      <c r="P891">
        <f>IFERROR(VLOOKUP(C891,Customers!$A$2:$F$301,3,FALSE),"")</f>
        <v>39</v>
      </c>
      <c r="Q891" s="41">
        <f t="shared" si="22"/>
        <v>0.265625</v>
      </c>
      <c r="R891" t="str">
        <f>IFERROR(VLOOKUP(C891,Customers!$A$2:$F$301,1,FALSE),"")</f>
        <v>CUST-0218</v>
      </c>
      <c r="S891" s="27" t="b">
        <f>IFERROR(VLOOKUP(D891,Products!$A$2:$F$61,6,FALSE),"")</f>
        <v>1</v>
      </c>
      <c r="BL891">
        <v>0</v>
      </c>
      <c r="BO891">
        <v>0</v>
      </c>
      <c r="BP891">
        <v>0</v>
      </c>
    </row>
    <row r="892" spans="1:68" x14ac:dyDescent="0.35">
      <c r="A892" s="26" t="str">
        <f>Orders!A892</f>
        <v>ORD-00891</v>
      </c>
      <c r="B892" s="33">
        <f>Orders!B892</f>
        <v>45316</v>
      </c>
      <c r="C892" t="str">
        <f>Orders!C892</f>
        <v>CUST-0068</v>
      </c>
      <c r="D892" t="str">
        <f>Orders!D892</f>
        <v>PROD-041</v>
      </c>
      <c r="E892" t="str">
        <f>Orders!E892</f>
        <v>R004</v>
      </c>
      <c r="F892">
        <f>Orders!F892</f>
        <v>7</v>
      </c>
      <c r="G892" s="35">
        <f>Orders!G892</f>
        <v>1540</v>
      </c>
      <c r="H892" s="37">
        <f>Orders!H892</f>
        <v>7.1</v>
      </c>
      <c r="I892" s="39">
        <f>Orders!I892</f>
        <v>10014.620000000001</v>
      </c>
      <c r="J892" t="str">
        <f>Orders!J892</f>
        <v>Completed</v>
      </c>
      <c r="K892" t="str">
        <f>Orders!K892</f>
        <v>Delhi</v>
      </c>
      <c r="L892" t="str">
        <f>IFERROR(VLOOKUP(D892,Products!$A$2:$F$61,3,FALSE),"")</f>
        <v>Beauty</v>
      </c>
      <c r="M892">
        <f>IFERROR(VLOOKUP(D892,Products!$A$2:$F$61,4,FALSE),"")</f>
        <v>647</v>
      </c>
      <c r="N892" t="str">
        <f>IFERROR(VLOOKUP(E892,Sales_Reps!$A$2:$E$31,3,FALSE),"")</f>
        <v>North</v>
      </c>
      <c r="O892" t="str">
        <f>IFERROR(VLOOKUP(C892,Customers!$A$2:$F$301,5,FALSE),"")</f>
        <v>SMB</v>
      </c>
      <c r="P892">
        <f>IFERROR(VLOOKUP(C892,Customers!$A$2:$F$301,3,FALSE),"")</f>
        <v>48</v>
      </c>
      <c r="Q892" s="41">
        <f t="shared" si="22"/>
        <v>0.57987012987012987</v>
      </c>
      <c r="R892" t="str">
        <f>IFERROR(VLOOKUP(C892,Customers!$A$2:$F$301,1,FALSE),"")</f>
        <v>CUST-0068</v>
      </c>
      <c r="S892" s="27" t="b">
        <f>IFERROR(VLOOKUP(D892,Products!$A$2:$F$61,6,FALSE),"")</f>
        <v>0</v>
      </c>
      <c r="BL892">
        <v>0</v>
      </c>
      <c r="BO892">
        <v>0</v>
      </c>
      <c r="BP892">
        <v>1</v>
      </c>
    </row>
    <row r="893" spans="1:68" x14ac:dyDescent="0.35">
      <c r="A893" s="26" t="str">
        <f>Orders!A893</f>
        <v>ORD-00892</v>
      </c>
      <c r="B893" s="33">
        <f>Orders!B893</f>
        <v>45328</v>
      </c>
      <c r="C893" t="str">
        <f>Orders!C893</f>
        <v>CUST-0261</v>
      </c>
      <c r="D893" t="str">
        <f>Orders!D893</f>
        <v>PROD-005</v>
      </c>
      <c r="E893" t="str">
        <f>Orders!E893</f>
        <v>R011</v>
      </c>
      <c r="F893">
        <f>Orders!F893</f>
        <v>10</v>
      </c>
      <c r="G893" s="35">
        <f>Orders!G893</f>
        <v>300</v>
      </c>
      <c r="H893" s="37">
        <f>Orders!H893</f>
        <v>12.8</v>
      </c>
      <c r="I893" s="39">
        <f>Orders!I893</f>
        <v>2616</v>
      </c>
      <c r="J893" t="str">
        <f>Orders!J893</f>
        <v>Cancelled</v>
      </c>
      <c r="K893" t="str">
        <f>Orders!K893</f>
        <v>Delhi</v>
      </c>
      <c r="L893" t="str">
        <f>IFERROR(VLOOKUP(D893,Products!$A$2:$F$61,3,FALSE),"")</f>
        <v>Electronics</v>
      </c>
      <c r="M893">
        <f>IFERROR(VLOOKUP(D893,Products!$A$2:$F$61,4,FALSE),"")</f>
        <v>128</v>
      </c>
      <c r="N893" t="str">
        <f>IFERROR(VLOOKUP(E893,Sales_Reps!$A$2:$E$31,3,FALSE),"")</f>
        <v>South</v>
      </c>
      <c r="O893" t="str">
        <f>IFERROR(VLOOKUP(C893,Customers!$A$2:$F$301,5,FALSE),"")</f>
        <v>Retail</v>
      </c>
      <c r="P893">
        <f>IFERROR(VLOOKUP(C893,Customers!$A$2:$F$301,3,FALSE),"")</f>
        <v>54</v>
      </c>
      <c r="Q893" s="41">
        <f t="shared" si="22"/>
        <v>0.57333333333333336</v>
      </c>
      <c r="R893" t="str">
        <f>IFERROR(VLOOKUP(C893,Customers!$A$2:$F$301,1,FALSE),"")</f>
        <v>CUST-0261</v>
      </c>
      <c r="S893" s="27" t="b">
        <f>IFERROR(VLOOKUP(D893,Products!$A$2:$F$61,6,FALSE),"")</f>
        <v>1</v>
      </c>
      <c r="BL893">
        <v>0</v>
      </c>
      <c r="BO893">
        <v>0</v>
      </c>
      <c r="BP893">
        <v>0</v>
      </c>
    </row>
    <row r="894" spans="1:68" x14ac:dyDescent="0.35">
      <c r="A894" s="26" t="str">
        <f>Orders!A894</f>
        <v>ORD-00893</v>
      </c>
      <c r="B894" s="33">
        <f>Orders!B894</f>
        <v>45456</v>
      </c>
      <c r="C894" t="str">
        <f>Orders!C894</f>
        <v>CUST-0077</v>
      </c>
      <c r="D894" t="str">
        <f>Orders!D894</f>
        <v>PROD-046</v>
      </c>
      <c r="E894" t="str">
        <f>Orders!E894</f>
        <v>R011</v>
      </c>
      <c r="F894">
        <f>Orders!F894</f>
        <v>4</v>
      </c>
      <c r="G894" s="35">
        <f>Orders!G894</f>
        <v>4880</v>
      </c>
      <c r="H894" s="37">
        <f>Orders!H894</f>
        <v>26.5</v>
      </c>
      <c r="I894" s="39">
        <f>Orders!I894</f>
        <v>14347.2</v>
      </c>
      <c r="J894" t="str">
        <f>Orders!J894</f>
        <v>Completed</v>
      </c>
      <c r="K894" t="str">
        <f>Orders!K894</f>
        <v>Hyderabad</v>
      </c>
      <c r="L894" t="str">
        <f>IFERROR(VLOOKUP(D894,Products!$A$2:$F$61,3,FALSE),"")</f>
        <v>Beauty</v>
      </c>
      <c r="M894">
        <f>IFERROR(VLOOKUP(D894,Products!$A$2:$F$61,4,FALSE),"")</f>
        <v>2768</v>
      </c>
      <c r="N894" t="str">
        <f>IFERROR(VLOOKUP(E894,Sales_Reps!$A$2:$E$31,3,FALSE),"")</f>
        <v>South</v>
      </c>
      <c r="O894" t="str">
        <f>IFERROR(VLOOKUP(C894,Customers!$A$2:$F$301,5,FALSE),"")</f>
        <v>SMB</v>
      </c>
      <c r="P894">
        <f>IFERROR(VLOOKUP(C894,Customers!$A$2:$F$301,3,FALSE),"")</f>
        <v>48</v>
      </c>
      <c r="Q894" s="41">
        <f t="shared" si="22"/>
        <v>0.43278688524590164</v>
      </c>
      <c r="R894" t="str">
        <f>IFERROR(VLOOKUP(C894,Customers!$A$2:$F$301,1,FALSE),"")</f>
        <v>CUST-0077</v>
      </c>
      <c r="S894" s="27" t="b">
        <f>IFERROR(VLOOKUP(D894,Products!$A$2:$F$61,6,FALSE),"")</f>
        <v>1</v>
      </c>
      <c r="BL894">
        <v>0</v>
      </c>
      <c r="BO894">
        <v>0</v>
      </c>
      <c r="BP894">
        <v>0</v>
      </c>
    </row>
    <row r="895" spans="1:68" x14ac:dyDescent="0.35">
      <c r="A895" s="26" t="str">
        <f>Orders!A895</f>
        <v>ORD-00894</v>
      </c>
      <c r="B895" s="33">
        <f>Orders!B895</f>
        <v>45589</v>
      </c>
      <c r="C895" t="str">
        <f>Orders!C895</f>
        <v>CUST-0188</v>
      </c>
      <c r="D895" t="str">
        <f>Orders!D895</f>
        <v>PROD-032</v>
      </c>
      <c r="E895" t="str">
        <f>Orders!E895</f>
        <v>R003</v>
      </c>
      <c r="F895">
        <f>Orders!F895</f>
        <v>2</v>
      </c>
      <c r="G895" s="35">
        <f>Orders!G895</f>
        <v>370</v>
      </c>
      <c r="H895" s="37">
        <f>Orders!H895</f>
        <v>26.5</v>
      </c>
      <c r="I895" s="39">
        <f>Orders!I895</f>
        <v>543.9</v>
      </c>
      <c r="J895" t="str">
        <f>Orders!J895</f>
        <v>Completed</v>
      </c>
      <c r="K895" t="str">
        <f>Orders!K895</f>
        <v>Bengaluru</v>
      </c>
      <c r="L895" t="str">
        <f>IFERROR(VLOOKUP(D895,Products!$A$2:$F$61,3,FALSE),"")</f>
        <v>Home</v>
      </c>
      <c r="M895">
        <f>IFERROR(VLOOKUP(D895,Products!$A$2:$F$61,4,FALSE),"")</f>
        <v>288</v>
      </c>
      <c r="N895" t="str">
        <f>IFERROR(VLOOKUP(E895,Sales_Reps!$A$2:$E$31,3,FALSE),"")</f>
        <v>North</v>
      </c>
      <c r="O895" t="str">
        <f>IFERROR(VLOOKUP(C895,Customers!$A$2:$F$301,5,FALSE),"")</f>
        <v>Retail</v>
      </c>
      <c r="P895">
        <f>IFERROR(VLOOKUP(C895,Customers!$A$2:$F$301,3,FALSE),"")</f>
        <v>54</v>
      </c>
      <c r="Q895" s="41">
        <f t="shared" si="22"/>
        <v>0.22162162162162163</v>
      </c>
      <c r="R895" t="str">
        <f>IFERROR(VLOOKUP(C895,Customers!$A$2:$F$301,1,FALSE),"")</f>
        <v>CUST-0188</v>
      </c>
      <c r="S895" s="27" t="b">
        <f>IFERROR(VLOOKUP(D895,Products!$A$2:$F$61,6,FALSE),"")</f>
        <v>1</v>
      </c>
      <c r="BL895">
        <v>0</v>
      </c>
      <c r="BO895">
        <v>0</v>
      </c>
      <c r="BP895">
        <v>0</v>
      </c>
    </row>
    <row r="896" spans="1:68" x14ac:dyDescent="0.35">
      <c r="A896" s="26" t="str">
        <f>Orders!A896</f>
        <v>ORD-00895</v>
      </c>
      <c r="B896" s="33">
        <f>Orders!B896</f>
        <v>45593</v>
      </c>
      <c r="C896" t="str">
        <f>Orders!C896</f>
        <v>CUST-0145</v>
      </c>
      <c r="D896" t="str">
        <f>Orders!D896</f>
        <v>PROD-039</v>
      </c>
      <c r="E896" t="str">
        <f>Orders!E896</f>
        <v>R002</v>
      </c>
      <c r="F896">
        <f>Orders!F896</f>
        <v>3</v>
      </c>
      <c r="G896" s="35">
        <f>Orders!G896</f>
        <v>4610</v>
      </c>
      <c r="H896" s="37">
        <f>Orders!H896</f>
        <v>29.7</v>
      </c>
      <c r="I896" s="39">
        <f>Orders!I896</f>
        <v>9722.49</v>
      </c>
      <c r="J896" t="str">
        <f>Orders!J896</f>
        <v>Completed</v>
      </c>
      <c r="K896" t="str">
        <f>Orders!K896</f>
        <v>Bengaluru</v>
      </c>
      <c r="L896" t="str">
        <f>IFERROR(VLOOKUP(D896,Products!$A$2:$F$61,3,FALSE),"")</f>
        <v>Home</v>
      </c>
      <c r="M896">
        <f>IFERROR(VLOOKUP(D896,Products!$A$2:$F$61,4,FALSE),"")</f>
        <v>1850</v>
      </c>
      <c r="N896" t="str">
        <f>IFERROR(VLOOKUP(E896,Sales_Reps!$A$2:$E$31,3,FALSE),"")</f>
        <v>North</v>
      </c>
      <c r="O896" t="str">
        <f>IFERROR(VLOOKUP(C896,Customers!$A$2:$F$301,5,FALSE),"")</f>
        <v>SMB</v>
      </c>
      <c r="P896">
        <f>IFERROR(VLOOKUP(C896,Customers!$A$2:$F$301,3,FALSE),"")</f>
        <v>44</v>
      </c>
      <c r="Q896" s="41">
        <f t="shared" si="22"/>
        <v>0.59869848156182215</v>
      </c>
      <c r="R896" t="str">
        <f>IFERROR(VLOOKUP(C896,Customers!$A$2:$F$301,1,FALSE),"")</f>
        <v>CUST-0145</v>
      </c>
      <c r="S896" s="27" t="b">
        <f>IFERROR(VLOOKUP(D896,Products!$A$2:$F$61,6,FALSE),"")</f>
        <v>1</v>
      </c>
      <c r="BL896">
        <v>0</v>
      </c>
      <c r="BO896">
        <v>0</v>
      </c>
      <c r="BP896">
        <v>0</v>
      </c>
    </row>
    <row r="897" spans="1:68" x14ac:dyDescent="0.35">
      <c r="A897" s="26" t="str">
        <f>Orders!A897</f>
        <v>ORD-00896</v>
      </c>
      <c r="B897" s="33">
        <f>Orders!B897</f>
        <v>45539</v>
      </c>
      <c r="C897" t="str">
        <f>Orders!C897</f>
        <v>CUST-0036</v>
      </c>
      <c r="D897" t="str">
        <f>Orders!D897</f>
        <v>PROD-002</v>
      </c>
      <c r="E897" t="str">
        <f>Orders!E897</f>
        <v>R013</v>
      </c>
      <c r="F897">
        <f>Orders!F897</f>
        <v>5</v>
      </c>
      <c r="G897" s="35">
        <f>Orders!G897</f>
        <v>2600</v>
      </c>
      <c r="H897" s="37">
        <f>Orders!H897</f>
        <v>21.4</v>
      </c>
      <c r="I897" s="39">
        <f>Orders!I897</f>
        <v>10218</v>
      </c>
      <c r="J897" t="str">
        <f>Orders!J897</f>
        <v>Completed</v>
      </c>
      <c r="K897" t="str">
        <f>Orders!K897</f>
        <v>Mumbai</v>
      </c>
      <c r="L897" t="str">
        <f>IFERROR(VLOOKUP(D897,Products!$A$2:$F$61,3,FALSE),"")</f>
        <v>Electronics</v>
      </c>
      <c r="M897">
        <f>IFERROR(VLOOKUP(D897,Products!$A$2:$F$61,4,FALSE),"")</f>
        <v>1052</v>
      </c>
      <c r="N897" t="str">
        <f>IFERROR(VLOOKUP(E897,Sales_Reps!$A$2:$E$31,3,FALSE),"")</f>
        <v>South</v>
      </c>
      <c r="O897" t="str">
        <f>IFERROR(VLOOKUP(C897,Customers!$A$2:$F$301,5,FALSE),"")</f>
        <v>Retail</v>
      </c>
      <c r="P897">
        <f>IFERROR(VLOOKUP(C897,Customers!$A$2:$F$301,3,FALSE),"")</f>
        <v>35</v>
      </c>
      <c r="Q897" s="41">
        <f t="shared" si="22"/>
        <v>0.5953846153846154</v>
      </c>
      <c r="R897" t="str">
        <f>IFERROR(VLOOKUP(C897,Customers!$A$2:$F$301,1,FALSE),"")</f>
        <v>CUST-0036</v>
      </c>
      <c r="S897" s="27" t="b">
        <f>IFERROR(VLOOKUP(D897,Products!$A$2:$F$61,6,FALSE),"")</f>
        <v>1</v>
      </c>
      <c r="BL897">
        <v>0</v>
      </c>
      <c r="BO897">
        <v>0</v>
      </c>
      <c r="BP897">
        <v>0</v>
      </c>
    </row>
    <row r="898" spans="1:68" x14ac:dyDescent="0.35">
      <c r="A898" s="26" t="str">
        <f>Orders!A898</f>
        <v>ORD-00600</v>
      </c>
      <c r="B898" s="33">
        <f>Orders!B898</f>
        <v>45436</v>
      </c>
      <c r="C898" t="str">
        <f>Orders!C898</f>
        <v>CUST-0269</v>
      </c>
      <c r="D898" t="str">
        <f>Orders!D898</f>
        <v>PROD-009</v>
      </c>
      <c r="E898" t="str">
        <f>Orders!E898</f>
        <v>R025</v>
      </c>
      <c r="F898">
        <f>Orders!F898</f>
        <v>10</v>
      </c>
      <c r="G898" s="35">
        <f>Orders!G898</f>
        <v>1220</v>
      </c>
      <c r="H898" s="37">
        <f>Orders!H898</f>
        <v>24.3</v>
      </c>
      <c r="I898" s="39">
        <f>Orders!I898</f>
        <v>9235.4</v>
      </c>
      <c r="J898" t="str">
        <f>Orders!J898</f>
        <v>Completed</v>
      </c>
      <c r="K898" t="str">
        <f>Orders!K898</f>
        <v>Pune</v>
      </c>
      <c r="L898" t="str">
        <f>IFERROR(VLOOKUP(D898,Products!$A$2:$F$61,3,FALSE),"")</f>
        <v>Electronics</v>
      </c>
      <c r="M898">
        <f>IFERROR(VLOOKUP(D898,Products!$A$2:$F$61,4,FALSE),"")</f>
        <v>517</v>
      </c>
      <c r="N898" t="str">
        <f>IFERROR(VLOOKUP(E898,Sales_Reps!$A$2:$E$31,3,FALSE),"")</f>
        <v>West</v>
      </c>
      <c r="O898" t="str">
        <f>IFERROR(VLOOKUP(C898,Customers!$A$2:$F$301,5,FALSE),"")</f>
        <v>Retail</v>
      </c>
      <c r="P898">
        <f>IFERROR(VLOOKUP(C898,Customers!$A$2:$F$301,3,FALSE),"")</f>
        <v>48</v>
      </c>
      <c r="Q898" s="41">
        <f t="shared" ref="Q898:Q961" si="23">IFERROR((G898-M898)/G898,0)</f>
        <v>0.57622950819672136</v>
      </c>
      <c r="R898" t="str">
        <f>IFERROR(VLOOKUP(C898,Customers!$A$2:$F$301,1,FALSE),"")</f>
        <v>CUST-0269</v>
      </c>
      <c r="S898" s="27" t="b">
        <f>IFERROR(VLOOKUP(D898,Products!$A$2:$F$61,6,FALSE),"")</f>
        <v>1</v>
      </c>
      <c r="BL898">
        <v>0.5</v>
      </c>
      <c r="BO898">
        <v>0</v>
      </c>
      <c r="BP898">
        <v>0</v>
      </c>
    </row>
    <row r="899" spans="1:68" x14ac:dyDescent="0.35">
      <c r="A899" s="26" t="str">
        <f>Orders!A899</f>
        <v>ORD-00898</v>
      </c>
      <c r="B899" s="33">
        <f>Orders!B899</f>
        <v>45646</v>
      </c>
      <c r="C899" t="str">
        <f>Orders!C899</f>
        <v>CUST-9607</v>
      </c>
      <c r="D899" t="str">
        <f>Orders!D899</f>
        <v>PROD-007</v>
      </c>
      <c r="E899" t="str">
        <f>Orders!E899</f>
        <v>R015</v>
      </c>
      <c r="F899">
        <f>Orders!F899</f>
        <v>10</v>
      </c>
      <c r="G899" s="35">
        <f>Orders!G899</f>
        <v>1430</v>
      </c>
      <c r="H899" s="37">
        <f>Orders!H899</f>
        <v>5.0999999999999996</v>
      </c>
      <c r="I899" s="39">
        <f>Orders!I899</f>
        <v>13570.7</v>
      </c>
      <c r="J899" t="str">
        <f>Orders!J899</f>
        <v>Cancelled</v>
      </c>
      <c r="K899" t="str">
        <f>Orders!K899</f>
        <v>Chennai</v>
      </c>
      <c r="L899" t="str">
        <f>IFERROR(VLOOKUP(D899,Products!$A$2:$F$61,3,FALSE),"")</f>
        <v>Electronics</v>
      </c>
      <c r="M899">
        <f>IFERROR(VLOOKUP(D899,Products!$A$2:$F$61,4,FALSE),"")</f>
        <v>861</v>
      </c>
      <c r="N899" t="str">
        <f>IFERROR(VLOOKUP(E899,Sales_Reps!$A$2:$E$31,3,FALSE),"")</f>
        <v>South</v>
      </c>
      <c r="O899" t="str">
        <f>IFERROR(VLOOKUP(C899,Customers!$A$2:$F$301,5,FALSE),"")</f>
        <v/>
      </c>
      <c r="P899" t="str">
        <f>IFERROR(VLOOKUP(C899,Customers!$A$2:$F$301,3,FALSE),"")</f>
        <v/>
      </c>
      <c r="Q899" s="41">
        <f t="shared" si="23"/>
        <v>0.39790209790209791</v>
      </c>
      <c r="R899" t="str">
        <f>IFERROR(VLOOKUP(C899,Customers!$A$2:$F$301,1,FALSE),"")</f>
        <v/>
      </c>
      <c r="S899" s="27" t="b">
        <f>IFERROR(VLOOKUP(D899,Products!$A$2:$F$61,6,FALSE),"")</f>
        <v>1</v>
      </c>
      <c r="BL899">
        <v>0</v>
      </c>
      <c r="BO899">
        <v>1</v>
      </c>
      <c r="BP899">
        <v>0</v>
      </c>
    </row>
    <row r="900" spans="1:68" x14ac:dyDescent="0.35">
      <c r="A900" s="26" t="str">
        <f>Orders!A900</f>
        <v>ORD-00899</v>
      </c>
      <c r="B900" s="33">
        <f>Orders!B900</f>
        <v>45478</v>
      </c>
      <c r="C900" t="str">
        <f>Orders!C900</f>
        <v>CUST-0189</v>
      </c>
      <c r="D900" t="str">
        <f>Orders!D900</f>
        <v>PROD-046</v>
      </c>
      <c r="E900" t="str">
        <f>Orders!E900</f>
        <v>R030</v>
      </c>
      <c r="F900">
        <f>Orders!F900</f>
        <v>10</v>
      </c>
      <c r="G900" s="35">
        <f>Orders!G900</f>
        <v>4880</v>
      </c>
      <c r="H900" s="37">
        <f>Orders!H900</f>
        <v>25.5</v>
      </c>
      <c r="I900" s="39">
        <f>Orders!I900</f>
        <v>36356</v>
      </c>
      <c r="J900" t="str">
        <f>Orders!J900</f>
        <v>Cancelled</v>
      </c>
      <c r="K900" t="str">
        <f>Orders!K900</f>
        <v>Chennai</v>
      </c>
      <c r="L900" t="str">
        <f>IFERROR(VLOOKUP(D900,Products!$A$2:$F$61,3,FALSE),"")</f>
        <v>Beauty</v>
      </c>
      <c r="M900">
        <f>IFERROR(VLOOKUP(D900,Products!$A$2:$F$61,4,FALSE),"")</f>
        <v>2768</v>
      </c>
      <c r="N900" t="str">
        <f>IFERROR(VLOOKUP(E900,Sales_Reps!$A$2:$E$31,3,FALSE),"")</f>
        <v>West</v>
      </c>
      <c r="O900" t="str">
        <f>IFERROR(VLOOKUP(C900,Customers!$A$2:$F$301,5,FALSE),"")</f>
        <v>Retail</v>
      </c>
      <c r="P900">
        <f>IFERROR(VLOOKUP(C900,Customers!$A$2:$F$301,3,FALSE),"")</f>
        <v>41</v>
      </c>
      <c r="Q900" s="41">
        <f t="shared" si="23"/>
        <v>0.43278688524590164</v>
      </c>
      <c r="R900" t="str">
        <f>IFERROR(VLOOKUP(C900,Customers!$A$2:$F$301,1,FALSE),"")</f>
        <v>CUST-0189</v>
      </c>
      <c r="S900" s="27" t="b">
        <f>IFERROR(VLOOKUP(D900,Products!$A$2:$F$61,6,FALSE),"")</f>
        <v>1</v>
      </c>
      <c r="BL900">
        <v>0</v>
      </c>
      <c r="BO900">
        <v>0</v>
      </c>
      <c r="BP900">
        <v>0</v>
      </c>
    </row>
    <row r="901" spans="1:68" x14ac:dyDescent="0.35">
      <c r="A901" s="26" t="str">
        <f>Orders!A901</f>
        <v>ORD-00900</v>
      </c>
      <c r="B901" s="33">
        <f>Orders!B901</f>
        <v>45518</v>
      </c>
      <c r="C901" t="str">
        <f>Orders!C901</f>
        <v>CUST-0199</v>
      </c>
      <c r="D901" t="str">
        <f>Orders!D901</f>
        <v>PROD-050</v>
      </c>
      <c r="E901" t="str">
        <f>Orders!E901</f>
        <v>R028</v>
      </c>
      <c r="F901">
        <f>Orders!F901</f>
        <v>6</v>
      </c>
      <c r="G901" s="35">
        <f>Orders!G901</f>
        <v>6080</v>
      </c>
      <c r="H901" s="37">
        <f>Orders!H901</f>
        <v>21.6</v>
      </c>
      <c r="I901" s="39">
        <f>Orders!I901</f>
        <v>28600.32</v>
      </c>
      <c r="J901" t="str">
        <f>Orders!J901</f>
        <v>Completed</v>
      </c>
      <c r="K901" t="str">
        <f>Orders!K901</f>
        <v>Hyderabad</v>
      </c>
      <c r="L901" t="str">
        <f>IFERROR(VLOOKUP(D901,Products!$A$2:$F$61,3,FALSE),"")</f>
        <v>Beauty</v>
      </c>
      <c r="M901">
        <f>IFERROR(VLOOKUP(D901,Products!$A$2:$F$61,4,FALSE),"")</f>
        <v>2617</v>
      </c>
      <c r="N901" t="str">
        <f>IFERROR(VLOOKUP(E901,Sales_Reps!$A$2:$E$31,3,FALSE),"")</f>
        <v>West</v>
      </c>
      <c r="O901" t="str">
        <f>IFERROR(VLOOKUP(C901,Customers!$A$2:$F$301,5,FALSE),"")</f>
        <v>SMB</v>
      </c>
      <c r="P901">
        <f>IFERROR(VLOOKUP(C901,Customers!$A$2:$F$301,3,FALSE),"")</f>
        <v>31</v>
      </c>
      <c r="Q901" s="41">
        <f t="shared" si="23"/>
        <v>0.56957236842105263</v>
      </c>
      <c r="R901" t="str">
        <f>IFERROR(VLOOKUP(C901,Customers!$A$2:$F$301,1,FALSE),"")</f>
        <v>CUST-0199</v>
      </c>
      <c r="S901" s="27" t="b">
        <f>IFERROR(VLOOKUP(D901,Products!$A$2:$F$61,6,FALSE),"")</f>
        <v>1</v>
      </c>
      <c r="BL901">
        <v>0</v>
      </c>
      <c r="BO901">
        <v>0</v>
      </c>
      <c r="BP901">
        <v>0</v>
      </c>
    </row>
    <row r="902" spans="1:68" x14ac:dyDescent="0.35">
      <c r="A902" s="26" t="str">
        <f>Orders!A902</f>
        <v>ORD-00901</v>
      </c>
      <c r="B902" s="33">
        <f>Orders!B902</f>
        <v>45319</v>
      </c>
      <c r="C902" t="str">
        <f>Orders!C902</f>
        <v>CUST-0277</v>
      </c>
      <c r="D902" t="str">
        <f>Orders!D902</f>
        <v>PROD-045</v>
      </c>
      <c r="E902" t="str">
        <f>Orders!E902</f>
        <v>R013</v>
      </c>
      <c r="F902">
        <f>Orders!F902</f>
        <v>3</v>
      </c>
      <c r="G902" s="35">
        <f>Orders!G902</f>
        <v>3020</v>
      </c>
      <c r="H902" s="37">
        <f>Orders!H902</f>
        <v>20.7</v>
      </c>
      <c r="I902" s="39">
        <f>Orders!I902</f>
        <v>7184.58</v>
      </c>
      <c r="J902" t="str">
        <f>Orders!J902</f>
        <v>Completed</v>
      </c>
      <c r="K902" t="str">
        <f>Orders!K902</f>
        <v>Chennai</v>
      </c>
      <c r="L902" t="str">
        <f>IFERROR(VLOOKUP(D902,Products!$A$2:$F$61,3,FALSE),"")</f>
        <v>Beauty</v>
      </c>
      <c r="M902">
        <f>IFERROR(VLOOKUP(D902,Products!$A$2:$F$61,4,FALSE),"")</f>
        <v>1626</v>
      </c>
      <c r="N902" t="str">
        <f>IFERROR(VLOOKUP(E902,Sales_Reps!$A$2:$E$31,3,FALSE),"")</f>
        <v>South</v>
      </c>
      <c r="O902" t="str">
        <f>IFERROR(VLOOKUP(C902,Customers!$A$2:$F$301,5,FALSE),"")</f>
        <v>Corporate</v>
      </c>
      <c r="P902">
        <f>IFERROR(VLOOKUP(C902,Customers!$A$2:$F$301,3,FALSE),"")</f>
        <v>34</v>
      </c>
      <c r="Q902" s="41">
        <f t="shared" si="23"/>
        <v>0.46158940397350995</v>
      </c>
      <c r="R902" t="str">
        <f>IFERROR(VLOOKUP(C902,Customers!$A$2:$F$301,1,FALSE),"")</f>
        <v>CUST-0277</v>
      </c>
      <c r="S902" s="27" t="b">
        <f>IFERROR(VLOOKUP(D902,Products!$A$2:$F$61,6,FALSE),"")</f>
        <v>1</v>
      </c>
      <c r="BL902">
        <v>0</v>
      </c>
      <c r="BO902">
        <v>0</v>
      </c>
      <c r="BP902">
        <v>0</v>
      </c>
    </row>
    <row r="903" spans="1:68" x14ac:dyDescent="0.35">
      <c r="A903" s="26" t="str">
        <f>Orders!A903</f>
        <v>ORD-00902</v>
      </c>
      <c r="B903" s="33">
        <f>Orders!B903</f>
        <v>45445</v>
      </c>
      <c r="C903" t="str">
        <f>Orders!C903</f>
        <v>CUST-0108</v>
      </c>
      <c r="D903" t="str">
        <f>Orders!D903</f>
        <v>PROD-015</v>
      </c>
      <c r="E903" t="str">
        <f>Orders!E903</f>
        <v>R013</v>
      </c>
      <c r="F903">
        <f>Orders!F903</f>
        <v>9</v>
      </c>
      <c r="G903" s="35">
        <f>Orders!G903</f>
        <v>2720</v>
      </c>
      <c r="H903" s="37">
        <f>Orders!H903</f>
        <v>21.4</v>
      </c>
      <c r="I903" s="39">
        <f>Orders!I903</f>
        <v>19241.28</v>
      </c>
      <c r="J903" t="str">
        <f>Orders!J903</f>
        <v>Completed</v>
      </c>
      <c r="K903" t="str">
        <f>Orders!K903</f>
        <v>Bengaluru</v>
      </c>
      <c r="L903" t="str">
        <f>IFERROR(VLOOKUP(D903,Products!$A$2:$F$61,3,FALSE),"")</f>
        <v>Apparel</v>
      </c>
      <c r="M903">
        <f>IFERROR(VLOOKUP(D903,Products!$A$2:$F$61,4,FALSE),"")</f>
        <v>1962</v>
      </c>
      <c r="N903" t="str">
        <f>IFERROR(VLOOKUP(E903,Sales_Reps!$A$2:$E$31,3,FALSE),"")</f>
        <v>South</v>
      </c>
      <c r="O903" t="str">
        <f>IFERROR(VLOOKUP(C903,Customers!$A$2:$F$301,5,FALSE),"")</f>
        <v>Corporate</v>
      </c>
      <c r="P903">
        <f>IFERROR(VLOOKUP(C903,Customers!$A$2:$F$301,3,FALSE),"")</f>
        <v>59</v>
      </c>
      <c r="Q903" s="41">
        <f t="shared" si="23"/>
        <v>0.2786764705882353</v>
      </c>
      <c r="R903" t="str">
        <f>IFERROR(VLOOKUP(C903,Customers!$A$2:$F$301,1,FALSE),"")</f>
        <v>CUST-0108</v>
      </c>
      <c r="S903" s="27" t="b">
        <f>IFERROR(VLOOKUP(D903,Products!$A$2:$F$61,6,FALSE),"")</f>
        <v>1</v>
      </c>
      <c r="BL903">
        <v>0</v>
      </c>
      <c r="BO903">
        <v>0</v>
      </c>
      <c r="BP903">
        <v>0</v>
      </c>
    </row>
    <row r="904" spans="1:68" x14ac:dyDescent="0.35">
      <c r="A904" s="26" t="str">
        <f>Orders!A904</f>
        <v>ORD-00903</v>
      </c>
      <c r="B904" s="33">
        <f>Orders!B904</f>
        <v>45417</v>
      </c>
      <c r="C904" t="str">
        <f>Orders!C904</f>
        <v>CUST-0203</v>
      </c>
      <c r="D904" t="str">
        <f>Orders!D904</f>
        <v>PROD-003</v>
      </c>
      <c r="E904" t="str">
        <f>Orders!E904</f>
        <v>R025</v>
      </c>
      <c r="F904">
        <f>Orders!F904</f>
        <v>10</v>
      </c>
      <c r="G904" s="35">
        <f>Orders!G904</f>
        <v>3570</v>
      </c>
      <c r="H904" s="37">
        <f>Orders!H904</f>
        <v>4.4000000000000004</v>
      </c>
      <c r="I904" s="39">
        <f>Orders!I904</f>
        <v>34129.199999999997</v>
      </c>
      <c r="J904" t="str">
        <f>Orders!J904</f>
        <v>Completed</v>
      </c>
      <c r="K904" t="str">
        <f>Orders!K904</f>
        <v>Chennai</v>
      </c>
      <c r="L904" t="str">
        <f>IFERROR(VLOOKUP(D904,Products!$A$2:$F$61,3,FALSE),"")</f>
        <v>Electronics</v>
      </c>
      <c r="M904">
        <f>IFERROR(VLOOKUP(D904,Products!$A$2:$F$61,4,FALSE),"")</f>
        <v>1665</v>
      </c>
      <c r="N904" t="str">
        <f>IFERROR(VLOOKUP(E904,Sales_Reps!$A$2:$E$31,3,FALSE),"")</f>
        <v>West</v>
      </c>
      <c r="O904" t="str">
        <f>IFERROR(VLOOKUP(C904,Customers!$A$2:$F$301,5,FALSE),"")</f>
        <v>SMB</v>
      </c>
      <c r="P904">
        <f>IFERROR(VLOOKUP(C904,Customers!$A$2:$F$301,3,FALSE),"")</f>
        <v>55</v>
      </c>
      <c r="Q904" s="41">
        <f t="shared" si="23"/>
        <v>0.53361344537815125</v>
      </c>
      <c r="R904" t="str">
        <f>IFERROR(VLOOKUP(C904,Customers!$A$2:$F$301,1,FALSE),"")</f>
        <v>CUST-0203</v>
      </c>
      <c r="S904" s="27" t="b">
        <f>IFERROR(VLOOKUP(D904,Products!$A$2:$F$61,6,FALSE),"")</f>
        <v>1</v>
      </c>
      <c r="BL904">
        <v>0</v>
      </c>
      <c r="BO904">
        <v>0</v>
      </c>
      <c r="BP904">
        <v>0</v>
      </c>
    </row>
    <row r="905" spans="1:68" x14ac:dyDescent="0.35">
      <c r="A905" s="26" t="str">
        <f>Orders!A905</f>
        <v>ORD-00904</v>
      </c>
      <c r="B905" s="33">
        <f>Orders!B905</f>
        <v>45309</v>
      </c>
      <c r="C905" t="str">
        <f>Orders!C905</f>
        <v>CUST-0272</v>
      </c>
      <c r="D905" t="str">
        <f>Orders!D905</f>
        <v>PROD-040</v>
      </c>
      <c r="E905" t="str">
        <f>Orders!E905</f>
        <v>R014</v>
      </c>
      <c r="F905">
        <f>Orders!F905</f>
        <v>8</v>
      </c>
      <c r="G905" s="35">
        <f>Orders!G905</f>
        <v>1080</v>
      </c>
      <c r="H905" s="37">
        <f>Orders!H905</f>
        <v>23.8</v>
      </c>
      <c r="I905" s="39">
        <f>Orders!I905</f>
        <v>6583.68</v>
      </c>
      <c r="J905" t="str">
        <f>Orders!J905</f>
        <v>Completed</v>
      </c>
      <c r="K905" t="str">
        <f>Orders!K905</f>
        <v>Mumbai</v>
      </c>
      <c r="L905" t="str">
        <f>IFERROR(VLOOKUP(D905,Products!$A$2:$F$61,3,FALSE),"")</f>
        <v>Home</v>
      </c>
      <c r="M905">
        <f>IFERROR(VLOOKUP(D905,Products!$A$2:$F$61,4,FALSE),"")</f>
        <v>519</v>
      </c>
      <c r="N905" t="str">
        <f>IFERROR(VLOOKUP(E905,Sales_Reps!$A$2:$E$31,3,FALSE),"")</f>
        <v>South</v>
      </c>
      <c r="O905" t="str">
        <f>IFERROR(VLOOKUP(C905,Customers!$A$2:$F$301,5,FALSE),"")</f>
        <v>SMB</v>
      </c>
      <c r="P905">
        <f>IFERROR(VLOOKUP(C905,Customers!$A$2:$F$301,3,FALSE),"")</f>
        <v>47</v>
      </c>
      <c r="Q905" s="41">
        <f t="shared" si="23"/>
        <v>0.51944444444444449</v>
      </c>
      <c r="R905" t="str">
        <f>IFERROR(VLOOKUP(C905,Customers!$A$2:$F$301,1,FALSE),"")</f>
        <v>CUST-0272</v>
      </c>
      <c r="S905" s="27" t="b">
        <f>IFERROR(VLOOKUP(D905,Products!$A$2:$F$61,6,FALSE),"")</f>
        <v>1</v>
      </c>
      <c r="BL905">
        <v>0</v>
      </c>
      <c r="BO905">
        <v>0</v>
      </c>
      <c r="BP905">
        <v>0</v>
      </c>
    </row>
    <row r="906" spans="1:68" x14ac:dyDescent="0.35">
      <c r="A906" s="26" t="str">
        <f>Orders!A906</f>
        <v>ORD-00905</v>
      </c>
      <c r="B906" s="33">
        <f>Orders!B906</f>
        <v>45367</v>
      </c>
      <c r="C906" t="str">
        <f>Orders!C906</f>
        <v>CUST-0039</v>
      </c>
      <c r="D906" t="str">
        <f>Orders!D906</f>
        <v>PROD-035</v>
      </c>
      <c r="E906" t="str">
        <f>Orders!E906</f>
        <v>R011</v>
      </c>
      <c r="F906">
        <f>Orders!F906</f>
        <v>8</v>
      </c>
      <c r="G906" s="35">
        <f>Orders!G906</f>
        <v>1090</v>
      </c>
      <c r="H906" s="37">
        <f>Orders!H906</f>
        <v>17.5</v>
      </c>
      <c r="I906" s="39">
        <f>Orders!I906</f>
        <v>7194</v>
      </c>
      <c r="J906" t="str">
        <f>Orders!J906</f>
        <v>Completed</v>
      </c>
      <c r="K906" t="str">
        <f>Orders!K906</f>
        <v>Bengaluru</v>
      </c>
      <c r="L906" t="str">
        <f>IFERROR(VLOOKUP(D906,Products!$A$2:$F$61,3,FALSE),"")</f>
        <v>Home</v>
      </c>
      <c r="M906">
        <f>IFERROR(VLOOKUP(D906,Products!$A$2:$F$61,4,FALSE),"")</f>
        <v>464</v>
      </c>
      <c r="N906" t="str">
        <f>IFERROR(VLOOKUP(E906,Sales_Reps!$A$2:$E$31,3,FALSE),"")</f>
        <v>South</v>
      </c>
      <c r="O906" t="str">
        <f>IFERROR(VLOOKUP(C906,Customers!$A$2:$F$301,5,FALSE),"")</f>
        <v>Retail</v>
      </c>
      <c r="P906">
        <f>IFERROR(VLOOKUP(C906,Customers!$A$2:$F$301,3,FALSE),"")</f>
        <v>37</v>
      </c>
      <c r="Q906" s="41">
        <f t="shared" si="23"/>
        <v>0.57431192660550456</v>
      </c>
      <c r="R906" t="str">
        <f>IFERROR(VLOOKUP(C906,Customers!$A$2:$F$301,1,FALSE),"")</f>
        <v>CUST-0039</v>
      </c>
      <c r="S906" s="27" t="b">
        <f>IFERROR(VLOOKUP(D906,Products!$A$2:$F$61,6,FALSE),"")</f>
        <v>1</v>
      </c>
      <c r="BL906">
        <v>0</v>
      </c>
      <c r="BO906">
        <v>0</v>
      </c>
      <c r="BP906">
        <v>0</v>
      </c>
    </row>
    <row r="907" spans="1:68" x14ac:dyDescent="0.35">
      <c r="A907" s="26" t="str">
        <f>Orders!A907</f>
        <v>ORD-00906</v>
      </c>
      <c r="B907" s="33">
        <f>Orders!B907</f>
        <v>45615</v>
      </c>
      <c r="C907" t="str">
        <f>Orders!C907</f>
        <v>CUST-0105</v>
      </c>
      <c r="D907" t="str">
        <f>Orders!D907</f>
        <v>PROD-018</v>
      </c>
      <c r="E907" t="str">
        <f>Orders!E907</f>
        <v>R027</v>
      </c>
      <c r="F907">
        <f>Orders!F907</f>
        <v>7</v>
      </c>
      <c r="G907" s="35">
        <f>Orders!G907</f>
        <v>3560</v>
      </c>
      <c r="H907" s="37">
        <f>Orders!H907</f>
        <v>11.1</v>
      </c>
      <c r="I907" s="39">
        <f>Orders!I907</f>
        <v>22153.88</v>
      </c>
      <c r="J907" t="str">
        <f>Orders!J907</f>
        <v>Completed</v>
      </c>
      <c r="K907" t="str">
        <f>Orders!K907</f>
        <v>Chennai</v>
      </c>
      <c r="L907" t="str">
        <f>IFERROR(VLOOKUP(D907,Products!$A$2:$F$61,3,FALSE),"")</f>
        <v>Apparel</v>
      </c>
      <c r="M907">
        <f>IFERROR(VLOOKUP(D907,Products!$A$2:$F$61,4,FALSE),"")</f>
        <v>2629</v>
      </c>
      <c r="N907" t="str">
        <f>IFERROR(VLOOKUP(E907,Sales_Reps!$A$2:$E$31,3,FALSE),"")</f>
        <v>West</v>
      </c>
      <c r="O907" t="str">
        <f>IFERROR(VLOOKUP(C907,Customers!$A$2:$F$301,5,FALSE),"")</f>
        <v>SMB</v>
      </c>
      <c r="P907">
        <f>IFERROR(VLOOKUP(C907,Customers!$A$2:$F$301,3,FALSE),"")</f>
        <v>51</v>
      </c>
      <c r="Q907" s="41">
        <f t="shared" si="23"/>
        <v>0.26151685393258428</v>
      </c>
      <c r="R907" t="str">
        <f>IFERROR(VLOOKUP(C907,Customers!$A$2:$F$301,1,FALSE),"")</f>
        <v>CUST-0105</v>
      </c>
      <c r="S907" s="27" t="b">
        <f>IFERROR(VLOOKUP(D907,Products!$A$2:$F$61,6,FALSE),"")</f>
        <v>1</v>
      </c>
      <c r="BL907">
        <v>0</v>
      </c>
      <c r="BO907">
        <v>0</v>
      </c>
      <c r="BP907">
        <v>0</v>
      </c>
    </row>
    <row r="908" spans="1:68" x14ac:dyDescent="0.35">
      <c r="A908" s="26" t="str">
        <f>Orders!A908</f>
        <v>ORD-00907</v>
      </c>
      <c r="B908" s="33">
        <f>Orders!B908</f>
        <v>45499</v>
      </c>
      <c r="C908" t="str">
        <f>Orders!C908</f>
        <v>CUST-0095</v>
      </c>
      <c r="D908" t="str">
        <f>Orders!D908</f>
        <v>PROD-060</v>
      </c>
      <c r="E908" t="str">
        <f>Orders!E908</f>
        <v>R022</v>
      </c>
      <c r="F908">
        <f>Orders!F908</f>
        <v>6</v>
      </c>
      <c r="G908" s="35">
        <f>Orders!G908</f>
        <v>190</v>
      </c>
      <c r="H908" s="37">
        <f>Orders!H908</f>
        <v>17.100000000000001</v>
      </c>
      <c r="I908" s="39">
        <f>Orders!I908</f>
        <v>945.06</v>
      </c>
      <c r="J908" t="str">
        <f>Orders!J908</f>
        <v>Cancelled</v>
      </c>
      <c r="K908" t="str">
        <f>Orders!K908</f>
        <v>Mumbai</v>
      </c>
      <c r="L908" t="str">
        <f>IFERROR(VLOOKUP(D908,Products!$A$2:$F$61,3,FALSE),"")</f>
        <v>Sports</v>
      </c>
      <c r="M908">
        <f>IFERROR(VLOOKUP(D908,Products!$A$2:$F$61,4,FALSE),"")</f>
        <v>147</v>
      </c>
      <c r="N908" t="str">
        <f>IFERROR(VLOOKUP(E908,Sales_Reps!$A$2:$E$31,3,FALSE),"")</f>
        <v>East</v>
      </c>
      <c r="O908" t="str">
        <f>IFERROR(VLOOKUP(C908,Customers!$A$2:$F$301,5,FALSE),"")</f>
        <v>SMB</v>
      </c>
      <c r="P908">
        <f>IFERROR(VLOOKUP(C908,Customers!$A$2:$F$301,3,FALSE),"")</f>
        <v>54</v>
      </c>
      <c r="Q908" s="41">
        <f t="shared" si="23"/>
        <v>0.22631578947368422</v>
      </c>
      <c r="R908" t="str">
        <f>IFERROR(VLOOKUP(C908,Customers!$A$2:$F$301,1,FALSE),"")</f>
        <v>CUST-0095</v>
      </c>
      <c r="S908" s="27" t="b">
        <f>IFERROR(VLOOKUP(D908,Products!$A$2:$F$61,6,FALSE),"")</f>
        <v>1</v>
      </c>
      <c r="BL908">
        <v>0</v>
      </c>
      <c r="BO908">
        <v>0</v>
      </c>
      <c r="BP908">
        <v>0</v>
      </c>
    </row>
    <row r="909" spans="1:68" x14ac:dyDescent="0.35">
      <c r="A909" s="26" t="str">
        <f>Orders!A909</f>
        <v>ORD-00908</v>
      </c>
      <c r="B909" s="33">
        <f>Orders!B909</f>
        <v>45356</v>
      </c>
      <c r="C909" t="str">
        <f>Orders!C909</f>
        <v>CUST-0138</v>
      </c>
      <c r="D909" t="str">
        <f>Orders!D909</f>
        <v>PROD-025</v>
      </c>
      <c r="E909" t="str">
        <f>Orders!E909</f>
        <v>R025</v>
      </c>
      <c r="F909">
        <f>Orders!F909</f>
        <v>7</v>
      </c>
      <c r="G909" s="35">
        <f>Orders!G909</f>
        <v>4060</v>
      </c>
      <c r="H909" s="37">
        <f>Orders!H909</f>
        <v>0.6</v>
      </c>
      <c r="I909" s="39">
        <f>Orders!I909</f>
        <v>28249.48</v>
      </c>
      <c r="J909" t="str">
        <f>Orders!J909</f>
        <v>Completed</v>
      </c>
      <c r="K909" t="str">
        <f>Orders!K909</f>
        <v>Chennai</v>
      </c>
      <c r="L909" t="str">
        <f>IFERROR(VLOOKUP(D909,Products!$A$2:$F$61,3,FALSE),"")</f>
        <v>Grocery</v>
      </c>
      <c r="M909">
        <f>IFERROR(VLOOKUP(D909,Products!$A$2:$F$61,4,FALSE),"")</f>
        <v>2911</v>
      </c>
      <c r="N909" t="str">
        <f>IFERROR(VLOOKUP(E909,Sales_Reps!$A$2:$E$31,3,FALSE),"")</f>
        <v>West</v>
      </c>
      <c r="O909" t="str">
        <f>IFERROR(VLOOKUP(C909,Customers!$A$2:$F$301,5,FALSE),"")</f>
        <v>Retail</v>
      </c>
      <c r="P909">
        <f>IFERROR(VLOOKUP(C909,Customers!$A$2:$F$301,3,FALSE),"")</f>
        <v>24</v>
      </c>
      <c r="Q909" s="41">
        <f t="shared" si="23"/>
        <v>0.28300492610837441</v>
      </c>
      <c r="R909" t="str">
        <f>IFERROR(VLOOKUP(C909,Customers!$A$2:$F$301,1,FALSE),"")</f>
        <v>CUST-0138</v>
      </c>
      <c r="S909" s="27" t="b">
        <f>IFERROR(VLOOKUP(D909,Products!$A$2:$F$61,6,FALSE),"")</f>
        <v>1</v>
      </c>
      <c r="BL909">
        <v>0</v>
      </c>
      <c r="BO909">
        <v>0</v>
      </c>
      <c r="BP909">
        <v>0</v>
      </c>
    </row>
    <row r="910" spans="1:68" x14ac:dyDescent="0.35">
      <c r="A910" s="26" t="str">
        <f>Orders!A910</f>
        <v>ORD-00909</v>
      </c>
      <c r="B910" s="33">
        <f>Orders!B910</f>
        <v>45346</v>
      </c>
      <c r="C910" t="str">
        <f>Orders!C910</f>
        <v>CUST-0155</v>
      </c>
      <c r="D910" t="str">
        <f>Orders!D910</f>
        <v>PROD-039</v>
      </c>
      <c r="E910" t="str">
        <f>Orders!E910</f>
        <v>R021</v>
      </c>
      <c r="F910">
        <f>Orders!F910</f>
        <v>4</v>
      </c>
      <c r="G910" s="35">
        <f>Orders!G910</f>
        <v>4610</v>
      </c>
      <c r="H910" s="37">
        <f>Orders!H910</f>
        <v>1.9</v>
      </c>
      <c r="I910" s="39">
        <f>Orders!I910</f>
        <v>18089.64</v>
      </c>
      <c r="J910" t="str">
        <f>Orders!J910</f>
        <v>Pending</v>
      </c>
      <c r="K910" t="str">
        <f>Orders!K910</f>
        <v>Pune</v>
      </c>
      <c r="L910" t="str">
        <f>IFERROR(VLOOKUP(D910,Products!$A$2:$F$61,3,FALSE),"")</f>
        <v>Home</v>
      </c>
      <c r="M910">
        <f>IFERROR(VLOOKUP(D910,Products!$A$2:$F$61,4,FALSE),"")</f>
        <v>1850</v>
      </c>
      <c r="N910" t="str">
        <f>IFERROR(VLOOKUP(E910,Sales_Reps!$A$2:$E$31,3,FALSE),"")</f>
        <v>East</v>
      </c>
      <c r="O910" t="str">
        <f>IFERROR(VLOOKUP(C910,Customers!$A$2:$F$301,5,FALSE),"")</f>
        <v>Corporate</v>
      </c>
      <c r="P910">
        <f>IFERROR(VLOOKUP(C910,Customers!$A$2:$F$301,3,FALSE),"")</f>
        <v>40</v>
      </c>
      <c r="Q910" s="41">
        <f t="shared" si="23"/>
        <v>0.59869848156182215</v>
      </c>
      <c r="R910" t="str">
        <f>IFERROR(VLOOKUP(C910,Customers!$A$2:$F$301,1,FALSE),"")</f>
        <v>CUST-0155</v>
      </c>
      <c r="S910" s="27" t="b">
        <f>IFERROR(VLOOKUP(D910,Products!$A$2:$F$61,6,FALSE),"")</f>
        <v>1</v>
      </c>
      <c r="BL910">
        <v>0</v>
      </c>
      <c r="BO910">
        <v>0</v>
      </c>
      <c r="BP910">
        <v>0</v>
      </c>
    </row>
    <row r="911" spans="1:68" x14ac:dyDescent="0.35">
      <c r="A911" s="26" t="str">
        <f>Orders!A911</f>
        <v>ORD-00910</v>
      </c>
      <c r="B911" s="33">
        <f>Orders!B911</f>
        <v>45640</v>
      </c>
      <c r="C911" t="str">
        <f>Orders!C911</f>
        <v>CUST-0198</v>
      </c>
      <c r="D911" t="str">
        <f>Orders!D911</f>
        <v>PROD-026</v>
      </c>
      <c r="E911" t="str">
        <f>Orders!E911</f>
        <v>R020</v>
      </c>
      <c r="F911">
        <f>Orders!F911</f>
        <v>4</v>
      </c>
      <c r="G911" s="35">
        <f>Orders!G911</f>
        <v>4070</v>
      </c>
      <c r="H911" s="37">
        <f>Orders!H911</f>
        <v>26.8</v>
      </c>
      <c r="I911" s="39">
        <f>Orders!I911</f>
        <v>11916.96</v>
      </c>
      <c r="J911" t="str">
        <f>Orders!J911</f>
        <v>Completed</v>
      </c>
      <c r="K911" t="str">
        <f>Orders!K911</f>
        <v>Chennai</v>
      </c>
      <c r="L911" t="str">
        <f>IFERROR(VLOOKUP(D911,Products!$A$2:$F$61,3,FALSE),"")</f>
        <v>Grocery</v>
      </c>
      <c r="M911">
        <f>IFERROR(VLOOKUP(D911,Products!$A$2:$F$61,4,FALSE),"")</f>
        <v>2027</v>
      </c>
      <c r="N911" t="str">
        <f>IFERROR(VLOOKUP(E911,Sales_Reps!$A$2:$E$31,3,FALSE),"")</f>
        <v>East</v>
      </c>
      <c r="O911" t="str">
        <f>IFERROR(VLOOKUP(C911,Customers!$A$2:$F$301,5,FALSE),"")</f>
        <v>Corporate</v>
      </c>
      <c r="P911">
        <f>IFERROR(VLOOKUP(C911,Customers!$A$2:$F$301,3,FALSE),"")</f>
        <v>22</v>
      </c>
      <c r="Q911" s="41">
        <f t="shared" si="23"/>
        <v>0.50196560196560192</v>
      </c>
      <c r="R911" t="str">
        <f>IFERROR(VLOOKUP(C911,Customers!$A$2:$F$301,1,FALSE),"")</f>
        <v>CUST-0198</v>
      </c>
      <c r="S911" s="27" t="b">
        <f>IFERROR(VLOOKUP(D911,Products!$A$2:$F$61,6,FALSE),"")</f>
        <v>1</v>
      </c>
      <c r="BL911">
        <v>0</v>
      </c>
      <c r="BO911">
        <v>0</v>
      </c>
      <c r="BP911">
        <v>0</v>
      </c>
    </row>
    <row r="912" spans="1:68" x14ac:dyDescent="0.35">
      <c r="A912" s="26" t="str">
        <f>Orders!A912</f>
        <v>ORD-00911</v>
      </c>
      <c r="B912" s="33">
        <f>Orders!B912</f>
        <v>45633</v>
      </c>
      <c r="C912" t="str">
        <f>Orders!C912</f>
        <v>CUST-0267</v>
      </c>
      <c r="D912" t="str">
        <f>Orders!D912</f>
        <v>PROD-014</v>
      </c>
      <c r="E912" t="str">
        <f>Orders!E912</f>
        <v>R004</v>
      </c>
      <c r="F912">
        <f>Orders!F912</f>
        <v>4</v>
      </c>
      <c r="G912" s="35">
        <f>Orders!G912</f>
        <v>3620</v>
      </c>
      <c r="H912" s="37">
        <f>Orders!H912</f>
        <v>11.7</v>
      </c>
      <c r="I912" s="39">
        <f>Orders!I912</f>
        <v>12785.84</v>
      </c>
      <c r="J912" t="str">
        <f>Orders!J912</f>
        <v>Completed</v>
      </c>
      <c r="K912" t="str">
        <f>Orders!K912</f>
        <v>Hyderabad</v>
      </c>
      <c r="L912" t="str">
        <f>IFERROR(VLOOKUP(D912,Products!$A$2:$F$61,3,FALSE),"")</f>
        <v>Apparel</v>
      </c>
      <c r="M912">
        <f>IFERROR(VLOOKUP(D912,Products!$A$2:$F$61,4,FALSE),"")</f>
        <v>2509</v>
      </c>
      <c r="N912" t="str">
        <f>IFERROR(VLOOKUP(E912,Sales_Reps!$A$2:$E$31,3,FALSE),"")</f>
        <v>North</v>
      </c>
      <c r="O912" t="str">
        <f>IFERROR(VLOOKUP(C912,Customers!$A$2:$F$301,5,FALSE),"")</f>
        <v>Retail</v>
      </c>
      <c r="P912">
        <f>IFERROR(VLOOKUP(C912,Customers!$A$2:$F$301,3,FALSE),"")</f>
        <v>27</v>
      </c>
      <c r="Q912" s="41">
        <f t="shared" si="23"/>
        <v>0.3069060773480663</v>
      </c>
      <c r="R912" t="str">
        <f>IFERROR(VLOOKUP(C912,Customers!$A$2:$F$301,1,FALSE),"")</f>
        <v>CUST-0267</v>
      </c>
      <c r="S912" s="27" t="b">
        <f>IFERROR(VLOOKUP(D912,Products!$A$2:$F$61,6,FALSE),"")</f>
        <v>1</v>
      </c>
      <c r="BL912">
        <v>0</v>
      </c>
      <c r="BO912">
        <v>0</v>
      </c>
      <c r="BP912">
        <v>0</v>
      </c>
    </row>
    <row r="913" spans="1:68" x14ac:dyDescent="0.35">
      <c r="A913" s="26" t="str">
        <f>Orders!A913</f>
        <v>ORD-00912</v>
      </c>
      <c r="B913" s="33">
        <f>Orders!B913</f>
        <v>45430</v>
      </c>
      <c r="C913" t="str">
        <f>Orders!C913</f>
        <v>CUST-0248</v>
      </c>
      <c r="D913" t="str">
        <f>Orders!D913</f>
        <v>PROD-006</v>
      </c>
      <c r="E913" t="str">
        <f>Orders!E913</f>
        <v>R030</v>
      </c>
      <c r="F913">
        <f>Orders!F913</f>
        <v>3</v>
      </c>
      <c r="G913" s="35">
        <f>Orders!G913</f>
        <v>3970</v>
      </c>
      <c r="H913" s="37">
        <f>Orders!H913</f>
        <v>24.7</v>
      </c>
      <c r="I913" s="39">
        <f>Orders!I913</f>
        <v>8968.23</v>
      </c>
      <c r="J913" t="str">
        <f>Orders!J913</f>
        <v>Completed</v>
      </c>
      <c r="K913" t="str">
        <f>Orders!K913</f>
        <v>Chennai</v>
      </c>
      <c r="L913" t="str">
        <f>IFERROR(VLOOKUP(D913,Products!$A$2:$F$61,3,FALSE),"")</f>
        <v>Electronics</v>
      </c>
      <c r="M913">
        <f>IFERROR(VLOOKUP(D913,Products!$A$2:$F$61,4,FALSE),"")</f>
        <v>2865</v>
      </c>
      <c r="N913" t="str">
        <f>IFERROR(VLOOKUP(E913,Sales_Reps!$A$2:$E$31,3,FALSE),"")</f>
        <v>West</v>
      </c>
      <c r="O913" t="str">
        <f>IFERROR(VLOOKUP(C913,Customers!$A$2:$F$301,5,FALSE),"")</f>
        <v>SMB</v>
      </c>
      <c r="P913">
        <f>IFERROR(VLOOKUP(C913,Customers!$A$2:$F$301,3,FALSE),"")</f>
        <v>57</v>
      </c>
      <c r="Q913" s="41">
        <f t="shared" si="23"/>
        <v>0.27833753148614609</v>
      </c>
      <c r="R913" t="str">
        <f>IFERROR(VLOOKUP(C913,Customers!$A$2:$F$301,1,FALSE),"")</f>
        <v>CUST-0248</v>
      </c>
      <c r="S913" s="27" t="b">
        <f>IFERROR(VLOOKUP(D913,Products!$A$2:$F$61,6,FALSE),"")</f>
        <v>1</v>
      </c>
      <c r="BL913">
        <v>0</v>
      </c>
      <c r="BO913">
        <v>0</v>
      </c>
      <c r="BP913">
        <v>0</v>
      </c>
    </row>
    <row r="914" spans="1:68" x14ac:dyDescent="0.35">
      <c r="A914" s="26" t="str">
        <f>Orders!A914</f>
        <v>ORD-00913</v>
      </c>
      <c r="B914" s="33">
        <f>Orders!B914</f>
        <v>45355</v>
      </c>
      <c r="C914" t="str">
        <f>Orders!C914</f>
        <v>CUST-0114</v>
      </c>
      <c r="D914" t="str">
        <f>Orders!D914</f>
        <v>PROD-030</v>
      </c>
      <c r="E914" t="str">
        <f>Orders!E914</f>
        <v>R028</v>
      </c>
      <c r="F914">
        <f>Orders!F914</f>
        <v>4</v>
      </c>
      <c r="G914" s="35">
        <f>Orders!G914</f>
        <v>970</v>
      </c>
      <c r="H914" s="37">
        <f>Orders!H914</f>
        <v>0.4</v>
      </c>
      <c r="I914" s="39">
        <f>Orders!I914</f>
        <v>3864.48</v>
      </c>
      <c r="J914" t="str">
        <f>Orders!J914</f>
        <v>Completed</v>
      </c>
      <c r="K914" t="str">
        <f>Orders!K914</f>
        <v>Bengaluru</v>
      </c>
      <c r="L914" t="str">
        <f>IFERROR(VLOOKUP(D914,Products!$A$2:$F$61,3,FALSE),"")</f>
        <v>Grocery</v>
      </c>
      <c r="M914">
        <f>IFERROR(VLOOKUP(D914,Products!$A$2:$F$61,4,FALSE),"")</f>
        <v>434</v>
      </c>
      <c r="N914" t="str">
        <f>IFERROR(VLOOKUP(E914,Sales_Reps!$A$2:$E$31,3,FALSE),"")</f>
        <v>West</v>
      </c>
      <c r="O914" t="str">
        <f>IFERROR(VLOOKUP(C914,Customers!$A$2:$F$301,5,FALSE),"")</f>
        <v>Corporate</v>
      </c>
      <c r="P914">
        <f>IFERROR(VLOOKUP(C914,Customers!$A$2:$F$301,3,FALSE),"")</f>
        <v>42</v>
      </c>
      <c r="Q914" s="41">
        <f t="shared" si="23"/>
        <v>0.5525773195876289</v>
      </c>
      <c r="R914" t="str">
        <f>IFERROR(VLOOKUP(C914,Customers!$A$2:$F$301,1,FALSE),"")</f>
        <v>CUST-0114</v>
      </c>
      <c r="S914" s="27" t="b">
        <f>IFERROR(VLOOKUP(D914,Products!$A$2:$F$61,6,FALSE),"")</f>
        <v>1</v>
      </c>
      <c r="BL914">
        <v>0</v>
      </c>
      <c r="BO914">
        <v>0</v>
      </c>
      <c r="BP914">
        <v>0</v>
      </c>
    </row>
    <row r="915" spans="1:68" x14ac:dyDescent="0.35">
      <c r="A915" s="26" t="str">
        <f>Orders!A915</f>
        <v>ORD-00914</v>
      </c>
      <c r="B915" s="33">
        <f>Orders!B915</f>
        <v>45379</v>
      </c>
      <c r="C915" t="str">
        <f>Orders!C915</f>
        <v>CUST-0129</v>
      </c>
      <c r="D915" t="str">
        <f>Orders!D915</f>
        <v>PROD-057</v>
      </c>
      <c r="E915" t="str">
        <f>Orders!E915</f>
        <v>R023</v>
      </c>
      <c r="F915">
        <f>Orders!F915</f>
        <v>2</v>
      </c>
      <c r="G915" s="35">
        <f>Orders!G915</f>
        <v>960</v>
      </c>
      <c r="H915" s="37">
        <f>Orders!H915</f>
        <v>1.4</v>
      </c>
      <c r="I915" s="39">
        <f>Orders!I915</f>
        <v>1893.12</v>
      </c>
      <c r="J915" t="str">
        <f>Orders!J915</f>
        <v>Completed</v>
      </c>
      <c r="K915" t="str">
        <f>Orders!K915</f>
        <v>Hyderabad</v>
      </c>
      <c r="L915" t="str">
        <f>IFERROR(VLOOKUP(D915,Products!$A$2:$F$61,3,FALSE),"")</f>
        <v>Sports</v>
      </c>
      <c r="M915">
        <f>IFERROR(VLOOKUP(D915,Products!$A$2:$F$61,4,FALSE),"")</f>
        <v>705</v>
      </c>
      <c r="N915" t="str">
        <f>IFERROR(VLOOKUP(E915,Sales_Reps!$A$2:$E$31,3,FALSE),"")</f>
        <v>East</v>
      </c>
      <c r="O915" t="str">
        <f>IFERROR(VLOOKUP(C915,Customers!$A$2:$F$301,5,FALSE),"")</f>
        <v>Retail</v>
      </c>
      <c r="P915">
        <f>IFERROR(VLOOKUP(C915,Customers!$A$2:$F$301,3,FALSE),"")</f>
        <v>29</v>
      </c>
      <c r="Q915" s="41">
        <f t="shared" si="23"/>
        <v>0.265625</v>
      </c>
      <c r="R915" t="str">
        <f>IFERROR(VLOOKUP(C915,Customers!$A$2:$F$301,1,FALSE),"")</f>
        <v>CUST-0129</v>
      </c>
      <c r="S915" s="27" t="b">
        <f>IFERROR(VLOOKUP(D915,Products!$A$2:$F$61,6,FALSE),"")</f>
        <v>1</v>
      </c>
      <c r="BL915">
        <v>0</v>
      </c>
      <c r="BO915">
        <v>0</v>
      </c>
      <c r="BP915">
        <v>0</v>
      </c>
    </row>
    <row r="916" spans="1:68" x14ac:dyDescent="0.35">
      <c r="A916" s="26" t="str">
        <f>Orders!A916</f>
        <v>ORD-00915</v>
      </c>
      <c r="B916" s="33">
        <f>Orders!B916</f>
        <v>45375</v>
      </c>
      <c r="C916" t="str">
        <f>Orders!C916</f>
        <v>CUST-0182</v>
      </c>
      <c r="D916" t="str">
        <f>Orders!D916</f>
        <v>PROD-005</v>
      </c>
      <c r="E916" t="str">
        <f>Orders!E916</f>
        <v>R016</v>
      </c>
      <c r="F916">
        <f>Orders!F916</f>
        <v>7</v>
      </c>
      <c r="G916" s="35">
        <f>Orders!G916</f>
        <v>300</v>
      </c>
      <c r="H916" s="37">
        <f>Orders!H916</f>
        <v>20.399999999999999</v>
      </c>
      <c r="I916" s="39">
        <f>Orders!I916</f>
        <v>1671.6</v>
      </c>
      <c r="J916" t="str">
        <f>Orders!J916</f>
        <v>Completed</v>
      </c>
      <c r="K916" t="str">
        <f>Orders!K916</f>
        <v>Mumbai</v>
      </c>
      <c r="L916" t="str">
        <f>IFERROR(VLOOKUP(D916,Products!$A$2:$F$61,3,FALSE),"")</f>
        <v>Electronics</v>
      </c>
      <c r="M916">
        <f>IFERROR(VLOOKUP(D916,Products!$A$2:$F$61,4,FALSE),"")</f>
        <v>128</v>
      </c>
      <c r="N916" t="str">
        <f>IFERROR(VLOOKUP(E916,Sales_Reps!$A$2:$E$31,3,FALSE),"")</f>
        <v>South</v>
      </c>
      <c r="O916" t="str">
        <f>IFERROR(VLOOKUP(C916,Customers!$A$2:$F$301,5,FALSE),"")</f>
        <v>Retail</v>
      </c>
      <c r="P916">
        <f>IFERROR(VLOOKUP(C916,Customers!$A$2:$F$301,3,FALSE),"")</f>
        <v>54</v>
      </c>
      <c r="Q916" s="41">
        <f t="shared" si="23"/>
        <v>0.57333333333333336</v>
      </c>
      <c r="R916" t="str">
        <f>IFERROR(VLOOKUP(C916,Customers!$A$2:$F$301,1,FALSE),"")</f>
        <v>CUST-0182</v>
      </c>
      <c r="S916" s="27" t="b">
        <f>IFERROR(VLOOKUP(D916,Products!$A$2:$F$61,6,FALSE),"")</f>
        <v>1</v>
      </c>
      <c r="BL916">
        <v>0</v>
      </c>
      <c r="BO916">
        <v>0</v>
      </c>
      <c r="BP916">
        <v>0</v>
      </c>
    </row>
    <row r="917" spans="1:68" x14ac:dyDescent="0.35">
      <c r="A917" s="26" t="str">
        <f>Orders!A917</f>
        <v>ORD-00916</v>
      </c>
      <c r="B917" s="33">
        <f>Orders!B917</f>
        <v>45397</v>
      </c>
      <c r="C917" t="str">
        <f>Orders!C917</f>
        <v>CUST-0020</v>
      </c>
      <c r="D917" t="str">
        <f>Orders!D917</f>
        <v>PROD-002</v>
      </c>
      <c r="E917" t="str">
        <f>Orders!E917</f>
        <v>R014</v>
      </c>
      <c r="F917">
        <f>Orders!F917</f>
        <v>8</v>
      </c>
      <c r="G917" s="35">
        <f>Orders!G917</f>
        <v>2600</v>
      </c>
      <c r="H917" s="37">
        <f>Orders!H917</f>
        <v>2.2000000000000002</v>
      </c>
      <c r="I917" s="39">
        <f>Orders!I917</f>
        <v>20342.400000000001</v>
      </c>
      <c r="J917" t="str">
        <f>Orders!J917</f>
        <v>Cancelled</v>
      </c>
      <c r="K917" t="str">
        <f>Orders!K917</f>
        <v>Hyderabad</v>
      </c>
      <c r="L917" t="str">
        <f>IFERROR(VLOOKUP(D917,Products!$A$2:$F$61,3,FALSE),"")</f>
        <v>Electronics</v>
      </c>
      <c r="M917">
        <f>IFERROR(VLOOKUP(D917,Products!$A$2:$F$61,4,FALSE),"")</f>
        <v>1052</v>
      </c>
      <c r="N917" t="str">
        <f>IFERROR(VLOOKUP(E917,Sales_Reps!$A$2:$E$31,3,FALSE),"")</f>
        <v>South</v>
      </c>
      <c r="O917" t="str">
        <f>IFERROR(VLOOKUP(C917,Customers!$A$2:$F$301,5,FALSE),"")</f>
        <v>Retail</v>
      </c>
      <c r="P917">
        <f>IFERROR(VLOOKUP(C917,Customers!$A$2:$F$301,3,FALSE),"")</f>
        <v>46</v>
      </c>
      <c r="Q917" s="41">
        <f t="shared" si="23"/>
        <v>0.5953846153846154</v>
      </c>
      <c r="R917" t="str">
        <f>IFERROR(VLOOKUP(C917,Customers!$A$2:$F$301,1,FALSE),"")</f>
        <v>CUST-0020</v>
      </c>
      <c r="S917" s="27" t="b">
        <f>IFERROR(VLOOKUP(D917,Products!$A$2:$F$61,6,FALSE),"")</f>
        <v>1</v>
      </c>
      <c r="BL917">
        <v>0</v>
      </c>
      <c r="BO917">
        <v>0</v>
      </c>
      <c r="BP917">
        <v>0</v>
      </c>
    </row>
    <row r="918" spans="1:68" x14ac:dyDescent="0.35">
      <c r="A918" s="26" t="str">
        <f>Orders!A918</f>
        <v>ORD-00917</v>
      </c>
      <c r="B918" s="33">
        <f>Orders!B918</f>
        <v>45571</v>
      </c>
      <c r="C918" t="str">
        <f>Orders!C918</f>
        <v>CUST-0163</v>
      </c>
      <c r="D918" t="str">
        <f>Orders!D918</f>
        <v>PROD-032</v>
      </c>
      <c r="E918" t="str">
        <f>Orders!E918</f>
        <v>R008</v>
      </c>
      <c r="F918">
        <f>Orders!F918</f>
        <v>2</v>
      </c>
      <c r="G918" s="35">
        <f>Orders!G918</f>
        <v>370</v>
      </c>
      <c r="H918" s="37">
        <f>Orders!H918</f>
        <v>17.7</v>
      </c>
      <c r="I918" s="39">
        <f>Orders!I918</f>
        <v>609.02</v>
      </c>
      <c r="J918" t="str">
        <f>Orders!J918</f>
        <v>Completed</v>
      </c>
      <c r="K918" t="str">
        <f>Orders!K918</f>
        <v>Pune</v>
      </c>
      <c r="L918" t="str">
        <f>IFERROR(VLOOKUP(D918,Products!$A$2:$F$61,3,FALSE),"")</f>
        <v>Home</v>
      </c>
      <c r="M918">
        <f>IFERROR(VLOOKUP(D918,Products!$A$2:$F$61,4,FALSE),"")</f>
        <v>288</v>
      </c>
      <c r="N918" t="str">
        <f>IFERROR(VLOOKUP(E918,Sales_Reps!$A$2:$E$31,3,FALSE),"")</f>
        <v>North</v>
      </c>
      <c r="O918" t="str">
        <f>IFERROR(VLOOKUP(C918,Customers!$A$2:$F$301,5,FALSE),"")</f>
        <v>Retail</v>
      </c>
      <c r="P918">
        <f>IFERROR(VLOOKUP(C918,Customers!$A$2:$F$301,3,FALSE),"")</f>
        <v>49</v>
      </c>
      <c r="Q918" s="41">
        <f t="shared" si="23"/>
        <v>0.22162162162162163</v>
      </c>
      <c r="R918" t="str">
        <f>IFERROR(VLOOKUP(C918,Customers!$A$2:$F$301,1,FALSE),"")</f>
        <v>CUST-0163</v>
      </c>
      <c r="S918" s="27" t="b">
        <f>IFERROR(VLOOKUP(D918,Products!$A$2:$F$61,6,FALSE),"")</f>
        <v>1</v>
      </c>
      <c r="BL918">
        <v>0</v>
      </c>
      <c r="BO918">
        <v>0</v>
      </c>
      <c r="BP918">
        <v>0</v>
      </c>
    </row>
    <row r="919" spans="1:68" x14ac:dyDescent="0.35">
      <c r="A919" s="26" t="str">
        <f>Orders!A919</f>
        <v>ORD-00918</v>
      </c>
      <c r="B919" s="33">
        <f>Orders!B919</f>
        <v>45455</v>
      </c>
      <c r="C919" t="str">
        <f>Orders!C919</f>
        <v>CUST-0142</v>
      </c>
      <c r="D919" t="str">
        <f>Orders!D919</f>
        <v>PROD-047</v>
      </c>
      <c r="E919" t="str">
        <f>Orders!E919</f>
        <v>R026</v>
      </c>
      <c r="F919">
        <f>Orders!F919</f>
        <v>4</v>
      </c>
      <c r="G919" s="35">
        <f>Orders!G919</f>
        <v>3450</v>
      </c>
      <c r="H919" s="37">
        <f>Orders!H919</f>
        <v>9.8000000000000007</v>
      </c>
      <c r="I919" s="39">
        <f>Orders!I919</f>
        <v>12447.6</v>
      </c>
      <c r="J919" t="str">
        <f>Orders!J919</f>
        <v>Cancelled</v>
      </c>
      <c r="K919" t="str">
        <f>Orders!K919</f>
        <v>Chennai</v>
      </c>
      <c r="L919" t="str">
        <f>IFERROR(VLOOKUP(D919,Products!$A$2:$F$61,3,FALSE),"")</f>
        <v>Beauty</v>
      </c>
      <c r="M919">
        <f>IFERROR(VLOOKUP(D919,Products!$A$2:$F$61,4,FALSE),"")</f>
        <v>2420</v>
      </c>
      <c r="N919" t="str">
        <f>IFERROR(VLOOKUP(E919,Sales_Reps!$A$2:$E$31,3,FALSE),"")</f>
        <v>West</v>
      </c>
      <c r="O919" t="str">
        <f>IFERROR(VLOOKUP(C919,Customers!$A$2:$F$301,5,FALSE),"")</f>
        <v>Corporate</v>
      </c>
      <c r="P919">
        <f>IFERROR(VLOOKUP(C919,Customers!$A$2:$F$301,3,FALSE),"")</f>
        <v>55</v>
      </c>
      <c r="Q919" s="41">
        <f t="shared" si="23"/>
        <v>0.29855072463768118</v>
      </c>
      <c r="R919" t="str">
        <f>IFERROR(VLOOKUP(C919,Customers!$A$2:$F$301,1,FALSE),"")</f>
        <v>CUST-0142</v>
      </c>
      <c r="S919" s="27" t="b">
        <f>IFERROR(VLOOKUP(D919,Products!$A$2:$F$61,6,FALSE),"")</f>
        <v>1</v>
      </c>
      <c r="BL919">
        <v>0</v>
      </c>
      <c r="BO919">
        <v>0</v>
      </c>
      <c r="BP919">
        <v>0</v>
      </c>
    </row>
    <row r="920" spans="1:68" x14ac:dyDescent="0.35">
      <c r="A920" s="26" t="str">
        <f>Orders!A920</f>
        <v>ORD-00919</v>
      </c>
      <c r="B920" s="33">
        <f>Orders!B920</f>
        <v>45486</v>
      </c>
      <c r="C920" t="str">
        <f>Orders!C920</f>
        <v>CUST-0221</v>
      </c>
      <c r="D920" t="str">
        <f>Orders!D920</f>
        <v>PROD-019</v>
      </c>
      <c r="E920" t="str">
        <f>Orders!E920</f>
        <v>R020</v>
      </c>
      <c r="F920">
        <f>Orders!F920</f>
        <v>1</v>
      </c>
      <c r="G920" s="35">
        <f>Orders!G920</f>
        <v>2480</v>
      </c>
      <c r="H920" s="37">
        <f>Orders!H920</f>
        <v>5.8</v>
      </c>
      <c r="I920" s="39">
        <f>Orders!I920</f>
        <v>2336.16</v>
      </c>
      <c r="J920" t="str">
        <f>Orders!J920</f>
        <v>Completed</v>
      </c>
      <c r="K920" t="str">
        <f>Orders!K920</f>
        <v>Delhi</v>
      </c>
      <c r="L920" t="str">
        <f>IFERROR(VLOOKUP(D920,Products!$A$2:$F$61,3,FALSE),"")</f>
        <v>Apparel</v>
      </c>
      <c r="M920">
        <f>IFERROR(VLOOKUP(D920,Products!$A$2:$F$61,4,FALSE),"")</f>
        <v>1173</v>
      </c>
      <c r="N920" t="str">
        <f>IFERROR(VLOOKUP(E920,Sales_Reps!$A$2:$E$31,3,FALSE),"")</f>
        <v>East</v>
      </c>
      <c r="O920" t="str">
        <f>IFERROR(VLOOKUP(C920,Customers!$A$2:$F$301,5,FALSE),"")</f>
        <v>SMB</v>
      </c>
      <c r="P920">
        <f>IFERROR(VLOOKUP(C920,Customers!$A$2:$F$301,3,FALSE),"")</f>
        <v>29</v>
      </c>
      <c r="Q920" s="41">
        <f t="shared" si="23"/>
        <v>0.52701612903225803</v>
      </c>
      <c r="R920" t="str">
        <f>IFERROR(VLOOKUP(C920,Customers!$A$2:$F$301,1,FALSE),"")</f>
        <v>CUST-0221</v>
      </c>
      <c r="S920" s="27" t="b">
        <f>IFERROR(VLOOKUP(D920,Products!$A$2:$F$61,6,FALSE),"")</f>
        <v>1</v>
      </c>
      <c r="BL920">
        <v>0</v>
      </c>
      <c r="BO920">
        <v>0</v>
      </c>
      <c r="BP920">
        <v>0</v>
      </c>
    </row>
    <row r="921" spans="1:68" x14ac:dyDescent="0.35">
      <c r="A921" s="26" t="str">
        <f>Orders!A921</f>
        <v>ORD-00920</v>
      </c>
      <c r="B921" s="33">
        <f>Orders!B921</f>
        <v>45329</v>
      </c>
      <c r="C921" t="str">
        <f>Orders!C921</f>
        <v>CUST-0079</v>
      </c>
      <c r="D921" t="str">
        <f>Orders!D921</f>
        <v>PROD-028</v>
      </c>
      <c r="E921" t="str">
        <f>Orders!E921</f>
        <v>R019</v>
      </c>
      <c r="F921">
        <f>Orders!F921</f>
        <v>5</v>
      </c>
      <c r="G921" s="35">
        <f>Orders!G921</f>
        <v>3660</v>
      </c>
      <c r="H921" s="37">
        <f>Orders!H921</f>
        <v>4.7</v>
      </c>
      <c r="I921" s="39">
        <f>Orders!I921</f>
        <v>17439.900000000001</v>
      </c>
      <c r="J921" t="str">
        <f>Orders!J921</f>
        <v>Pending</v>
      </c>
      <c r="K921" t="str">
        <f>Orders!K921</f>
        <v>Mumbai</v>
      </c>
      <c r="L921" t="str">
        <f>IFERROR(VLOOKUP(D921,Products!$A$2:$F$61,3,FALSE),"")</f>
        <v>Grocery</v>
      </c>
      <c r="M921">
        <f>IFERROR(VLOOKUP(D921,Products!$A$2:$F$61,4,FALSE),"")</f>
        <v>2214</v>
      </c>
      <c r="N921" t="str">
        <f>IFERROR(VLOOKUP(E921,Sales_Reps!$A$2:$E$31,3,FALSE),"")</f>
        <v>East</v>
      </c>
      <c r="O921" t="str">
        <f>IFERROR(VLOOKUP(C921,Customers!$A$2:$F$301,5,FALSE),"")</f>
        <v>Corporate</v>
      </c>
      <c r="P921">
        <f>IFERROR(VLOOKUP(C921,Customers!$A$2:$F$301,3,FALSE),"")</f>
        <v>60</v>
      </c>
      <c r="Q921" s="41">
        <f t="shared" si="23"/>
        <v>0.39508196721311473</v>
      </c>
      <c r="R921" t="str">
        <f>IFERROR(VLOOKUP(C921,Customers!$A$2:$F$301,1,FALSE),"")</f>
        <v>CUST-0079</v>
      </c>
      <c r="S921" s="27" t="b">
        <f>IFERROR(VLOOKUP(D921,Products!$A$2:$F$61,6,FALSE),"")</f>
        <v>0</v>
      </c>
      <c r="BL921">
        <v>0</v>
      </c>
      <c r="BO921">
        <v>0</v>
      </c>
      <c r="BP921">
        <v>1</v>
      </c>
    </row>
    <row r="922" spans="1:68" x14ac:dyDescent="0.35">
      <c r="A922" s="26" t="str">
        <f>Orders!A922</f>
        <v>ORD-00921</v>
      </c>
      <c r="B922" s="33">
        <f>Orders!B922</f>
        <v>45315</v>
      </c>
      <c r="C922" t="str">
        <f>Orders!C922</f>
        <v>CUST-0133</v>
      </c>
      <c r="D922" t="str">
        <f>Orders!D922</f>
        <v>PROD-044</v>
      </c>
      <c r="E922" t="str">
        <f>Orders!E922</f>
        <v>R023</v>
      </c>
      <c r="F922">
        <f>Orders!F922</f>
        <v>7</v>
      </c>
      <c r="G922" s="35">
        <f>Orders!G922</f>
        <v>1650</v>
      </c>
      <c r="H922" s="37">
        <f>Orders!H922</f>
        <v>8.6</v>
      </c>
      <c r="I922" s="39">
        <f>Orders!I922</f>
        <v>10556.7</v>
      </c>
      <c r="J922" t="str">
        <f>Orders!J922</f>
        <v>Completed</v>
      </c>
      <c r="K922" t="str">
        <f>Orders!K922</f>
        <v>Chennai</v>
      </c>
      <c r="L922" t="str">
        <f>IFERROR(VLOOKUP(D922,Products!$A$2:$F$61,3,FALSE),"")</f>
        <v>Beauty</v>
      </c>
      <c r="M922">
        <f>IFERROR(VLOOKUP(D922,Products!$A$2:$F$61,4,FALSE),"")</f>
        <v>1222</v>
      </c>
      <c r="N922" t="str">
        <f>IFERROR(VLOOKUP(E922,Sales_Reps!$A$2:$E$31,3,FALSE),"")</f>
        <v>East</v>
      </c>
      <c r="O922" t="str">
        <f>IFERROR(VLOOKUP(C922,Customers!$A$2:$F$301,5,FALSE),"")</f>
        <v>Retail</v>
      </c>
      <c r="P922">
        <f>IFERROR(VLOOKUP(C922,Customers!$A$2:$F$301,3,FALSE),"")</f>
        <v>26</v>
      </c>
      <c r="Q922" s="41">
        <f t="shared" si="23"/>
        <v>0.2593939393939394</v>
      </c>
      <c r="R922" t="str">
        <f>IFERROR(VLOOKUP(C922,Customers!$A$2:$F$301,1,FALSE),"")</f>
        <v>CUST-0133</v>
      </c>
      <c r="S922" s="27" t="b">
        <f>IFERROR(VLOOKUP(D922,Products!$A$2:$F$61,6,FALSE),"")</f>
        <v>1</v>
      </c>
      <c r="BL922">
        <v>0</v>
      </c>
      <c r="BO922">
        <v>0</v>
      </c>
      <c r="BP922">
        <v>0</v>
      </c>
    </row>
    <row r="923" spans="1:68" x14ac:dyDescent="0.35">
      <c r="A923" s="26" t="str">
        <f>Orders!A923</f>
        <v>ORD-00922</v>
      </c>
      <c r="B923" s="33">
        <f>Orders!B923</f>
        <v>45473</v>
      </c>
      <c r="C923" t="str">
        <f>Orders!C923</f>
        <v>CUST-0086</v>
      </c>
      <c r="D923" t="str">
        <f>Orders!D923</f>
        <v>PROD-060</v>
      </c>
      <c r="E923" t="str">
        <f>Orders!E923</f>
        <v>R025</v>
      </c>
      <c r="F923">
        <f>Orders!F923</f>
        <v>6</v>
      </c>
      <c r="G923" s="35">
        <f>Orders!G923</f>
        <v>190</v>
      </c>
      <c r="H923" s="37">
        <f>Orders!H923</f>
        <v>14.6</v>
      </c>
      <c r="I923" s="39">
        <f>Orders!I923</f>
        <v>973.56</v>
      </c>
      <c r="J923" t="str">
        <f>Orders!J923</f>
        <v>Completed</v>
      </c>
      <c r="K923" t="str">
        <f>Orders!K923</f>
        <v>Hyderabad</v>
      </c>
      <c r="L923" t="str">
        <f>IFERROR(VLOOKUP(D923,Products!$A$2:$F$61,3,FALSE),"")</f>
        <v>Sports</v>
      </c>
      <c r="M923">
        <f>IFERROR(VLOOKUP(D923,Products!$A$2:$F$61,4,FALSE),"")</f>
        <v>147</v>
      </c>
      <c r="N923" t="str">
        <f>IFERROR(VLOOKUP(E923,Sales_Reps!$A$2:$E$31,3,FALSE),"")</f>
        <v>West</v>
      </c>
      <c r="O923" t="str">
        <f>IFERROR(VLOOKUP(C923,Customers!$A$2:$F$301,5,FALSE),"")</f>
        <v>Corporate</v>
      </c>
      <c r="P923">
        <f>IFERROR(VLOOKUP(C923,Customers!$A$2:$F$301,3,FALSE),"")</f>
        <v>56</v>
      </c>
      <c r="Q923" s="41">
        <f t="shared" si="23"/>
        <v>0.22631578947368422</v>
      </c>
      <c r="R923" t="str">
        <f>IFERROR(VLOOKUP(C923,Customers!$A$2:$F$301,1,FALSE),"")</f>
        <v>CUST-0086</v>
      </c>
      <c r="S923" s="27" t="b">
        <f>IFERROR(VLOOKUP(D923,Products!$A$2:$F$61,6,FALSE),"")</f>
        <v>1</v>
      </c>
      <c r="BL923">
        <v>0</v>
      </c>
      <c r="BO923">
        <v>0</v>
      </c>
      <c r="BP923">
        <v>0</v>
      </c>
    </row>
    <row r="924" spans="1:68" x14ac:dyDescent="0.35">
      <c r="A924" s="26" t="str">
        <f>Orders!A924</f>
        <v>ORD-00923</v>
      </c>
      <c r="B924" s="33">
        <f>Orders!B924</f>
        <v>45546</v>
      </c>
      <c r="C924" t="str">
        <f>Orders!C924</f>
        <v>CUST-0155</v>
      </c>
      <c r="D924" t="str">
        <f>Orders!D924</f>
        <v>PROD-022</v>
      </c>
      <c r="E924" t="str">
        <f>Orders!E924</f>
        <v>R001</v>
      </c>
      <c r="F924">
        <f>Orders!F924</f>
        <v>5</v>
      </c>
      <c r="G924" s="35">
        <f>Orders!G924</f>
        <v>2270</v>
      </c>
      <c r="H924" s="37">
        <f>Orders!H924</f>
        <v>5.9</v>
      </c>
      <c r="I924" s="39">
        <f>Orders!I924</f>
        <v>10680.35</v>
      </c>
      <c r="J924" t="str">
        <f>Orders!J924</f>
        <v>Completed</v>
      </c>
      <c r="K924" t="str">
        <f>Orders!K924</f>
        <v>Pune</v>
      </c>
      <c r="L924" t="str">
        <f>IFERROR(VLOOKUP(D924,Products!$A$2:$F$61,3,FALSE),"")</f>
        <v>Grocery</v>
      </c>
      <c r="M924">
        <f>IFERROR(VLOOKUP(D924,Products!$A$2:$F$61,4,FALSE),"")</f>
        <v>1412</v>
      </c>
      <c r="N924" t="str">
        <f>IFERROR(VLOOKUP(E924,Sales_Reps!$A$2:$E$31,3,FALSE),"")</f>
        <v>North</v>
      </c>
      <c r="O924" t="str">
        <f>IFERROR(VLOOKUP(C924,Customers!$A$2:$F$301,5,FALSE),"")</f>
        <v>Corporate</v>
      </c>
      <c r="P924">
        <f>IFERROR(VLOOKUP(C924,Customers!$A$2:$F$301,3,FALSE),"")</f>
        <v>40</v>
      </c>
      <c r="Q924" s="41">
        <f t="shared" si="23"/>
        <v>0.37797356828193834</v>
      </c>
      <c r="R924" t="str">
        <f>IFERROR(VLOOKUP(C924,Customers!$A$2:$F$301,1,FALSE),"")</f>
        <v>CUST-0155</v>
      </c>
      <c r="S924" s="27" t="b">
        <f>IFERROR(VLOOKUP(D924,Products!$A$2:$F$61,6,FALSE),"")</f>
        <v>1</v>
      </c>
      <c r="BL924">
        <v>0</v>
      </c>
      <c r="BO924">
        <v>0</v>
      </c>
      <c r="BP924">
        <v>0</v>
      </c>
    </row>
    <row r="925" spans="1:68" x14ac:dyDescent="0.35">
      <c r="A925" s="26" t="str">
        <f>Orders!A925</f>
        <v>ORD-00924</v>
      </c>
      <c r="B925" s="33">
        <f>Orders!B925</f>
        <v>45625</v>
      </c>
      <c r="C925" t="str">
        <f>Orders!C925</f>
        <v>CUST-0244</v>
      </c>
      <c r="D925" t="str">
        <f>Orders!D925</f>
        <v>PROD-024</v>
      </c>
      <c r="E925" t="str">
        <f>Orders!E925</f>
        <v>R011</v>
      </c>
      <c r="F925">
        <f>Orders!F925</f>
        <v>1</v>
      </c>
      <c r="G925" s="35">
        <f>Orders!G925</f>
        <v>2270</v>
      </c>
      <c r="H925" s="37">
        <f>Orders!H925</f>
        <v>14.9</v>
      </c>
      <c r="I925" s="39">
        <f>Orders!I925</f>
        <v>1931.77</v>
      </c>
      <c r="J925" t="str">
        <f>Orders!J925</f>
        <v>Completed</v>
      </c>
      <c r="K925" t="str">
        <f>Orders!K925</f>
        <v>Bengaluru</v>
      </c>
      <c r="L925" t="str">
        <f>IFERROR(VLOOKUP(D925,Products!$A$2:$F$61,3,FALSE),"")</f>
        <v>Grocery</v>
      </c>
      <c r="M925">
        <f>IFERROR(VLOOKUP(D925,Products!$A$2:$F$61,4,FALSE),"")</f>
        <v>1203</v>
      </c>
      <c r="N925" t="str">
        <f>IFERROR(VLOOKUP(E925,Sales_Reps!$A$2:$E$31,3,FALSE),"")</f>
        <v>South</v>
      </c>
      <c r="O925" t="str">
        <f>IFERROR(VLOOKUP(C925,Customers!$A$2:$F$301,5,FALSE),"")</f>
        <v>Retail</v>
      </c>
      <c r="P925">
        <f>IFERROR(VLOOKUP(C925,Customers!$A$2:$F$301,3,FALSE),"")</f>
        <v>61</v>
      </c>
      <c r="Q925" s="41">
        <f t="shared" si="23"/>
        <v>0.47004405286343615</v>
      </c>
      <c r="R925" t="str">
        <f>IFERROR(VLOOKUP(C925,Customers!$A$2:$F$301,1,FALSE),"")</f>
        <v>CUST-0244</v>
      </c>
      <c r="S925" s="27" t="b">
        <f>IFERROR(VLOOKUP(D925,Products!$A$2:$F$61,6,FALSE),"")</f>
        <v>1</v>
      </c>
      <c r="BL925">
        <v>0</v>
      </c>
      <c r="BO925">
        <v>0</v>
      </c>
      <c r="BP925">
        <v>0</v>
      </c>
    </row>
    <row r="926" spans="1:68" x14ac:dyDescent="0.35">
      <c r="A926" s="26" t="str">
        <f>Orders!A926</f>
        <v>ORD-00925</v>
      </c>
      <c r="B926" s="33">
        <f>Orders!B926</f>
        <v>45579</v>
      </c>
      <c r="C926" t="str">
        <f>Orders!C926</f>
        <v>CUST-0262</v>
      </c>
      <c r="D926" t="str">
        <f>Orders!D926</f>
        <v>PROD-011</v>
      </c>
      <c r="E926" t="str">
        <f>Orders!E926</f>
        <v>R018</v>
      </c>
      <c r="F926">
        <f>Orders!F926</f>
        <v>4</v>
      </c>
      <c r="G926" s="35">
        <f>Orders!G926</f>
        <v>3450</v>
      </c>
      <c r="H926" s="37">
        <f>Orders!H926</f>
        <v>11.7</v>
      </c>
      <c r="I926" s="39">
        <f>Orders!I926</f>
        <v>12185.4</v>
      </c>
      <c r="J926" t="str">
        <f>Orders!J926</f>
        <v>Cancelled</v>
      </c>
      <c r="K926" t="str">
        <f>Orders!K926</f>
        <v>Mumbai</v>
      </c>
      <c r="L926" t="str">
        <f>IFERROR(VLOOKUP(D926,Products!$A$2:$F$61,3,FALSE),"")</f>
        <v>Apparel</v>
      </c>
      <c r="M926">
        <f>IFERROR(VLOOKUP(D926,Products!$A$2:$F$61,4,FALSE),"")</f>
        <v>1748</v>
      </c>
      <c r="N926" t="str">
        <f>IFERROR(VLOOKUP(E926,Sales_Reps!$A$2:$E$31,3,FALSE),"")</f>
        <v>East</v>
      </c>
      <c r="O926" t="str">
        <f>IFERROR(VLOOKUP(C926,Customers!$A$2:$F$301,5,FALSE),"")</f>
        <v>Retail</v>
      </c>
      <c r="P926">
        <f>IFERROR(VLOOKUP(C926,Customers!$A$2:$F$301,3,FALSE),"")</f>
        <v>52</v>
      </c>
      <c r="Q926" s="41">
        <f t="shared" si="23"/>
        <v>0.49333333333333335</v>
      </c>
      <c r="R926" t="str">
        <f>IFERROR(VLOOKUP(C926,Customers!$A$2:$F$301,1,FALSE),"")</f>
        <v>CUST-0262</v>
      </c>
      <c r="S926" s="27" t="b">
        <f>IFERROR(VLOOKUP(D926,Products!$A$2:$F$61,6,FALSE),"")</f>
        <v>1</v>
      </c>
      <c r="BL926">
        <v>0</v>
      </c>
      <c r="BO926">
        <v>0</v>
      </c>
      <c r="BP926">
        <v>0</v>
      </c>
    </row>
    <row r="927" spans="1:68" x14ac:dyDescent="0.35">
      <c r="A927" s="26" t="str">
        <f>Orders!A927</f>
        <v>ORD-00926</v>
      </c>
      <c r="B927" s="33">
        <f>Orders!B927</f>
        <v>45323</v>
      </c>
      <c r="C927" t="str">
        <f>Orders!C927</f>
        <v>CUST-0251</v>
      </c>
      <c r="D927" t="str">
        <f>Orders!D927</f>
        <v>PROD-045</v>
      </c>
      <c r="E927" t="str">
        <f>Orders!E927</f>
        <v>R028</v>
      </c>
      <c r="F927">
        <f>Orders!F927</f>
        <v>7</v>
      </c>
      <c r="G927" s="35">
        <f>Orders!G927</f>
        <v>3020</v>
      </c>
      <c r="H927" s="37">
        <f>Orders!H927</f>
        <v>18.8</v>
      </c>
      <c r="I927" s="39">
        <f>Orders!I927</f>
        <v>17165.68</v>
      </c>
      <c r="J927" t="str">
        <f>Orders!J927</f>
        <v>Completed</v>
      </c>
      <c r="K927" t="str">
        <f>Orders!K927</f>
        <v>Mumbai</v>
      </c>
      <c r="L927" t="str">
        <f>IFERROR(VLOOKUP(D927,Products!$A$2:$F$61,3,FALSE),"")</f>
        <v>Beauty</v>
      </c>
      <c r="M927">
        <f>IFERROR(VLOOKUP(D927,Products!$A$2:$F$61,4,FALSE),"")</f>
        <v>1626</v>
      </c>
      <c r="N927" t="str">
        <f>IFERROR(VLOOKUP(E927,Sales_Reps!$A$2:$E$31,3,FALSE),"")</f>
        <v>West</v>
      </c>
      <c r="O927" t="str">
        <f>IFERROR(VLOOKUP(C927,Customers!$A$2:$F$301,5,FALSE),"")</f>
        <v>Retail</v>
      </c>
      <c r="P927">
        <f>IFERROR(VLOOKUP(C927,Customers!$A$2:$F$301,3,FALSE),"")</f>
        <v>44</v>
      </c>
      <c r="Q927" s="41">
        <f t="shared" si="23"/>
        <v>0.46158940397350995</v>
      </c>
      <c r="R927" t="str">
        <f>IFERROR(VLOOKUP(C927,Customers!$A$2:$F$301,1,FALSE),"")</f>
        <v>CUST-0251</v>
      </c>
      <c r="S927" s="27" t="b">
        <f>IFERROR(VLOOKUP(D927,Products!$A$2:$F$61,6,FALSE),"")</f>
        <v>1</v>
      </c>
      <c r="BL927">
        <v>0</v>
      </c>
      <c r="BO927">
        <v>0</v>
      </c>
      <c r="BP927">
        <v>0</v>
      </c>
    </row>
    <row r="928" spans="1:68" x14ac:dyDescent="0.35">
      <c r="A928" s="26" t="str">
        <f>Orders!A928</f>
        <v>ORD-00927</v>
      </c>
      <c r="B928" s="33">
        <f>Orders!B928</f>
        <v>45613</v>
      </c>
      <c r="C928" t="str">
        <f>Orders!C928</f>
        <v>CUST-0007</v>
      </c>
      <c r="D928" t="str">
        <f>Orders!D928</f>
        <v>PROD-033</v>
      </c>
      <c r="E928" t="str">
        <f>Orders!E928</f>
        <v>R016</v>
      </c>
      <c r="F928">
        <f>Orders!F928</f>
        <v>4</v>
      </c>
      <c r="G928" s="35">
        <f>Orders!G928</f>
        <v>2030</v>
      </c>
      <c r="H928" s="37">
        <f>Orders!H928</f>
        <v>25.7</v>
      </c>
      <c r="I928" s="39">
        <f>Orders!I928</f>
        <v>6033.16</v>
      </c>
      <c r="J928" t="str">
        <f>Orders!J928</f>
        <v>Completed</v>
      </c>
      <c r="K928" t="str">
        <f>Orders!K928</f>
        <v>Bengaluru</v>
      </c>
      <c r="L928" t="str">
        <f>IFERROR(VLOOKUP(D928,Products!$A$2:$F$61,3,FALSE),"")</f>
        <v>Home</v>
      </c>
      <c r="M928">
        <f>IFERROR(VLOOKUP(D928,Products!$A$2:$F$61,4,FALSE),"")</f>
        <v>1143</v>
      </c>
      <c r="N928" t="str">
        <f>IFERROR(VLOOKUP(E928,Sales_Reps!$A$2:$E$31,3,FALSE),"")</f>
        <v>South</v>
      </c>
      <c r="O928" t="str">
        <f>IFERROR(VLOOKUP(C928,Customers!$A$2:$F$301,5,FALSE),"")</f>
        <v>Retail</v>
      </c>
      <c r="P928">
        <f>IFERROR(VLOOKUP(C928,Customers!$A$2:$F$301,3,FALSE),"")</f>
        <v>47</v>
      </c>
      <c r="Q928" s="41">
        <f t="shared" si="23"/>
        <v>0.43694581280788175</v>
      </c>
      <c r="R928" t="str">
        <f>IFERROR(VLOOKUP(C928,Customers!$A$2:$F$301,1,FALSE),"")</f>
        <v>CUST-0007</v>
      </c>
      <c r="S928" s="27" t="b">
        <f>IFERROR(VLOOKUP(D928,Products!$A$2:$F$61,6,FALSE),"")</f>
        <v>1</v>
      </c>
      <c r="BL928">
        <v>0</v>
      </c>
      <c r="BO928">
        <v>0</v>
      </c>
      <c r="BP928">
        <v>0</v>
      </c>
    </row>
    <row r="929" spans="1:68" x14ac:dyDescent="0.35">
      <c r="A929" s="26" t="str">
        <f>Orders!A929</f>
        <v>ORD-00928</v>
      </c>
      <c r="B929" s="33">
        <f>Orders!B929</f>
        <v>45362</v>
      </c>
      <c r="C929" t="str">
        <f>Orders!C929</f>
        <v>CUST-0161</v>
      </c>
      <c r="D929" t="str">
        <f>Orders!D929</f>
        <v>PROD-011</v>
      </c>
      <c r="E929" t="str">
        <f>Orders!E929</f>
        <v>R014</v>
      </c>
      <c r="F929">
        <f>Orders!F929</f>
        <v>4</v>
      </c>
      <c r="G929" s="35">
        <f>Orders!G929</f>
        <v>3450</v>
      </c>
      <c r="H929" s="37">
        <f>Orders!H929</f>
        <v>3.9</v>
      </c>
      <c r="I929" s="39">
        <f>Orders!I929</f>
        <v>13261.8</v>
      </c>
      <c r="J929" t="str">
        <f>Orders!J929</f>
        <v>Completed</v>
      </c>
      <c r="K929" t="str">
        <f>Orders!K929</f>
        <v>Chennai</v>
      </c>
      <c r="L929" t="str">
        <f>IFERROR(VLOOKUP(D929,Products!$A$2:$F$61,3,FALSE),"")</f>
        <v>Apparel</v>
      </c>
      <c r="M929">
        <f>IFERROR(VLOOKUP(D929,Products!$A$2:$F$61,4,FALSE),"")</f>
        <v>1748</v>
      </c>
      <c r="N929" t="str">
        <f>IFERROR(VLOOKUP(E929,Sales_Reps!$A$2:$E$31,3,FALSE),"")</f>
        <v>South</v>
      </c>
      <c r="O929" t="str">
        <f>IFERROR(VLOOKUP(C929,Customers!$A$2:$F$301,5,FALSE),"")</f>
        <v>Retail</v>
      </c>
      <c r="P929">
        <f>IFERROR(VLOOKUP(C929,Customers!$A$2:$F$301,3,FALSE),"")</f>
        <v>38</v>
      </c>
      <c r="Q929" s="41">
        <f t="shared" si="23"/>
        <v>0.49333333333333335</v>
      </c>
      <c r="R929" t="str">
        <f>IFERROR(VLOOKUP(C929,Customers!$A$2:$F$301,1,FALSE),"")</f>
        <v>CUST-0161</v>
      </c>
      <c r="S929" s="27" t="b">
        <f>IFERROR(VLOOKUP(D929,Products!$A$2:$F$61,6,FALSE),"")</f>
        <v>1</v>
      </c>
      <c r="BL929">
        <v>0</v>
      </c>
      <c r="BO929">
        <v>0</v>
      </c>
      <c r="BP929">
        <v>0</v>
      </c>
    </row>
    <row r="930" spans="1:68" x14ac:dyDescent="0.35">
      <c r="A930" s="26" t="str">
        <f>Orders!A930</f>
        <v>ORD-00929</v>
      </c>
      <c r="B930" s="33">
        <f>Orders!B930</f>
        <v>45347</v>
      </c>
      <c r="C930" t="str">
        <f>Orders!C930</f>
        <v>CUST-0251</v>
      </c>
      <c r="D930" t="str">
        <f>Orders!D930</f>
        <v>PROD-049</v>
      </c>
      <c r="E930" t="str">
        <f>Orders!E930</f>
        <v>R028</v>
      </c>
      <c r="F930">
        <f>Orders!F930</f>
        <v>5</v>
      </c>
      <c r="G930" s="35">
        <f>Orders!G930</f>
        <v>960</v>
      </c>
      <c r="H930" s="37">
        <f>Orders!H930</f>
        <v>8</v>
      </c>
      <c r="I930" s="39">
        <f>Orders!I930</f>
        <v>4416</v>
      </c>
      <c r="J930" t="str">
        <f>Orders!J930</f>
        <v>Completed</v>
      </c>
      <c r="K930" t="str">
        <f>Orders!K930</f>
        <v>Mumbai</v>
      </c>
      <c r="L930" t="str">
        <f>IFERROR(VLOOKUP(D930,Products!$A$2:$F$61,3,FALSE),"")</f>
        <v>Beauty</v>
      </c>
      <c r="M930">
        <f>IFERROR(VLOOKUP(D930,Products!$A$2:$F$61,4,FALSE),"")</f>
        <v>675</v>
      </c>
      <c r="N930" t="str">
        <f>IFERROR(VLOOKUP(E930,Sales_Reps!$A$2:$E$31,3,FALSE),"")</f>
        <v>West</v>
      </c>
      <c r="O930" t="str">
        <f>IFERROR(VLOOKUP(C930,Customers!$A$2:$F$301,5,FALSE),"")</f>
        <v>Retail</v>
      </c>
      <c r="P930">
        <f>IFERROR(VLOOKUP(C930,Customers!$A$2:$F$301,3,FALSE),"")</f>
        <v>44</v>
      </c>
      <c r="Q930" s="41">
        <f t="shared" si="23"/>
        <v>0.296875</v>
      </c>
      <c r="R930" t="str">
        <f>IFERROR(VLOOKUP(C930,Customers!$A$2:$F$301,1,FALSE),"")</f>
        <v>CUST-0251</v>
      </c>
      <c r="S930" s="27" t="b">
        <f>IFERROR(VLOOKUP(D930,Products!$A$2:$F$61,6,FALSE),"")</f>
        <v>1</v>
      </c>
      <c r="BL930">
        <v>0</v>
      </c>
      <c r="BO930">
        <v>0</v>
      </c>
      <c r="BP930">
        <v>0</v>
      </c>
    </row>
    <row r="931" spans="1:68" x14ac:dyDescent="0.35">
      <c r="A931" s="26" t="str">
        <f>Orders!A931</f>
        <v>ORD-00930</v>
      </c>
      <c r="B931" s="33">
        <f>Orders!B931</f>
        <v>45550</v>
      </c>
      <c r="C931" t="str">
        <f>Orders!C931</f>
        <v>CUST-0098</v>
      </c>
      <c r="D931" t="str">
        <f>Orders!D931</f>
        <v>PROD-006</v>
      </c>
      <c r="E931" t="str">
        <f>Orders!E931</f>
        <v>R001</v>
      </c>
      <c r="F931">
        <f>Orders!F931</f>
        <v>7</v>
      </c>
      <c r="G931" s="35">
        <f>Orders!G931</f>
        <v>3970</v>
      </c>
      <c r="H931" s="37">
        <f>Orders!H931</f>
        <v>11.7</v>
      </c>
      <c r="I931" s="39">
        <f>Orders!I931</f>
        <v>24538.57</v>
      </c>
      <c r="J931" t="str">
        <f>Orders!J931</f>
        <v>Completed</v>
      </c>
      <c r="K931" t="str">
        <f>Orders!K931</f>
        <v>Delhi</v>
      </c>
      <c r="L931" t="str">
        <f>IFERROR(VLOOKUP(D931,Products!$A$2:$F$61,3,FALSE),"")</f>
        <v>Electronics</v>
      </c>
      <c r="M931">
        <f>IFERROR(VLOOKUP(D931,Products!$A$2:$F$61,4,FALSE),"")</f>
        <v>2865</v>
      </c>
      <c r="N931" t="str">
        <f>IFERROR(VLOOKUP(E931,Sales_Reps!$A$2:$E$31,3,FALSE),"")</f>
        <v>North</v>
      </c>
      <c r="O931" t="str">
        <f>IFERROR(VLOOKUP(C931,Customers!$A$2:$F$301,5,FALSE),"")</f>
        <v>Retail</v>
      </c>
      <c r="P931">
        <f>IFERROR(VLOOKUP(C931,Customers!$A$2:$F$301,3,FALSE),"")</f>
        <v>52</v>
      </c>
      <c r="Q931" s="41">
        <f t="shared" si="23"/>
        <v>0.27833753148614609</v>
      </c>
      <c r="R931" t="str">
        <f>IFERROR(VLOOKUP(C931,Customers!$A$2:$F$301,1,FALSE),"")</f>
        <v>CUST-0098</v>
      </c>
      <c r="S931" s="27" t="b">
        <f>IFERROR(VLOOKUP(D931,Products!$A$2:$F$61,6,FALSE),"")</f>
        <v>1</v>
      </c>
      <c r="BL931">
        <v>0</v>
      </c>
      <c r="BO931">
        <v>0</v>
      </c>
      <c r="BP931">
        <v>0</v>
      </c>
    </row>
    <row r="932" spans="1:68" x14ac:dyDescent="0.35">
      <c r="A932" s="26" t="str">
        <f>Orders!A932</f>
        <v>ORD-00931</v>
      </c>
      <c r="B932" s="33">
        <f>Orders!B932</f>
        <v>45554</v>
      </c>
      <c r="C932" t="str">
        <f>Orders!C932</f>
        <v>CUST-0200</v>
      </c>
      <c r="D932" t="str">
        <f>Orders!D932</f>
        <v>PROD-052</v>
      </c>
      <c r="E932" t="str">
        <f>Orders!E932</f>
        <v>R026</v>
      </c>
      <c r="F932">
        <f>Orders!F932</f>
        <v>3</v>
      </c>
      <c r="G932" s="35">
        <f>Orders!G932</f>
        <v>5410</v>
      </c>
      <c r="H932" s="37">
        <f>Orders!H932</f>
        <v>10</v>
      </c>
      <c r="I932" s="39">
        <f>Orders!I932</f>
        <v>14607</v>
      </c>
      <c r="J932" t="str">
        <f>Orders!J932</f>
        <v>Completed</v>
      </c>
      <c r="K932" t="str">
        <f>Orders!K932</f>
        <v>Hyderabad</v>
      </c>
      <c r="L932" t="str">
        <f>IFERROR(VLOOKUP(D932,Products!$A$2:$F$61,3,FALSE),"")</f>
        <v>Sports</v>
      </c>
      <c r="M932">
        <f>IFERROR(VLOOKUP(D932,Products!$A$2:$F$61,4,FALSE),"")</f>
        <v>2265</v>
      </c>
      <c r="N932" t="str">
        <f>IFERROR(VLOOKUP(E932,Sales_Reps!$A$2:$E$31,3,FALSE),"")</f>
        <v>West</v>
      </c>
      <c r="O932" t="str">
        <f>IFERROR(VLOOKUP(C932,Customers!$A$2:$F$301,5,FALSE),"")</f>
        <v>Corporate</v>
      </c>
      <c r="P932">
        <f>IFERROR(VLOOKUP(C932,Customers!$A$2:$F$301,3,FALSE),"")</f>
        <v>46</v>
      </c>
      <c r="Q932" s="41">
        <f t="shared" si="23"/>
        <v>0.58133086876155271</v>
      </c>
      <c r="R932" t="str">
        <f>IFERROR(VLOOKUP(C932,Customers!$A$2:$F$301,1,FALSE),"")</f>
        <v>CUST-0200</v>
      </c>
      <c r="S932" s="27" t="b">
        <f>IFERROR(VLOOKUP(D932,Products!$A$2:$F$61,6,FALSE),"")</f>
        <v>1</v>
      </c>
      <c r="BL932">
        <v>0</v>
      </c>
      <c r="BO932">
        <v>0</v>
      </c>
      <c r="BP932">
        <v>0</v>
      </c>
    </row>
    <row r="933" spans="1:68" x14ac:dyDescent="0.35">
      <c r="A933" s="26" t="str">
        <f>Orders!A933</f>
        <v>ORD-00932</v>
      </c>
      <c r="B933" s="33">
        <f>Orders!B933</f>
        <v>45428</v>
      </c>
      <c r="C933" t="str">
        <f>Orders!C933</f>
        <v>CUST-0228</v>
      </c>
      <c r="D933" t="str">
        <f>Orders!D933</f>
        <v>PROD-003</v>
      </c>
      <c r="E933" t="str">
        <f>Orders!E933</f>
        <v>R007</v>
      </c>
      <c r="F933">
        <f>Orders!F933</f>
        <v>8</v>
      </c>
      <c r="G933" s="35">
        <f>Orders!G933</f>
        <v>3570</v>
      </c>
      <c r="H933" s="37">
        <f>Orders!H933</f>
        <v>8.5</v>
      </c>
      <c r="I933" s="39">
        <f>Orders!I933</f>
        <v>26132.400000000001</v>
      </c>
      <c r="J933" t="str">
        <f>Orders!J933</f>
        <v>Completed</v>
      </c>
      <c r="K933" t="str">
        <f>Orders!K933</f>
        <v>Pune</v>
      </c>
      <c r="L933" t="str">
        <f>IFERROR(VLOOKUP(D933,Products!$A$2:$F$61,3,FALSE),"")</f>
        <v>Electronics</v>
      </c>
      <c r="M933">
        <f>IFERROR(VLOOKUP(D933,Products!$A$2:$F$61,4,FALSE),"")</f>
        <v>1665</v>
      </c>
      <c r="N933" t="str">
        <f>IFERROR(VLOOKUP(E933,Sales_Reps!$A$2:$E$31,3,FALSE),"")</f>
        <v>North</v>
      </c>
      <c r="O933" t="str">
        <f>IFERROR(VLOOKUP(C933,Customers!$A$2:$F$301,5,FALSE),"")</f>
        <v>Corporate</v>
      </c>
      <c r="P933">
        <f>IFERROR(VLOOKUP(C933,Customers!$A$2:$F$301,3,FALSE),"")</f>
        <v>37</v>
      </c>
      <c r="Q933" s="41">
        <f t="shared" si="23"/>
        <v>0.53361344537815125</v>
      </c>
      <c r="R933" t="str">
        <f>IFERROR(VLOOKUP(C933,Customers!$A$2:$F$301,1,FALSE),"")</f>
        <v>CUST-0228</v>
      </c>
      <c r="S933" s="27" t="b">
        <f>IFERROR(VLOOKUP(D933,Products!$A$2:$F$61,6,FALSE),"")</f>
        <v>1</v>
      </c>
      <c r="BL933">
        <v>0</v>
      </c>
      <c r="BO933">
        <v>0</v>
      </c>
      <c r="BP933">
        <v>0</v>
      </c>
    </row>
    <row r="934" spans="1:68" x14ac:dyDescent="0.35">
      <c r="A934" s="26" t="str">
        <f>Orders!A934</f>
        <v>ORD-00933</v>
      </c>
      <c r="B934" s="33">
        <f>Orders!B934</f>
        <v>45517</v>
      </c>
      <c r="C934" t="str">
        <f>Orders!C934</f>
        <v>CUST-0095</v>
      </c>
      <c r="D934" t="str">
        <f>Orders!D934</f>
        <v>PROD-002</v>
      </c>
      <c r="E934" t="str">
        <f>Orders!E934</f>
        <v>R014</v>
      </c>
      <c r="F934">
        <f>Orders!F934</f>
        <v>7</v>
      </c>
      <c r="G934" s="35">
        <f>Orders!G934</f>
        <v>2600</v>
      </c>
      <c r="H934" s="37">
        <f>Orders!H934</f>
        <v>27.1</v>
      </c>
      <c r="I934" s="39">
        <f>Orders!I934</f>
        <v>13267.8</v>
      </c>
      <c r="J934" t="str">
        <f>Orders!J934</f>
        <v>Completed</v>
      </c>
      <c r="K934" t="str">
        <f>Orders!K934</f>
        <v>Mumbai</v>
      </c>
      <c r="L934" t="str">
        <f>IFERROR(VLOOKUP(D934,Products!$A$2:$F$61,3,FALSE),"")</f>
        <v>Electronics</v>
      </c>
      <c r="M934">
        <f>IFERROR(VLOOKUP(D934,Products!$A$2:$F$61,4,FALSE),"")</f>
        <v>1052</v>
      </c>
      <c r="N934" t="str">
        <f>IFERROR(VLOOKUP(E934,Sales_Reps!$A$2:$E$31,3,FALSE),"")</f>
        <v>South</v>
      </c>
      <c r="O934" t="str">
        <f>IFERROR(VLOOKUP(C934,Customers!$A$2:$F$301,5,FALSE),"")</f>
        <v>SMB</v>
      </c>
      <c r="P934">
        <f>IFERROR(VLOOKUP(C934,Customers!$A$2:$F$301,3,FALSE),"")</f>
        <v>54</v>
      </c>
      <c r="Q934" s="41">
        <f t="shared" si="23"/>
        <v>0.5953846153846154</v>
      </c>
      <c r="R934" t="str">
        <f>IFERROR(VLOOKUP(C934,Customers!$A$2:$F$301,1,FALSE),"")</f>
        <v>CUST-0095</v>
      </c>
      <c r="S934" s="27" t="b">
        <f>IFERROR(VLOOKUP(D934,Products!$A$2:$F$61,6,FALSE),"")</f>
        <v>1</v>
      </c>
      <c r="BL934">
        <v>0</v>
      </c>
      <c r="BO934">
        <v>0</v>
      </c>
      <c r="BP934">
        <v>0</v>
      </c>
    </row>
    <row r="935" spans="1:68" x14ac:dyDescent="0.35">
      <c r="A935" s="26" t="str">
        <f>Orders!A935</f>
        <v>ORD-00934</v>
      </c>
      <c r="B935" s="33">
        <f>Orders!B935</f>
        <v>45442</v>
      </c>
      <c r="C935" t="str">
        <f>Orders!C935</f>
        <v>CUST-0175</v>
      </c>
      <c r="D935" t="str">
        <f>Orders!D935</f>
        <v>PROD-053</v>
      </c>
      <c r="E935" t="str">
        <f>Orders!E935</f>
        <v>R026</v>
      </c>
      <c r="F935">
        <f>Orders!F935</f>
        <v>6</v>
      </c>
      <c r="G935" s="35">
        <f>Orders!G935</f>
        <v>470</v>
      </c>
      <c r="H935" s="37">
        <f>Orders!H935</f>
        <v>2.4</v>
      </c>
      <c r="I935" s="39">
        <f>Orders!I935</f>
        <v>2752.32</v>
      </c>
      <c r="J935" t="str">
        <f>Orders!J935</f>
        <v>Pending</v>
      </c>
      <c r="K935" t="str">
        <f>Orders!K935</f>
        <v>Delhi</v>
      </c>
      <c r="L935" t="str">
        <f>IFERROR(VLOOKUP(D935,Products!$A$2:$F$61,3,FALSE),"")</f>
        <v>Sports</v>
      </c>
      <c r="M935">
        <f>IFERROR(VLOOKUP(D935,Products!$A$2:$F$61,4,FALSE),"")</f>
        <v>302</v>
      </c>
      <c r="N935" t="str">
        <f>IFERROR(VLOOKUP(E935,Sales_Reps!$A$2:$E$31,3,FALSE),"")</f>
        <v>West</v>
      </c>
      <c r="O935" t="str">
        <f>IFERROR(VLOOKUP(C935,Customers!$A$2:$F$301,5,FALSE),"")</f>
        <v>Corporate</v>
      </c>
      <c r="P935">
        <f>IFERROR(VLOOKUP(C935,Customers!$A$2:$F$301,3,FALSE),"")</f>
        <v>55</v>
      </c>
      <c r="Q935" s="41">
        <f t="shared" si="23"/>
        <v>0.35744680851063831</v>
      </c>
      <c r="R935" t="str">
        <f>IFERROR(VLOOKUP(C935,Customers!$A$2:$F$301,1,FALSE),"")</f>
        <v>CUST-0175</v>
      </c>
      <c r="S935" s="27" t="b">
        <f>IFERROR(VLOOKUP(D935,Products!$A$2:$F$61,6,FALSE),"")</f>
        <v>0</v>
      </c>
      <c r="BL935">
        <v>0</v>
      </c>
      <c r="BO935">
        <v>0</v>
      </c>
      <c r="BP935">
        <v>1</v>
      </c>
    </row>
    <row r="936" spans="1:68" x14ac:dyDescent="0.35">
      <c r="A936" s="26" t="str">
        <f>Orders!A936</f>
        <v>ORD-00935</v>
      </c>
      <c r="B936" s="33">
        <f>Orders!B936</f>
        <v>45371</v>
      </c>
      <c r="C936" t="str">
        <f>Orders!C936</f>
        <v>CUST-0270</v>
      </c>
      <c r="D936" t="str">
        <f>Orders!D936</f>
        <v>PROD-053</v>
      </c>
      <c r="E936" t="str">
        <f>Orders!E936</f>
        <v>R025</v>
      </c>
      <c r="F936">
        <f>Orders!F936</f>
        <v>3</v>
      </c>
      <c r="G936" s="35">
        <f>Orders!G936</f>
        <v>470</v>
      </c>
      <c r="H936" s="37">
        <f>Orders!H936</f>
        <v>6.3</v>
      </c>
      <c r="I936" s="39">
        <f>Orders!I936</f>
        <v>1321.17</v>
      </c>
      <c r="J936" t="str">
        <f>Orders!J936</f>
        <v>Completed</v>
      </c>
      <c r="K936" t="str">
        <f>Orders!K936</f>
        <v>Bengaluru</v>
      </c>
      <c r="L936" t="str">
        <f>IFERROR(VLOOKUP(D936,Products!$A$2:$F$61,3,FALSE),"")</f>
        <v>Sports</v>
      </c>
      <c r="M936">
        <f>IFERROR(VLOOKUP(D936,Products!$A$2:$F$61,4,FALSE),"")</f>
        <v>302</v>
      </c>
      <c r="N936" t="str">
        <f>IFERROR(VLOOKUP(E936,Sales_Reps!$A$2:$E$31,3,FALSE),"")</f>
        <v>West</v>
      </c>
      <c r="O936" t="str">
        <f>IFERROR(VLOOKUP(C936,Customers!$A$2:$F$301,5,FALSE),"")</f>
        <v>Retail</v>
      </c>
      <c r="P936">
        <f>IFERROR(VLOOKUP(C936,Customers!$A$2:$F$301,3,FALSE),"")</f>
        <v>29</v>
      </c>
      <c r="Q936" s="41">
        <f t="shared" si="23"/>
        <v>0.35744680851063831</v>
      </c>
      <c r="R936" t="str">
        <f>IFERROR(VLOOKUP(C936,Customers!$A$2:$F$301,1,FALSE),"")</f>
        <v>CUST-0270</v>
      </c>
      <c r="S936" s="27" t="b">
        <f>IFERROR(VLOOKUP(D936,Products!$A$2:$F$61,6,FALSE),"")</f>
        <v>0</v>
      </c>
      <c r="BL936">
        <v>0</v>
      </c>
      <c r="BO936">
        <v>0</v>
      </c>
      <c r="BP936">
        <v>1</v>
      </c>
    </row>
    <row r="937" spans="1:68" x14ac:dyDescent="0.35">
      <c r="A937" s="26" t="str">
        <f>Orders!A937</f>
        <v>ORD-00936</v>
      </c>
      <c r="B937" s="33">
        <f>Orders!B937</f>
        <v>45540</v>
      </c>
      <c r="C937" t="str">
        <f>Orders!C937</f>
        <v>CUST-0105</v>
      </c>
      <c r="D937" t="str">
        <f>Orders!D937</f>
        <v>PROD-059</v>
      </c>
      <c r="E937" t="str">
        <f>Orders!E937</f>
        <v>R004</v>
      </c>
      <c r="F937">
        <f>Orders!F937</f>
        <v>3</v>
      </c>
      <c r="G937" s="35">
        <f>Orders!G937</f>
        <v>3780</v>
      </c>
      <c r="H937" s="37">
        <f>Orders!H937</f>
        <v>19.399999999999999</v>
      </c>
      <c r="I937" s="39">
        <f>Orders!I937</f>
        <v>9140.0400000000009</v>
      </c>
      <c r="J937" t="str">
        <f>Orders!J937</f>
        <v>Pending</v>
      </c>
      <c r="K937" t="str">
        <f>Orders!K937</f>
        <v>Chennai</v>
      </c>
      <c r="L937" t="str">
        <f>IFERROR(VLOOKUP(D937,Products!$A$2:$F$61,3,FALSE),"")</f>
        <v>Sports</v>
      </c>
      <c r="M937">
        <f>IFERROR(VLOOKUP(D937,Products!$A$2:$F$61,4,FALSE),"")</f>
        <v>1860</v>
      </c>
      <c r="N937" t="str">
        <f>IFERROR(VLOOKUP(E937,Sales_Reps!$A$2:$E$31,3,FALSE),"")</f>
        <v>North</v>
      </c>
      <c r="O937" t="str">
        <f>IFERROR(VLOOKUP(C937,Customers!$A$2:$F$301,5,FALSE),"")</f>
        <v>SMB</v>
      </c>
      <c r="P937">
        <f>IFERROR(VLOOKUP(C937,Customers!$A$2:$F$301,3,FALSE),"")</f>
        <v>51</v>
      </c>
      <c r="Q937" s="41">
        <f t="shared" si="23"/>
        <v>0.50793650793650791</v>
      </c>
      <c r="R937" t="str">
        <f>IFERROR(VLOOKUP(C937,Customers!$A$2:$F$301,1,FALSE),"")</f>
        <v>CUST-0105</v>
      </c>
      <c r="S937" s="27" t="b">
        <f>IFERROR(VLOOKUP(D937,Products!$A$2:$F$61,6,FALSE),"")</f>
        <v>1</v>
      </c>
      <c r="BL937">
        <v>0</v>
      </c>
      <c r="BO937">
        <v>0</v>
      </c>
      <c r="BP937">
        <v>0</v>
      </c>
    </row>
    <row r="938" spans="1:68" x14ac:dyDescent="0.35">
      <c r="A938" s="26" t="str">
        <f>Orders!A938</f>
        <v>ORD-00937</v>
      </c>
      <c r="B938" s="33">
        <f>Orders!B938</f>
        <v>45392</v>
      </c>
      <c r="C938" t="str">
        <f>Orders!C938</f>
        <v>CUST-0147</v>
      </c>
      <c r="D938" t="str">
        <f>Orders!D938</f>
        <v>PROD-056</v>
      </c>
      <c r="E938" t="str">
        <f>Orders!E938</f>
        <v>R019</v>
      </c>
      <c r="F938">
        <f>Orders!F938</f>
        <v>5</v>
      </c>
      <c r="G938" s="35">
        <f>Orders!G938</f>
        <v>6940</v>
      </c>
      <c r="H938" s="37">
        <f>Orders!H938</f>
        <v>12.6</v>
      </c>
      <c r="I938" s="39">
        <f>Orders!I938</f>
        <v>30327.8</v>
      </c>
      <c r="J938" t="str">
        <f>Orders!J938</f>
        <v>Completed</v>
      </c>
      <c r="K938" t="str">
        <f>Orders!K938</f>
        <v>Pune</v>
      </c>
      <c r="L938" t="str">
        <f>IFERROR(VLOOKUP(D938,Products!$A$2:$F$61,3,FALSE),"")</f>
        <v>Sports</v>
      </c>
      <c r="M938">
        <f>IFERROR(VLOOKUP(D938,Products!$A$2:$F$61,4,FALSE),"")</f>
        <v>2827</v>
      </c>
      <c r="N938" t="str">
        <f>IFERROR(VLOOKUP(E938,Sales_Reps!$A$2:$E$31,3,FALSE),"")</f>
        <v>East</v>
      </c>
      <c r="O938" t="str">
        <f>IFERROR(VLOOKUP(C938,Customers!$A$2:$F$301,5,FALSE),"")</f>
        <v>Retail</v>
      </c>
      <c r="P938">
        <f>IFERROR(VLOOKUP(C938,Customers!$A$2:$F$301,3,FALSE),"")</f>
        <v>56</v>
      </c>
      <c r="Q938" s="41">
        <f t="shared" si="23"/>
        <v>0.5926512968299712</v>
      </c>
      <c r="R938" t="str">
        <f>IFERROR(VLOOKUP(C938,Customers!$A$2:$F$301,1,FALSE),"")</f>
        <v>CUST-0147</v>
      </c>
      <c r="S938" s="27" t="b">
        <f>IFERROR(VLOOKUP(D938,Products!$A$2:$F$61,6,FALSE),"")</f>
        <v>1</v>
      </c>
      <c r="BL938">
        <v>0</v>
      </c>
      <c r="BO938">
        <v>0</v>
      </c>
      <c r="BP938">
        <v>0</v>
      </c>
    </row>
    <row r="939" spans="1:68" x14ac:dyDescent="0.35">
      <c r="A939" s="26" t="str">
        <f>Orders!A939</f>
        <v>ORD-00938</v>
      </c>
      <c r="B939" s="33">
        <f>Orders!B939</f>
        <v>45386</v>
      </c>
      <c r="C939" t="str">
        <f>Orders!C939</f>
        <v>CUST-0106</v>
      </c>
      <c r="D939" t="str">
        <f>Orders!D939</f>
        <v>PROD-004</v>
      </c>
      <c r="E939" t="str">
        <f>Orders!E939</f>
        <v>R030</v>
      </c>
      <c r="F939">
        <f>Orders!F939</f>
        <v>2</v>
      </c>
      <c r="G939" s="35">
        <f>Orders!G939</f>
        <v>3870</v>
      </c>
      <c r="H939" s="37">
        <f>Orders!H939</f>
        <v>10.5</v>
      </c>
      <c r="I939" s="39">
        <f>Orders!I939</f>
        <v>6927.3</v>
      </c>
      <c r="J939" t="str">
        <f>Orders!J939</f>
        <v>Completed</v>
      </c>
      <c r="K939" t="str">
        <f>Orders!K939</f>
        <v>Pune</v>
      </c>
      <c r="L939" t="str">
        <f>IFERROR(VLOOKUP(D939,Products!$A$2:$F$61,3,FALSE),"")</f>
        <v>Electronics</v>
      </c>
      <c r="M939">
        <f>IFERROR(VLOOKUP(D939,Products!$A$2:$F$61,4,FALSE),"")</f>
        <v>1559</v>
      </c>
      <c r="N939" t="str">
        <f>IFERROR(VLOOKUP(E939,Sales_Reps!$A$2:$E$31,3,FALSE),"")</f>
        <v>West</v>
      </c>
      <c r="O939" t="str">
        <f>IFERROR(VLOOKUP(C939,Customers!$A$2:$F$301,5,FALSE),"")</f>
        <v>Retail</v>
      </c>
      <c r="P939">
        <f>IFERROR(VLOOKUP(C939,Customers!$A$2:$F$301,3,FALSE),"")</f>
        <v>22</v>
      </c>
      <c r="Q939" s="41">
        <f t="shared" si="23"/>
        <v>0.59715762273901807</v>
      </c>
      <c r="R939" t="str">
        <f>IFERROR(VLOOKUP(C939,Customers!$A$2:$F$301,1,FALSE),"")</f>
        <v>CUST-0106</v>
      </c>
      <c r="S939" s="27" t="b">
        <f>IFERROR(VLOOKUP(D939,Products!$A$2:$F$61,6,FALSE),"")</f>
        <v>1</v>
      </c>
      <c r="BL939">
        <v>0</v>
      </c>
      <c r="BO939">
        <v>0</v>
      </c>
      <c r="BP939">
        <v>0</v>
      </c>
    </row>
    <row r="940" spans="1:68" x14ac:dyDescent="0.35">
      <c r="A940" s="26" t="str">
        <f>Orders!A940</f>
        <v>ORD-00939</v>
      </c>
      <c r="B940" s="33">
        <f>Orders!B940</f>
        <v>45516</v>
      </c>
      <c r="C940" t="str">
        <f>Orders!C940</f>
        <v>CUST-0130</v>
      </c>
      <c r="D940" t="str">
        <f>Orders!D940</f>
        <v>PROD-052</v>
      </c>
      <c r="E940" t="str">
        <f>Orders!E940</f>
        <v>R014</v>
      </c>
      <c r="F940">
        <f>Orders!F940</f>
        <v>8</v>
      </c>
      <c r="G940" s="35">
        <f>Orders!G940</f>
        <v>5410</v>
      </c>
      <c r="H940" s="37">
        <f>Orders!H940</f>
        <v>28.4</v>
      </c>
      <c r="I940" s="39">
        <f>Orders!I940</f>
        <v>30988.48</v>
      </c>
      <c r="J940" t="str">
        <f>Orders!J940</f>
        <v>Pending</v>
      </c>
      <c r="K940" t="str">
        <f>Orders!K940</f>
        <v>Bengaluru</v>
      </c>
      <c r="L940" t="str">
        <f>IFERROR(VLOOKUP(D940,Products!$A$2:$F$61,3,FALSE),"")</f>
        <v>Sports</v>
      </c>
      <c r="M940">
        <f>IFERROR(VLOOKUP(D940,Products!$A$2:$F$61,4,FALSE),"")</f>
        <v>2265</v>
      </c>
      <c r="N940" t="str">
        <f>IFERROR(VLOOKUP(E940,Sales_Reps!$A$2:$E$31,3,FALSE),"")</f>
        <v>South</v>
      </c>
      <c r="O940" t="str">
        <f>IFERROR(VLOOKUP(C940,Customers!$A$2:$F$301,5,FALSE),"")</f>
        <v>Corporate</v>
      </c>
      <c r="P940">
        <f>IFERROR(VLOOKUP(C940,Customers!$A$2:$F$301,3,FALSE),"")</f>
        <v>41</v>
      </c>
      <c r="Q940" s="41">
        <f t="shared" si="23"/>
        <v>0.58133086876155271</v>
      </c>
      <c r="R940" t="str">
        <f>IFERROR(VLOOKUP(C940,Customers!$A$2:$F$301,1,FALSE),"")</f>
        <v>CUST-0130</v>
      </c>
      <c r="S940" s="27" t="b">
        <f>IFERROR(VLOOKUP(D940,Products!$A$2:$F$61,6,FALSE),"")</f>
        <v>1</v>
      </c>
      <c r="BL940">
        <v>0</v>
      </c>
      <c r="BO940">
        <v>0</v>
      </c>
      <c r="BP940">
        <v>0</v>
      </c>
    </row>
    <row r="941" spans="1:68" x14ac:dyDescent="0.35">
      <c r="A941" s="26" t="str">
        <f>Orders!A941</f>
        <v>ORD-00940</v>
      </c>
      <c r="B941" s="33">
        <f>Orders!B941</f>
        <v>45618</v>
      </c>
      <c r="C941" t="str">
        <f>Orders!C941</f>
        <v>CUST-0241</v>
      </c>
      <c r="D941" t="str">
        <f>Orders!D941</f>
        <v>PROD-006</v>
      </c>
      <c r="E941" t="str">
        <f>Orders!E941</f>
        <v>R030</v>
      </c>
      <c r="F941">
        <f>Orders!F941</f>
        <v>7</v>
      </c>
      <c r="G941" s="35">
        <f>Orders!G941</f>
        <v>3970</v>
      </c>
      <c r="H941" s="37">
        <f>Orders!H941</f>
        <v>12.3</v>
      </c>
      <c r="I941" s="39">
        <f>Orders!I941</f>
        <v>24371.83</v>
      </c>
      <c r="J941" t="str">
        <f>Orders!J941</f>
        <v>Completed</v>
      </c>
      <c r="K941" t="str">
        <f>Orders!K941</f>
        <v>Pune</v>
      </c>
      <c r="L941" t="str">
        <f>IFERROR(VLOOKUP(D941,Products!$A$2:$F$61,3,FALSE),"")</f>
        <v>Electronics</v>
      </c>
      <c r="M941">
        <f>IFERROR(VLOOKUP(D941,Products!$A$2:$F$61,4,FALSE),"")</f>
        <v>2865</v>
      </c>
      <c r="N941" t="str">
        <f>IFERROR(VLOOKUP(E941,Sales_Reps!$A$2:$E$31,3,FALSE),"")</f>
        <v>West</v>
      </c>
      <c r="O941" t="str">
        <f>IFERROR(VLOOKUP(C941,Customers!$A$2:$F$301,5,FALSE),"")</f>
        <v>Corporate</v>
      </c>
      <c r="P941">
        <f>IFERROR(VLOOKUP(C941,Customers!$A$2:$F$301,3,FALSE),"")</f>
        <v>47</v>
      </c>
      <c r="Q941" s="41">
        <f t="shared" si="23"/>
        <v>0.27833753148614609</v>
      </c>
      <c r="R941" t="str">
        <f>IFERROR(VLOOKUP(C941,Customers!$A$2:$F$301,1,FALSE),"")</f>
        <v>CUST-0241</v>
      </c>
      <c r="S941" s="27" t="b">
        <f>IFERROR(VLOOKUP(D941,Products!$A$2:$F$61,6,FALSE),"")</f>
        <v>1</v>
      </c>
      <c r="BL941">
        <v>0</v>
      </c>
      <c r="BO941">
        <v>0</v>
      </c>
      <c r="BP941">
        <v>0</v>
      </c>
    </row>
    <row r="942" spans="1:68" x14ac:dyDescent="0.35">
      <c r="A942" s="26" t="str">
        <f>Orders!A942</f>
        <v>ORD-00941</v>
      </c>
      <c r="B942" s="33">
        <f>Orders!B942</f>
        <v>45610</v>
      </c>
      <c r="C942" t="str">
        <f>Orders!C942</f>
        <v>CUST-0151</v>
      </c>
      <c r="D942" t="str">
        <f>Orders!D942</f>
        <v>PROD-056</v>
      </c>
      <c r="E942" t="str">
        <f>Orders!E942</f>
        <v>R001</v>
      </c>
      <c r="F942">
        <f>Orders!F942</f>
        <v>5</v>
      </c>
      <c r="G942" s="35">
        <f>Orders!G942</f>
        <v>6940</v>
      </c>
      <c r="H942" s="37">
        <f>Orders!H942</f>
        <v>1.5</v>
      </c>
      <c r="I942" s="39">
        <f>Orders!I942</f>
        <v>34179.5</v>
      </c>
      <c r="J942" t="str">
        <f>Orders!J942</f>
        <v>Completed</v>
      </c>
      <c r="K942" t="str">
        <f>Orders!K942</f>
        <v>Mumbai</v>
      </c>
      <c r="L942" t="str">
        <f>IFERROR(VLOOKUP(D942,Products!$A$2:$F$61,3,FALSE),"")</f>
        <v>Sports</v>
      </c>
      <c r="M942">
        <f>IFERROR(VLOOKUP(D942,Products!$A$2:$F$61,4,FALSE),"")</f>
        <v>2827</v>
      </c>
      <c r="N942" t="str">
        <f>IFERROR(VLOOKUP(E942,Sales_Reps!$A$2:$E$31,3,FALSE),"")</f>
        <v>North</v>
      </c>
      <c r="O942" t="str">
        <f>IFERROR(VLOOKUP(C942,Customers!$A$2:$F$301,5,FALSE),"")</f>
        <v>Retail</v>
      </c>
      <c r="P942">
        <f>IFERROR(VLOOKUP(C942,Customers!$A$2:$F$301,3,FALSE),"")</f>
        <v>53</v>
      </c>
      <c r="Q942" s="41">
        <f t="shared" si="23"/>
        <v>0.5926512968299712</v>
      </c>
      <c r="R942" t="str">
        <f>IFERROR(VLOOKUP(C942,Customers!$A$2:$F$301,1,FALSE),"")</f>
        <v>CUST-0151</v>
      </c>
      <c r="S942" s="27" t="b">
        <f>IFERROR(VLOOKUP(D942,Products!$A$2:$F$61,6,FALSE),"")</f>
        <v>1</v>
      </c>
      <c r="BL942">
        <v>0</v>
      </c>
      <c r="BO942">
        <v>0</v>
      </c>
      <c r="BP942">
        <v>0</v>
      </c>
    </row>
    <row r="943" spans="1:68" x14ac:dyDescent="0.35">
      <c r="A943" s="26" t="str">
        <f>Orders!A943</f>
        <v>ORD-00942</v>
      </c>
      <c r="B943" s="33">
        <f>Orders!B943</f>
        <v>45541</v>
      </c>
      <c r="C943" t="str">
        <f>Orders!C943</f>
        <v>CUST-0022</v>
      </c>
      <c r="D943" t="str">
        <f>Orders!D943</f>
        <v>PROD-012</v>
      </c>
      <c r="E943" t="str">
        <f>Orders!E943</f>
        <v>R006</v>
      </c>
      <c r="F943">
        <f>Orders!F943</f>
        <v>7</v>
      </c>
      <c r="G943" s="35">
        <f>Orders!G943</f>
        <v>3160</v>
      </c>
      <c r="H943" s="37">
        <f>Orders!H943</f>
        <v>2.4</v>
      </c>
      <c r="I943" s="39">
        <f>Orders!I943</f>
        <v>21589.119999999999</v>
      </c>
      <c r="J943" t="str">
        <f>Orders!J943</f>
        <v>Refunded</v>
      </c>
      <c r="K943" t="str">
        <f>Orders!K943</f>
        <v>Bengaluru</v>
      </c>
      <c r="L943" t="str">
        <f>IFERROR(VLOOKUP(D943,Products!$A$2:$F$61,3,FALSE),"")</f>
        <v>Apparel</v>
      </c>
      <c r="M943">
        <f>IFERROR(VLOOKUP(D943,Products!$A$2:$F$61,4,FALSE),"")</f>
        <v>1886</v>
      </c>
      <c r="N943" t="str">
        <f>IFERROR(VLOOKUP(E943,Sales_Reps!$A$2:$E$31,3,FALSE),"")</f>
        <v>North</v>
      </c>
      <c r="O943" t="str">
        <f>IFERROR(VLOOKUP(C943,Customers!$A$2:$F$301,5,FALSE),"")</f>
        <v>Corporate</v>
      </c>
      <c r="P943">
        <f>IFERROR(VLOOKUP(C943,Customers!$A$2:$F$301,3,FALSE),"")</f>
        <v>55</v>
      </c>
      <c r="Q943" s="41">
        <f t="shared" si="23"/>
        <v>0.4031645569620253</v>
      </c>
      <c r="R943" t="str">
        <f>IFERROR(VLOOKUP(C943,Customers!$A$2:$F$301,1,FALSE),"")</f>
        <v>CUST-0022</v>
      </c>
      <c r="S943" s="27" t="b">
        <f>IFERROR(VLOOKUP(D943,Products!$A$2:$F$61,6,FALSE),"")</f>
        <v>1</v>
      </c>
      <c r="BL943">
        <v>0</v>
      </c>
      <c r="BO943">
        <v>0</v>
      </c>
      <c r="BP943">
        <v>0</v>
      </c>
    </row>
    <row r="944" spans="1:68" x14ac:dyDescent="0.35">
      <c r="A944" s="26" t="str">
        <f>Orders!A944</f>
        <v>ORD-00943</v>
      </c>
      <c r="B944" s="33">
        <f>Orders!B944</f>
        <v>45497</v>
      </c>
      <c r="C944" t="str">
        <f>Orders!C944</f>
        <v>CUST-0030</v>
      </c>
      <c r="D944" t="str">
        <f>Orders!D944</f>
        <v>PROD-020</v>
      </c>
      <c r="E944" t="str">
        <f>Orders!E944</f>
        <v>R024</v>
      </c>
      <c r="F944">
        <f>Orders!F944</f>
        <v>2</v>
      </c>
      <c r="G944" s="35">
        <f>Orders!G944</f>
        <v>820</v>
      </c>
      <c r="H944" s="37">
        <f>Orders!H944</f>
        <v>8.1</v>
      </c>
      <c r="I944" s="39">
        <f>Orders!I944</f>
        <v>1507.16</v>
      </c>
      <c r="J944" t="str">
        <f>Orders!J944</f>
        <v>Completed</v>
      </c>
      <c r="K944" t="str">
        <f>Orders!K944</f>
        <v>Bengaluru</v>
      </c>
      <c r="L944" t="str">
        <f>IFERROR(VLOOKUP(D944,Products!$A$2:$F$61,3,FALSE),"")</f>
        <v>Apparel</v>
      </c>
      <c r="M944">
        <f>IFERROR(VLOOKUP(D944,Products!$A$2:$F$61,4,FALSE),"")</f>
        <v>391</v>
      </c>
      <c r="N944" t="str">
        <f>IFERROR(VLOOKUP(E944,Sales_Reps!$A$2:$E$31,3,FALSE),"")</f>
        <v>West</v>
      </c>
      <c r="O944" t="str">
        <f>IFERROR(VLOOKUP(C944,Customers!$A$2:$F$301,5,FALSE),"")</f>
        <v>Corporate</v>
      </c>
      <c r="P944">
        <f>IFERROR(VLOOKUP(C944,Customers!$A$2:$F$301,3,FALSE),"")</f>
        <v>43</v>
      </c>
      <c r="Q944" s="41">
        <f t="shared" si="23"/>
        <v>0.52317073170731709</v>
      </c>
      <c r="R944" t="str">
        <f>IFERROR(VLOOKUP(C944,Customers!$A$2:$F$301,1,FALSE),"")</f>
        <v>CUST-0030</v>
      </c>
      <c r="S944" s="27" t="b">
        <f>IFERROR(VLOOKUP(D944,Products!$A$2:$F$61,6,FALSE),"")</f>
        <v>1</v>
      </c>
      <c r="BL944">
        <v>0</v>
      </c>
      <c r="BO944">
        <v>0</v>
      </c>
      <c r="BP944">
        <v>0</v>
      </c>
    </row>
    <row r="945" spans="1:68" x14ac:dyDescent="0.35">
      <c r="A945" s="26" t="str">
        <f>Orders!A945</f>
        <v>ORD-00944</v>
      </c>
      <c r="B945" s="33">
        <f>Orders!B945</f>
        <v>45567</v>
      </c>
      <c r="C945" t="str">
        <f>Orders!C945</f>
        <v>CUST-0176</v>
      </c>
      <c r="D945" t="str">
        <f>Orders!D945</f>
        <v>PROD-041</v>
      </c>
      <c r="E945" t="str">
        <f>Orders!E945</f>
        <v>R030</v>
      </c>
      <c r="F945">
        <f>Orders!F945</f>
        <v>2</v>
      </c>
      <c r="G945" s="35">
        <f>Orders!G945</f>
        <v>1540</v>
      </c>
      <c r="H945" s="37">
        <f>Orders!H945</f>
        <v>17.7</v>
      </c>
      <c r="I945" s="39">
        <f>Orders!I945</f>
        <v>2534.84</v>
      </c>
      <c r="J945" t="str">
        <f>Orders!J945</f>
        <v>Completed</v>
      </c>
      <c r="K945" t="str">
        <f>Orders!K945</f>
        <v>Bengaluru</v>
      </c>
      <c r="L945" t="str">
        <f>IFERROR(VLOOKUP(D945,Products!$A$2:$F$61,3,FALSE),"")</f>
        <v>Beauty</v>
      </c>
      <c r="M945">
        <f>IFERROR(VLOOKUP(D945,Products!$A$2:$F$61,4,FALSE),"")</f>
        <v>647</v>
      </c>
      <c r="N945" t="str">
        <f>IFERROR(VLOOKUP(E945,Sales_Reps!$A$2:$E$31,3,FALSE),"")</f>
        <v>West</v>
      </c>
      <c r="O945" t="str">
        <f>IFERROR(VLOOKUP(C945,Customers!$A$2:$F$301,5,FALSE),"")</f>
        <v>SMB</v>
      </c>
      <c r="P945">
        <f>IFERROR(VLOOKUP(C945,Customers!$A$2:$F$301,3,FALSE),"")</f>
        <v>34</v>
      </c>
      <c r="Q945" s="41">
        <f t="shared" si="23"/>
        <v>0.57987012987012987</v>
      </c>
      <c r="R945" t="str">
        <f>IFERROR(VLOOKUP(C945,Customers!$A$2:$F$301,1,FALSE),"")</f>
        <v>CUST-0176</v>
      </c>
      <c r="S945" s="27" t="b">
        <f>IFERROR(VLOOKUP(D945,Products!$A$2:$F$61,6,FALSE),"")</f>
        <v>0</v>
      </c>
      <c r="BL945">
        <v>0</v>
      </c>
      <c r="BO945">
        <v>0</v>
      </c>
      <c r="BP945">
        <v>1</v>
      </c>
    </row>
    <row r="946" spans="1:68" x14ac:dyDescent="0.35">
      <c r="A946" s="26" t="str">
        <f>Orders!A946</f>
        <v>ORD-00945</v>
      </c>
      <c r="B946" s="33">
        <f>Orders!B946</f>
        <v>45451</v>
      </c>
      <c r="C946" t="str">
        <f>Orders!C946</f>
        <v>CUST-0270</v>
      </c>
      <c r="D946" t="str">
        <f>Orders!D946</f>
        <v>PROD-004</v>
      </c>
      <c r="E946" t="str">
        <f>Orders!E946</f>
        <v>R001</v>
      </c>
      <c r="F946">
        <f>Orders!F946</f>
        <v>10</v>
      </c>
      <c r="G946" s="35">
        <f>Orders!G946</f>
        <v>3870</v>
      </c>
      <c r="H946" s="37">
        <f>Orders!H946</f>
        <v>12.2</v>
      </c>
      <c r="I946" s="39">
        <f>Orders!I946</f>
        <v>33978.6</v>
      </c>
      <c r="J946" t="str">
        <f>Orders!J946</f>
        <v>Refunded</v>
      </c>
      <c r="K946" t="str">
        <f>Orders!K946</f>
        <v>Bengaluru</v>
      </c>
      <c r="L946" t="str">
        <f>IFERROR(VLOOKUP(D946,Products!$A$2:$F$61,3,FALSE),"")</f>
        <v>Electronics</v>
      </c>
      <c r="M946">
        <f>IFERROR(VLOOKUP(D946,Products!$A$2:$F$61,4,FALSE),"")</f>
        <v>1559</v>
      </c>
      <c r="N946" t="str">
        <f>IFERROR(VLOOKUP(E946,Sales_Reps!$A$2:$E$31,3,FALSE),"")</f>
        <v>North</v>
      </c>
      <c r="O946" t="str">
        <f>IFERROR(VLOOKUP(C946,Customers!$A$2:$F$301,5,FALSE),"")</f>
        <v>Retail</v>
      </c>
      <c r="P946">
        <f>IFERROR(VLOOKUP(C946,Customers!$A$2:$F$301,3,FALSE),"")</f>
        <v>29</v>
      </c>
      <c r="Q946" s="41">
        <f t="shared" si="23"/>
        <v>0.59715762273901807</v>
      </c>
      <c r="R946" t="str">
        <f>IFERROR(VLOOKUP(C946,Customers!$A$2:$F$301,1,FALSE),"")</f>
        <v>CUST-0270</v>
      </c>
      <c r="S946" s="27" t="b">
        <f>IFERROR(VLOOKUP(D946,Products!$A$2:$F$61,6,FALSE),"")</f>
        <v>1</v>
      </c>
      <c r="BL946">
        <v>0</v>
      </c>
      <c r="BO946">
        <v>0</v>
      </c>
      <c r="BP946">
        <v>0</v>
      </c>
    </row>
    <row r="947" spans="1:68" x14ac:dyDescent="0.35">
      <c r="A947" s="26" t="str">
        <f>Orders!A947</f>
        <v>ORD-00946</v>
      </c>
      <c r="B947" s="33">
        <f>Orders!B947</f>
        <v>45488</v>
      </c>
      <c r="C947" t="str">
        <f>Orders!C947</f>
        <v>CUST-0216</v>
      </c>
      <c r="D947" t="str">
        <f>Orders!D947</f>
        <v>PROD-008</v>
      </c>
      <c r="E947" t="str">
        <f>Orders!E947</f>
        <v>R002</v>
      </c>
      <c r="F947">
        <f>Orders!F947</f>
        <v>7</v>
      </c>
      <c r="G947" s="35">
        <f>Orders!G947</f>
        <v>2660</v>
      </c>
      <c r="H947" s="37">
        <f>Orders!H947</f>
        <v>4.7</v>
      </c>
      <c r="I947" s="39">
        <f>Orders!I947</f>
        <v>17744.86</v>
      </c>
      <c r="J947" t="str">
        <f>Orders!J947</f>
        <v>Completed</v>
      </c>
      <c r="K947" t="str">
        <f>Orders!K947</f>
        <v>Mumbai</v>
      </c>
      <c r="L947" t="str">
        <f>IFERROR(VLOOKUP(D947,Products!$A$2:$F$61,3,FALSE),"")</f>
        <v>Electronics</v>
      </c>
      <c r="M947">
        <f>IFERROR(VLOOKUP(D947,Products!$A$2:$F$61,4,FALSE),"")</f>
        <v>1259</v>
      </c>
      <c r="N947" t="str">
        <f>IFERROR(VLOOKUP(E947,Sales_Reps!$A$2:$E$31,3,FALSE),"")</f>
        <v>North</v>
      </c>
      <c r="O947" t="str">
        <f>IFERROR(VLOOKUP(C947,Customers!$A$2:$F$301,5,FALSE),"")</f>
        <v>Retail</v>
      </c>
      <c r="P947">
        <f>IFERROR(VLOOKUP(C947,Customers!$A$2:$F$301,3,FALSE),"")</f>
        <v>50</v>
      </c>
      <c r="Q947" s="41">
        <f t="shared" si="23"/>
        <v>0.52669172932330832</v>
      </c>
      <c r="R947" t="str">
        <f>IFERROR(VLOOKUP(C947,Customers!$A$2:$F$301,1,FALSE),"")</f>
        <v>CUST-0216</v>
      </c>
      <c r="S947" s="27" t="b">
        <f>IFERROR(VLOOKUP(D947,Products!$A$2:$F$61,6,FALSE),"")</f>
        <v>0</v>
      </c>
      <c r="BL947">
        <v>0</v>
      </c>
      <c r="BO947">
        <v>0</v>
      </c>
      <c r="BP947">
        <v>1</v>
      </c>
    </row>
    <row r="948" spans="1:68" x14ac:dyDescent="0.35">
      <c r="A948" s="26" t="str">
        <f>Orders!A948</f>
        <v>ORD-00947</v>
      </c>
      <c r="B948" s="33">
        <f>Orders!B948</f>
        <v>45431</v>
      </c>
      <c r="C948" t="str">
        <f>Orders!C948</f>
        <v>CUST-0187</v>
      </c>
      <c r="D948" t="str">
        <f>Orders!D948</f>
        <v>PROD-003</v>
      </c>
      <c r="E948" t="str">
        <f>Orders!E948</f>
        <v>R009</v>
      </c>
      <c r="F948">
        <f>Orders!F948</f>
        <v>4</v>
      </c>
      <c r="G948" s="35">
        <f>Orders!G948</f>
        <v>3570</v>
      </c>
      <c r="H948" s="37">
        <f>Orders!H948</f>
        <v>19.3</v>
      </c>
      <c r="I948" s="39">
        <f>Orders!I948</f>
        <v>11523.96</v>
      </c>
      <c r="J948" t="str">
        <f>Orders!J948</f>
        <v>Completed</v>
      </c>
      <c r="K948" t="str">
        <f>Orders!K948</f>
        <v>Chennai</v>
      </c>
      <c r="L948" t="str">
        <f>IFERROR(VLOOKUP(D948,Products!$A$2:$F$61,3,FALSE),"")</f>
        <v>Electronics</v>
      </c>
      <c r="M948">
        <f>IFERROR(VLOOKUP(D948,Products!$A$2:$F$61,4,FALSE),"")</f>
        <v>1665</v>
      </c>
      <c r="N948" t="str">
        <f>IFERROR(VLOOKUP(E948,Sales_Reps!$A$2:$E$31,3,FALSE),"")</f>
        <v>South</v>
      </c>
      <c r="O948" t="str">
        <f>IFERROR(VLOOKUP(C948,Customers!$A$2:$F$301,5,FALSE),"")</f>
        <v>SMB</v>
      </c>
      <c r="P948">
        <f>IFERROR(VLOOKUP(C948,Customers!$A$2:$F$301,3,FALSE),"")</f>
        <v>51</v>
      </c>
      <c r="Q948" s="41">
        <f t="shared" si="23"/>
        <v>0.53361344537815125</v>
      </c>
      <c r="R948" t="str">
        <f>IFERROR(VLOOKUP(C948,Customers!$A$2:$F$301,1,FALSE),"")</f>
        <v>CUST-0187</v>
      </c>
      <c r="S948" s="27" t="b">
        <f>IFERROR(VLOOKUP(D948,Products!$A$2:$F$61,6,FALSE),"")</f>
        <v>1</v>
      </c>
      <c r="BL948">
        <v>0.5</v>
      </c>
      <c r="BO948">
        <v>0</v>
      </c>
      <c r="BP948">
        <v>0</v>
      </c>
    </row>
    <row r="949" spans="1:68" x14ac:dyDescent="0.35">
      <c r="A949" s="26" t="str">
        <f>Orders!A949</f>
        <v>ORD-00948</v>
      </c>
      <c r="B949" s="33">
        <f>Orders!B949</f>
        <v>45393</v>
      </c>
      <c r="C949" t="str">
        <f>Orders!C949</f>
        <v>CUST-0143</v>
      </c>
      <c r="D949" t="str">
        <f>Orders!D949</f>
        <v>PROD-033</v>
      </c>
      <c r="E949" t="str">
        <f>Orders!E949</f>
        <v>R002</v>
      </c>
      <c r="F949">
        <f>Orders!F949</f>
        <v>2</v>
      </c>
      <c r="G949" s="35">
        <f>Orders!G949</f>
        <v>2030</v>
      </c>
      <c r="H949" s="37">
        <f>Orders!H949</f>
        <v>2.6</v>
      </c>
      <c r="I949" s="39">
        <f>Orders!I949</f>
        <v>3954.44</v>
      </c>
      <c r="J949" t="str">
        <f>Orders!J949</f>
        <v>Completed</v>
      </c>
      <c r="K949" t="str">
        <f>Orders!K949</f>
        <v>Chennai</v>
      </c>
      <c r="L949" t="str">
        <f>IFERROR(VLOOKUP(D949,Products!$A$2:$F$61,3,FALSE),"")</f>
        <v>Home</v>
      </c>
      <c r="M949">
        <f>IFERROR(VLOOKUP(D949,Products!$A$2:$F$61,4,FALSE),"")</f>
        <v>1143</v>
      </c>
      <c r="N949" t="str">
        <f>IFERROR(VLOOKUP(E949,Sales_Reps!$A$2:$E$31,3,FALSE),"")</f>
        <v>North</v>
      </c>
      <c r="O949" t="str">
        <f>IFERROR(VLOOKUP(C949,Customers!$A$2:$F$301,5,FALSE),"")</f>
        <v>SMB</v>
      </c>
      <c r="P949">
        <f>IFERROR(VLOOKUP(C949,Customers!$A$2:$F$301,3,FALSE),"")</f>
        <v>52</v>
      </c>
      <c r="Q949" s="41">
        <f t="shared" si="23"/>
        <v>0.43694581280788175</v>
      </c>
      <c r="R949" t="str">
        <f>IFERROR(VLOOKUP(C949,Customers!$A$2:$F$301,1,FALSE),"")</f>
        <v>CUST-0143</v>
      </c>
      <c r="S949" s="27" t="b">
        <f>IFERROR(VLOOKUP(D949,Products!$A$2:$F$61,6,FALSE),"")</f>
        <v>1</v>
      </c>
      <c r="BL949">
        <v>0</v>
      </c>
      <c r="BO949">
        <v>0</v>
      </c>
      <c r="BP949">
        <v>0</v>
      </c>
    </row>
    <row r="950" spans="1:68" x14ac:dyDescent="0.35">
      <c r="A950" s="26" t="str">
        <f>Orders!A950</f>
        <v>ORD-00949</v>
      </c>
      <c r="B950" s="33">
        <f>Orders!B950</f>
        <v>45427</v>
      </c>
      <c r="C950" t="str">
        <f>Orders!C950</f>
        <v>CUST-0104</v>
      </c>
      <c r="D950" t="str">
        <f>Orders!D950</f>
        <v>PROD-012</v>
      </c>
      <c r="E950" t="str">
        <f>Orders!E950</f>
        <v>R013</v>
      </c>
      <c r="F950">
        <f>Orders!F950</f>
        <v>6</v>
      </c>
      <c r="G950" s="35">
        <f>Orders!G950</f>
        <v>3160</v>
      </c>
      <c r="H950" s="37">
        <f>Orders!H950</f>
        <v>25.8</v>
      </c>
      <c r="I950" s="39">
        <f>Orders!I950</f>
        <v>14068.32</v>
      </c>
      <c r="J950" t="str">
        <f>Orders!J950</f>
        <v>Completed</v>
      </c>
      <c r="K950" t="str">
        <f>Orders!K950</f>
        <v>Hyderabad</v>
      </c>
      <c r="L950" t="str">
        <f>IFERROR(VLOOKUP(D950,Products!$A$2:$F$61,3,FALSE),"")</f>
        <v>Apparel</v>
      </c>
      <c r="M950">
        <f>IFERROR(VLOOKUP(D950,Products!$A$2:$F$61,4,FALSE),"")</f>
        <v>1886</v>
      </c>
      <c r="N950" t="str">
        <f>IFERROR(VLOOKUP(E950,Sales_Reps!$A$2:$E$31,3,FALSE),"")</f>
        <v>South</v>
      </c>
      <c r="O950" t="str">
        <f>IFERROR(VLOOKUP(C950,Customers!$A$2:$F$301,5,FALSE),"")</f>
        <v>Corporate</v>
      </c>
      <c r="P950">
        <f>IFERROR(VLOOKUP(C950,Customers!$A$2:$F$301,3,FALSE),"")</f>
        <v>43</v>
      </c>
      <c r="Q950" s="41">
        <f t="shared" si="23"/>
        <v>0.4031645569620253</v>
      </c>
      <c r="R950" t="str">
        <f>IFERROR(VLOOKUP(C950,Customers!$A$2:$F$301,1,FALSE),"")</f>
        <v>CUST-0104</v>
      </c>
      <c r="S950" s="27" t="b">
        <f>IFERROR(VLOOKUP(D950,Products!$A$2:$F$61,6,FALSE),"")</f>
        <v>1</v>
      </c>
      <c r="BL950">
        <v>0</v>
      </c>
      <c r="BO950">
        <v>0</v>
      </c>
      <c r="BP950">
        <v>0</v>
      </c>
    </row>
    <row r="951" spans="1:68" x14ac:dyDescent="0.35">
      <c r="A951" s="26" t="str">
        <f>Orders!A951</f>
        <v>ORD-00950</v>
      </c>
      <c r="B951" s="33">
        <f>Orders!B951</f>
        <v>45591</v>
      </c>
      <c r="C951" t="str">
        <f>Orders!C951</f>
        <v>CUST-0121</v>
      </c>
      <c r="D951" t="str">
        <f>Orders!D951</f>
        <v>PROD-034</v>
      </c>
      <c r="E951" t="str">
        <f>Orders!E951</f>
        <v>R014</v>
      </c>
      <c r="F951">
        <f>Orders!F951</f>
        <v>4</v>
      </c>
      <c r="G951" s="35">
        <f>Orders!G951</f>
        <v>5080</v>
      </c>
      <c r="H951" s="37">
        <f>Orders!H951</f>
        <v>2</v>
      </c>
      <c r="I951" s="39">
        <f>Orders!I951</f>
        <v>19913.599999999999</v>
      </c>
      <c r="J951" t="str">
        <f>Orders!J951</f>
        <v>Completed</v>
      </c>
      <c r="K951" t="str">
        <f>Orders!K951</f>
        <v xml:space="preserve"> Delhi </v>
      </c>
      <c r="L951" t="str">
        <f>IFERROR(VLOOKUP(D951,Products!$A$2:$F$61,3,FALSE),"")</f>
        <v>Home</v>
      </c>
      <c r="M951">
        <f>IFERROR(VLOOKUP(D951,Products!$A$2:$F$61,4,FALSE),"")</f>
        <v>2459</v>
      </c>
      <c r="N951" t="str">
        <f>IFERROR(VLOOKUP(E951,Sales_Reps!$A$2:$E$31,3,FALSE),"")</f>
        <v>South</v>
      </c>
      <c r="O951" t="str">
        <f>IFERROR(VLOOKUP(C951,Customers!$A$2:$F$301,5,FALSE),"")</f>
        <v>SMB</v>
      </c>
      <c r="P951">
        <f>IFERROR(VLOOKUP(C951,Customers!$A$2:$F$301,3,FALSE),"")</f>
        <v>55</v>
      </c>
      <c r="Q951" s="41">
        <f t="shared" si="23"/>
        <v>0.51594488188976373</v>
      </c>
      <c r="R951" t="str">
        <f>IFERROR(VLOOKUP(C951,Customers!$A$2:$F$301,1,FALSE),"")</f>
        <v>CUST-0121</v>
      </c>
      <c r="S951" s="27" t="b">
        <f>IFERROR(VLOOKUP(D951,Products!$A$2:$F$61,6,FALSE),"")</f>
        <v>1</v>
      </c>
      <c r="BL951">
        <v>0</v>
      </c>
      <c r="BO951">
        <v>0</v>
      </c>
      <c r="BP951">
        <v>0</v>
      </c>
    </row>
    <row r="952" spans="1:68" x14ac:dyDescent="0.35">
      <c r="A952" s="26" t="str">
        <f>Orders!A952</f>
        <v>ORD-00951</v>
      </c>
      <c r="B952" s="33">
        <f>Orders!B952</f>
        <v>45327</v>
      </c>
      <c r="C952" t="str">
        <f>Orders!C952</f>
        <v>CUST-0228</v>
      </c>
      <c r="D952" t="str">
        <f>Orders!D952</f>
        <v>PROD-047</v>
      </c>
      <c r="E952" t="str">
        <f>Orders!E952</f>
        <v>R010</v>
      </c>
      <c r="F952">
        <f>Orders!F952</f>
        <v>6</v>
      </c>
      <c r="G952" s="35">
        <f>Orders!G952</f>
        <v>3450</v>
      </c>
      <c r="H952" s="37">
        <f>Orders!H952</f>
        <v>1.8</v>
      </c>
      <c r="I952" s="39">
        <f>Orders!I952</f>
        <v>20327.400000000001</v>
      </c>
      <c r="J952" t="str">
        <f>Orders!J952</f>
        <v>Cancelled</v>
      </c>
      <c r="K952" t="str">
        <f>Orders!K952</f>
        <v>Pune</v>
      </c>
      <c r="L952" t="str">
        <f>IFERROR(VLOOKUP(D952,Products!$A$2:$F$61,3,FALSE),"")</f>
        <v>Beauty</v>
      </c>
      <c r="M952">
        <f>IFERROR(VLOOKUP(D952,Products!$A$2:$F$61,4,FALSE),"")</f>
        <v>2420</v>
      </c>
      <c r="N952" t="str">
        <f>IFERROR(VLOOKUP(E952,Sales_Reps!$A$2:$E$31,3,FALSE),"")</f>
        <v>South</v>
      </c>
      <c r="O952" t="str">
        <f>IFERROR(VLOOKUP(C952,Customers!$A$2:$F$301,5,FALSE),"")</f>
        <v>Corporate</v>
      </c>
      <c r="P952">
        <f>IFERROR(VLOOKUP(C952,Customers!$A$2:$F$301,3,FALSE),"")</f>
        <v>37</v>
      </c>
      <c r="Q952" s="41">
        <f t="shared" si="23"/>
        <v>0.29855072463768118</v>
      </c>
      <c r="R952" t="str">
        <f>IFERROR(VLOOKUP(C952,Customers!$A$2:$F$301,1,FALSE),"")</f>
        <v>CUST-0228</v>
      </c>
      <c r="S952" s="27" t="b">
        <f>IFERROR(VLOOKUP(D952,Products!$A$2:$F$61,6,FALSE),"")</f>
        <v>1</v>
      </c>
      <c r="BL952">
        <v>0</v>
      </c>
      <c r="BO952">
        <v>0</v>
      </c>
      <c r="BP952">
        <v>0</v>
      </c>
    </row>
    <row r="953" spans="1:68" x14ac:dyDescent="0.35">
      <c r="A953" s="26" t="str">
        <f>Orders!A953</f>
        <v>ORD-00952</v>
      </c>
      <c r="B953" s="33">
        <f>Orders!B953</f>
        <v>45575</v>
      </c>
      <c r="C953" t="str">
        <f>Orders!C953</f>
        <v>CUST-0218</v>
      </c>
      <c r="D953" t="str">
        <f>Orders!D953</f>
        <v>PROD-051</v>
      </c>
      <c r="E953" t="str">
        <f>Orders!E953</f>
        <v>R016</v>
      </c>
      <c r="F953">
        <f>Orders!F953</f>
        <v>3</v>
      </c>
      <c r="G953" s="35">
        <f>Orders!G953</f>
        <v>3450</v>
      </c>
      <c r="H953" s="37">
        <f>Orders!H953</f>
        <v>4.7</v>
      </c>
      <c r="I953" s="39">
        <f>Orders!I953</f>
        <v>9863.5499999999993</v>
      </c>
      <c r="J953" t="str">
        <f>Orders!J953</f>
        <v>Pending</v>
      </c>
      <c r="K953" t="str">
        <f>Orders!K953</f>
        <v>Mumbai</v>
      </c>
      <c r="L953" t="str">
        <f>IFERROR(VLOOKUP(D953,Products!$A$2:$F$61,3,FALSE),"")</f>
        <v>Sports</v>
      </c>
      <c r="M953">
        <f>IFERROR(VLOOKUP(D953,Products!$A$2:$F$61,4,FALSE),"")</f>
        <v>2467</v>
      </c>
      <c r="N953" t="str">
        <f>IFERROR(VLOOKUP(E953,Sales_Reps!$A$2:$E$31,3,FALSE),"")</f>
        <v>South</v>
      </c>
      <c r="O953" t="str">
        <f>IFERROR(VLOOKUP(C953,Customers!$A$2:$F$301,5,FALSE),"")</f>
        <v>Retail</v>
      </c>
      <c r="P953">
        <f>IFERROR(VLOOKUP(C953,Customers!$A$2:$F$301,3,FALSE),"")</f>
        <v>39</v>
      </c>
      <c r="Q953" s="41">
        <f t="shared" si="23"/>
        <v>0.28492753623188405</v>
      </c>
      <c r="R953" t="str">
        <f>IFERROR(VLOOKUP(C953,Customers!$A$2:$F$301,1,FALSE),"")</f>
        <v>CUST-0218</v>
      </c>
      <c r="S953" s="27" t="b">
        <f>IFERROR(VLOOKUP(D953,Products!$A$2:$F$61,6,FALSE),"")</f>
        <v>1</v>
      </c>
      <c r="BL953">
        <v>0</v>
      </c>
      <c r="BO953">
        <v>0</v>
      </c>
      <c r="BP953">
        <v>0</v>
      </c>
    </row>
    <row r="954" spans="1:68" x14ac:dyDescent="0.35">
      <c r="A954" s="26" t="str">
        <f>Orders!A954</f>
        <v>ORD-00953</v>
      </c>
      <c r="B954" s="33">
        <f>Orders!B954</f>
        <v>45367</v>
      </c>
      <c r="C954" t="str">
        <f>Orders!C954</f>
        <v>CUST-0118</v>
      </c>
      <c r="D954" t="str">
        <f>Orders!D954</f>
        <v>PROD-001</v>
      </c>
      <c r="E954" t="str">
        <f>Orders!E954</f>
        <v>R027</v>
      </c>
      <c r="F954">
        <f>Orders!F954</f>
        <v>7</v>
      </c>
      <c r="G954" s="35">
        <f>Orders!G954</f>
        <v>5330</v>
      </c>
      <c r="H954" s="37">
        <f>Orders!H954</f>
        <v>16.399999999999999</v>
      </c>
      <c r="I954" s="39">
        <f>Orders!I954</f>
        <v>31191.16</v>
      </c>
      <c r="J954" t="str">
        <f>Orders!J954</f>
        <v>Completed</v>
      </c>
      <c r="K954" t="str">
        <f>Orders!K954</f>
        <v>Hyderabad</v>
      </c>
      <c r="L954" t="str">
        <f>IFERROR(VLOOKUP(D954,Products!$A$2:$F$61,3,FALSE),"")</f>
        <v>Electronics</v>
      </c>
      <c r="M954">
        <f>IFERROR(VLOOKUP(D954,Products!$A$2:$F$61,4,FALSE),"")</f>
        <v>2405</v>
      </c>
      <c r="N954" t="str">
        <f>IFERROR(VLOOKUP(E954,Sales_Reps!$A$2:$E$31,3,FALSE),"")</f>
        <v>West</v>
      </c>
      <c r="O954" t="str">
        <f>IFERROR(VLOOKUP(C954,Customers!$A$2:$F$301,5,FALSE),"")</f>
        <v>Retail</v>
      </c>
      <c r="P954">
        <f>IFERROR(VLOOKUP(C954,Customers!$A$2:$F$301,3,FALSE),"")</f>
        <v>26</v>
      </c>
      <c r="Q954" s="41">
        <f t="shared" si="23"/>
        <v>0.54878048780487809</v>
      </c>
      <c r="R954" t="str">
        <f>IFERROR(VLOOKUP(C954,Customers!$A$2:$F$301,1,FALSE),"")</f>
        <v>CUST-0118</v>
      </c>
      <c r="S954" s="27" t="b">
        <f>IFERROR(VLOOKUP(D954,Products!$A$2:$F$61,6,FALSE),"")</f>
        <v>1</v>
      </c>
      <c r="BL954">
        <v>0</v>
      </c>
      <c r="BO954">
        <v>0</v>
      </c>
      <c r="BP954">
        <v>0</v>
      </c>
    </row>
    <row r="955" spans="1:68" x14ac:dyDescent="0.35">
      <c r="A955" s="26" t="str">
        <f>Orders!A955</f>
        <v>ORD-00954</v>
      </c>
      <c r="B955" s="33">
        <f>Orders!B955</f>
        <v>45522</v>
      </c>
      <c r="C955" t="str">
        <f>Orders!C955</f>
        <v>CUST-0262</v>
      </c>
      <c r="D955" t="str">
        <f>Orders!D955</f>
        <v>PROD-029</v>
      </c>
      <c r="E955" t="str">
        <f>Orders!E955</f>
        <v>R003</v>
      </c>
      <c r="F955">
        <f>Orders!F955</f>
        <v>6</v>
      </c>
      <c r="G955" s="35">
        <f>Orders!G955</f>
        <v>2210</v>
      </c>
      <c r="H955" s="37">
        <f>Orders!H955</f>
        <v>13.1</v>
      </c>
      <c r="I955" s="39">
        <f>Orders!I955</f>
        <v>11522.94</v>
      </c>
      <c r="J955" t="str">
        <f>Orders!J955</f>
        <v>Completed</v>
      </c>
      <c r="K955" t="str">
        <f>Orders!K955</f>
        <v>Mumbai</v>
      </c>
      <c r="L955" t="str">
        <f>IFERROR(VLOOKUP(D955,Products!$A$2:$F$61,3,FALSE),"")</f>
        <v>Grocery</v>
      </c>
      <c r="M955">
        <f>IFERROR(VLOOKUP(D955,Products!$A$2:$F$61,4,FALSE),"")</f>
        <v>1010</v>
      </c>
      <c r="N955" t="str">
        <f>IFERROR(VLOOKUP(E955,Sales_Reps!$A$2:$E$31,3,FALSE),"")</f>
        <v>North</v>
      </c>
      <c r="O955" t="str">
        <f>IFERROR(VLOOKUP(C955,Customers!$A$2:$F$301,5,FALSE),"")</f>
        <v>Retail</v>
      </c>
      <c r="P955">
        <f>IFERROR(VLOOKUP(C955,Customers!$A$2:$F$301,3,FALSE),"")</f>
        <v>52</v>
      </c>
      <c r="Q955" s="41">
        <f t="shared" si="23"/>
        <v>0.54298642533936647</v>
      </c>
      <c r="R955" t="str">
        <f>IFERROR(VLOOKUP(C955,Customers!$A$2:$F$301,1,FALSE),"")</f>
        <v>CUST-0262</v>
      </c>
      <c r="S955" s="27" t="b">
        <f>IFERROR(VLOOKUP(D955,Products!$A$2:$F$61,6,FALSE),"")</f>
        <v>1</v>
      </c>
      <c r="BL955">
        <v>0</v>
      </c>
      <c r="BO955">
        <v>0</v>
      </c>
      <c r="BP955">
        <v>0</v>
      </c>
    </row>
    <row r="956" spans="1:68" x14ac:dyDescent="0.35">
      <c r="A956" s="26" t="str">
        <f>Orders!A956</f>
        <v>ORD-00955</v>
      </c>
      <c r="B956" s="33">
        <f>Orders!B956</f>
        <v>45579</v>
      </c>
      <c r="C956" t="str">
        <f>Orders!C956</f>
        <v>CUST-0137</v>
      </c>
      <c r="D956" t="str">
        <f>Orders!D956</f>
        <v>PROD-040</v>
      </c>
      <c r="E956" t="str">
        <f>Orders!E956</f>
        <v>R026</v>
      </c>
      <c r="F956">
        <f>Orders!F956</f>
        <v>8</v>
      </c>
      <c r="G956" s="35">
        <f>Orders!G956</f>
        <v>1080</v>
      </c>
      <c r="H956" s="37">
        <f>Orders!H956</f>
        <v>8.6999999999999993</v>
      </c>
      <c r="I956" s="39">
        <f>Orders!I956</f>
        <v>7888.32</v>
      </c>
      <c r="J956" t="str">
        <f>Orders!J956</f>
        <v>Completed</v>
      </c>
      <c r="K956" t="str">
        <f>Orders!K956</f>
        <v>Mumbai</v>
      </c>
      <c r="L956" t="str">
        <f>IFERROR(VLOOKUP(D956,Products!$A$2:$F$61,3,FALSE),"")</f>
        <v>Home</v>
      </c>
      <c r="M956">
        <f>IFERROR(VLOOKUP(D956,Products!$A$2:$F$61,4,FALSE),"")</f>
        <v>519</v>
      </c>
      <c r="N956" t="str">
        <f>IFERROR(VLOOKUP(E956,Sales_Reps!$A$2:$E$31,3,FALSE),"")</f>
        <v>West</v>
      </c>
      <c r="O956" t="str">
        <f>IFERROR(VLOOKUP(C956,Customers!$A$2:$F$301,5,FALSE),"")</f>
        <v>Retail</v>
      </c>
      <c r="P956">
        <f>IFERROR(VLOOKUP(C956,Customers!$A$2:$F$301,3,FALSE),"")</f>
        <v>41</v>
      </c>
      <c r="Q956" s="41">
        <f t="shared" si="23"/>
        <v>0.51944444444444449</v>
      </c>
      <c r="R956" t="str">
        <f>IFERROR(VLOOKUP(C956,Customers!$A$2:$F$301,1,FALSE),"")</f>
        <v>CUST-0137</v>
      </c>
      <c r="S956" s="27" t="b">
        <f>IFERROR(VLOOKUP(D956,Products!$A$2:$F$61,6,FALSE),"")</f>
        <v>1</v>
      </c>
      <c r="BL956">
        <v>0</v>
      </c>
      <c r="BO956">
        <v>0</v>
      </c>
      <c r="BP956">
        <v>0</v>
      </c>
    </row>
    <row r="957" spans="1:68" x14ac:dyDescent="0.35">
      <c r="A957" s="26" t="str">
        <f>Orders!A957</f>
        <v>ORD-00956</v>
      </c>
      <c r="B957" s="33">
        <f>Orders!B957</f>
        <v>45495</v>
      </c>
      <c r="C957" t="str">
        <f>Orders!C957</f>
        <v>CUST-0145</v>
      </c>
      <c r="D957" t="str">
        <f>Orders!D957</f>
        <v>PROD-014</v>
      </c>
      <c r="E957" t="str">
        <f>Orders!E957</f>
        <v>R015</v>
      </c>
      <c r="F957">
        <f>Orders!F957</f>
        <v>5</v>
      </c>
      <c r="G957" s="35">
        <f>Orders!G957</f>
        <v>3620</v>
      </c>
      <c r="H957" s="37">
        <f>Orders!H957</f>
        <v>16.100000000000001</v>
      </c>
      <c r="I957" s="39">
        <f>Orders!I957</f>
        <v>15185.9</v>
      </c>
      <c r="J957" t="str">
        <f>Orders!J957</f>
        <v>Completed</v>
      </c>
      <c r="K957" t="str">
        <f>Orders!K957</f>
        <v>Bengaluru</v>
      </c>
      <c r="L957" t="str">
        <f>IFERROR(VLOOKUP(D957,Products!$A$2:$F$61,3,FALSE),"")</f>
        <v>Apparel</v>
      </c>
      <c r="M957">
        <f>IFERROR(VLOOKUP(D957,Products!$A$2:$F$61,4,FALSE),"")</f>
        <v>2509</v>
      </c>
      <c r="N957" t="str">
        <f>IFERROR(VLOOKUP(E957,Sales_Reps!$A$2:$E$31,3,FALSE),"")</f>
        <v>South</v>
      </c>
      <c r="O957" t="str">
        <f>IFERROR(VLOOKUP(C957,Customers!$A$2:$F$301,5,FALSE),"")</f>
        <v>SMB</v>
      </c>
      <c r="P957">
        <f>IFERROR(VLOOKUP(C957,Customers!$A$2:$F$301,3,FALSE),"")</f>
        <v>44</v>
      </c>
      <c r="Q957" s="41">
        <f t="shared" si="23"/>
        <v>0.3069060773480663</v>
      </c>
      <c r="R957" t="str">
        <f>IFERROR(VLOOKUP(C957,Customers!$A$2:$F$301,1,FALSE),"")</f>
        <v>CUST-0145</v>
      </c>
      <c r="S957" s="27" t="b">
        <f>IFERROR(VLOOKUP(D957,Products!$A$2:$F$61,6,FALSE),"")</f>
        <v>1</v>
      </c>
      <c r="BL957">
        <v>0</v>
      </c>
      <c r="BO957">
        <v>0</v>
      </c>
      <c r="BP957">
        <v>0</v>
      </c>
    </row>
    <row r="958" spans="1:68" x14ac:dyDescent="0.35">
      <c r="A958" s="26" t="str">
        <f>Orders!A958</f>
        <v>ORD-00957</v>
      </c>
      <c r="B958" s="33">
        <f>Orders!B958</f>
        <v>45483</v>
      </c>
      <c r="C958" t="str">
        <f>Orders!C958</f>
        <v>CUST-0275</v>
      </c>
      <c r="D958" t="str">
        <f>Orders!D958</f>
        <v>PROD-018</v>
      </c>
      <c r="E958" t="str">
        <f>Orders!E958</f>
        <v>R011</v>
      </c>
      <c r="F958">
        <f>Orders!F958</f>
        <v>7</v>
      </c>
      <c r="G958" s="35">
        <f>Orders!G958</f>
        <v>3560</v>
      </c>
      <c r="H958" s="37">
        <f>Orders!H958</f>
        <v>8.5</v>
      </c>
      <c r="I958" s="39">
        <f>Orders!I958</f>
        <v>22801.8</v>
      </c>
      <c r="J958" t="str">
        <f>Orders!J958</f>
        <v>Completed</v>
      </c>
      <c r="K958" t="str">
        <f>Orders!K958</f>
        <v>Mumbai</v>
      </c>
      <c r="L958" t="str">
        <f>IFERROR(VLOOKUP(D958,Products!$A$2:$F$61,3,FALSE),"")</f>
        <v>Apparel</v>
      </c>
      <c r="M958">
        <f>IFERROR(VLOOKUP(D958,Products!$A$2:$F$61,4,FALSE),"")</f>
        <v>2629</v>
      </c>
      <c r="N958" t="str">
        <f>IFERROR(VLOOKUP(E958,Sales_Reps!$A$2:$E$31,3,FALSE),"")</f>
        <v>South</v>
      </c>
      <c r="O958" t="str">
        <f>IFERROR(VLOOKUP(C958,Customers!$A$2:$F$301,5,FALSE),"")</f>
        <v>Retail</v>
      </c>
      <c r="P958">
        <f>IFERROR(VLOOKUP(C958,Customers!$A$2:$F$301,3,FALSE),"")</f>
        <v>36</v>
      </c>
      <c r="Q958" s="41">
        <f t="shared" si="23"/>
        <v>0.26151685393258428</v>
      </c>
      <c r="R958" t="str">
        <f>IFERROR(VLOOKUP(C958,Customers!$A$2:$F$301,1,FALSE),"")</f>
        <v>CUST-0275</v>
      </c>
      <c r="S958" s="27" t="b">
        <f>IFERROR(VLOOKUP(D958,Products!$A$2:$F$61,6,FALSE),"")</f>
        <v>1</v>
      </c>
      <c r="BL958">
        <v>0</v>
      </c>
      <c r="BO958">
        <v>0</v>
      </c>
      <c r="BP958">
        <v>0</v>
      </c>
    </row>
    <row r="959" spans="1:68" x14ac:dyDescent="0.35">
      <c r="A959" s="26" t="str">
        <f>Orders!A959</f>
        <v>ORD-00958</v>
      </c>
      <c r="B959" s="33">
        <f>Orders!B959</f>
        <v>45496</v>
      </c>
      <c r="C959" t="str">
        <f>Orders!C959</f>
        <v>CUST-0189</v>
      </c>
      <c r="D959" t="str">
        <f>Orders!D959</f>
        <v>PROD-033</v>
      </c>
      <c r="E959" t="str">
        <f>Orders!E959</f>
        <v>R025</v>
      </c>
      <c r="F959">
        <f>Orders!F959</f>
        <v>8</v>
      </c>
      <c r="G959" s="35">
        <f>Orders!G959</f>
        <v>2030</v>
      </c>
      <c r="H959" s="37">
        <f>Orders!H959</f>
        <v>18.100000000000001</v>
      </c>
      <c r="I959" s="39">
        <f>Orders!I959</f>
        <v>13300.56</v>
      </c>
      <c r="J959" t="str">
        <f>Orders!J959</f>
        <v>Completed</v>
      </c>
      <c r="K959" t="str">
        <f>Orders!K959</f>
        <v>Chennai</v>
      </c>
      <c r="L959" t="str">
        <f>IFERROR(VLOOKUP(D959,Products!$A$2:$F$61,3,FALSE),"")</f>
        <v>Home</v>
      </c>
      <c r="M959">
        <f>IFERROR(VLOOKUP(D959,Products!$A$2:$F$61,4,FALSE),"")</f>
        <v>1143</v>
      </c>
      <c r="N959" t="str">
        <f>IFERROR(VLOOKUP(E959,Sales_Reps!$A$2:$E$31,3,FALSE),"")</f>
        <v>West</v>
      </c>
      <c r="O959" t="str">
        <f>IFERROR(VLOOKUP(C959,Customers!$A$2:$F$301,5,FALSE),"")</f>
        <v>Retail</v>
      </c>
      <c r="P959">
        <f>IFERROR(VLOOKUP(C959,Customers!$A$2:$F$301,3,FALSE),"")</f>
        <v>41</v>
      </c>
      <c r="Q959" s="41">
        <f t="shared" si="23"/>
        <v>0.43694581280788175</v>
      </c>
      <c r="R959" t="str">
        <f>IFERROR(VLOOKUP(C959,Customers!$A$2:$F$301,1,FALSE),"")</f>
        <v>CUST-0189</v>
      </c>
      <c r="S959" s="27" t="b">
        <f>IFERROR(VLOOKUP(D959,Products!$A$2:$F$61,6,FALSE),"")</f>
        <v>1</v>
      </c>
      <c r="BL959">
        <v>0</v>
      </c>
      <c r="BO959">
        <v>0</v>
      </c>
      <c r="BP959">
        <v>0</v>
      </c>
    </row>
    <row r="960" spans="1:68" x14ac:dyDescent="0.35">
      <c r="A960" s="26" t="str">
        <f>Orders!A960</f>
        <v>ORD-00959</v>
      </c>
      <c r="B960" s="33">
        <f>Orders!B960</f>
        <v>45350</v>
      </c>
      <c r="C960" t="str">
        <f>Orders!C960</f>
        <v>CUST-0105</v>
      </c>
      <c r="D960" t="str">
        <f>Orders!D960</f>
        <v>PROD-044</v>
      </c>
      <c r="E960" t="str">
        <f>Orders!E960</f>
        <v>R011</v>
      </c>
      <c r="F960">
        <f>Orders!F960</f>
        <v>10</v>
      </c>
      <c r="G960" s="35">
        <f>Orders!G960</f>
        <v>1650</v>
      </c>
      <c r="H960" s="37">
        <f>Orders!H960</f>
        <v>7.1</v>
      </c>
      <c r="I960" s="39">
        <f>Orders!I960</f>
        <v>15328.5</v>
      </c>
      <c r="J960" t="str">
        <f>Orders!J960</f>
        <v>Completed</v>
      </c>
      <c r="K960" t="str">
        <f>Orders!K960</f>
        <v>Chennai</v>
      </c>
      <c r="L960" t="str">
        <f>IFERROR(VLOOKUP(D960,Products!$A$2:$F$61,3,FALSE),"")</f>
        <v>Beauty</v>
      </c>
      <c r="M960">
        <f>IFERROR(VLOOKUP(D960,Products!$A$2:$F$61,4,FALSE),"")</f>
        <v>1222</v>
      </c>
      <c r="N960" t="str">
        <f>IFERROR(VLOOKUP(E960,Sales_Reps!$A$2:$E$31,3,FALSE),"")</f>
        <v>South</v>
      </c>
      <c r="O960" t="str">
        <f>IFERROR(VLOOKUP(C960,Customers!$A$2:$F$301,5,FALSE),"")</f>
        <v>SMB</v>
      </c>
      <c r="P960">
        <f>IFERROR(VLOOKUP(C960,Customers!$A$2:$F$301,3,FALSE),"")</f>
        <v>51</v>
      </c>
      <c r="Q960" s="41">
        <f t="shared" si="23"/>
        <v>0.2593939393939394</v>
      </c>
      <c r="R960" t="str">
        <f>IFERROR(VLOOKUP(C960,Customers!$A$2:$F$301,1,FALSE),"")</f>
        <v>CUST-0105</v>
      </c>
      <c r="S960" s="27" t="b">
        <f>IFERROR(VLOOKUP(D960,Products!$A$2:$F$61,6,FALSE),"")</f>
        <v>1</v>
      </c>
      <c r="BL960">
        <v>0</v>
      </c>
      <c r="BO960">
        <v>0</v>
      </c>
      <c r="BP960">
        <v>0</v>
      </c>
    </row>
    <row r="961" spans="1:68" x14ac:dyDescent="0.35">
      <c r="A961" s="26" t="str">
        <f>Orders!A961</f>
        <v>ORD-00960</v>
      </c>
      <c r="B961" s="33">
        <f>Orders!B961</f>
        <v>45517</v>
      </c>
      <c r="C961" t="str">
        <f>Orders!C961</f>
        <v>CUST-0284</v>
      </c>
      <c r="D961" t="str">
        <f>Orders!D961</f>
        <v>PROD-021</v>
      </c>
      <c r="E961" t="str">
        <f>Orders!E961</f>
        <v>R017</v>
      </c>
      <c r="F961">
        <f>Orders!F961</f>
        <v>4</v>
      </c>
      <c r="G961" s="35">
        <f>Orders!G961</f>
        <v>2760</v>
      </c>
      <c r="H961" s="37">
        <f>Orders!H961</f>
        <v>17.600000000000001</v>
      </c>
      <c r="I961" s="39">
        <f>Orders!I961</f>
        <v>9096.9599999999991</v>
      </c>
      <c r="J961" t="str">
        <f>Orders!J961</f>
        <v>Cancelled</v>
      </c>
      <c r="K961" t="str">
        <f>Orders!K961</f>
        <v>Hyderabad</v>
      </c>
      <c r="L961" t="str">
        <f>IFERROR(VLOOKUP(D961,Products!$A$2:$F$61,3,FALSE),"")</f>
        <v>Grocery</v>
      </c>
      <c r="M961">
        <f>IFERROR(VLOOKUP(D961,Products!$A$2:$F$61,4,FALSE),"")</f>
        <v>1435</v>
      </c>
      <c r="N961" t="str">
        <f>IFERROR(VLOOKUP(E961,Sales_Reps!$A$2:$E$31,3,FALSE),"")</f>
        <v>East</v>
      </c>
      <c r="O961" t="str">
        <f>IFERROR(VLOOKUP(C961,Customers!$A$2:$F$301,5,FALSE),"")</f>
        <v>SMB</v>
      </c>
      <c r="P961">
        <f>IFERROR(VLOOKUP(C961,Customers!$A$2:$F$301,3,FALSE),"")</f>
        <v>65</v>
      </c>
      <c r="Q961" s="41">
        <f t="shared" si="23"/>
        <v>0.48007246376811596</v>
      </c>
      <c r="R961" t="str">
        <f>IFERROR(VLOOKUP(C961,Customers!$A$2:$F$301,1,FALSE),"")</f>
        <v>CUST-0284</v>
      </c>
      <c r="S961" s="27" t="b">
        <f>IFERROR(VLOOKUP(D961,Products!$A$2:$F$61,6,FALSE),"")</f>
        <v>1</v>
      </c>
      <c r="BL961">
        <v>0</v>
      </c>
      <c r="BO961">
        <v>0</v>
      </c>
      <c r="BP961">
        <v>0</v>
      </c>
    </row>
    <row r="962" spans="1:68" x14ac:dyDescent="0.35">
      <c r="A962" s="26" t="str">
        <f>Orders!A962</f>
        <v>ORD-00961</v>
      </c>
      <c r="B962" s="33">
        <f>Orders!B962</f>
        <v>45460</v>
      </c>
      <c r="C962" t="str">
        <f>Orders!C962</f>
        <v>CUST-0296</v>
      </c>
      <c r="D962" t="str">
        <f>Orders!D962</f>
        <v>PROD-006</v>
      </c>
      <c r="E962" t="str">
        <f>Orders!E962</f>
        <v>R009</v>
      </c>
      <c r="F962">
        <f>Orders!F962</f>
        <v>4</v>
      </c>
      <c r="G962" s="35">
        <f>Orders!G962</f>
        <v>3970</v>
      </c>
      <c r="H962" s="37">
        <f>Orders!H962</f>
        <v>4.3</v>
      </c>
      <c r="I962" s="39">
        <f>Orders!I962</f>
        <v>15197.16</v>
      </c>
      <c r="J962" t="str">
        <f>Orders!J962</f>
        <v>Completed</v>
      </c>
      <c r="K962" t="str">
        <f>Orders!K962</f>
        <v>Delhi</v>
      </c>
      <c r="L962" t="str">
        <f>IFERROR(VLOOKUP(D962,Products!$A$2:$F$61,3,FALSE),"")</f>
        <v>Electronics</v>
      </c>
      <c r="M962">
        <f>IFERROR(VLOOKUP(D962,Products!$A$2:$F$61,4,FALSE),"")</f>
        <v>2865</v>
      </c>
      <c r="N962" t="str">
        <f>IFERROR(VLOOKUP(E962,Sales_Reps!$A$2:$E$31,3,FALSE),"")</f>
        <v>South</v>
      </c>
      <c r="O962" t="str">
        <f>IFERROR(VLOOKUP(C962,Customers!$A$2:$F$301,5,FALSE),"")</f>
        <v>Corporate</v>
      </c>
      <c r="P962">
        <f>IFERROR(VLOOKUP(C962,Customers!$A$2:$F$301,3,FALSE),"")</f>
        <v>47</v>
      </c>
      <c r="Q962" s="41">
        <f t="shared" ref="Q962:Q1025" si="24">IFERROR((G962-M962)/G962,0)</f>
        <v>0.27833753148614609</v>
      </c>
      <c r="R962" t="str">
        <f>IFERROR(VLOOKUP(C962,Customers!$A$2:$F$301,1,FALSE),"")</f>
        <v>CUST-0296</v>
      </c>
      <c r="S962" s="27" t="b">
        <f>IFERROR(VLOOKUP(D962,Products!$A$2:$F$61,6,FALSE),"")</f>
        <v>1</v>
      </c>
      <c r="BL962">
        <v>0</v>
      </c>
      <c r="BO962">
        <v>0</v>
      </c>
      <c r="BP962">
        <v>0</v>
      </c>
    </row>
    <row r="963" spans="1:68" x14ac:dyDescent="0.35">
      <c r="A963" s="26" t="str">
        <f>Orders!A963</f>
        <v>ORD-00962</v>
      </c>
      <c r="B963" s="33">
        <f>Orders!B963</f>
        <v>45509</v>
      </c>
      <c r="C963" t="str">
        <f>Orders!C963</f>
        <v>CUST-0087</v>
      </c>
      <c r="D963" t="str">
        <f>Orders!D963</f>
        <v>PROD-050</v>
      </c>
      <c r="E963" t="str">
        <f>Orders!E963</f>
        <v>R010</v>
      </c>
      <c r="F963">
        <f>Orders!F963</f>
        <v>2</v>
      </c>
      <c r="G963" s="35">
        <f>Orders!G963</f>
        <v>6080</v>
      </c>
      <c r="H963" s="37">
        <f>Orders!H963</f>
        <v>23.8</v>
      </c>
      <c r="I963" s="39">
        <f>Orders!I963</f>
        <v>9265.92</v>
      </c>
      <c r="J963" t="str">
        <f>Orders!J963</f>
        <v>Completed</v>
      </c>
      <c r="K963" t="str">
        <f>Orders!K963</f>
        <v>Pune</v>
      </c>
      <c r="L963" t="str">
        <f>IFERROR(VLOOKUP(D963,Products!$A$2:$F$61,3,FALSE),"")</f>
        <v>Beauty</v>
      </c>
      <c r="M963">
        <f>IFERROR(VLOOKUP(D963,Products!$A$2:$F$61,4,FALSE),"")</f>
        <v>2617</v>
      </c>
      <c r="N963" t="str">
        <f>IFERROR(VLOOKUP(E963,Sales_Reps!$A$2:$E$31,3,FALSE),"")</f>
        <v>South</v>
      </c>
      <c r="O963" t="str">
        <f>IFERROR(VLOOKUP(C963,Customers!$A$2:$F$301,5,FALSE),"")</f>
        <v>SMB</v>
      </c>
      <c r="P963">
        <f>IFERROR(VLOOKUP(C963,Customers!$A$2:$F$301,3,FALSE),"")</f>
        <v>49</v>
      </c>
      <c r="Q963" s="41">
        <f t="shared" si="24"/>
        <v>0.56957236842105263</v>
      </c>
      <c r="R963" t="str">
        <f>IFERROR(VLOOKUP(C963,Customers!$A$2:$F$301,1,FALSE),"")</f>
        <v>CUST-0087</v>
      </c>
      <c r="S963" s="27" t="b">
        <f>IFERROR(VLOOKUP(D963,Products!$A$2:$F$61,6,FALSE),"")</f>
        <v>1</v>
      </c>
      <c r="BL963">
        <v>0</v>
      </c>
      <c r="BO963">
        <v>0</v>
      </c>
      <c r="BP963">
        <v>0</v>
      </c>
    </row>
    <row r="964" spans="1:68" x14ac:dyDescent="0.35">
      <c r="A964" s="26" t="str">
        <f>Orders!A964</f>
        <v>ORD-00963</v>
      </c>
      <c r="B964" s="33">
        <f>Orders!B964</f>
        <v>45602</v>
      </c>
      <c r="C964" t="str">
        <f>Orders!C964</f>
        <v>CUST-0012</v>
      </c>
      <c r="D964" t="str">
        <f>Orders!D964</f>
        <v>PROD-024</v>
      </c>
      <c r="E964" t="str">
        <f>Orders!E964</f>
        <v>R004</v>
      </c>
      <c r="F964">
        <f>Orders!F964</f>
        <v>4</v>
      </c>
      <c r="G964" s="35">
        <f>Orders!G964</f>
        <v>2270</v>
      </c>
      <c r="H964" s="37">
        <f>Orders!H964</f>
        <v>28.9</v>
      </c>
      <c r="I964" s="39">
        <f>Orders!I964</f>
        <v>6455.88</v>
      </c>
      <c r="J964" t="str">
        <f>Orders!J964</f>
        <v>Completed</v>
      </c>
      <c r="K964" t="str">
        <f>Orders!K964</f>
        <v>Pune</v>
      </c>
      <c r="L964" t="str">
        <f>IFERROR(VLOOKUP(D964,Products!$A$2:$F$61,3,FALSE),"")</f>
        <v>Grocery</v>
      </c>
      <c r="M964">
        <f>IFERROR(VLOOKUP(D964,Products!$A$2:$F$61,4,FALSE),"")</f>
        <v>1203</v>
      </c>
      <c r="N964" t="str">
        <f>IFERROR(VLOOKUP(E964,Sales_Reps!$A$2:$E$31,3,FALSE),"")</f>
        <v>North</v>
      </c>
      <c r="O964" t="str">
        <f>IFERROR(VLOOKUP(C964,Customers!$A$2:$F$301,5,FALSE),"")</f>
        <v>Retail</v>
      </c>
      <c r="P964">
        <f>IFERROR(VLOOKUP(C964,Customers!$A$2:$F$301,3,FALSE),"")</f>
        <v>43</v>
      </c>
      <c r="Q964" s="41">
        <f t="shared" si="24"/>
        <v>0.47004405286343615</v>
      </c>
      <c r="R964" t="str">
        <f>IFERROR(VLOOKUP(C964,Customers!$A$2:$F$301,1,FALSE),"")</f>
        <v>CUST-0012</v>
      </c>
      <c r="S964" s="27" t="b">
        <f>IFERROR(VLOOKUP(D964,Products!$A$2:$F$61,6,FALSE),"")</f>
        <v>1</v>
      </c>
      <c r="BL964">
        <v>0</v>
      </c>
      <c r="BO964">
        <v>0</v>
      </c>
      <c r="BP964">
        <v>0</v>
      </c>
    </row>
    <row r="965" spans="1:68" x14ac:dyDescent="0.35">
      <c r="A965" s="26" t="str">
        <f>Orders!A965</f>
        <v>ORD-00964</v>
      </c>
      <c r="B965" s="33">
        <f>Orders!B965</f>
        <v>45441</v>
      </c>
      <c r="C965" t="str">
        <f>Orders!C965</f>
        <v>CUST-0241</v>
      </c>
      <c r="D965" t="str">
        <f>Orders!D965</f>
        <v>PROD-006</v>
      </c>
      <c r="E965" t="str">
        <f>Orders!E965</f>
        <v>R004</v>
      </c>
      <c r="F965">
        <f>Orders!F965</f>
        <v>10</v>
      </c>
      <c r="G965" s="35">
        <f>Orders!G965</f>
        <v>3970</v>
      </c>
      <c r="H965" s="37">
        <f>Orders!H965</f>
        <v>26.2</v>
      </c>
      <c r="I965" s="39">
        <f>Orders!I965</f>
        <v>29298.6</v>
      </c>
      <c r="J965" t="str">
        <f>Orders!J965</f>
        <v>Completed</v>
      </c>
      <c r="K965" t="str">
        <f>Orders!K965</f>
        <v>Pune</v>
      </c>
      <c r="L965" t="str">
        <f>IFERROR(VLOOKUP(D965,Products!$A$2:$F$61,3,FALSE),"")</f>
        <v>Electronics</v>
      </c>
      <c r="M965">
        <f>IFERROR(VLOOKUP(D965,Products!$A$2:$F$61,4,FALSE),"")</f>
        <v>2865</v>
      </c>
      <c r="N965" t="str">
        <f>IFERROR(VLOOKUP(E965,Sales_Reps!$A$2:$E$31,3,FALSE),"")</f>
        <v>North</v>
      </c>
      <c r="O965" t="str">
        <f>IFERROR(VLOOKUP(C965,Customers!$A$2:$F$301,5,FALSE),"")</f>
        <v>Corporate</v>
      </c>
      <c r="P965">
        <f>IFERROR(VLOOKUP(C965,Customers!$A$2:$F$301,3,FALSE),"")</f>
        <v>47</v>
      </c>
      <c r="Q965" s="41">
        <f t="shared" si="24"/>
        <v>0.27833753148614609</v>
      </c>
      <c r="R965" t="str">
        <f>IFERROR(VLOOKUP(C965,Customers!$A$2:$F$301,1,FALSE),"")</f>
        <v>CUST-0241</v>
      </c>
      <c r="S965" s="27" t="b">
        <f>IFERROR(VLOOKUP(D965,Products!$A$2:$F$61,6,FALSE),"")</f>
        <v>1</v>
      </c>
      <c r="BL965">
        <v>0</v>
      </c>
      <c r="BO965">
        <v>0</v>
      </c>
      <c r="BP965">
        <v>0</v>
      </c>
    </row>
    <row r="966" spans="1:68" x14ac:dyDescent="0.35">
      <c r="A966" s="26" t="str">
        <f>Orders!A966</f>
        <v>ORD-00965</v>
      </c>
      <c r="B966" s="33">
        <f>Orders!B966</f>
        <v>45378</v>
      </c>
      <c r="C966" t="str">
        <f>Orders!C966</f>
        <v>CUST-0133</v>
      </c>
      <c r="D966" t="str">
        <f>Orders!D966</f>
        <v>PROD-048</v>
      </c>
      <c r="E966" t="str">
        <f>Orders!E966</f>
        <v>R013</v>
      </c>
      <c r="F966">
        <f>Orders!F966</f>
        <v>4</v>
      </c>
      <c r="G966" s="35">
        <f>Orders!G966</f>
        <v>5100</v>
      </c>
      <c r="H966" s="37">
        <f>Orders!H966</f>
        <v>2.1</v>
      </c>
      <c r="I966" s="39">
        <f>Orders!I966</f>
        <v>19971.599999999999</v>
      </c>
      <c r="J966" t="str">
        <f>Orders!J966</f>
        <v>Completed</v>
      </c>
      <c r="K966" t="str">
        <f>Orders!K966</f>
        <v>Chennai</v>
      </c>
      <c r="L966" t="str">
        <f>IFERROR(VLOOKUP(D966,Products!$A$2:$F$61,3,FALSE),"")</f>
        <v>Beauty</v>
      </c>
      <c r="M966">
        <f>IFERROR(VLOOKUP(D966,Products!$A$2:$F$61,4,FALSE),"")</f>
        <v>2237</v>
      </c>
      <c r="N966" t="str">
        <f>IFERROR(VLOOKUP(E966,Sales_Reps!$A$2:$E$31,3,FALSE),"")</f>
        <v>South</v>
      </c>
      <c r="O966" t="str">
        <f>IFERROR(VLOOKUP(C966,Customers!$A$2:$F$301,5,FALSE),"")</f>
        <v>Retail</v>
      </c>
      <c r="P966">
        <f>IFERROR(VLOOKUP(C966,Customers!$A$2:$F$301,3,FALSE),"")</f>
        <v>26</v>
      </c>
      <c r="Q966" s="41">
        <f t="shared" si="24"/>
        <v>0.56137254901960787</v>
      </c>
      <c r="R966" t="str">
        <f>IFERROR(VLOOKUP(C966,Customers!$A$2:$F$301,1,FALSE),"")</f>
        <v>CUST-0133</v>
      </c>
      <c r="S966" s="27" t="b">
        <f>IFERROR(VLOOKUP(D966,Products!$A$2:$F$61,6,FALSE),"")</f>
        <v>1</v>
      </c>
      <c r="BL966">
        <v>0</v>
      </c>
      <c r="BO966">
        <v>0</v>
      </c>
      <c r="BP966">
        <v>0</v>
      </c>
    </row>
    <row r="967" spans="1:68" x14ac:dyDescent="0.35">
      <c r="A967" s="26" t="str">
        <f>Orders!A967</f>
        <v>ORD-00966</v>
      </c>
      <c r="B967" s="33">
        <f>Orders!B967</f>
        <v>45428</v>
      </c>
      <c r="C967" t="str">
        <f>Orders!C967</f>
        <v>CUST-0230</v>
      </c>
      <c r="D967" t="str">
        <f>Orders!D967</f>
        <v>PROD-045</v>
      </c>
      <c r="E967" t="str">
        <f>Orders!E967</f>
        <v>R024</v>
      </c>
      <c r="F967">
        <f>Orders!F967</f>
        <v>5</v>
      </c>
      <c r="G967" s="35">
        <f>Orders!G967</f>
        <v>3020</v>
      </c>
      <c r="H967" s="37">
        <f>Orders!H967</f>
        <v>17.3</v>
      </c>
      <c r="I967" s="39">
        <f>Orders!I967</f>
        <v>12487.7</v>
      </c>
      <c r="J967" t="str">
        <f>Orders!J967</f>
        <v>Completed</v>
      </c>
      <c r="K967" t="str">
        <f>Orders!K967</f>
        <v>Pune</v>
      </c>
      <c r="L967" t="str">
        <f>IFERROR(VLOOKUP(D967,Products!$A$2:$F$61,3,FALSE),"")</f>
        <v>Beauty</v>
      </c>
      <c r="M967">
        <f>IFERROR(VLOOKUP(D967,Products!$A$2:$F$61,4,FALSE),"")</f>
        <v>1626</v>
      </c>
      <c r="N967" t="str">
        <f>IFERROR(VLOOKUP(E967,Sales_Reps!$A$2:$E$31,3,FALSE),"")</f>
        <v>West</v>
      </c>
      <c r="O967" t="str">
        <f>IFERROR(VLOOKUP(C967,Customers!$A$2:$F$301,5,FALSE),"")</f>
        <v>Corporate</v>
      </c>
      <c r="P967">
        <f>IFERROR(VLOOKUP(C967,Customers!$A$2:$F$301,3,FALSE),"")</f>
        <v>33</v>
      </c>
      <c r="Q967" s="41">
        <f t="shared" si="24"/>
        <v>0.46158940397350995</v>
      </c>
      <c r="R967" t="str">
        <f>IFERROR(VLOOKUP(C967,Customers!$A$2:$F$301,1,FALSE),"")</f>
        <v>CUST-0230</v>
      </c>
      <c r="S967" s="27" t="b">
        <f>IFERROR(VLOOKUP(D967,Products!$A$2:$F$61,6,FALSE),"")</f>
        <v>1</v>
      </c>
      <c r="BL967">
        <v>0</v>
      </c>
      <c r="BO967">
        <v>0</v>
      </c>
      <c r="BP967">
        <v>0</v>
      </c>
    </row>
    <row r="968" spans="1:68" x14ac:dyDescent="0.35">
      <c r="A968" s="26" t="str">
        <f>Orders!A968</f>
        <v>ORD-00967</v>
      </c>
      <c r="B968" s="33">
        <f>Orders!B968</f>
        <v>45521</v>
      </c>
      <c r="C968" t="str">
        <f>Orders!C968</f>
        <v>CUST-0126</v>
      </c>
      <c r="D968" t="str">
        <f>Orders!D968</f>
        <v>PROD-057</v>
      </c>
      <c r="E968" t="str">
        <f>Orders!E968</f>
        <v>R016</v>
      </c>
      <c r="F968">
        <f>Orders!F968</f>
        <v>8</v>
      </c>
      <c r="G968" s="35">
        <f>Orders!G968</f>
        <v>960</v>
      </c>
      <c r="H968" s="37">
        <f>Orders!H968</f>
        <v>1.3</v>
      </c>
      <c r="I968" s="39">
        <f>Orders!I968</f>
        <v>7580.16</v>
      </c>
      <c r="J968" t="str">
        <f>Orders!J968</f>
        <v>Cancelled</v>
      </c>
      <c r="K968" t="str">
        <f>Orders!K968</f>
        <v>Mumbai</v>
      </c>
      <c r="L968" t="str">
        <f>IFERROR(VLOOKUP(D968,Products!$A$2:$F$61,3,FALSE),"")</f>
        <v>Sports</v>
      </c>
      <c r="M968">
        <f>IFERROR(VLOOKUP(D968,Products!$A$2:$F$61,4,FALSE),"")</f>
        <v>705</v>
      </c>
      <c r="N968" t="str">
        <f>IFERROR(VLOOKUP(E968,Sales_Reps!$A$2:$E$31,3,FALSE),"")</f>
        <v>South</v>
      </c>
      <c r="O968" t="str">
        <f>IFERROR(VLOOKUP(C968,Customers!$A$2:$F$301,5,FALSE),"")</f>
        <v>Retail</v>
      </c>
      <c r="P968">
        <f>IFERROR(VLOOKUP(C968,Customers!$A$2:$F$301,3,FALSE),"")</f>
        <v>37</v>
      </c>
      <c r="Q968" s="41">
        <f t="shared" si="24"/>
        <v>0.265625</v>
      </c>
      <c r="R968" t="str">
        <f>IFERROR(VLOOKUP(C968,Customers!$A$2:$F$301,1,FALSE),"")</f>
        <v>CUST-0126</v>
      </c>
      <c r="S968" s="27" t="b">
        <f>IFERROR(VLOOKUP(D968,Products!$A$2:$F$61,6,FALSE),"")</f>
        <v>1</v>
      </c>
      <c r="BL968">
        <v>0</v>
      </c>
      <c r="BO968">
        <v>0</v>
      </c>
      <c r="BP968">
        <v>0</v>
      </c>
    </row>
    <row r="969" spans="1:68" x14ac:dyDescent="0.35">
      <c r="A969" s="26" t="str">
        <f>Orders!A969</f>
        <v>ORD-00968</v>
      </c>
      <c r="B969" s="33">
        <f>Orders!B969</f>
        <v>45612</v>
      </c>
      <c r="C969" t="str">
        <f>Orders!C969</f>
        <v>CUST-0233</v>
      </c>
      <c r="D969" t="str">
        <f>Orders!D969</f>
        <v>PROD-019</v>
      </c>
      <c r="E969" t="str">
        <f>Orders!E969</f>
        <v>R008</v>
      </c>
      <c r="F969">
        <f>Orders!F969</f>
        <v>9</v>
      </c>
      <c r="G969" s="35">
        <f>Orders!G969</f>
        <v>2480</v>
      </c>
      <c r="H969" s="37">
        <f>Orders!H969</f>
        <v>15.6</v>
      </c>
      <c r="I969" s="39">
        <f>Orders!I969</f>
        <v>18838.080000000002</v>
      </c>
      <c r="J969" t="str">
        <f>Orders!J969</f>
        <v>Completed</v>
      </c>
      <c r="K969" t="str">
        <f>Orders!K969</f>
        <v>Mumbai</v>
      </c>
      <c r="L969" t="str">
        <f>IFERROR(VLOOKUP(D969,Products!$A$2:$F$61,3,FALSE),"")</f>
        <v>Apparel</v>
      </c>
      <c r="M969">
        <f>IFERROR(VLOOKUP(D969,Products!$A$2:$F$61,4,FALSE),"")</f>
        <v>1173</v>
      </c>
      <c r="N969" t="str">
        <f>IFERROR(VLOOKUP(E969,Sales_Reps!$A$2:$E$31,3,FALSE),"")</f>
        <v>North</v>
      </c>
      <c r="O969" t="str">
        <f>IFERROR(VLOOKUP(C969,Customers!$A$2:$F$301,5,FALSE),"")</f>
        <v>SMB</v>
      </c>
      <c r="P969">
        <f>IFERROR(VLOOKUP(C969,Customers!$A$2:$F$301,3,FALSE),"")</f>
        <v>65</v>
      </c>
      <c r="Q969" s="41">
        <f t="shared" si="24"/>
        <v>0.52701612903225803</v>
      </c>
      <c r="R969" t="str">
        <f>IFERROR(VLOOKUP(C969,Customers!$A$2:$F$301,1,FALSE),"")</f>
        <v>CUST-0233</v>
      </c>
      <c r="S969" s="27" t="b">
        <f>IFERROR(VLOOKUP(D969,Products!$A$2:$F$61,6,FALSE),"")</f>
        <v>1</v>
      </c>
      <c r="BL969">
        <v>0</v>
      </c>
      <c r="BO969">
        <v>0</v>
      </c>
      <c r="BP969">
        <v>0</v>
      </c>
    </row>
    <row r="970" spans="1:68" x14ac:dyDescent="0.35">
      <c r="A970" s="26" t="str">
        <f>Orders!A970</f>
        <v>ORD-00969</v>
      </c>
      <c r="B970" s="33">
        <f>Orders!B970</f>
        <v>45566</v>
      </c>
      <c r="C970" t="str">
        <f>Orders!C970</f>
        <v>CUST-9555</v>
      </c>
      <c r="D970" t="str">
        <f>Orders!D970</f>
        <v>PROD-030</v>
      </c>
      <c r="E970" t="str">
        <f>Orders!E970</f>
        <v>R012</v>
      </c>
      <c r="F970">
        <f>Orders!F970</f>
        <v>1</v>
      </c>
      <c r="G970" s="35">
        <f>Orders!G970</f>
        <v>970</v>
      </c>
      <c r="H970" s="37">
        <f>Orders!H970</f>
        <v>24.9</v>
      </c>
      <c r="I970" s="39">
        <f>Orders!I970</f>
        <v>728.47</v>
      </c>
      <c r="J970" t="str">
        <f>Orders!J970</f>
        <v>Completed</v>
      </c>
      <c r="K970" t="str">
        <f>Orders!K970</f>
        <v>Bengaluru</v>
      </c>
      <c r="L970" t="str">
        <f>IFERROR(VLOOKUP(D970,Products!$A$2:$F$61,3,FALSE),"")</f>
        <v>Grocery</v>
      </c>
      <c r="M970">
        <f>IFERROR(VLOOKUP(D970,Products!$A$2:$F$61,4,FALSE),"")</f>
        <v>434</v>
      </c>
      <c r="N970" t="str">
        <f>IFERROR(VLOOKUP(E970,Sales_Reps!$A$2:$E$31,3,FALSE),"")</f>
        <v>South</v>
      </c>
      <c r="O970" t="str">
        <f>IFERROR(VLOOKUP(C970,Customers!$A$2:$F$301,5,FALSE),"")</f>
        <v/>
      </c>
      <c r="P970" t="str">
        <f>IFERROR(VLOOKUP(C970,Customers!$A$2:$F$301,3,FALSE),"")</f>
        <v/>
      </c>
      <c r="Q970" s="41">
        <f t="shared" si="24"/>
        <v>0.5525773195876289</v>
      </c>
      <c r="R970" t="str">
        <f>IFERROR(VLOOKUP(C970,Customers!$A$2:$F$301,1,FALSE),"")</f>
        <v/>
      </c>
      <c r="S970" s="27" t="b">
        <f>IFERROR(VLOOKUP(D970,Products!$A$2:$F$61,6,FALSE),"")</f>
        <v>1</v>
      </c>
      <c r="BL970">
        <v>0</v>
      </c>
      <c r="BO970">
        <v>1</v>
      </c>
      <c r="BP970">
        <v>0</v>
      </c>
    </row>
    <row r="971" spans="1:68" x14ac:dyDescent="0.35">
      <c r="A971" s="26" t="str">
        <f>Orders!A971</f>
        <v>ORD-00970</v>
      </c>
      <c r="B971" s="33">
        <f>Orders!B971</f>
        <v>45606</v>
      </c>
      <c r="C971" t="str">
        <f>Orders!C971</f>
        <v>CUST-0150</v>
      </c>
      <c r="D971" t="str">
        <f>Orders!D971</f>
        <v>PROD-023</v>
      </c>
      <c r="E971" t="str">
        <f>Orders!E971</f>
        <v>R022</v>
      </c>
      <c r="F971">
        <f>Orders!F971</f>
        <v>4</v>
      </c>
      <c r="G971" s="35">
        <f>Orders!G971</f>
        <v>2380</v>
      </c>
      <c r="H971" s="37">
        <f>Orders!H971</f>
        <v>9.5</v>
      </c>
      <c r="I971" s="39">
        <f>Orders!I971</f>
        <v>8615.6</v>
      </c>
      <c r="J971" t="str">
        <f>Orders!J971</f>
        <v>Cancelled</v>
      </c>
      <c r="K971" t="str">
        <f>Orders!K971</f>
        <v>Pune</v>
      </c>
      <c r="L971" t="str">
        <f>IFERROR(VLOOKUP(D971,Products!$A$2:$F$61,3,FALSE),"")</f>
        <v>Grocery</v>
      </c>
      <c r="M971">
        <f>IFERROR(VLOOKUP(D971,Products!$A$2:$F$61,4,FALSE),"")</f>
        <v>1182</v>
      </c>
      <c r="N971" t="str">
        <f>IFERROR(VLOOKUP(E971,Sales_Reps!$A$2:$E$31,3,FALSE),"")</f>
        <v>East</v>
      </c>
      <c r="O971" t="str">
        <f>IFERROR(VLOOKUP(C971,Customers!$A$2:$F$301,5,FALSE),"")</f>
        <v>SMB</v>
      </c>
      <c r="P971">
        <f>IFERROR(VLOOKUP(C971,Customers!$A$2:$F$301,3,FALSE),"")</f>
        <v>53</v>
      </c>
      <c r="Q971" s="41">
        <f t="shared" si="24"/>
        <v>0.50336134453781511</v>
      </c>
      <c r="R971" t="str">
        <f>IFERROR(VLOOKUP(C971,Customers!$A$2:$F$301,1,FALSE),"")</f>
        <v>CUST-0150</v>
      </c>
      <c r="S971" s="27" t="b">
        <f>IFERROR(VLOOKUP(D971,Products!$A$2:$F$61,6,FALSE),"")</f>
        <v>1</v>
      </c>
      <c r="BL971">
        <v>0</v>
      </c>
      <c r="BO971">
        <v>0</v>
      </c>
      <c r="BP971">
        <v>0</v>
      </c>
    </row>
    <row r="972" spans="1:68" x14ac:dyDescent="0.35">
      <c r="A972" s="26" t="str">
        <f>Orders!A972</f>
        <v>ORD-00971</v>
      </c>
      <c r="B972" s="33">
        <f>Orders!B972</f>
        <v>45423</v>
      </c>
      <c r="C972" t="str">
        <f>Orders!C972</f>
        <v>CUST-0204</v>
      </c>
      <c r="D972" t="str">
        <f>Orders!D972</f>
        <v>PROD-052</v>
      </c>
      <c r="E972" t="str">
        <f>Orders!E972</f>
        <v>R005</v>
      </c>
      <c r="F972">
        <f>Orders!F972</f>
        <v>4</v>
      </c>
      <c r="G972" s="35">
        <f>Orders!G972</f>
        <v>5410</v>
      </c>
      <c r="H972" s="37">
        <f>Orders!H972</f>
        <v>18.7</v>
      </c>
      <c r="I972" s="39">
        <f>Orders!I972</f>
        <v>17593.32</v>
      </c>
      <c r="J972" t="str">
        <f>Orders!J972</f>
        <v>Completed</v>
      </c>
      <c r="K972" t="str">
        <f>Orders!K972</f>
        <v>Hyderabad</v>
      </c>
      <c r="L972" t="str">
        <f>IFERROR(VLOOKUP(D972,Products!$A$2:$F$61,3,FALSE),"")</f>
        <v>Sports</v>
      </c>
      <c r="M972">
        <f>IFERROR(VLOOKUP(D972,Products!$A$2:$F$61,4,FALSE),"")</f>
        <v>2265</v>
      </c>
      <c r="N972" t="str">
        <f>IFERROR(VLOOKUP(E972,Sales_Reps!$A$2:$E$31,3,FALSE),"")</f>
        <v>North</v>
      </c>
      <c r="O972" t="str">
        <f>IFERROR(VLOOKUP(C972,Customers!$A$2:$F$301,5,FALSE),"")</f>
        <v>Retail</v>
      </c>
      <c r="P972">
        <f>IFERROR(VLOOKUP(C972,Customers!$A$2:$F$301,3,FALSE),"")</f>
        <v>60</v>
      </c>
      <c r="Q972" s="41">
        <f t="shared" si="24"/>
        <v>0.58133086876155271</v>
      </c>
      <c r="R972" t="str">
        <f>IFERROR(VLOOKUP(C972,Customers!$A$2:$F$301,1,FALSE),"")</f>
        <v>CUST-0204</v>
      </c>
      <c r="S972" s="27" t="b">
        <f>IFERROR(VLOOKUP(D972,Products!$A$2:$F$61,6,FALSE),"")</f>
        <v>1</v>
      </c>
      <c r="BL972">
        <v>0</v>
      </c>
      <c r="BO972">
        <v>0</v>
      </c>
      <c r="BP972">
        <v>0</v>
      </c>
    </row>
    <row r="973" spans="1:68" x14ac:dyDescent="0.35">
      <c r="A973" s="26" t="str">
        <f>Orders!A973</f>
        <v>ORD-00972</v>
      </c>
      <c r="B973" s="33">
        <f>Orders!B973</f>
        <v>45573</v>
      </c>
      <c r="C973" t="str">
        <f>Orders!C973</f>
        <v>CUST-0040</v>
      </c>
      <c r="D973" t="str">
        <f>Orders!D973</f>
        <v>PROD-034</v>
      </c>
      <c r="E973" t="str">
        <f>Orders!E973</f>
        <v>R022</v>
      </c>
      <c r="F973">
        <f>Orders!F973</f>
        <v>7</v>
      </c>
      <c r="G973" s="35">
        <f>Orders!G973</f>
        <v>5080</v>
      </c>
      <c r="H973" s="37">
        <f>Orders!H973</f>
        <v>6.5</v>
      </c>
      <c r="I973" s="39">
        <f>Orders!I973</f>
        <v>33248.6</v>
      </c>
      <c r="J973" t="str">
        <f>Orders!J973</f>
        <v>Completed</v>
      </c>
      <c r="K973" t="str">
        <f>Orders!K973</f>
        <v>Chennai</v>
      </c>
      <c r="L973" t="str">
        <f>IFERROR(VLOOKUP(D973,Products!$A$2:$F$61,3,FALSE),"")</f>
        <v>Home</v>
      </c>
      <c r="M973">
        <f>IFERROR(VLOOKUP(D973,Products!$A$2:$F$61,4,FALSE),"")</f>
        <v>2459</v>
      </c>
      <c r="N973" t="str">
        <f>IFERROR(VLOOKUP(E973,Sales_Reps!$A$2:$E$31,3,FALSE),"")</f>
        <v>East</v>
      </c>
      <c r="O973" t="str">
        <f>IFERROR(VLOOKUP(C973,Customers!$A$2:$F$301,5,FALSE),"")</f>
        <v>Retail</v>
      </c>
      <c r="P973">
        <f>IFERROR(VLOOKUP(C973,Customers!$A$2:$F$301,3,FALSE),"")</f>
        <v>28</v>
      </c>
      <c r="Q973" s="41">
        <f t="shared" si="24"/>
        <v>0.51594488188976373</v>
      </c>
      <c r="R973" t="str">
        <f>IFERROR(VLOOKUP(C973,Customers!$A$2:$F$301,1,FALSE),"")</f>
        <v>CUST-0040</v>
      </c>
      <c r="S973" s="27" t="b">
        <f>IFERROR(VLOOKUP(D973,Products!$A$2:$F$61,6,FALSE),"")</f>
        <v>1</v>
      </c>
      <c r="BL973">
        <v>0</v>
      </c>
      <c r="BO973">
        <v>0</v>
      </c>
      <c r="BP973">
        <v>0</v>
      </c>
    </row>
    <row r="974" spans="1:68" x14ac:dyDescent="0.35">
      <c r="A974" s="26" t="str">
        <f>Orders!A974</f>
        <v>ORD-00973</v>
      </c>
      <c r="B974" s="33">
        <f>Orders!B974</f>
        <v>45339</v>
      </c>
      <c r="C974" t="str">
        <f>Orders!C974</f>
        <v>CUST-0060</v>
      </c>
      <c r="D974" t="str">
        <f>Orders!D974</f>
        <v>PROD-007</v>
      </c>
      <c r="E974" t="str">
        <f>Orders!E974</f>
        <v>R025</v>
      </c>
      <c r="F974">
        <f>Orders!F974</f>
        <v>5</v>
      </c>
      <c r="G974" s="35">
        <f>Orders!G974</f>
        <v>1430</v>
      </c>
      <c r="H974" s="37">
        <f>Orders!H974</f>
        <v>19.8</v>
      </c>
      <c r="I974" s="39">
        <f>Orders!I974</f>
        <v>5734.3</v>
      </c>
      <c r="J974" t="str">
        <f>Orders!J974</f>
        <v>Completed</v>
      </c>
      <c r="K974" t="str">
        <f>Orders!K974</f>
        <v>Pune</v>
      </c>
      <c r="L974" t="str">
        <f>IFERROR(VLOOKUP(D974,Products!$A$2:$F$61,3,FALSE),"")</f>
        <v>Electronics</v>
      </c>
      <c r="M974">
        <f>IFERROR(VLOOKUP(D974,Products!$A$2:$F$61,4,FALSE),"")</f>
        <v>861</v>
      </c>
      <c r="N974" t="str">
        <f>IFERROR(VLOOKUP(E974,Sales_Reps!$A$2:$E$31,3,FALSE),"")</f>
        <v>West</v>
      </c>
      <c r="O974" t="str">
        <f>IFERROR(VLOOKUP(C974,Customers!$A$2:$F$301,5,FALSE),"")</f>
        <v>Retail</v>
      </c>
      <c r="P974">
        <f>IFERROR(VLOOKUP(C974,Customers!$A$2:$F$301,3,FALSE),"")</f>
        <v>39</v>
      </c>
      <c r="Q974" s="41">
        <f t="shared" si="24"/>
        <v>0.39790209790209791</v>
      </c>
      <c r="R974" t="str">
        <f>IFERROR(VLOOKUP(C974,Customers!$A$2:$F$301,1,FALSE),"")</f>
        <v>CUST-0060</v>
      </c>
      <c r="S974" s="27" t="b">
        <f>IFERROR(VLOOKUP(D974,Products!$A$2:$F$61,6,FALSE),"")</f>
        <v>1</v>
      </c>
      <c r="BL974">
        <v>0</v>
      </c>
      <c r="BO974">
        <v>0</v>
      </c>
      <c r="BP974">
        <v>0</v>
      </c>
    </row>
    <row r="975" spans="1:68" x14ac:dyDescent="0.35">
      <c r="A975" s="26" t="str">
        <f>Orders!A975</f>
        <v>ORD-00974</v>
      </c>
      <c r="B975" s="33">
        <f>Orders!B975</f>
        <v>45611</v>
      </c>
      <c r="C975" t="str">
        <f>Orders!C975</f>
        <v>CUST-0017</v>
      </c>
      <c r="D975" t="str">
        <f>Orders!D975</f>
        <v>PROD-037</v>
      </c>
      <c r="E975" t="str">
        <f>Orders!E975</f>
        <v>R011</v>
      </c>
      <c r="F975">
        <f>Orders!F975</f>
        <v>7</v>
      </c>
      <c r="G975" s="35">
        <f>Orders!G975</f>
        <v>660</v>
      </c>
      <c r="H975" s="37">
        <f>Orders!H975</f>
        <v>17.3</v>
      </c>
      <c r="I975" s="39">
        <f>Orders!I975</f>
        <v>3820.74</v>
      </c>
      <c r="J975" t="str">
        <f>Orders!J975</f>
        <v>Completed</v>
      </c>
      <c r="K975" t="str">
        <f>Orders!K975</f>
        <v>Delhi</v>
      </c>
      <c r="L975" t="str">
        <f>IFERROR(VLOOKUP(D975,Products!$A$2:$F$61,3,FALSE),"")</f>
        <v>Home</v>
      </c>
      <c r="M975">
        <f>IFERROR(VLOOKUP(D975,Products!$A$2:$F$61,4,FALSE),"")</f>
        <v>329</v>
      </c>
      <c r="N975" t="str">
        <f>IFERROR(VLOOKUP(E975,Sales_Reps!$A$2:$E$31,3,FALSE),"")</f>
        <v>South</v>
      </c>
      <c r="O975" t="str">
        <f>IFERROR(VLOOKUP(C975,Customers!$A$2:$F$301,5,FALSE),"")</f>
        <v>SMB</v>
      </c>
      <c r="P975">
        <f>IFERROR(VLOOKUP(C975,Customers!$A$2:$F$301,3,FALSE),"")</f>
        <v>38</v>
      </c>
      <c r="Q975" s="41">
        <f t="shared" si="24"/>
        <v>0.50151515151515147</v>
      </c>
      <c r="R975" t="str">
        <f>IFERROR(VLOOKUP(C975,Customers!$A$2:$F$301,1,FALSE),"")</f>
        <v>CUST-0017</v>
      </c>
      <c r="S975" s="27" t="b">
        <f>IFERROR(VLOOKUP(D975,Products!$A$2:$F$61,6,FALSE),"")</f>
        <v>1</v>
      </c>
      <c r="BL975">
        <v>0</v>
      </c>
      <c r="BO975">
        <v>0</v>
      </c>
      <c r="BP975">
        <v>0</v>
      </c>
    </row>
    <row r="976" spans="1:68" x14ac:dyDescent="0.35">
      <c r="A976" s="26" t="str">
        <f>Orders!A976</f>
        <v>ORD-00975</v>
      </c>
      <c r="B976" s="33">
        <f>Orders!B976</f>
        <v>45505</v>
      </c>
      <c r="C976" t="str">
        <f>Orders!C976</f>
        <v>CUST-0093</v>
      </c>
      <c r="D976" t="str">
        <f>Orders!D976</f>
        <v>PROD-041</v>
      </c>
      <c r="E976" t="str">
        <f>Orders!E976</f>
        <v>R004</v>
      </c>
      <c r="F976">
        <f>Orders!F976</f>
        <v>10</v>
      </c>
      <c r="G976" s="35">
        <f>Orders!G976</f>
        <v>1540</v>
      </c>
      <c r="H976" s="37">
        <f>Orders!H976</f>
        <v>17.5</v>
      </c>
      <c r="I976" s="39">
        <f>Orders!I976</f>
        <v>12705</v>
      </c>
      <c r="J976" t="str">
        <f>Orders!J976</f>
        <v>Completed</v>
      </c>
      <c r="K976" t="str">
        <f>Orders!K976</f>
        <v>Pune</v>
      </c>
      <c r="L976" t="str">
        <f>IFERROR(VLOOKUP(D976,Products!$A$2:$F$61,3,FALSE),"")</f>
        <v>Beauty</v>
      </c>
      <c r="M976">
        <f>IFERROR(VLOOKUP(D976,Products!$A$2:$F$61,4,FALSE),"")</f>
        <v>647</v>
      </c>
      <c r="N976" t="str">
        <f>IFERROR(VLOOKUP(E976,Sales_Reps!$A$2:$E$31,3,FALSE),"")</f>
        <v>North</v>
      </c>
      <c r="O976" t="str">
        <f>IFERROR(VLOOKUP(C976,Customers!$A$2:$F$301,5,FALSE),"")</f>
        <v>Retail</v>
      </c>
      <c r="P976">
        <f>IFERROR(VLOOKUP(C976,Customers!$A$2:$F$301,3,FALSE),"")</f>
        <v>36</v>
      </c>
      <c r="Q976" s="41">
        <f t="shared" si="24"/>
        <v>0.57987012987012987</v>
      </c>
      <c r="R976" t="str">
        <f>IFERROR(VLOOKUP(C976,Customers!$A$2:$F$301,1,FALSE),"")</f>
        <v>CUST-0093</v>
      </c>
      <c r="S976" s="27" t="b">
        <f>IFERROR(VLOOKUP(D976,Products!$A$2:$F$61,6,FALSE),"")</f>
        <v>0</v>
      </c>
      <c r="BL976">
        <v>0</v>
      </c>
      <c r="BO976">
        <v>0</v>
      </c>
      <c r="BP976">
        <v>1</v>
      </c>
    </row>
    <row r="977" spans="1:68" x14ac:dyDescent="0.35">
      <c r="A977" s="26" t="str">
        <f>Orders!A977</f>
        <v>ORD-01662</v>
      </c>
      <c r="B977" s="33">
        <f>Orders!B977</f>
        <v>45358</v>
      </c>
      <c r="C977" t="str">
        <f>Orders!C977</f>
        <v>CUST-0068</v>
      </c>
      <c r="D977" t="str">
        <f>Orders!D977</f>
        <v>PROD-029</v>
      </c>
      <c r="E977" t="str">
        <f>Orders!E977</f>
        <v>R003</v>
      </c>
      <c r="F977">
        <f>Orders!F977</f>
        <v>10</v>
      </c>
      <c r="G977" s="35">
        <f>Orders!G977</f>
        <v>2210</v>
      </c>
      <c r="H977" s="37">
        <f>Orders!H977</f>
        <v>24.1</v>
      </c>
      <c r="I977" s="39">
        <f>Orders!I977</f>
        <v>16773.900000000001</v>
      </c>
      <c r="J977" t="str">
        <f>Orders!J977</f>
        <v>Pending</v>
      </c>
      <c r="K977" t="str">
        <f>Orders!K977</f>
        <v>Delhi</v>
      </c>
      <c r="L977" t="str">
        <f>IFERROR(VLOOKUP(D977,Products!$A$2:$F$61,3,FALSE),"")</f>
        <v>Grocery</v>
      </c>
      <c r="M977">
        <f>IFERROR(VLOOKUP(D977,Products!$A$2:$F$61,4,FALSE),"")</f>
        <v>1010</v>
      </c>
      <c r="N977" t="str">
        <f>IFERROR(VLOOKUP(E977,Sales_Reps!$A$2:$E$31,3,FALSE),"")</f>
        <v>North</v>
      </c>
      <c r="O977" t="str">
        <f>IFERROR(VLOOKUP(C977,Customers!$A$2:$F$301,5,FALSE),"")</f>
        <v>SMB</v>
      </c>
      <c r="P977">
        <f>IFERROR(VLOOKUP(C977,Customers!$A$2:$F$301,3,FALSE),"")</f>
        <v>48</v>
      </c>
      <c r="Q977" s="41">
        <f t="shared" si="24"/>
        <v>0.54298642533936647</v>
      </c>
      <c r="R977" t="str">
        <f>IFERROR(VLOOKUP(C977,Customers!$A$2:$F$301,1,FALSE),"")</f>
        <v>CUST-0068</v>
      </c>
      <c r="S977" s="27" t="b">
        <f>IFERROR(VLOOKUP(D977,Products!$A$2:$F$61,6,FALSE),"")</f>
        <v>1</v>
      </c>
      <c r="BL977">
        <v>0.5</v>
      </c>
      <c r="BO977">
        <v>0</v>
      </c>
      <c r="BP977">
        <v>0</v>
      </c>
    </row>
    <row r="978" spans="1:68" x14ac:dyDescent="0.35">
      <c r="A978" s="26" t="str">
        <f>Orders!A978</f>
        <v>ORD-00977</v>
      </c>
      <c r="B978" s="33">
        <f>Orders!B978</f>
        <v>45519</v>
      </c>
      <c r="C978" t="str">
        <f>Orders!C978</f>
        <v>CUST-0251</v>
      </c>
      <c r="D978" t="str">
        <f>Orders!D978</f>
        <v>PROD-057</v>
      </c>
      <c r="E978" t="str">
        <f>Orders!E978</f>
        <v>R022</v>
      </c>
      <c r="F978">
        <f>Orders!F978</f>
        <v>4</v>
      </c>
      <c r="G978" s="35">
        <f>Orders!G978</f>
        <v>960</v>
      </c>
      <c r="H978" s="37">
        <f>Orders!H978</f>
        <v>13.4</v>
      </c>
      <c r="I978" s="39">
        <f>Orders!I978</f>
        <v>3325.44</v>
      </c>
      <c r="J978" t="str">
        <f>Orders!J978</f>
        <v>Completed</v>
      </c>
      <c r="K978" t="str">
        <f>Orders!K978</f>
        <v>Mumbai</v>
      </c>
      <c r="L978" t="str">
        <f>IFERROR(VLOOKUP(D978,Products!$A$2:$F$61,3,FALSE),"")</f>
        <v>Sports</v>
      </c>
      <c r="M978">
        <f>IFERROR(VLOOKUP(D978,Products!$A$2:$F$61,4,FALSE),"")</f>
        <v>705</v>
      </c>
      <c r="N978" t="str">
        <f>IFERROR(VLOOKUP(E978,Sales_Reps!$A$2:$E$31,3,FALSE),"")</f>
        <v>East</v>
      </c>
      <c r="O978" t="str">
        <f>IFERROR(VLOOKUP(C978,Customers!$A$2:$F$301,5,FALSE),"")</f>
        <v>Retail</v>
      </c>
      <c r="P978">
        <f>IFERROR(VLOOKUP(C978,Customers!$A$2:$F$301,3,FALSE),"")</f>
        <v>44</v>
      </c>
      <c r="Q978" s="41">
        <f t="shared" si="24"/>
        <v>0.265625</v>
      </c>
      <c r="R978" t="str">
        <f>IFERROR(VLOOKUP(C978,Customers!$A$2:$F$301,1,FALSE),"")</f>
        <v>CUST-0251</v>
      </c>
      <c r="S978" s="27" t="b">
        <f>IFERROR(VLOOKUP(D978,Products!$A$2:$F$61,6,FALSE),"")</f>
        <v>1</v>
      </c>
      <c r="BL978">
        <v>0</v>
      </c>
      <c r="BO978">
        <v>0</v>
      </c>
      <c r="BP978">
        <v>0</v>
      </c>
    </row>
    <row r="979" spans="1:68" x14ac:dyDescent="0.35">
      <c r="A979" s="26" t="str">
        <f>Orders!A979</f>
        <v>ORD-00978</v>
      </c>
      <c r="B979" s="33">
        <f>Orders!B979</f>
        <v>45628</v>
      </c>
      <c r="C979" t="str">
        <f>Orders!C979</f>
        <v>CUST-0076</v>
      </c>
      <c r="D979" t="str">
        <f>Orders!D979</f>
        <v>PROD-047</v>
      </c>
      <c r="E979" t="str">
        <f>Orders!E979</f>
        <v>R022</v>
      </c>
      <c r="F979">
        <f>Orders!F979</f>
        <v>8</v>
      </c>
      <c r="G979" s="35">
        <f>Orders!G979</f>
        <v>3450</v>
      </c>
      <c r="H979" s="37">
        <f>Orders!H979</f>
        <v>3.7</v>
      </c>
      <c r="I979" s="39">
        <f>Orders!I979</f>
        <v>26578.799999999999</v>
      </c>
      <c r="J979" t="str">
        <f>Orders!J979</f>
        <v>Completed</v>
      </c>
      <c r="K979" t="str">
        <f>Orders!K979</f>
        <v>Mumbai</v>
      </c>
      <c r="L979" t="str">
        <f>IFERROR(VLOOKUP(D979,Products!$A$2:$F$61,3,FALSE),"")</f>
        <v>Beauty</v>
      </c>
      <c r="M979">
        <f>IFERROR(VLOOKUP(D979,Products!$A$2:$F$61,4,FALSE),"")</f>
        <v>2420</v>
      </c>
      <c r="N979" t="str">
        <f>IFERROR(VLOOKUP(E979,Sales_Reps!$A$2:$E$31,3,FALSE),"")</f>
        <v>East</v>
      </c>
      <c r="O979" t="str">
        <f>IFERROR(VLOOKUP(C979,Customers!$A$2:$F$301,5,FALSE),"")</f>
        <v>Retail</v>
      </c>
      <c r="P979">
        <f>IFERROR(VLOOKUP(C979,Customers!$A$2:$F$301,3,FALSE),"")</f>
        <v>38</v>
      </c>
      <c r="Q979" s="41">
        <f t="shared" si="24"/>
        <v>0.29855072463768118</v>
      </c>
      <c r="R979" t="str">
        <f>IFERROR(VLOOKUP(C979,Customers!$A$2:$F$301,1,FALSE),"")</f>
        <v>CUST-0076</v>
      </c>
      <c r="S979" s="27" t="b">
        <f>IFERROR(VLOOKUP(D979,Products!$A$2:$F$61,6,FALSE),"")</f>
        <v>1</v>
      </c>
      <c r="BL979">
        <v>0</v>
      </c>
      <c r="BO979">
        <v>0</v>
      </c>
      <c r="BP979">
        <v>0</v>
      </c>
    </row>
    <row r="980" spans="1:68" x14ac:dyDescent="0.35">
      <c r="A980" s="26" t="str">
        <f>Orders!A980</f>
        <v>ORD-00979</v>
      </c>
      <c r="B980" s="33">
        <f>Orders!B980</f>
        <v>45481</v>
      </c>
      <c r="C980" t="str">
        <f>Orders!C980</f>
        <v>CUST-9927</v>
      </c>
      <c r="D980" t="str">
        <f>Orders!D980</f>
        <v>PROD-033</v>
      </c>
      <c r="E980" t="str">
        <f>Orders!E980</f>
        <v>R005</v>
      </c>
      <c r="F980">
        <f>Orders!F980</f>
        <v>6</v>
      </c>
      <c r="G980" s="35">
        <f>Orders!G980</f>
        <v>2030</v>
      </c>
      <c r="H980" s="37">
        <f>Orders!H980</f>
        <v>9.5</v>
      </c>
      <c r="I980" s="39">
        <f>Orders!I980</f>
        <v>11022.9</v>
      </c>
      <c r="J980" t="str">
        <f>Orders!J980</f>
        <v>Completed</v>
      </c>
      <c r="K980" t="str">
        <f>Orders!K980</f>
        <v>Mumbai</v>
      </c>
      <c r="L980" t="str">
        <f>IFERROR(VLOOKUP(D980,Products!$A$2:$F$61,3,FALSE),"")</f>
        <v>Home</v>
      </c>
      <c r="M980">
        <f>IFERROR(VLOOKUP(D980,Products!$A$2:$F$61,4,FALSE),"")</f>
        <v>1143</v>
      </c>
      <c r="N980" t="str">
        <f>IFERROR(VLOOKUP(E980,Sales_Reps!$A$2:$E$31,3,FALSE),"")</f>
        <v>North</v>
      </c>
      <c r="O980" t="str">
        <f>IFERROR(VLOOKUP(C980,Customers!$A$2:$F$301,5,FALSE),"")</f>
        <v/>
      </c>
      <c r="P980" t="str">
        <f>IFERROR(VLOOKUP(C980,Customers!$A$2:$F$301,3,FALSE),"")</f>
        <v/>
      </c>
      <c r="Q980" s="41">
        <f t="shared" si="24"/>
        <v>0.43694581280788175</v>
      </c>
      <c r="R980" t="str">
        <f>IFERROR(VLOOKUP(C980,Customers!$A$2:$F$301,1,FALSE),"")</f>
        <v/>
      </c>
      <c r="S980" s="27" t="b">
        <f>IFERROR(VLOOKUP(D980,Products!$A$2:$F$61,6,FALSE),"")</f>
        <v>1</v>
      </c>
      <c r="BL980">
        <v>0</v>
      </c>
      <c r="BO980">
        <v>1</v>
      </c>
      <c r="BP980">
        <v>0</v>
      </c>
    </row>
    <row r="981" spans="1:68" x14ac:dyDescent="0.35">
      <c r="A981" s="26" t="str">
        <f>Orders!A981</f>
        <v>ORD-00980</v>
      </c>
      <c r="B981" s="33">
        <f>Orders!B981</f>
        <v>45399</v>
      </c>
      <c r="C981" t="str">
        <f>Orders!C981</f>
        <v>CUST-0135</v>
      </c>
      <c r="D981" t="str">
        <f>Orders!D981</f>
        <v>PROD-011</v>
      </c>
      <c r="E981" t="str">
        <f>Orders!E981</f>
        <v>R009</v>
      </c>
      <c r="F981">
        <f>Orders!F981</f>
        <v>7</v>
      </c>
      <c r="G981" s="35">
        <f>Orders!G981</f>
        <v>3450</v>
      </c>
      <c r="H981" s="37">
        <f>Orders!H981</f>
        <v>28.2</v>
      </c>
      <c r="I981" s="39">
        <f>Orders!I981</f>
        <v>17339.7</v>
      </c>
      <c r="J981" t="str">
        <f>Orders!J981</f>
        <v>Completed</v>
      </c>
      <c r="K981" t="str">
        <f>Orders!K981</f>
        <v>Pune</v>
      </c>
      <c r="L981" t="str">
        <f>IFERROR(VLOOKUP(D981,Products!$A$2:$F$61,3,FALSE),"")</f>
        <v>Apparel</v>
      </c>
      <c r="M981">
        <f>IFERROR(VLOOKUP(D981,Products!$A$2:$F$61,4,FALSE),"")</f>
        <v>1748</v>
      </c>
      <c r="N981" t="str">
        <f>IFERROR(VLOOKUP(E981,Sales_Reps!$A$2:$E$31,3,FALSE),"")</f>
        <v>South</v>
      </c>
      <c r="O981" t="str">
        <f>IFERROR(VLOOKUP(C981,Customers!$A$2:$F$301,5,FALSE),"")</f>
        <v>SMB</v>
      </c>
      <c r="P981">
        <f>IFERROR(VLOOKUP(C981,Customers!$A$2:$F$301,3,FALSE),"")</f>
        <v>24</v>
      </c>
      <c r="Q981" s="41">
        <f t="shared" si="24"/>
        <v>0.49333333333333335</v>
      </c>
      <c r="R981" t="str">
        <f>IFERROR(VLOOKUP(C981,Customers!$A$2:$F$301,1,FALSE),"")</f>
        <v>CUST-0135</v>
      </c>
      <c r="S981" s="27" t="b">
        <f>IFERROR(VLOOKUP(D981,Products!$A$2:$F$61,6,FALSE),"")</f>
        <v>1</v>
      </c>
      <c r="BL981">
        <v>0</v>
      </c>
      <c r="BO981">
        <v>0</v>
      </c>
      <c r="BP981">
        <v>0</v>
      </c>
    </row>
    <row r="982" spans="1:68" x14ac:dyDescent="0.35">
      <c r="A982" s="26" t="str">
        <f>Orders!A982</f>
        <v>ORD-00981</v>
      </c>
      <c r="B982" s="33">
        <f>Orders!B982</f>
        <v>45531</v>
      </c>
      <c r="C982" t="str">
        <f>Orders!C982</f>
        <v>CUST-0163</v>
      </c>
      <c r="D982" t="str">
        <f>Orders!D982</f>
        <v>PROD-027</v>
      </c>
      <c r="E982" t="str">
        <f>Orders!E982</f>
        <v>R011</v>
      </c>
      <c r="F982">
        <f>Orders!F982</f>
        <v>7</v>
      </c>
      <c r="G982" s="35">
        <f>Orders!G982</f>
        <v>3780</v>
      </c>
      <c r="H982" s="37">
        <f>Orders!H982</f>
        <v>15.1</v>
      </c>
      <c r="I982" s="39">
        <f>Orders!I982</f>
        <v>22464.54</v>
      </c>
      <c r="J982" t="str">
        <f>Orders!J982</f>
        <v>Completed</v>
      </c>
      <c r="K982" t="str">
        <f>Orders!K982</f>
        <v>Pune</v>
      </c>
      <c r="L982" t="str">
        <f>IFERROR(VLOOKUP(D982,Products!$A$2:$F$61,3,FALSE),"")</f>
        <v>Grocery</v>
      </c>
      <c r="M982">
        <f>IFERROR(VLOOKUP(D982,Products!$A$2:$F$61,4,FALSE),"")</f>
        <v>2436</v>
      </c>
      <c r="N982" t="str">
        <f>IFERROR(VLOOKUP(E982,Sales_Reps!$A$2:$E$31,3,FALSE),"")</f>
        <v>South</v>
      </c>
      <c r="O982" t="str">
        <f>IFERROR(VLOOKUP(C982,Customers!$A$2:$F$301,5,FALSE),"")</f>
        <v>Retail</v>
      </c>
      <c r="P982">
        <f>IFERROR(VLOOKUP(C982,Customers!$A$2:$F$301,3,FALSE),"")</f>
        <v>49</v>
      </c>
      <c r="Q982" s="41">
        <f t="shared" si="24"/>
        <v>0.35555555555555557</v>
      </c>
      <c r="R982" t="str">
        <f>IFERROR(VLOOKUP(C982,Customers!$A$2:$F$301,1,FALSE),"")</f>
        <v>CUST-0163</v>
      </c>
      <c r="S982" s="27" t="b">
        <f>IFERROR(VLOOKUP(D982,Products!$A$2:$F$61,6,FALSE),"")</f>
        <v>1</v>
      </c>
      <c r="BL982">
        <v>0</v>
      </c>
      <c r="BO982">
        <v>0</v>
      </c>
      <c r="BP982">
        <v>0</v>
      </c>
    </row>
    <row r="983" spans="1:68" x14ac:dyDescent="0.35">
      <c r="A983" s="26" t="str">
        <f>Orders!A983</f>
        <v>ORD-00947</v>
      </c>
      <c r="B983" s="33">
        <f>Orders!B983</f>
        <v>45417</v>
      </c>
      <c r="C983" t="str">
        <f>Orders!C983</f>
        <v>CUST-0107</v>
      </c>
      <c r="D983" t="str">
        <f>Orders!D983</f>
        <v>PROD-021</v>
      </c>
      <c r="E983" t="str">
        <f>Orders!E983</f>
        <v>R002</v>
      </c>
      <c r="F983">
        <f>Orders!F983</f>
        <v>4</v>
      </c>
      <c r="G983" s="35">
        <f>Orders!G983</f>
        <v>2760</v>
      </c>
      <c r="H983" s="37">
        <f>Orders!H983</f>
        <v>14.8</v>
      </c>
      <c r="I983" s="39">
        <f>Orders!I983</f>
        <v>9406.08</v>
      </c>
      <c r="J983" t="str">
        <f>Orders!J983</f>
        <v>Completed</v>
      </c>
      <c r="K983" t="str">
        <f>Orders!K983</f>
        <v>Pune</v>
      </c>
      <c r="L983" t="str">
        <f>IFERROR(VLOOKUP(D983,Products!$A$2:$F$61,3,FALSE),"")</f>
        <v>Grocery</v>
      </c>
      <c r="M983">
        <f>IFERROR(VLOOKUP(D983,Products!$A$2:$F$61,4,FALSE),"")</f>
        <v>1435</v>
      </c>
      <c r="N983" t="str">
        <f>IFERROR(VLOOKUP(E983,Sales_Reps!$A$2:$E$31,3,FALSE),"")</f>
        <v>North</v>
      </c>
      <c r="O983" t="str">
        <f>IFERROR(VLOOKUP(C983,Customers!$A$2:$F$301,5,FALSE),"")</f>
        <v>Retail</v>
      </c>
      <c r="P983">
        <f>IFERROR(VLOOKUP(C983,Customers!$A$2:$F$301,3,FALSE),"")</f>
        <v>50</v>
      </c>
      <c r="Q983" s="41">
        <f t="shared" si="24"/>
        <v>0.48007246376811596</v>
      </c>
      <c r="R983" t="str">
        <f>IFERROR(VLOOKUP(C983,Customers!$A$2:$F$301,1,FALSE),"")</f>
        <v>CUST-0107</v>
      </c>
      <c r="S983" s="27" t="b">
        <f>IFERROR(VLOOKUP(D983,Products!$A$2:$F$61,6,FALSE),"")</f>
        <v>1</v>
      </c>
      <c r="BL983">
        <v>0.5</v>
      </c>
      <c r="BO983">
        <v>0</v>
      </c>
      <c r="BP983">
        <v>0</v>
      </c>
    </row>
    <row r="984" spans="1:68" x14ac:dyDescent="0.35">
      <c r="A984" s="26" t="str">
        <f>Orders!A984</f>
        <v>ORD-00983</v>
      </c>
      <c r="B984" s="33">
        <f>Orders!B984</f>
        <v>45327</v>
      </c>
      <c r="C984" t="str">
        <f>Orders!C984</f>
        <v>CUST-0209</v>
      </c>
      <c r="D984" t="str">
        <f>Orders!D984</f>
        <v>PROD-041</v>
      </c>
      <c r="E984" t="str">
        <f>Orders!E984</f>
        <v>R029</v>
      </c>
      <c r="F984">
        <f>Orders!F984</f>
        <v>4</v>
      </c>
      <c r="G984" s="35">
        <f>Orders!G984</f>
        <v>1540</v>
      </c>
      <c r="H984" s="37">
        <f>Orders!H984</f>
        <v>13.9</v>
      </c>
      <c r="I984" s="39">
        <f>Orders!I984</f>
        <v>5303.76</v>
      </c>
      <c r="J984" t="str">
        <f>Orders!J984</f>
        <v>Completed</v>
      </c>
      <c r="K984" t="str">
        <f>Orders!K984</f>
        <v>Pune</v>
      </c>
      <c r="L984" t="str">
        <f>IFERROR(VLOOKUP(D984,Products!$A$2:$F$61,3,FALSE),"")</f>
        <v>Beauty</v>
      </c>
      <c r="M984">
        <f>IFERROR(VLOOKUP(D984,Products!$A$2:$F$61,4,FALSE),"")</f>
        <v>647</v>
      </c>
      <c r="N984" t="str">
        <f>IFERROR(VLOOKUP(E984,Sales_Reps!$A$2:$E$31,3,FALSE),"")</f>
        <v>West</v>
      </c>
      <c r="O984" t="str">
        <f>IFERROR(VLOOKUP(C984,Customers!$A$2:$F$301,5,FALSE),"")</f>
        <v>Retail</v>
      </c>
      <c r="P984">
        <f>IFERROR(VLOOKUP(C984,Customers!$A$2:$F$301,3,FALSE),"")</f>
        <v>31</v>
      </c>
      <c r="Q984" s="41">
        <f t="shared" si="24"/>
        <v>0.57987012987012987</v>
      </c>
      <c r="R984" t="str">
        <f>IFERROR(VLOOKUP(C984,Customers!$A$2:$F$301,1,FALSE),"")</f>
        <v>CUST-0209</v>
      </c>
      <c r="S984" s="27" t="b">
        <f>IFERROR(VLOOKUP(D984,Products!$A$2:$F$61,6,FALSE),"")</f>
        <v>0</v>
      </c>
      <c r="BL984">
        <v>0</v>
      </c>
      <c r="BO984">
        <v>0</v>
      </c>
      <c r="BP984">
        <v>1</v>
      </c>
    </row>
    <row r="985" spans="1:68" x14ac:dyDescent="0.35">
      <c r="A985" s="26" t="str">
        <f>Orders!A985</f>
        <v>ORD-00984</v>
      </c>
      <c r="B985" s="33">
        <f>Orders!B985</f>
        <v>45438</v>
      </c>
      <c r="C985" t="str">
        <f>Orders!C985</f>
        <v>CUST-0074</v>
      </c>
      <c r="D985" t="str">
        <f>Orders!D985</f>
        <v>PROD-031</v>
      </c>
      <c r="E985" t="str">
        <f>Orders!E985</f>
        <v>R007</v>
      </c>
      <c r="F985">
        <f>Orders!F985</f>
        <v>2</v>
      </c>
      <c r="G985" s="35">
        <f>Orders!G985</f>
        <v>3730</v>
      </c>
      <c r="H985" s="37">
        <f>Orders!H985</f>
        <v>15.7</v>
      </c>
      <c r="I985" s="39">
        <f>Orders!I985</f>
        <v>6288.78</v>
      </c>
      <c r="J985" t="str">
        <f>Orders!J985</f>
        <v>Cancelled</v>
      </c>
      <c r="K985" t="str">
        <f>Orders!K985</f>
        <v>Bengaluru</v>
      </c>
      <c r="L985" t="str">
        <f>IFERROR(VLOOKUP(D985,Products!$A$2:$F$61,3,FALSE),"")</f>
        <v>Home</v>
      </c>
      <c r="M985">
        <f>IFERROR(VLOOKUP(D985,Products!$A$2:$F$61,4,FALSE),"")</f>
        <v>2135</v>
      </c>
      <c r="N985" t="str">
        <f>IFERROR(VLOOKUP(E985,Sales_Reps!$A$2:$E$31,3,FALSE),"")</f>
        <v>North</v>
      </c>
      <c r="O985" t="str">
        <f>IFERROR(VLOOKUP(C985,Customers!$A$2:$F$301,5,FALSE),"")</f>
        <v>Retail</v>
      </c>
      <c r="P985">
        <f>IFERROR(VLOOKUP(C985,Customers!$A$2:$F$301,3,FALSE),"")</f>
        <v>27</v>
      </c>
      <c r="Q985" s="41">
        <f t="shared" si="24"/>
        <v>0.42761394101876676</v>
      </c>
      <c r="R985" t="str">
        <f>IFERROR(VLOOKUP(C985,Customers!$A$2:$F$301,1,FALSE),"")</f>
        <v>CUST-0074</v>
      </c>
      <c r="S985" s="27" t="b">
        <f>IFERROR(VLOOKUP(D985,Products!$A$2:$F$61,6,FALSE),"")</f>
        <v>1</v>
      </c>
      <c r="BL985">
        <v>0</v>
      </c>
      <c r="BO985">
        <v>0</v>
      </c>
      <c r="BP985">
        <v>0</v>
      </c>
    </row>
    <row r="986" spans="1:68" x14ac:dyDescent="0.35">
      <c r="A986" s="26" t="str">
        <f>Orders!A986</f>
        <v>ORD-00985</v>
      </c>
      <c r="B986" s="33">
        <f>Orders!B986</f>
        <v>45577</v>
      </c>
      <c r="C986" t="str">
        <f>Orders!C986</f>
        <v>CUST-0037</v>
      </c>
      <c r="D986" t="str">
        <f>Orders!D986</f>
        <v>PROD-031</v>
      </c>
      <c r="E986" t="str">
        <f>Orders!E986</f>
        <v>R027</v>
      </c>
      <c r="F986">
        <f>Orders!F986</f>
        <v>4</v>
      </c>
      <c r="G986" s="35">
        <f>Orders!G986</f>
        <v>3730</v>
      </c>
      <c r="H986" s="37">
        <f>Orders!H986</f>
        <v>2.1</v>
      </c>
      <c r="I986" s="39">
        <f>Orders!I986</f>
        <v>14606.68</v>
      </c>
      <c r="J986" t="str">
        <f>Orders!J986</f>
        <v>Completed</v>
      </c>
      <c r="K986" t="str">
        <f>Orders!K986</f>
        <v>Bengaluru</v>
      </c>
      <c r="L986" t="str">
        <f>IFERROR(VLOOKUP(D986,Products!$A$2:$F$61,3,FALSE),"")</f>
        <v>Home</v>
      </c>
      <c r="M986">
        <f>IFERROR(VLOOKUP(D986,Products!$A$2:$F$61,4,FALSE),"")</f>
        <v>2135</v>
      </c>
      <c r="N986" t="str">
        <f>IFERROR(VLOOKUP(E986,Sales_Reps!$A$2:$E$31,3,FALSE),"")</f>
        <v>West</v>
      </c>
      <c r="O986" t="str">
        <f>IFERROR(VLOOKUP(C986,Customers!$A$2:$F$301,5,FALSE),"")</f>
        <v>Retail</v>
      </c>
      <c r="P986">
        <f>IFERROR(VLOOKUP(C986,Customers!$A$2:$F$301,3,FALSE),"")</f>
        <v>52</v>
      </c>
      <c r="Q986" s="41">
        <f t="shared" si="24"/>
        <v>0.42761394101876676</v>
      </c>
      <c r="R986" t="str">
        <f>IFERROR(VLOOKUP(C986,Customers!$A$2:$F$301,1,FALSE),"")</f>
        <v>CUST-0037</v>
      </c>
      <c r="S986" s="27" t="b">
        <f>IFERROR(VLOOKUP(D986,Products!$A$2:$F$61,6,FALSE),"")</f>
        <v>1</v>
      </c>
      <c r="BL986">
        <v>0</v>
      </c>
      <c r="BO986">
        <v>0</v>
      </c>
      <c r="BP986">
        <v>0</v>
      </c>
    </row>
    <row r="987" spans="1:68" x14ac:dyDescent="0.35">
      <c r="A987" s="26" t="str">
        <f>Orders!A987</f>
        <v>ORD-00986</v>
      </c>
      <c r="B987" s="33">
        <f>Orders!B987</f>
        <v>45457</v>
      </c>
      <c r="C987" t="str">
        <f>Orders!C987</f>
        <v>CUST-0026</v>
      </c>
      <c r="D987" t="str">
        <f>Orders!D987</f>
        <v>PROD-012</v>
      </c>
      <c r="E987" t="str">
        <f>Orders!E987</f>
        <v>R013</v>
      </c>
      <c r="F987">
        <f>Orders!F987</f>
        <v>1</v>
      </c>
      <c r="G987" s="35">
        <f>Orders!G987</f>
        <v>3160</v>
      </c>
      <c r="H987" s="37">
        <f>Orders!H987</f>
        <v>29.8</v>
      </c>
      <c r="I987" s="39">
        <f>Orders!I987</f>
        <v>2218.3200000000002</v>
      </c>
      <c r="J987" t="str">
        <f>Orders!J987</f>
        <v>Completed</v>
      </c>
      <c r="K987" t="str">
        <f>Orders!K987</f>
        <v>Pune</v>
      </c>
      <c r="L987" t="str">
        <f>IFERROR(VLOOKUP(D987,Products!$A$2:$F$61,3,FALSE),"")</f>
        <v>Apparel</v>
      </c>
      <c r="M987">
        <f>IFERROR(VLOOKUP(D987,Products!$A$2:$F$61,4,FALSE),"")</f>
        <v>1886</v>
      </c>
      <c r="N987" t="str">
        <f>IFERROR(VLOOKUP(E987,Sales_Reps!$A$2:$E$31,3,FALSE),"")</f>
        <v>South</v>
      </c>
      <c r="O987" t="str">
        <f>IFERROR(VLOOKUP(C987,Customers!$A$2:$F$301,5,FALSE),"")</f>
        <v>Retail</v>
      </c>
      <c r="P987">
        <f>IFERROR(VLOOKUP(C987,Customers!$A$2:$F$301,3,FALSE),"")</f>
        <v>62</v>
      </c>
      <c r="Q987" s="41">
        <f t="shared" si="24"/>
        <v>0.4031645569620253</v>
      </c>
      <c r="R987" t="str">
        <f>IFERROR(VLOOKUP(C987,Customers!$A$2:$F$301,1,FALSE),"")</f>
        <v>CUST-0026</v>
      </c>
      <c r="S987" s="27" t="b">
        <f>IFERROR(VLOOKUP(D987,Products!$A$2:$F$61,6,FALSE),"")</f>
        <v>1</v>
      </c>
      <c r="BL987">
        <v>0</v>
      </c>
      <c r="BO987">
        <v>0</v>
      </c>
      <c r="BP987">
        <v>0</v>
      </c>
    </row>
    <row r="988" spans="1:68" x14ac:dyDescent="0.35">
      <c r="A988" s="26" t="str">
        <f>Orders!A988</f>
        <v>ORD-00987</v>
      </c>
      <c r="B988" s="33">
        <f>Orders!B988</f>
        <v>45544</v>
      </c>
      <c r="C988" t="str">
        <f>Orders!C988</f>
        <v>CUST-0151</v>
      </c>
      <c r="D988" t="str">
        <f>Orders!D988</f>
        <v>PROD-042</v>
      </c>
      <c r="E988" t="str">
        <f>Orders!E988</f>
        <v>R022</v>
      </c>
      <c r="F988">
        <f>Orders!F988</f>
        <v>9</v>
      </c>
      <c r="G988" s="35">
        <f>Orders!G988</f>
        <v>2290</v>
      </c>
      <c r="H988" s="37">
        <f>Orders!H988</f>
        <v>8.3000000000000007</v>
      </c>
      <c r="I988" s="39">
        <f>Orders!I988</f>
        <v>18899.37</v>
      </c>
      <c r="J988" t="str">
        <f>Orders!J988</f>
        <v>Pending</v>
      </c>
      <c r="K988" t="str">
        <f>Orders!K988</f>
        <v>Mumbai</v>
      </c>
      <c r="L988" t="str">
        <f>IFERROR(VLOOKUP(D988,Products!$A$2:$F$61,3,FALSE),"")</f>
        <v>Beauty</v>
      </c>
      <c r="M988">
        <f>IFERROR(VLOOKUP(D988,Products!$A$2:$F$61,4,FALSE),"")</f>
        <v>1219</v>
      </c>
      <c r="N988" t="str">
        <f>IFERROR(VLOOKUP(E988,Sales_Reps!$A$2:$E$31,3,FALSE),"")</f>
        <v>East</v>
      </c>
      <c r="O988" t="str">
        <f>IFERROR(VLOOKUP(C988,Customers!$A$2:$F$301,5,FALSE),"")</f>
        <v>Retail</v>
      </c>
      <c r="P988">
        <f>IFERROR(VLOOKUP(C988,Customers!$A$2:$F$301,3,FALSE),"")</f>
        <v>53</v>
      </c>
      <c r="Q988" s="41">
        <f t="shared" si="24"/>
        <v>0.46768558951965067</v>
      </c>
      <c r="R988" t="str">
        <f>IFERROR(VLOOKUP(C988,Customers!$A$2:$F$301,1,FALSE),"")</f>
        <v>CUST-0151</v>
      </c>
      <c r="S988" s="27" t="b">
        <f>IFERROR(VLOOKUP(D988,Products!$A$2:$F$61,6,FALSE),"")</f>
        <v>1</v>
      </c>
      <c r="BL988">
        <v>0</v>
      </c>
      <c r="BO988">
        <v>0</v>
      </c>
      <c r="BP988">
        <v>0</v>
      </c>
    </row>
    <row r="989" spans="1:68" x14ac:dyDescent="0.35">
      <c r="A989" s="26" t="str">
        <f>Orders!A989</f>
        <v>ORD-00988</v>
      </c>
      <c r="B989" s="33">
        <f>Orders!B989</f>
        <v>45632</v>
      </c>
      <c r="C989" t="str">
        <f>Orders!C989</f>
        <v>CUST-0210</v>
      </c>
      <c r="D989" t="str">
        <f>Orders!D989</f>
        <v>PROD-004</v>
      </c>
      <c r="E989" t="str">
        <f>Orders!E989</f>
        <v>R013</v>
      </c>
      <c r="F989">
        <f>Orders!F989</f>
        <v>2</v>
      </c>
      <c r="G989" s="35">
        <f>Orders!G989</f>
        <v>3870</v>
      </c>
      <c r="H989" s="37">
        <f>Orders!H989</f>
        <v>5.2</v>
      </c>
      <c r="I989" s="39">
        <f>Orders!I989</f>
        <v>7337.52</v>
      </c>
      <c r="J989" t="str">
        <f>Orders!J989</f>
        <v>Completed</v>
      </c>
      <c r="K989" t="str">
        <f>Orders!K989</f>
        <v>Pune</v>
      </c>
      <c r="L989" t="str">
        <f>IFERROR(VLOOKUP(D989,Products!$A$2:$F$61,3,FALSE),"")</f>
        <v>Electronics</v>
      </c>
      <c r="M989">
        <f>IFERROR(VLOOKUP(D989,Products!$A$2:$F$61,4,FALSE),"")</f>
        <v>1559</v>
      </c>
      <c r="N989" t="str">
        <f>IFERROR(VLOOKUP(E989,Sales_Reps!$A$2:$E$31,3,FALSE),"")</f>
        <v>South</v>
      </c>
      <c r="O989" t="str">
        <f>IFERROR(VLOOKUP(C989,Customers!$A$2:$F$301,5,FALSE),"")</f>
        <v>Corporate</v>
      </c>
      <c r="P989">
        <f>IFERROR(VLOOKUP(C989,Customers!$A$2:$F$301,3,FALSE),"")</f>
        <v>48</v>
      </c>
      <c r="Q989" s="41">
        <f t="shared" si="24"/>
        <v>0.59715762273901807</v>
      </c>
      <c r="R989" t="str">
        <f>IFERROR(VLOOKUP(C989,Customers!$A$2:$F$301,1,FALSE),"")</f>
        <v>CUST-0210</v>
      </c>
      <c r="S989" s="27" t="b">
        <f>IFERROR(VLOOKUP(D989,Products!$A$2:$F$61,6,FALSE),"")</f>
        <v>1</v>
      </c>
      <c r="BL989">
        <v>0</v>
      </c>
      <c r="BO989">
        <v>0</v>
      </c>
      <c r="BP989">
        <v>0</v>
      </c>
    </row>
    <row r="990" spans="1:68" x14ac:dyDescent="0.35">
      <c r="A990" s="26" t="str">
        <f>Orders!A990</f>
        <v>ORD-00989</v>
      </c>
      <c r="B990" s="33">
        <f>Orders!B990</f>
        <v>45465</v>
      </c>
      <c r="C990" t="str">
        <f>Orders!C990</f>
        <v>CUST-0192</v>
      </c>
      <c r="D990" t="str">
        <f>Orders!D990</f>
        <v>PROD-003</v>
      </c>
      <c r="E990" t="str">
        <f>Orders!E990</f>
        <v>R007</v>
      </c>
      <c r="F990">
        <f>Orders!F990</f>
        <v>5</v>
      </c>
      <c r="G990" s="35">
        <f>Orders!G990</f>
        <v>3570</v>
      </c>
      <c r="H990" s="37">
        <f>Orders!H990</f>
        <v>19.899999999999999</v>
      </c>
      <c r="I990" s="39">
        <f>Orders!I990</f>
        <v>14297.85</v>
      </c>
      <c r="J990" t="str">
        <f>Orders!J990</f>
        <v>Completed</v>
      </c>
      <c r="K990" t="str">
        <f>Orders!K990</f>
        <v>Bengaluru</v>
      </c>
      <c r="L990" t="str">
        <f>IFERROR(VLOOKUP(D990,Products!$A$2:$F$61,3,FALSE),"")</f>
        <v>Electronics</v>
      </c>
      <c r="M990">
        <f>IFERROR(VLOOKUP(D990,Products!$A$2:$F$61,4,FALSE),"")</f>
        <v>1665</v>
      </c>
      <c r="N990" t="str">
        <f>IFERROR(VLOOKUP(E990,Sales_Reps!$A$2:$E$31,3,FALSE),"")</f>
        <v>North</v>
      </c>
      <c r="O990" t="str">
        <f>IFERROR(VLOOKUP(C990,Customers!$A$2:$F$301,5,FALSE),"")</f>
        <v>Retail</v>
      </c>
      <c r="P990">
        <f>IFERROR(VLOOKUP(C990,Customers!$A$2:$F$301,3,FALSE),"")</f>
        <v>55</v>
      </c>
      <c r="Q990" s="41">
        <f t="shared" si="24"/>
        <v>0.53361344537815125</v>
      </c>
      <c r="R990" t="str">
        <f>IFERROR(VLOOKUP(C990,Customers!$A$2:$F$301,1,FALSE),"")</f>
        <v>CUST-0192</v>
      </c>
      <c r="S990" s="27" t="b">
        <f>IFERROR(VLOOKUP(D990,Products!$A$2:$F$61,6,FALSE),"")</f>
        <v>1</v>
      </c>
      <c r="BL990">
        <v>0</v>
      </c>
      <c r="BO990">
        <v>0</v>
      </c>
      <c r="BP990">
        <v>0</v>
      </c>
    </row>
    <row r="991" spans="1:68" x14ac:dyDescent="0.35">
      <c r="A991" s="26" t="str">
        <f>Orders!A991</f>
        <v>ORD-00990</v>
      </c>
      <c r="B991" s="33">
        <f>Orders!B991</f>
        <v>45342</v>
      </c>
      <c r="C991" t="str">
        <f>Orders!C991</f>
        <v>CUST-0161</v>
      </c>
      <c r="D991" t="str">
        <f>Orders!D991</f>
        <v>PROD-054</v>
      </c>
      <c r="E991" t="str">
        <f>Orders!E991</f>
        <v>R001</v>
      </c>
      <c r="F991">
        <f>Orders!F991</f>
        <v>5</v>
      </c>
      <c r="G991" s="35">
        <f>Orders!G991</f>
        <v>1010</v>
      </c>
      <c r="H991" s="37">
        <f>Orders!H991</f>
        <v>2.2000000000000002</v>
      </c>
      <c r="I991" s="39">
        <f>Orders!I991</f>
        <v>4938.8999999999996</v>
      </c>
      <c r="J991" t="str">
        <f>Orders!J991</f>
        <v>Completed</v>
      </c>
      <c r="K991" t="str">
        <f>Orders!K991</f>
        <v>Chennai</v>
      </c>
      <c r="L991" t="str">
        <f>IFERROR(VLOOKUP(D991,Products!$A$2:$F$61,3,FALSE),"")</f>
        <v>Sports</v>
      </c>
      <c r="M991">
        <f>IFERROR(VLOOKUP(D991,Products!$A$2:$F$61,4,FALSE),"")</f>
        <v>516</v>
      </c>
      <c r="N991" t="str">
        <f>IFERROR(VLOOKUP(E991,Sales_Reps!$A$2:$E$31,3,FALSE),"")</f>
        <v>North</v>
      </c>
      <c r="O991" t="str">
        <f>IFERROR(VLOOKUP(C991,Customers!$A$2:$F$301,5,FALSE),"")</f>
        <v>Retail</v>
      </c>
      <c r="P991">
        <f>IFERROR(VLOOKUP(C991,Customers!$A$2:$F$301,3,FALSE),"")</f>
        <v>38</v>
      </c>
      <c r="Q991" s="41">
        <f t="shared" si="24"/>
        <v>0.4891089108910891</v>
      </c>
      <c r="R991" t="str">
        <f>IFERROR(VLOOKUP(C991,Customers!$A$2:$F$301,1,FALSE),"")</f>
        <v>CUST-0161</v>
      </c>
      <c r="S991" s="27" t="b">
        <f>IFERROR(VLOOKUP(D991,Products!$A$2:$F$61,6,FALSE),"")</f>
        <v>1</v>
      </c>
      <c r="BL991">
        <v>0</v>
      </c>
      <c r="BO991">
        <v>0</v>
      </c>
      <c r="BP991">
        <v>0</v>
      </c>
    </row>
    <row r="992" spans="1:68" x14ac:dyDescent="0.35">
      <c r="A992" s="26" t="str">
        <f>Orders!A992</f>
        <v>ORD-00991</v>
      </c>
      <c r="B992" s="33">
        <f>Orders!B992</f>
        <v>45309</v>
      </c>
      <c r="C992" t="str">
        <f>Orders!C992</f>
        <v>CUST-0255</v>
      </c>
      <c r="D992" t="str">
        <f>Orders!D992</f>
        <v>PROD-042</v>
      </c>
      <c r="E992" t="str">
        <f>Orders!E992</f>
        <v>R004</v>
      </c>
      <c r="F992">
        <f>Orders!F992</f>
        <v>10</v>
      </c>
      <c r="G992" s="35">
        <f>Orders!G992</f>
        <v>2290</v>
      </c>
      <c r="H992" s="37">
        <f>Orders!H992</f>
        <v>16.8</v>
      </c>
      <c r="I992" s="39">
        <f>Orders!I992</f>
        <v>19052.8</v>
      </c>
      <c r="J992" t="str">
        <f>Orders!J992</f>
        <v>Cancelled</v>
      </c>
      <c r="K992" t="str">
        <f>Orders!K992</f>
        <v>Chennai</v>
      </c>
      <c r="L992" t="str">
        <f>IFERROR(VLOOKUP(D992,Products!$A$2:$F$61,3,FALSE),"")</f>
        <v>Beauty</v>
      </c>
      <c r="M992">
        <f>IFERROR(VLOOKUP(D992,Products!$A$2:$F$61,4,FALSE),"")</f>
        <v>1219</v>
      </c>
      <c r="N992" t="str">
        <f>IFERROR(VLOOKUP(E992,Sales_Reps!$A$2:$E$31,3,FALSE),"")</f>
        <v>North</v>
      </c>
      <c r="O992" t="str">
        <f>IFERROR(VLOOKUP(C992,Customers!$A$2:$F$301,5,FALSE),"")</f>
        <v>Corporate</v>
      </c>
      <c r="P992">
        <f>IFERROR(VLOOKUP(C992,Customers!$A$2:$F$301,3,FALSE),"")</f>
        <v>51</v>
      </c>
      <c r="Q992" s="41">
        <f t="shared" si="24"/>
        <v>0.46768558951965067</v>
      </c>
      <c r="R992" t="str">
        <f>IFERROR(VLOOKUP(C992,Customers!$A$2:$F$301,1,FALSE),"")</f>
        <v>CUST-0255</v>
      </c>
      <c r="S992" s="27" t="b">
        <f>IFERROR(VLOOKUP(D992,Products!$A$2:$F$61,6,FALSE),"")</f>
        <v>1</v>
      </c>
      <c r="BL992">
        <v>0</v>
      </c>
      <c r="BO992">
        <v>0</v>
      </c>
      <c r="BP992">
        <v>0</v>
      </c>
    </row>
    <row r="993" spans="1:68" x14ac:dyDescent="0.35">
      <c r="A993" s="26" t="str">
        <f>Orders!A993</f>
        <v>ORD-00992</v>
      </c>
      <c r="B993" s="33">
        <f>Orders!B993</f>
        <v>45493</v>
      </c>
      <c r="C993" t="str">
        <f>Orders!C993</f>
        <v>CUST-0027</v>
      </c>
      <c r="D993" t="str">
        <f>Orders!D993</f>
        <v>PROD-039</v>
      </c>
      <c r="E993" t="str">
        <f>Orders!E993</f>
        <v>R019</v>
      </c>
      <c r="F993">
        <f>Orders!F993</f>
        <v>3</v>
      </c>
      <c r="G993" s="35">
        <f>Orders!G993</f>
        <v>4610</v>
      </c>
      <c r="H993" s="37">
        <f>Orders!H993</f>
        <v>13.2</v>
      </c>
      <c r="I993" s="39">
        <f>Orders!I993</f>
        <v>12004.44</v>
      </c>
      <c r="J993" t="str">
        <f>Orders!J993</f>
        <v>Pending</v>
      </c>
      <c r="K993" t="str">
        <f>Orders!K993</f>
        <v>Hyderabad</v>
      </c>
      <c r="L993" t="str">
        <f>IFERROR(VLOOKUP(D993,Products!$A$2:$F$61,3,FALSE),"")</f>
        <v>Home</v>
      </c>
      <c r="M993">
        <f>IFERROR(VLOOKUP(D993,Products!$A$2:$F$61,4,FALSE),"")</f>
        <v>1850</v>
      </c>
      <c r="N993" t="str">
        <f>IFERROR(VLOOKUP(E993,Sales_Reps!$A$2:$E$31,3,FALSE),"")</f>
        <v>East</v>
      </c>
      <c r="O993" t="str">
        <f>IFERROR(VLOOKUP(C993,Customers!$A$2:$F$301,5,FALSE),"")</f>
        <v>Corporate</v>
      </c>
      <c r="P993">
        <f>IFERROR(VLOOKUP(C993,Customers!$A$2:$F$301,3,FALSE),"")</f>
        <v>52</v>
      </c>
      <c r="Q993" s="41">
        <f t="shared" si="24"/>
        <v>0.59869848156182215</v>
      </c>
      <c r="R993" t="str">
        <f>IFERROR(VLOOKUP(C993,Customers!$A$2:$F$301,1,FALSE),"")</f>
        <v>CUST-0027</v>
      </c>
      <c r="S993" s="27" t="b">
        <f>IFERROR(VLOOKUP(D993,Products!$A$2:$F$61,6,FALSE),"")</f>
        <v>1</v>
      </c>
      <c r="BL993">
        <v>0</v>
      </c>
      <c r="BO993">
        <v>0</v>
      </c>
      <c r="BP993">
        <v>0</v>
      </c>
    </row>
    <row r="994" spans="1:68" x14ac:dyDescent="0.35">
      <c r="A994" s="26" t="str">
        <f>Orders!A994</f>
        <v>ORD-00993</v>
      </c>
      <c r="B994" s="33">
        <f>Orders!B994</f>
        <v>45356</v>
      </c>
      <c r="C994" t="str">
        <f>Orders!C994</f>
        <v>CUST-0228</v>
      </c>
      <c r="D994" t="str">
        <f>Orders!D994</f>
        <v>PROD-017</v>
      </c>
      <c r="E994" t="str">
        <f>Orders!E994</f>
        <v>R003</v>
      </c>
      <c r="F994">
        <f>Orders!F994</f>
        <v>1</v>
      </c>
      <c r="G994" s="35">
        <f>Orders!G994</f>
        <v>2510</v>
      </c>
      <c r="H994" s="37">
        <f>Orders!H994</f>
        <v>16.899999999999999</v>
      </c>
      <c r="I994" s="39">
        <f>Orders!I994</f>
        <v>2085.81</v>
      </c>
      <c r="J994" t="str">
        <f>Orders!J994</f>
        <v>Completed</v>
      </c>
      <c r="K994" t="str">
        <f>Orders!K994</f>
        <v>Pune</v>
      </c>
      <c r="L994" t="str">
        <f>IFERROR(VLOOKUP(D994,Products!$A$2:$F$61,3,FALSE),"")</f>
        <v>Apparel</v>
      </c>
      <c r="M994">
        <f>IFERROR(VLOOKUP(D994,Products!$A$2:$F$61,4,FALSE),"")</f>
        <v>1075</v>
      </c>
      <c r="N994" t="str">
        <f>IFERROR(VLOOKUP(E994,Sales_Reps!$A$2:$E$31,3,FALSE),"")</f>
        <v>North</v>
      </c>
      <c r="O994" t="str">
        <f>IFERROR(VLOOKUP(C994,Customers!$A$2:$F$301,5,FALSE),"")</f>
        <v>Corporate</v>
      </c>
      <c r="P994">
        <f>IFERROR(VLOOKUP(C994,Customers!$A$2:$F$301,3,FALSE),"")</f>
        <v>37</v>
      </c>
      <c r="Q994" s="41">
        <f t="shared" si="24"/>
        <v>0.57171314741035861</v>
      </c>
      <c r="R994" t="str">
        <f>IFERROR(VLOOKUP(C994,Customers!$A$2:$F$301,1,FALSE),"")</f>
        <v>CUST-0228</v>
      </c>
      <c r="S994" s="27" t="b">
        <f>IFERROR(VLOOKUP(D994,Products!$A$2:$F$61,6,FALSE),"")</f>
        <v>0</v>
      </c>
      <c r="BL994">
        <v>0</v>
      </c>
      <c r="BO994">
        <v>0</v>
      </c>
      <c r="BP994">
        <v>1</v>
      </c>
    </row>
    <row r="995" spans="1:68" x14ac:dyDescent="0.35">
      <c r="A995" s="26" t="str">
        <f>Orders!A995</f>
        <v>ORD-00994</v>
      </c>
      <c r="B995" s="33">
        <f>Orders!B995</f>
        <v>45367</v>
      </c>
      <c r="C995" t="str">
        <f>Orders!C995</f>
        <v>CUST-0183</v>
      </c>
      <c r="D995" t="str">
        <f>Orders!D995</f>
        <v>PROD-045</v>
      </c>
      <c r="E995" t="str">
        <f>Orders!E995</f>
        <v>R009</v>
      </c>
      <c r="F995">
        <f>Orders!F995</f>
        <v>1</v>
      </c>
      <c r="G995" s="35">
        <f>Orders!G995</f>
        <v>3020</v>
      </c>
      <c r="H995" s="37">
        <f>Orders!H995</f>
        <v>26.7</v>
      </c>
      <c r="I995" s="39">
        <f>Orders!I995</f>
        <v>2213.66</v>
      </c>
      <c r="J995" t="str">
        <f>Orders!J995</f>
        <v>Completed</v>
      </c>
      <c r="K995" t="str">
        <f>Orders!K995</f>
        <v>Mumbai</v>
      </c>
      <c r="L995" t="str">
        <f>IFERROR(VLOOKUP(D995,Products!$A$2:$F$61,3,FALSE),"")</f>
        <v>Beauty</v>
      </c>
      <c r="M995">
        <f>IFERROR(VLOOKUP(D995,Products!$A$2:$F$61,4,FALSE),"")</f>
        <v>1626</v>
      </c>
      <c r="N995" t="str">
        <f>IFERROR(VLOOKUP(E995,Sales_Reps!$A$2:$E$31,3,FALSE),"")</f>
        <v>South</v>
      </c>
      <c r="O995" t="str">
        <f>IFERROR(VLOOKUP(C995,Customers!$A$2:$F$301,5,FALSE),"")</f>
        <v>SMB</v>
      </c>
      <c r="P995">
        <f>IFERROR(VLOOKUP(C995,Customers!$A$2:$F$301,3,FALSE),"")</f>
        <v>27</v>
      </c>
      <c r="Q995" s="41">
        <f t="shared" si="24"/>
        <v>0.46158940397350995</v>
      </c>
      <c r="R995" t="str">
        <f>IFERROR(VLOOKUP(C995,Customers!$A$2:$F$301,1,FALSE),"")</f>
        <v>CUST-0183</v>
      </c>
      <c r="S995" s="27" t="b">
        <f>IFERROR(VLOOKUP(D995,Products!$A$2:$F$61,6,FALSE),"")</f>
        <v>1</v>
      </c>
      <c r="BL995">
        <v>0</v>
      </c>
      <c r="BO995">
        <v>0</v>
      </c>
      <c r="BP995">
        <v>0</v>
      </c>
    </row>
    <row r="996" spans="1:68" x14ac:dyDescent="0.35">
      <c r="A996" s="26" t="str">
        <f>Orders!A996</f>
        <v>ORD-00995</v>
      </c>
      <c r="B996" s="33">
        <f>Orders!B996</f>
        <v>45313</v>
      </c>
      <c r="C996" t="str">
        <f>Orders!C996</f>
        <v>CUST-0026</v>
      </c>
      <c r="D996" t="str">
        <f>Orders!D996</f>
        <v>PROD-060</v>
      </c>
      <c r="E996" t="str">
        <f>Orders!E996</f>
        <v>R012</v>
      </c>
      <c r="F996">
        <f>Orders!F996</f>
        <v>6</v>
      </c>
      <c r="G996" s="35">
        <f>Orders!G996</f>
        <v>190</v>
      </c>
      <c r="H996" s="37">
        <f>Orders!H996</f>
        <v>7.1</v>
      </c>
      <c r="I996" s="39">
        <f>Orders!I996</f>
        <v>1059.06</v>
      </c>
      <c r="J996" t="str">
        <f>Orders!J996</f>
        <v>Completed</v>
      </c>
      <c r="K996" t="str">
        <f>Orders!K996</f>
        <v>Pune</v>
      </c>
      <c r="L996" t="str">
        <f>IFERROR(VLOOKUP(D996,Products!$A$2:$F$61,3,FALSE),"")</f>
        <v>Sports</v>
      </c>
      <c r="M996">
        <f>IFERROR(VLOOKUP(D996,Products!$A$2:$F$61,4,FALSE),"")</f>
        <v>147</v>
      </c>
      <c r="N996" t="str">
        <f>IFERROR(VLOOKUP(E996,Sales_Reps!$A$2:$E$31,3,FALSE),"")</f>
        <v>South</v>
      </c>
      <c r="O996" t="str">
        <f>IFERROR(VLOOKUP(C996,Customers!$A$2:$F$301,5,FALSE),"")</f>
        <v>Retail</v>
      </c>
      <c r="P996">
        <f>IFERROR(VLOOKUP(C996,Customers!$A$2:$F$301,3,FALSE),"")</f>
        <v>62</v>
      </c>
      <c r="Q996" s="41">
        <f t="shared" si="24"/>
        <v>0.22631578947368422</v>
      </c>
      <c r="R996" t="str">
        <f>IFERROR(VLOOKUP(C996,Customers!$A$2:$F$301,1,FALSE),"")</f>
        <v>CUST-0026</v>
      </c>
      <c r="S996" s="27" t="b">
        <f>IFERROR(VLOOKUP(D996,Products!$A$2:$F$61,6,FALSE),"")</f>
        <v>1</v>
      </c>
      <c r="BL996">
        <v>0</v>
      </c>
      <c r="BO996">
        <v>0</v>
      </c>
      <c r="BP996">
        <v>0</v>
      </c>
    </row>
    <row r="997" spans="1:68" x14ac:dyDescent="0.35">
      <c r="A997" s="26" t="str">
        <f>Orders!A997</f>
        <v>ORD-00996</v>
      </c>
      <c r="B997" s="33">
        <f>Orders!B997</f>
        <v>45529</v>
      </c>
      <c r="C997" t="str">
        <f>Orders!C997</f>
        <v>CUST-0211</v>
      </c>
      <c r="D997" t="str">
        <f>Orders!D997</f>
        <v>PROD-033</v>
      </c>
      <c r="E997" t="str">
        <f>Orders!E997</f>
        <v>R002</v>
      </c>
      <c r="F997">
        <f>Orders!F997</f>
        <v>6</v>
      </c>
      <c r="G997" s="35">
        <f>Orders!G997</f>
        <v>2030</v>
      </c>
      <c r="H997" s="37">
        <f>Orders!H997</f>
        <v>13.5</v>
      </c>
      <c r="I997" s="39">
        <f>Orders!I997</f>
        <v>10535.7</v>
      </c>
      <c r="J997" t="str">
        <f>Orders!J997</f>
        <v>Cancelled</v>
      </c>
      <c r="K997" t="str">
        <f>Orders!K997</f>
        <v>Bengaluru</v>
      </c>
      <c r="L997" t="str">
        <f>IFERROR(VLOOKUP(D997,Products!$A$2:$F$61,3,FALSE),"")</f>
        <v>Home</v>
      </c>
      <c r="M997">
        <f>IFERROR(VLOOKUP(D997,Products!$A$2:$F$61,4,FALSE),"")</f>
        <v>1143</v>
      </c>
      <c r="N997" t="str">
        <f>IFERROR(VLOOKUP(E997,Sales_Reps!$A$2:$E$31,3,FALSE),"")</f>
        <v>North</v>
      </c>
      <c r="O997" t="str">
        <f>IFERROR(VLOOKUP(C997,Customers!$A$2:$F$301,5,FALSE),"")</f>
        <v>Retail</v>
      </c>
      <c r="P997">
        <f>IFERROR(VLOOKUP(C997,Customers!$A$2:$F$301,3,FALSE),"")</f>
        <v>36</v>
      </c>
      <c r="Q997" s="41">
        <f t="shared" si="24"/>
        <v>0.43694581280788175</v>
      </c>
      <c r="R997" t="str">
        <f>IFERROR(VLOOKUP(C997,Customers!$A$2:$F$301,1,FALSE),"")</f>
        <v>CUST-0211</v>
      </c>
      <c r="S997" s="27" t="b">
        <f>IFERROR(VLOOKUP(D997,Products!$A$2:$F$61,6,FALSE),"")</f>
        <v>1</v>
      </c>
      <c r="BL997">
        <v>0</v>
      </c>
      <c r="BO997">
        <v>0</v>
      </c>
      <c r="BP997">
        <v>0</v>
      </c>
    </row>
    <row r="998" spans="1:68" x14ac:dyDescent="0.35">
      <c r="A998" s="26" t="str">
        <f>Orders!A998</f>
        <v>ORD-00997</v>
      </c>
      <c r="B998" s="33">
        <f>Orders!B998</f>
        <v>45547</v>
      </c>
      <c r="C998" t="str">
        <f>Orders!C998</f>
        <v>CUST-0190</v>
      </c>
      <c r="D998" t="str">
        <f>Orders!D998</f>
        <v>PROD-036</v>
      </c>
      <c r="E998" t="str">
        <f>Orders!E998</f>
        <v>R012</v>
      </c>
      <c r="F998">
        <f>Orders!F998</f>
        <v>10</v>
      </c>
      <c r="G998" s="35">
        <f>Orders!G998</f>
        <v>3250</v>
      </c>
      <c r="H998" s="37">
        <f>Orders!H998</f>
        <v>8.6999999999999993</v>
      </c>
      <c r="I998" s="39">
        <f>Orders!I998</f>
        <v>29672.5</v>
      </c>
      <c r="J998" t="str">
        <f>Orders!J998</f>
        <v>Completed</v>
      </c>
      <c r="K998" t="str">
        <f>Orders!K998</f>
        <v>Hyderabad</v>
      </c>
      <c r="L998" t="str">
        <f>IFERROR(VLOOKUP(D998,Products!$A$2:$F$61,3,FALSE),"")</f>
        <v>Home</v>
      </c>
      <c r="M998">
        <f>IFERROR(VLOOKUP(D998,Products!$A$2:$F$61,4,FALSE),"")</f>
        <v>1556</v>
      </c>
      <c r="N998" t="str">
        <f>IFERROR(VLOOKUP(E998,Sales_Reps!$A$2:$E$31,3,FALSE),"")</f>
        <v>South</v>
      </c>
      <c r="O998" t="str">
        <f>IFERROR(VLOOKUP(C998,Customers!$A$2:$F$301,5,FALSE),"")</f>
        <v>Retail</v>
      </c>
      <c r="P998">
        <f>IFERROR(VLOOKUP(C998,Customers!$A$2:$F$301,3,FALSE),"")</f>
        <v>52</v>
      </c>
      <c r="Q998" s="41">
        <f t="shared" si="24"/>
        <v>0.52123076923076928</v>
      </c>
      <c r="R998" t="str">
        <f>IFERROR(VLOOKUP(C998,Customers!$A$2:$F$301,1,FALSE),"")</f>
        <v>CUST-0190</v>
      </c>
      <c r="S998" s="27" t="b">
        <f>IFERROR(VLOOKUP(D998,Products!$A$2:$F$61,6,FALSE),"")</f>
        <v>1</v>
      </c>
      <c r="BL998">
        <v>0</v>
      </c>
      <c r="BO998">
        <v>0</v>
      </c>
      <c r="BP998">
        <v>0</v>
      </c>
    </row>
    <row r="999" spans="1:68" x14ac:dyDescent="0.35">
      <c r="A999" s="26" t="str">
        <f>Orders!A999</f>
        <v>ORD-00998</v>
      </c>
      <c r="B999" s="33">
        <f>Orders!B999</f>
        <v>45299</v>
      </c>
      <c r="C999" t="str">
        <f>Orders!C999</f>
        <v>CUST-0172</v>
      </c>
      <c r="D999" t="str">
        <f>Orders!D999</f>
        <v>PROD-033</v>
      </c>
      <c r="E999" t="str">
        <f>Orders!E999</f>
        <v>R029</v>
      </c>
      <c r="F999">
        <f>Orders!F999</f>
        <v>9</v>
      </c>
      <c r="G999" s="35">
        <f>Orders!G999</f>
        <v>2030</v>
      </c>
      <c r="H999" s="37">
        <f>Orders!H999</f>
        <v>29.3</v>
      </c>
      <c r="I999" s="39">
        <f>Orders!I999</f>
        <v>12916.89</v>
      </c>
      <c r="J999" t="str">
        <f>Orders!J999</f>
        <v>Completed</v>
      </c>
      <c r="K999" t="str">
        <f>Orders!K999</f>
        <v>Pune</v>
      </c>
      <c r="L999" t="str">
        <f>IFERROR(VLOOKUP(D999,Products!$A$2:$F$61,3,FALSE),"")</f>
        <v>Home</v>
      </c>
      <c r="M999">
        <f>IFERROR(VLOOKUP(D999,Products!$A$2:$F$61,4,FALSE),"")</f>
        <v>1143</v>
      </c>
      <c r="N999" t="str">
        <f>IFERROR(VLOOKUP(E999,Sales_Reps!$A$2:$E$31,3,FALSE),"")</f>
        <v>West</v>
      </c>
      <c r="O999" t="str">
        <f>IFERROR(VLOOKUP(C999,Customers!$A$2:$F$301,5,FALSE),"")</f>
        <v>Retail</v>
      </c>
      <c r="P999">
        <f>IFERROR(VLOOKUP(C999,Customers!$A$2:$F$301,3,FALSE),"")</f>
        <v>65</v>
      </c>
      <c r="Q999" s="41">
        <f t="shared" si="24"/>
        <v>0.43694581280788175</v>
      </c>
      <c r="R999" t="str">
        <f>IFERROR(VLOOKUP(C999,Customers!$A$2:$F$301,1,FALSE),"")</f>
        <v>CUST-0172</v>
      </c>
      <c r="S999" s="27" t="b">
        <f>IFERROR(VLOOKUP(D999,Products!$A$2:$F$61,6,FALSE),"")</f>
        <v>1</v>
      </c>
      <c r="BL999">
        <v>0</v>
      </c>
      <c r="BO999">
        <v>0</v>
      </c>
      <c r="BP999">
        <v>0</v>
      </c>
    </row>
    <row r="1000" spans="1:68" x14ac:dyDescent="0.35">
      <c r="A1000" s="26" t="str">
        <f>Orders!A1000</f>
        <v>ORD-00999</v>
      </c>
      <c r="B1000" s="33">
        <f>Orders!B1000</f>
        <v>45380</v>
      </c>
      <c r="C1000" t="str">
        <f>Orders!C1000</f>
        <v>CUST-0272</v>
      </c>
      <c r="D1000" t="str">
        <f>Orders!D1000</f>
        <v>PROD-023</v>
      </c>
      <c r="E1000" t="str">
        <f>Orders!E1000</f>
        <v>R025</v>
      </c>
      <c r="F1000">
        <f>Orders!F1000</f>
        <v>1</v>
      </c>
      <c r="G1000" s="35">
        <f>Orders!G1000</f>
        <v>2380</v>
      </c>
      <c r="H1000" s="37">
        <f>Orders!H1000</f>
        <v>12.9</v>
      </c>
      <c r="I1000" s="39">
        <f>Orders!I1000</f>
        <v>2072.98</v>
      </c>
      <c r="J1000" t="str">
        <f>Orders!J1000</f>
        <v>Completed</v>
      </c>
      <c r="K1000" t="str">
        <f>Orders!K1000</f>
        <v>Mumbai</v>
      </c>
      <c r="L1000" t="str">
        <f>IFERROR(VLOOKUP(D1000,Products!$A$2:$F$61,3,FALSE),"")</f>
        <v>Grocery</v>
      </c>
      <c r="M1000">
        <f>IFERROR(VLOOKUP(D1000,Products!$A$2:$F$61,4,FALSE),"")</f>
        <v>1182</v>
      </c>
      <c r="N1000" t="str">
        <f>IFERROR(VLOOKUP(E1000,Sales_Reps!$A$2:$E$31,3,FALSE),"")</f>
        <v>West</v>
      </c>
      <c r="O1000" t="str">
        <f>IFERROR(VLOOKUP(C1000,Customers!$A$2:$F$301,5,FALSE),"")</f>
        <v>SMB</v>
      </c>
      <c r="P1000">
        <f>IFERROR(VLOOKUP(C1000,Customers!$A$2:$F$301,3,FALSE),"")</f>
        <v>47</v>
      </c>
      <c r="Q1000" s="41">
        <f t="shared" si="24"/>
        <v>0.50336134453781511</v>
      </c>
      <c r="R1000" t="str">
        <f>IFERROR(VLOOKUP(C1000,Customers!$A$2:$F$301,1,FALSE),"")</f>
        <v>CUST-0272</v>
      </c>
      <c r="S1000" s="27" t="b">
        <f>IFERROR(VLOOKUP(D1000,Products!$A$2:$F$61,6,FALSE),"")</f>
        <v>1</v>
      </c>
      <c r="BL1000">
        <v>0</v>
      </c>
      <c r="BO1000">
        <v>0</v>
      </c>
      <c r="BP1000">
        <v>0</v>
      </c>
    </row>
    <row r="1001" spans="1:68" x14ac:dyDescent="0.35">
      <c r="A1001" s="26" t="str">
        <f>Orders!A1001</f>
        <v>ORD-01000</v>
      </c>
      <c r="B1001" s="33">
        <f>Orders!B1001</f>
        <v>45521</v>
      </c>
      <c r="C1001" t="str">
        <f>Orders!C1001</f>
        <v>CUST-0232</v>
      </c>
      <c r="D1001" t="str">
        <f>Orders!D1001</f>
        <v>PROD-011</v>
      </c>
      <c r="E1001" t="str">
        <f>Orders!E1001</f>
        <v>R024</v>
      </c>
      <c r="F1001">
        <f>Orders!F1001</f>
        <v>10</v>
      </c>
      <c r="G1001" s="35">
        <f>Orders!G1001</f>
        <v>3450</v>
      </c>
      <c r="H1001" s="37">
        <f>Orders!H1001</f>
        <v>18.5</v>
      </c>
      <c r="I1001" s="39">
        <f>Orders!I1001</f>
        <v>28117.5</v>
      </c>
      <c r="J1001" t="str">
        <f>Orders!J1001</f>
        <v>Completed</v>
      </c>
      <c r="K1001" t="str">
        <f>Orders!K1001</f>
        <v>Hyderabad</v>
      </c>
      <c r="L1001" t="str">
        <f>IFERROR(VLOOKUP(D1001,Products!$A$2:$F$61,3,FALSE),"")</f>
        <v>Apparel</v>
      </c>
      <c r="M1001">
        <f>IFERROR(VLOOKUP(D1001,Products!$A$2:$F$61,4,FALSE),"")</f>
        <v>1748</v>
      </c>
      <c r="N1001" t="str">
        <f>IFERROR(VLOOKUP(E1001,Sales_Reps!$A$2:$E$31,3,FALSE),"")</f>
        <v>West</v>
      </c>
      <c r="O1001" t="str">
        <f>IFERROR(VLOOKUP(C1001,Customers!$A$2:$F$301,5,FALSE),"")</f>
        <v>Retail</v>
      </c>
      <c r="P1001">
        <f>IFERROR(VLOOKUP(C1001,Customers!$A$2:$F$301,3,FALSE),"")</f>
        <v>38</v>
      </c>
      <c r="Q1001" s="41">
        <f t="shared" si="24"/>
        <v>0.49333333333333335</v>
      </c>
      <c r="R1001" t="str">
        <f>IFERROR(VLOOKUP(C1001,Customers!$A$2:$F$301,1,FALSE),"")</f>
        <v>CUST-0232</v>
      </c>
      <c r="S1001" s="27" t="b">
        <f>IFERROR(VLOOKUP(D1001,Products!$A$2:$F$61,6,FALSE),"")</f>
        <v>1</v>
      </c>
      <c r="BL1001">
        <v>0</v>
      </c>
      <c r="BO1001">
        <v>0</v>
      </c>
      <c r="BP1001">
        <v>0</v>
      </c>
    </row>
    <row r="1002" spans="1:68" x14ac:dyDescent="0.35">
      <c r="A1002" s="26" t="str">
        <f>Orders!A1002</f>
        <v>ORD-01001</v>
      </c>
      <c r="B1002" s="33">
        <f>Orders!B1002</f>
        <v>45500</v>
      </c>
      <c r="C1002" t="str">
        <f>Orders!C1002</f>
        <v>CUST-0282</v>
      </c>
      <c r="D1002" t="str">
        <f>Orders!D1002</f>
        <v>PROD-012</v>
      </c>
      <c r="E1002" t="str">
        <f>Orders!E1002</f>
        <v>R002</v>
      </c>
      <c r="F1002">
        <f>Orders!F1002</f>
        <v>10</v>
      </c>
      <c r="G1002" s="35">
        <f>Orders!G1002</f>
        <v>3160</v>
      </c>
      <c r="H1002" s="37">
        <f>Orders!H1002</f>
        <v>26.3</v>
      </c>
      <c r="I1002" s="39">
        <f>Orders!I1002</f>
        <v>23289.200000000001</v>
      </c>
      <c r="J1002" t="str">
        <f>Orders!J1002</f>
        <v>Completed</v>
      </c>
      <c r="K1002" t="str">
        <f>Orders!K1002</f>
        <v>Hyderabad</v>
      </c>
      <c r="L1002" t="str">
        <f>IFERROR(VLOOKUP(D1002,Products!$A$2:$F$61,3,FALSE),"")</f>
        <v>Apparel</v>
      </c>
      <c r="M1002">
        <f>IFERROR(VLOOKUP(D1002,Products!$A$2:$F$61,4,FALSE),"")</f>
        <v>1886</v>
      </c>
      <c r="N1002" t="str">
        <f>IFERROR(VLOOKUP(E1002,Sales_Reps!$A$2:$E$31,3,FALSE),"")</f>
        <v>North</v>
      </c>
      <c r="O1002" t="str">
        <f>IFERROR(VLOOKUP(C1002,Customers!$A$2:$F$301,5,FALSE),"")</f>
        <v>Corporate</v>
      </c>
      <c r="P1002">
        <f>IFERROR(VLOOKUP(C1002,Customers!$A$2:$F$301,3,FALSE),"")</f>
        <v>29</v>
      </c>
      <c r="Q1002" s="41">
        <f t="shared" si="24"/>
        <v>0.4031645569620253</v>
      </c>
      <c r="R1002" t="str">
        <f>IFERROR(VLOOKUP(C1002,Customers!$A$2:$F$301,1,FALSE),"")</f>
        <v>CUST-0282</v>
      </c>
      <c r="S1002" s="27" t="b">
        <f>IFERROR(VLOOKUP(D1002,Products!$A$2:$F$61,6,FALSE),"")</f>
        <v>1</v>
      </c>
      <c r="BL1002">
        <v>0</v>
      </c>
      <c r="BO1002">
        <v>0</v>
      </c>
      <c r="BP1002">
        <v>0</v>
      </c>
    </row>
    <row r="1003" spans="1:68" x14ac:dyDescent="0.35">
      <c r="A1003" s="26" t="str">
        <f>Orders!A1003</f>
        <v>ORD-01002</v>
      </c>
      <c r="B1003" s="33">
        <f>Orders!B1003</f>
        <v>45531</v>
      </c>
      <c r="C1003" t="str">
        <f>Orders!C1003</f>
        <v>CUST-0164</v>
      </c>
      <c r="D1003" t="str">
        <f>Orders!D1003</f>
        <v>PROD-038</v>
      </c>
      <c r="E1003" t="str">
        <f>Orders!E1003</f>
        <v>R026</v>
      </c>
      <c r="F1003">
        <f>Orders!F1003</f>
        <v>10</v>
      </c>
      <c r="G1003" s="35">
        <f>Orders!G1003</f>
        <v>5490</v>
      </c>
      <c r="H1003" s="37">
        <f>Orders!H1003</f>
        <v>22.7</v>
      </c>
      <c r="I1003" s="39">
        <f>Orders!I1003</f>
        <v>42437.7</v>
      </c>
      <c r="J1003" t="str">
        <f>Orders!J1003</f>
        <v>Completed</v>
      </c>
      <c r="K1003" t="str">
        <f>Orders!K1003</f>
        <v>Chennai</v>
      </c>
      <c r="L1003" t="str">
        <f>IFERROR(VLOOKUP(D1003,Products!$A$2:$F$61,3,FALSE),"")</f>
        <v>Home</v>
      </c>
      <c r="M1003">
        <f>IFERROR(VLOOKUP(D1003,Products!$A$2:$F$61,4,FALSE),"")</f>
        <v>2549</v>
      </c>
      <c r="N1003" t="str">
        <f>IFERROR(VLOOKUP(E1003,Sales_Reps!$A$2:$E$31,3,FALSE),"")</f>
        <v>West</v>
      </c>
      <c r="O1003" t="str">
        <f>IFERROR(VLOOKUP(C1003,Customers!$A$2:$F$301,5,FALSE),"")</f>
        <v>Retail</v>
      </c>
      <c r="P1003">
        <f>IFERROR(VLOOKUP(C1003,Customers!$A$2:$F$301,3,FALSE),"")</f>
        <v>60</v>
      </c>
      <c r="Q1003" s="41">
        <f t="shared" si="24"/>
        <v>0.53570127504553733</v>
      </c>
      <c r="R1003" t="str">
        <f>IFERROR(VLOOKUP(C1003,Customers!$A$2:$F$301,1,FALSE),"")</f>
        <v>CUST-0164</v>
      </c>
      <c r="S1003" s="27" t="b">
        <f>IFERROR(VLOOKUP(D1003,Products!$A$2:$F$61,6,FALSE),"")</f>
        <v>1</v>
      </c>
      <c r="BL1003">
        <v>0</v>
      </c>
      <c r="BO1003">
        <v>0</v>
      </c>
      <c r="BP1003">
        <v>0</v>
      </c>
    </row>
    <row r="1004" spans="1:68" x14ac:dyDescent="0.35">
      <c r="A1004" s="26" t="str">
        <f>Orders!A1004</f>
        <v>ORD-01003</v>
      </c>
      <c r="B1004" s="33">
        <f>Orders!B1004</f>
        <v>45563</v>
      </c>
      <c r="C1004" t="str">
        <f>Orders!C1004</f>
        <v>CUST-0212</v>
      </c>
      <c r="D1004" t="str">
        <f>Orders!D1004</f>
        <v>PROD-055</v>
      </c>
      <c r="E1004" t="str">
        <f>Orders!E1004</f>
        <v>R006</v>
      </c>
      <c r="F1004">
        <f>Orders!F1004</f>
        <v>8</v>
      </c>
      <c r="G1004" s="35">
        <f>Orders!G1004</f>
        <v>2860</v>
      </c>
      <c r="H1004" s="37">
        <f>Orders!H1004</f>
        <v>14.3</v>
      </c>
      <c r="I1004" s="39">
        <f>Orders!I1004</f>
        <v>19608.16</v>
      </c>
      <c r="J1004" t="str">
        <f>Orders!J1004</f>
        <v>Completed</v>
      </c>
      <c r="K1004" t="str">
        <f>Orders!K1004</f>
        <v>Chennai</v>
      </c>
      <c r="L1004" t="str">
        <f>IFERROR(VLOOKUP(D1004,Products!$A$2:$F$61,3,FALSE),"")</f>
        <v>Sports</v>
      </c>
      <c r="M1004">
        <f>IFERROR(VLOOKUP(D1004,Products!$A$2:$F$61,4,FALSE),"")</f>
        <v>2028</v>
      </c>
      <c r="N1004" t="str">
        <f>IFERROR(VLOOKUP(E1004,Sales_Reps!$A$2:$E$31,3,FALSE),"")</f>
        <v>North</v>
      </c>
      <c r="O1004" t="str">
        <f>IFERROR(VLOOKUP(C1004,Customers!$A$2:$F$301,5,FALSE),"")</f>
        <v>SMB</v>
      </c>
      <c r="P1004">
        <f>IFERROR(VLOOKUP(C1004,Customers!$A$2:$F$301,3,FALSE),"")</f>
        <v>46</v>
      </c>
      <c r="Q1004" s="41">
        <f t="shared" si="24"/>
        <v>0.29090909090909089</v>
      </c>
      <c r="R1004" t="str">
        <f>IFERROR(VLOOKUP(C1004,Customers!$A$2:$F$301,1,FALSE),"")</f>
        <v>CUST-0212</v>
      </c>
      <c r="S1004" s="27" t="b">
        <f>IFERROR(VLOOKUP(D1004,Products!$A$2:$F$61,6,FALSE),"")</f>
        <v>1</v>
      </c>
      <c r="BL1004">
        <v>0</v>
      </c>
      <c r="BO1004">
        <v>0</v>
      </c>
      <c r="BP1004">
        <v>0</v>
      </c>
    </row>
    <row r="1005" spans="1:68" x14ac:dyDescent="0.35">
      <c r="A1005" s="26" t="str">
        <f>Orders!A1005</f>
        <v>ORD-01004</v>
      </c>
      <c r="B1005" s="33">
        <f>Orders!B1005</f>
        <v>45416</v>
      </c>
      <c r="C1005" t="str">
        <f>Orders!C1005</f>
        <v>CUST-0234</v>
      </c>
      <c r="D1005" t="str">
        <f>Orders!D1005</f>
        <v>PROD-049</v>
      </c>
      <c r="E1005" t="str">
        <f>Orders!E1005</f>
        <v>R011</v>
      </c>
      <c r="F1005">
        <f>Orders!F1005</f>
        <v>1</v>
      </c>
      <c r="G1005" s="35">
        <f>Orders!G1005</f>
        <v>960</v>
      </c>
      <c r="H1005" s="37">
        <f>Orders!H1005</f>
        <v>11.9</v>
      </c>
      <c r="I1005" s="39">
        <f>Orders!I1005</f>
        <v>845.76</v>
      </c>
      <c r="J1005" t="str">
        <f>Orders!J1005</f>
        <v>Completed</v>
      </c>
      <c r="K1005" t="str">
        <f>Orders!K1005</f>
        <v>Bengaluru</v>
      </c>
      <c r="L1005" t="str">
        <f>IFERROR(VLOOKUP(D1005,Products!$A$2:$F$61,3,FALSE),"")</f>
        <v>Beauty</v>
      </c>
      <c r="M1005">
        <f>IFERROR(VLOOKUP(D1005,Products!$A$2:$F$61,4,FALSE),"")</f>
        <v>675</v>
      </c>
      <c r="N1005" t="str">
        <f>IFERROR(VLOOKUP(E1005,Sales_Reps!$A$2:$E$31,3,FALSE),"")</f>
        <v>South</v>
      </c>
      <c r="O1005" t="str">
        <f>IFERROR(VLOOKUP(C1005,Customers!$A$2:$F$301,5,FALSE),"")</f>
        <v>Retail</v>
      </c>
      <c r="P1005">
        <f>IFERROR(VLOOKUP(C1005,Customers!$A$2:$F$301,3,FALSE),"")</f>
        <v>34</v>
      </c>
      <c r="Q1005" s="41">
        <f t="shared" si="24"/>
        <v>0.296875</v>
      </c>
      <c r="R1005" t="str">
        <f>IFERROR(VLOOKUP(C1005,Customers!$A$2:$F$301,1,FALSE),"")</f>
        <v>CUST-0234</v>
      </c>
      <c r="S1005" s="27" t="b">
        <f>IFERROR(VLOOKUP(D1005,Products!$A$2:$F$61,6,FALSE),"")</f>
        <v>1</v>
      </c>
      <c r="BL1005">
        <v>0</v>
      </c>
      <c r="BO1005">
        <v>0</v>
      </c>
      <c r="BP1005">
        <v>0</v>
      </c>
    </row>
    <row r="1006" spans="1:68" x14ac:dyDescent="0.35">
      <c r="A1006" s="26" t="str">
        <f>Orders!A1006</f>
        <v>ORD-01005</v>
      </c>
      <c r="B1006" s="33">
        <f>Orders!B1006</f>
        <v>45430</v>
      </c>
      <c r="C1006" t="str">
        <f>Orders!C1006</f>
        <v>CUST-0292</v>
      </c>
      <c r="D1006" t="str">
        <f>Orders!D1006</f>
        <v>PROD-040</v>
      </c>
      <c r="E1006" t="str">
        <f>Orders!E1006</f>
        <v>R007</v>
      </c>
      <c r="F1006">
        <f>Orders!F1006</f>
        <v>3</v>
      </c>
      <c r="G1006" s="35">
        <f>Orders!G1006</f>
        <v>1080</v>
      </c>
      <c r="H1006" s="37">
        <f>Orders!H1006</f>
        <v>26</v>
      </c>
      <c r="I1006" s="39">
        <f>Orders!I1006</f>
        <v>2397.6</v>
      </c>
      <c r="J1006" t="str">
        <f>Orders!J1006</f>
        <v>Completed</v>
      </c>
      <c r="K1006" t="str">
        <f>Orders!K1006</f>
        <v>Bengaluru</v>
      </c>
      <c r="L1006" t="str">
        <f>IFERROR(VLOOKUP(D1006,Products!$A$2:$F$61,3,FALSE),"")</f>
        <v>Home</v>
      </c>
      <c r="M1006">
        <f>IFERROR(VLOOKUP(D1006,Products!$A$2:$F$61,4,FALSE),"")</f>
        <v>519</v>
      </c>
      <c r="N1006" t="str">
        <f>IFERROR(VLOOKUP(E1006,Sales_Reps!$A$2:$E$31,3,FALSE),"")</f>
        <v>North</v>
      </c>
      <c r="O1006" t="str">
        <f>IFERROR(VLOOKUP(C1006,Customers!$A$2:$F$301,5,FALSE),"")</f>
        <v>Retail</v>
      </c>
      <c r="P1006">
        <f>IFERROR(VLOOKUP(C1006,Customers!$A$2:$F$301,3,FALSE),"")</f>
        <v>32</v>
      </c>
      <c r="Q1006" s="41">
        <f t="shared" si="24"/>
        <v>0.51944444444444449</v>
      </c>
      <c r="R1006" t="str">
        <f>IFERROR(VLOOKUP(C1006,Customers!$A$2:$F$301,1,FALSE),"")</f>
        <v>CUST-0292</v>
      </c>
      <c r="S1006" s="27" t="b">
        <f>IFERROR(VLOOKUP(D1006,Products!$A$2:$F$61,6,FALSE),"")</f>
        <v>1</v>
      </c>
      <c r="BL1006">
        <v>0</v>
      </c>
      <c r="BO1006">
        <v>0</v>
      </c>
      <c r="BP1006">
        <v>0</v>
      </c>
    </row>
    <row r="1007" spans="1:68" x14ac:dyDescent="0.35">
      <c r="A1007" s="26" t="str">
        <f>Orders!A1007</f>
        <v>ORD-01006</v>
      </c>
      <c r="B1007" s="33">
        <f>Orders!B1007</f>
        <v>45585</v>
      </c>
      <c r="C1007" t="str">
        <f>Orders!C1007</f>
        <v>CUST-0018</v>
      </c>
      <c r="D1007" t="str">
        <f>Orders!D1007</f>
        <v>PROD-055</v>
      </c>
      <c r="E1007" t="str">
        <f>Orders!E1007</f>
        <v>R001</v>
      </c>
      <c r="F1007">
        <f>Orders!F1007</f>
        <v>10</v>
      </c>
      <c r="G1007" s="35">
        <f>Orders!G1007</f>
        <v>2860</v>
      </c>
      <c r="H1007" s="37">
        <f>Orders!H1007</f>
        <v>13.1</v>
      </c>
      <c r="I1007" s="39">
        <f>Orders!I1007</f>
        <v>24853.4</v>
      </c>
      <c r="J1007" t="str">
        <f>Orders!J1007</f>
        <v>Refunded</v>
      </c>
      <c r="K1007" t="str">
        <f>Orders!K1007</f>
        <v>Pune</v>
      </c>
      <c r="L1007" t="str">
        <f>IFERROR(VLOOKUP(D1007,Products!$A$2:$F$61,3,FALSE),"")</f>
        <v>Sports</v>
      </c>
      <c r="M1007">
        <f>IFERROR(VLOOKUP(D1007,Products!$A$2:$F$61,4,FALSE),"")</f>
        <v>2028</v>
      </c>
      <c r="N1007" t="str">
        <f>IFERROR(VLOOKUP(E1007,Sales_Reps!$A$2:$E$31,3,FALSE),"")</f>
        <v>North</v>
      </c>
      <c r="O1007" t="str">
        <f>IFERROR(VLOOKUP(C1007,Customers!$A$2:$F$301,5,FALSE),"")</f>
        <v>SMB</v>
      </c>
      <c r="P1007">
        <f>IFERROR(VLOOKUP(C1007,Customers!$A$2:$F$301,3,FALSE),"")</f>
        <v>54</v>
      </c>
      <c r="Q1007" s="41">
        <f t="shared" si="24"/>
        <v>0.29090909090909089</v>
      </c>
      <c r="R1007" t="str">
        <f>IFERROR(VLOOKUP(C1007,Customers!$A$2:$F$301,1,FALSE),"")</f>
        <v>CUST-0018</v>
      </c>
      <c r="S1007" s="27" t="b">
        <f>IFERROR(VLOOKUP(D1007,Products!$A$2:$F$61,6,FALSE),"")</f>
        <v>1</v>
      </c>
      <c r="BL1007">
        <v>0</v>
      </c>
      <c r="BO1007">
        <v>0</v>
      </c>
      <c r="BP1007">
        <v>0</v>
      </c>
    </row>
    <row r="1008" spans="1:68" x14ac:dyDescent="0.35">
      <c r="A1008" s="26" t="str">
        <f>Orders!A1008</f>
        <v>ORD-01007</v>
      </c>
      <c r="B1008" s="33">
        <f>Orders!B1008</f>
        <v>45630</v>
      </c>
      <c r="C1008" t="str">
        <f>Orders!C1008</f>
        <v>CUST-0220</v>
      </c>
      <c r="D1008" t="str">
        <f>Orders!D1008</f>
        <v>PROD-013</v>
      </c>
      <c r="E1008" t="str">
        <f>Orders!E1008</f>
        <v>R001</v>
      </c>
      <c r="F1008">
        <f>Orders!F1008</f>
        <v>3</v>
      </c>
      <c r="G1008" s="35">
        <f>Orders!G1008</f>
        <v>3640</v>
      </c>
      <c r="H1008" s="37">
        <f>Orders!H1008</f>
        <v>18.2</v>
      </c>
      <c r="I1008" s="39">
        <f>Orders!I1008</f>
        <v>8932.56</v>
      </c>
      <c r="J1008" t="str">
        <f>Orders!J1008</f>
        <v>Completed</v>
      </c>
      <c r="K1008" t="str">
        <f>Orders!K1008</f>
        <v>Chennai</v>
      </c>
      <c r="L1008" t="str">
        <f>IFERROR(VLOOKUP(D1008,Products!$A$2:$F$61,3,FALSE),"")</f>
        <v>Apparel</v>
      </c>
      <c r="M1008">
        <f>IFERROR(VLOOKUP(D1008,Products!$A$2:$F$61,4,FALSE),"")</f>
        <v>2611</v>
      </c>
      <c r="N1008" t="str">
        <f>IFERROR(VLOOKUP(E1008,Sales_Reps!$A$2:$E$31,3,FALSE),"")</f>
        <v>North</v>
      </c>
      <c r="O1008" t="str">
        <f>IFERROR(VLOOKUP(C1008,Customers!$A$2:$F$301,5,FALSE),"")</f>
        <v>Retail</v>
      </c>
      <c r="P1008">
        <f>IFERROR(VLOOKUP(C1008,Customers!$A$2:$F$301,3,FALSE),"")</f>
        <v>34</v>
      </c>
      <c r="Q1008" s="41">
        <f t="shared" si="24"/>
        <v>0.28269230769230769</v>
      </c>
      <c r="R1008" t="str">
        <f>IFERROR(VLOOKUP(C1008,Customers!$A$2:$F$301,1,FALSE),"")</f>
        <v>CUST-0220</v>
      </c>
      <c r="S1008" s="27" t="b">
        <f>IFERROR(VLOOKUP(D1008,Products!$A$2:$F$61,6,FALSE),"")</f>
        <v>1</v>
      </c>
      <c r="BL1008">
        <v>0</v>
      </c>
      <c r="BO1008">
        <v>0</v>
      </c>
      <c r="BP1008">
        <v>0</v>
      </c>
    </row>
    <row r="1009" spans="1:68" x14ac:dyDescent="0.35">
      <c r="A1009" s="26" t="str">
        <f>Orders!A1009</f>
        <v>ORD-01008</v>
      </c>
      <c r="B1009" s="33">
        <f>Orders!B1009</f>
        <v>45405</v>
      </c>
      <c r="C1009" t="str">
        <f>Orders!C1009</f>
        <v>CUST-0064</v>
      </c>
      <c r="D1009" t="str">
        <f>Orders!D1009</f>
        <v>PROD-015</v>
      </c>
      <c r="E1009" t="str">
        <f>Orders!E1009</f>
        <v>R018</v>
      </c>
      <c r="F1009">
        <f>Orders!F1009</f>
        <v>3</v>
      </c>
      <c r="G1009" s="35">
        <f>Orders!G1009</f>
        <v>2720</v>
      </c>
      <c r="H1009" s="37">
        <f>Orders!H1009</f>
        <v>3.6</v>
      </c>
      <c r="I1009" s="39">
        <f>Orders!I1009</f>
        <v>7866.24</v>
      </c>
      <c r="J1009" t="str">
        <f>Orders!J1009</f>
        <v>Completed</v>
      </c>
      <c r="K1009" t="str">
        <f>Orders!K1009</f>
        <v>Hyderabad</v>
      </c>
      <c r="L1009" t="str">
        <f>IFERROR(VLOOKUP(D1009,Products!$A$2:$F$61,3,FALSE),"")</f>
        <v>Apparel</v>
      </c>
      <c r="M1009">
        <f>IFERROR(VLOOKUP(D1009,Products!$A$2:$F$61,4,FALSE),"")</f>
        <v>1962</v>
      </c>
      <c r="N1009" t="str">
        <f>IFERROR(VLOOKUP(E1009,Sales_Reps!$A$2:$E$31,3,FALSE),"")</f>
        <v>East</v>
      </c>
      <c r="O1009" t="str">
        <f>IFERROR(VLOOKUP(C1009,Customers!$A$2:$F$301,5,FALSE),"")</f>
        <v>SMB</v>
      </c>
      <c r="P1009">
        <f>IFERROR(VLOOKUP(C1009,Customers!$A$2:$F$301,3,FALSE),"")</f>
        <v>40</v>
      </c>
      <c r="Q1009" s="41">
        <f t="shared" si="24"/>
        <v>0.2786764705882353</v>
      </c>
      <c r="R1009" t="str">
        <f>IFERROR(VLOOKUP(C1009,Customers!$A$2:$F$301,1,FALSE),"")</f>
        <v>CUST-0064</v>
      </c>
      <c r="S1009" s="27" t="b">
        <f>IFERROR(VLOOKUP(D1009,Products!$A$2:$F$61,6,FALSE),"")</f>
        <v>1</v>
      </c>
      <c r="BL1009">
        <v>0</v>
      </c>
      <c r="BO1009">
        <v>0</v>
      </c>
      <c r="BP1009">
        <v>0</v>
      </c>
    </row>
    <row r="1010" spans="1:68" x14ac:dyDescent="0.35">
      <c r="A1010" s="26" t="str">
        <f>Orders!A1010</f>
        <v>ORD-01009</v>
      </c>
      <c r="B1010" s="33">
        <f>Orders!B1010</f>
        <v>45630</v>
      </c>
      <c r="C1010" t="str">
        <f>Orders!C1010</f>
        <v>CUST-0077</v>
      </c>
      <c r="D1010" t="str">
        <f>Orders!D1010</f>
        <v>PROD-024</v>
      </c>
      <c r="E1010" t="str">
        <f>Orders!E1010</f>
        <v>R008</v>
      </c>
      <c r="F1010">
        <f>Orders!F1010</f>
        <v>4</v>
      </c>
      <c r="G1010" s="35">
        <f>Orders!G1010</f>
        <v>2270</v>
      </c>
      <c r="H1010" s="37">
        <f>Orders!H1010</f>
        <v>18.399999999999999</v>
      </c>
      <c r="I1010" s="39">
        <f>Orders!I1010</f>
        <v>7409.28</v>
      </c>
      <c r="J1010" t="str">
        <f>Orders!J1010</f>
        <v>Completed</v>
      </c>
      <c r="K1010" t="str">
        <f>Orders!K1010</f>
        <v>Hyderabad</v>
      </c>
      <c r="L1010" t="str">
        <f>IFERROR(VLOOKUP(D1010,Products!$A$2:$F$61,3,FALSE),"")</f>
        <v>Grocery</v>
      </c>
      <c r="M1010">
        <f>IFERROR(VLOOKUP(D1010,Products!$A$2:$F$61,4,FALSE),"")</f>
        <v>1203</v>
      </c>
      <c r="N1010" t="str">
        <f>IFERROR(VLOOKUP(E1010,Sales_Reps!$A$2:$E$31,3,FALSE),"")</f>
        <v>North</v>
      </c>
      <c r="O1010" t="str">
        <f>IFERROR(VLOOKUP(C1010,Customers!$A$2:$F$301,5,FALSE),"")</f>
        <v>SMB</v>
      </c>
      <c r="P1010">
        <f>IFERROR(VLOOKUP(C1010,Customers!$A$2:$F$301,3,FALSE),"")</f>
        <v>48</v>
      </c>
      <c r="Q1010" s="41">
        <f t="shared" si="24"/>
        <v>0.47004405286343615</v>
      </c>
      <c r="R1010" t="str">
        <f>IFERROR(VLOOKUP(C1010,Customers!$A$2:$F$301,1,FALSE),"")</f>
        <v>CUST-0077</v>
      </c>
      <c r="S1010" s="27" t="b">
        <f>IFERROR(VLOOKUP(D1010,Products!$A$2:$F$61,6,FALSE),"")</f>
        <v>1</v>
      </c>
      <c r="BL1010">
        <v>0</v>
      </c>
      <c r="BO1010">
        <v>0</v>
      </c>
      <c r="BP1010">
        <v>0</v>
      </c>
    </row>
    <row r="1011" spans="1:68" x14ac:dyDescent="0.35">
      <c r="A1011" s="26" t="str">
        <f>Orders!A1011</f>
        <v>ORD-01010</v>
      </c>
      <c r="B1011" s="33">
        <f>Orders!B1011</f>
        <v>45483</v>
      </c>
      <c r="C1011" t="str">
        <f>Orders!C1011</f>
        <v>CUST-0229</v>
      </c>
      <c r="D1011" t="str">
        <f>Orders!D1011</f>
        <v>PROD-009</v>
      </c>
      <c r="E1011" t="str">
        <f>Orders!E1011</f>
        <v>R029</v>
      </c>
      <c r="F1011">
        <f>Orders!F1011</f>
        <v>5</v>
      </c>
      <c r="G1011" s="35">
        <f>Orders!G1011</f>
        <v>1220</v>
      </c>
      <c r="H1011" s="37">
        <f>Orders!H1011</f>
        <v>13.9</v>
      </c>
      <c r="I1011" s="39">
        <f>Orders!I1011</f>
        <v>5252.1</v>
      </c>
      <c r="J1011" t="str">
        <f>Orders!J1011</f>
        <v>Completed</v>
      </c>
      <c r="K1011" t="str">
        <f>Orders!K1011</f>
        <v>Hyderabad</v>
      </c>
      <c r="L1011" t="str">
        <f>IFERROR(VLOOKUP(D1011,Products!$A$2:$F$61,3,FALSE),"")</f>
        <v>Electronics</v>
      </c>
      <c r="M1011">
        <f>IFERROR(VLOOKUP(D1011,Products!$A$2:$F$61,4,FALSE),"")</f>
        <v>517</v>
      </c>
      <c r="N1011" t="str">
        <f>IFERROR(VLOOKUP(E1011,Sales_Reps!$A$2:$E$31,3,FALSE),"")</f>
        <v>West</v>
      </c>
      <c r="O1011" t="str">
        <f>IFERROR(VLOOKUP(C1011,Customers!$A$2:$F$301,5,FALSE),"")</f>
        <v>SMB</v>
      </c>
      <c r="P1011">
        <f>IFERROR(VLOOKUP(C1011,Customers!$A$2:$F$301,3,FALSE),"")</f>
        <v>25</v>
      </c>
      <c r="Q1011" s="41">
        <f t="shared" si="24"/>
        <v>0.57622950819672136</v>
      </c>
      <c r="R1011" t="str">
        <f>IFERROR(VLOOKUP(C1011,Customers!$A$2:$F$301,1,FALSE),"")</f>
        <v>CUST-0229</v>
      </c>
      <c r="S1011" s="27" t="b">
        <f>IFERROR(VLOOKUP(D1011,Products!$A$2:$F$61,6,FALSE),"")</f>
        <v>1</v>
      </c>
      <c r="BL1011">
        <v>0</v>
      </c>
      <c r="BO1011">
        <v>0</v>
      </c>
      <c r="BP1011">
        <v>0</v>
      </c>
    </row>
    <row r="1012" spans="1:68" x14ac:dyDescent="0.35">
      <c r="A1012" s="26" t="str">
        <f>Orders!A1012</f>
        <v>ORD-01011</v>
      </c>
      <c r="B1012" s="33">
        <f>Orders!B1012</f>
        <v>45530</v>
      </c>
      <c r="C1012" t="str">
        <f>Orders!C1012</f>
        <v>CUST-0129</v>
      </c>
      <c r="D1012" t="str">
        <f>Orders!D1012</f>
        <v>PROD-010</v>
      </c>
      <c r="E1012" t="str">
        <f>Orders!E1012</f>
        <v>R015</v>
      </c>
      <c r="F1012">
        <f>Orders!F1012</f>
        <v>8</v>
      </c>
      <c r="G1012" s="35">
        <f>Orders!G1012</f>
        <v>2640</v>
      </c>
      <c r="H1012" s="37">
        <f>Orders!H1012</f>
        <v>17.3</v>
      </c>
      <c r="I1012" s="39">
        <f>Orders!I1012</f>
        <v>17466.240000000002</v>
      </c>
      <c r="J1012" t="str">
        <f>Orders!J1012</f>
        <v>Completed</v>
      </c>
      <c r="K1012" t="str">
        <f>Orders!K1012</f>
        <v>Hyderabad</v>
      </c>
      <c r="L1012" t="str">
        <f>IFERROR(VLOOKUP(D1012,Products!$A$2:$F$61,3,FALSE),"")</f>
        <v>Electronics</v>
      </c>
      <c r="M1012">
        <f>IFERROR(VLOOKUP(D1012,Products!$A$2:$F$61,4,FALSE),"")</f>
        <v>1149</v>
      </c>
      <c r="N1012" t="str">
        <f>IFERROR(VLOOKUP(E1012,Sales_Reps!$A$2:$E$31,3,FALSE),"")</f>
        <v>South</v>
      </c>
      <c r="O1012" t="str">
        <f>IFERROR(VLOOKUP(C1012,Customers!$A$2:$F$301,5,FALSE),"")</f>
        <v>Retail</v>
      </c>
      <c r="P1012">
        <f>IFERROR(VLOOKUP(C1012,Customers!$A$2:$F$301,3,FALSE),"")</f>
        <v>29</v>
      </c>
      <c r="Q1012" s="41">
        <f t="shared" si="24"/>
        <v>0.56477272727272732</v>
      </c>
      <c r="R1012" t="str">
        <f>IFERROR(VLOOKUP(C1012,Customers!$A$2:$F$301,1,FALSE),"")</f>
        <v>CUST-0129</v>
      </c>
      <c r="S1012" s="27" t="b">
        <f>IFERROR(VLOOKUP(D1012,Products!$A$2:$F$61,6,FALSE),"")</f>
        <v>1</v>
      </c>
      <c r="BL1012">
        <v>0</v>
      </c>
      <c r="BO1012">
        <v>0</v>
      </c>
      <c r="BP1012">
        <v>0</v>
      </c>
    </row>
    <row r="1013" spans="1:68" x14ac:dyDescent="0.35">
      <c r="A1013" s="26" t="str">
        <f>Orders!A1013</f>
        <v>ORD-01012</v>
      </c>
      <c r="B1013" s="33">
        <f>Orders!B1013</f>
        <v>45500</v>
      </c>
      <c r="C1013" t="str">
        <f>Orders!C1013</f>
        <v>CUST-0145</v>
      </c>
      <c r="D1013" t="str">
        <f>Orders!D1013</f>
        <v>PROD-030</v>
      </c>
      <c r="E1013" t="str">
        <f>Orders!E1013</f>
        <v>R015</v>
      </c>
      <c r="F1013">
        <f>Orders!F1013</f>
        <v>1</v>
      </c>
      <c r="G1013" s="35">
        <f>Orders!G1013</f>
        <v>970</v>
      </c>
      <c r="H1013" s="37">
        <f>Orders!H1013</f>
        <v>28</v>
      </c>
      <c r="I1013" s="39">
        <f>Orders!I1013</f>
        <v>698.4</v>
      </c>
      <c r="J1013" t="str">
        <f>Orders!J1013</f>
        <v>Cancelled</v>
      </c>
      <c r="K1013" t="str">
        <f>Orders!K1013</f>
        <v>Bengaluru</v>
      </c>
      <c r="L1013" t="str">
        <f>IFERROR(VLOOKUP(D1013,Products!$A$2:$F$61,3,FALSE),"")</f>
        <v>Grocery</v>
      </c>
      <c r="M1013">
        <f>IFERROR(VLOOKUP(D1013,Products!$A$2:$F$61,4,FALSE),"")</f>
        <v>434</v>
      </c>
      <c r="N1013" t="str">
        <f>IFERROR(VLOOKUP(E1013,Sales_Reps!$A$2:$E$31,3,FALSE),"")</f>
        <v>South</v>
      </c>
      <c r="O1013" t="str">
        <f>IFERROR(VLOOKUP(C1013,Customers!$A$2:$F$301,5,FALSE),"")</f>
        <v>SMB</v>
      </c>
      <c r="P1013">
        <f>IFERROR(VLOOKUP(C1013,Customers!$A$2:$F$301,3,FALSE),"")</f>
        <v>44</v>
      </c>
      <c r="Q1013" s="41">
        <f t="shared" si="24"/>
        <v>0.5525773195876289</v>
      </c>
      <c r="R1013" t="str">
        <f>IFERROR(VLOOKUP(C1013,Customers!$A$2:$F$301,1,FALSE),"")</f>
        <v>CUST-0145</v>
      </c>
      <c r="S1013" s="27" t="b">
        <f>IFERROR(VLOOKUP(D1013,Products!$A$2:$F$61,6,FALSE),"")</f>
        <v>1</v>
      </c>
      <c r="BL1013">
        <v>0</v>
      </c>
      <c r="BO1013">
        <v>0</v>
      </c>
      <c r="BP1013">
        <v>0</v>
      </c>
    </row>
    <row r="1014" spans="1:68" x14ac:dyDescent="0.35">
      <c r="A1014" s="26" t="str">
        <f>Orders!A1014</f>
        <v>ORD-01013</v>
      </c>
      <c r="B1014" s="33">
        <f>Orders!B1014</f>
        <v>45358</v>
      </c>
      <c r="C1014" t="str">
        <f>Orders!C1014</f>
        <v>CUST-0258</v>
      </c>
      <c r="D1014" t="str">
        <f>Orders!D1014</f>
        <v>PROD-031</v>
      </c>
      <c r="E1014" t="str">
        <f>Orders!E1014</f>
        <v>R025</v>
      </c>
      <c r="F1014">
        <f>Orders!F1014</f>
        <v>8</v>
      </c>
      <c r="G1014" s="35">
        <f>Orders!G1014</f>
        <v>3730</v>
      </c>
      <c r="H1014" s="37">
        <f>Orders!H1014</f>
        <v>2.1</v>
      </c>
      <c r="I1014" s="39">
        <f>Orders!I1014</f>
        <v>29213.360000000001</v>
      </c>
      <c r="J1014" t="str">
        <f>Orders!J1014</f>
        <v>Refunded</v>
      </c>
      <c r="K1014" t="str">
        <f>Orders!K1014</f>
        <v>Pune</v>
      </c>
      <c r="L1014" t="str">
        <f>IFERROR(VLOOKUP(D1014,Products!$A$2:$F$61,3,FALSE),"")</f>
        <v>Home</v>
      </c>
      <c r="M1014">
        <f>IFERROR(VLOOKUP(D1014,Products!$A$2:$F$61,4,FALSE),"")</f>
        <v>2135</v>
      </c>
      <c r="N1014" t="str">
        <f>IFERROR(VLOOKUP(E1014,Sales_Reps!$A$2:$E$31,3,FALSE),"")</f>
        <v>West</v>
      </c>
      <c r="O1014" t="str">
        <f>IFERROR(VLOOKUP(C1014,Customers!$A$2:$F$301,5,FALSE),"")</f>
        <v>Retail</v>
      </c>
      <c r="P1014">
        <f>IFERROR(VLOOKUP(C1014,Customers!$A$2:$F$301,3,FALSE),"")</f>
        <v>44</v>
      </c>
      <c r="Q1014" s="41">
        <f t="shared" si="24"/>
        <v>0.42761394101876676</v>
      </c>
      <c r="R1014" t="str">
        <f>IFERROR(VLOOKUP(C1014,Customers!$A$2:$F$301,1,FALSE),"")</f>
        <v>CUST-0258</v>
      </c>
      <c r="S1014" s="27" t="b">
        <f>IFERROR(VLOOKUP(D1014,Products!$A$2:$F$61,6,FALSE),"")</f>
        <v>1</v>
      </c>
      <c r="BL1014">
        <v>0</v>
      </c>
      <c r="BO1014">
        <v>0</v>
      </c>
      <c r="BP1014">
        <v>0</v>
      </c>
    </row>
    <row r="1015" spans="1:68" x14ac:dyDescent="0.35">
      <c r="A1015" s="26" t="str">
        <f>Orders!A1015</f>
        <v>ORD-01014</v>
      </c>
      <c r="B1015" s="33">
        <f>Orders!B1015</f>
        <v>45598</v>
      </c>
      <c r="C1015" t="str">
        <f>Orders!C1015</f>
        <v>CUST-0209</v>
      </c>
      <c r="D1015" t="str">
        <f>Orders!D1015</f>
        <v>PROD-030</v>
      </c>
      <c r="E1015" t="str">
        <f>Orders!E1015</f>
        <v>R024</v>
      </c>
      <c r="F1015">
        <f>Orders!F1015</f>
        <v>7</v>
      </c>
      <c r="G1015" s="35">
        <f>Orders!G1015</f>
        <v>970</v>
      </c>
      <c r="H1015" s="37">
        <f>Orders!H1015</f>
        <v>25.5</v>
      </c>
      <c r="I1015" s="39">
        <f>Orders!I1015</f>
        <v>5058.55</v>
      </c>
      <c r="J1015" t="str">
        <f>Orders!J1015</f>
        <v>Completed</v>
      </c>
      <c r="K1015" t="str">
        <f>Orders!K1015</f>
        <v>Pune</v>
      </c>
      <c r="L1015" t="str">
        <f>IFERROR(VLOOKUP(D1015,Products!$A$2:$F$61,3,FALSE),"")</f>
        <v>Grocery</v>
      </c>
      <c r="M1015">
        <f>IFERROR(VLOOKUP(D1015,Products!$A$2:$F$61,4,FALSE),"")</f>
        <v>434</v>
      </c>
      <c r="N1015" t="str">
        <f>IFERROR(VLOOKUP(E1015,Sales_Reps!$A$2:$E$31,3,FALSE),"")</f>
        <v>West</v>
      </c>
      <c r="O1015" t="str">
        <f>IFERROR(VLOOKUP(C1015,Customers!$A$2:$F$301,5,FALSE),"")</f>
        <v>Retail</v>
      </c>
      <c r="P1015">
        <f>IFERROR(VLOOKUP(C1015,Customers!$A$2:$F$301,3,FALSE),"")</f>
        <v>31</v>
      </c>
      <c r="Q1015" s="41">
        <f t="shared" si="24"/>
        <v>0.5525773195876289</v>
      </c>
      <c r="R1015" t="str">
        <f>IFERROR(VLOOKUP(C1015,Customers!$A$2:$F$301,1,FALSE),"")</f>
        <v>CUST-0209</v>
      </c>
      <c r="S1015" s="27" t="b">
        <f>IFERROR(VLOOKUP(D1015,Products!$A$2:$F$61,6,FALSE),"")</f>
        <v>1</v>
      </c>
      <c r="BL1015">
        <v>0</v>
      </c>
      <c r="BO1015">
        <v>0</v>
      </c>
      <c r="BP1015">
        <v>0</v>
      </c>
    </row>
    <row r="1016" spans="1:68" x14ac:dyDescent="0.35">
      <c r="A1016" s="26" t="str">
        <f>Orders!A1016</f>
        <v>ORD-01015</v>
      </c>
      <c r="B1016" s="33">
        <f>Orders!B1016</f>
        <v>45318</v>
      </c>
      <c r="C1016" t="str">
        <f>Orders!C1016</f>
        <v>CUST-0131</v>
      </c>
      <c r="D1016" t="str">
        <f>Orders!D1016</f>
        <v>PROD-003</v>
      </c>
      <c r="E1016" t="str">
        <f>Orders!E1016</f>
        <v>R022</v>
      </c>
      <c r="F1016">
        <f>Orders!F1016</f>
        <v>6</v>
      </c>
      <c r="G1016" s="35">
        <f>Orders!G1016</f>
        <v>3570</v>
      </c>
      <c r="H1016" s="37">
        <f>Orders!H1016</f>
        <v>9.9</v>
      </c>
      <c r="I1016" s="39">
        <f>Orders!I1016</f>
        <v>19299.419999999998</v>
      </c>
      <c r="J1016" t="str">
        <f>Orders!J1016</f>
        <v>Completed</v>
      </c>
      <c r="K1016" t="str">
        <f>Orders!K1016</f>
        <v>Delhi</v>
      </c>
      <c r="L1016" t="str">
        <f>IFERROR(VLOOKUP(D1016,Products!$A$2:$F$61,3,FALSE),"")</f>
        <v>Electronics</v>
      </c>
      <c r="M1016">
        <f>IFERROR(VLOOKUP(D1016,Products!$A$2:$F$61,4,FALSE),"")</f>
        <v>1665</v>
      </c>
      <c r="N1016" t="str">
        <f>IFERROR(VLOOKUP(E1016,Sales_Reps!$A$2:$E$31,3,FALSE),"")</f>
        <v>East</v>
      </c>
      <c r="O1016" t="str">
        <f>IFERROR(VLOOKUP(C1016,Customers!$A$2:$F$301,5,FALSE),"")</f>
        <v>SMB</v>
      </c>
      <c r="P1016">
        <f>IFERROR(VLOOKUP(C1016,Customers!$A$2:$F$301,3,FALSE),"")</f>
        <v>28</v>
      </c>
      <c r="Q1016" s="41">
        <f t="shared" si="24"/>
        <v>0.53361344537815125</v>
      </c>
      <c r="R1016" t="str">
        <f>IFERROR(VLOOKUP(C1016,Customers!$A$2:$F$301,1,FALSE),"")</f>
        <v>CUST-0131</v>
      </c>
      <c r="S1016" s="27" t="b">
        <f>IFERROR(VLOOKUP(D1016,Products!$A$2:$F$61,6,FALSE),"")</f>
        <v>1</v>
      </c>
      <c r="BL1016">
        <v>0</v>
      </c>
      <c r="BO1016">
        <v>0</v>
      </c>
      <c r="BP1016">
        <v>0</v>
      </c>
    </row>
    <row r="1017" spans="1:68" x14ac:dyDescent="0.35">
      <c r="A1017" s="26" t="str">
        <f>Orders!A1017</f>
        <v>ORD-01016</v>
      </c>
      <c r="B1017" s="33">
        <f>Orders!B1017</f>
        <v>45524</v>
      </c>
      <c r="C1017" t="str">
        <f>Orders!C1017</f>
        <v>CUST-0276</v>
      </c>
      <c r="D1017" t="str">
        <f>Orders!D1017</f>
        <v>PROD-030</v>
      </c>
      <c r="E1017" t="str">
        <f>Orders!E1017</f>
        <v>R016</v>
      </c>
      <c r="F1017">
        <f>Orders!F1017</f>
        <v>6</v>
      </c>
      <c r="G1017" s="35">
        <f>Orders!G1017</f>
        <v>970</v>
      </c>
      <c r="H1017" s="37">
        <f>Orders!H1017</f>
        <v>19.600000000000001</v>
      </c>
      <c r="I1017" s="39">
        <f>Orders!I1017</f>
        <v>4679.28</v>
      </c>
      <c r="J1017" t="str">
        <f>Orders!J1017</f>
        <v>Completed</v>
      </c>
      <c r="K1017" t="str">
        <f>Orders!K1017</f>
        <v>Chennai</v>
      </c>
      <c r="L1017" t="str">
        <f>IFERROR(VLOOKUP(D1017,Products!$A$2:$F$61,3,FALSE),"")</f>
        <v>Grocery</v>
      </c>
      <c r="M1017">
        <f>IFERROR(VLOOKUP(D1017,Products!$A$2:$F$61,4,FALSE),"")</f>
        <v>434</v>
      </c>
      <c r="N1017" t="str">
        <f>IFERROR(VLOOKUP(E1017,Sales_Reps!$A$2:$E$31,3,FALSE),"")</f>
        <v>South</v>
      </c>
      <c r="O1017" t="str">
        <f>IFERROR(VLOOKUP(C1017,Customers!$A$2:$F$301,5,FALSE),"")</f>
        <v>Retail</v>
      </c>
      <c r="P1017">
        <f>IFERROR(VLOOKUP(C1017,Customers!$A$2:$F$301,3,FALSE),"")</f>
        <v>26</v>
      </c>
      <c r="Q1017" s="41">
        <f t="shared" si="24"/>
        <v>0.5525773195876289</v>
      </c>
      <c r="R1017" t="str">
        <f>IFERROR(VLOOKUP(C1017,Customers!$A$2:$F$301,1,FALSE),"")</f>
        <v>CUST-0276</v>
      </c>
      <c r="S1017" s="27" t="b">
        <f>IFERROR(VLOOKUP(D1017,Products!$A$2:$F$61,6,FALSE),"")</f>
        <v>1</v>
      </c>
      <c r="BL1017">
        <v>0</v>
      </c>
      <c r="BO1017">
        <v>0</v>
      </c>
      <c r="BP1017">
        <v>0</v>
      </c>
    </row>
    <row r="1018" spans="1:68" x14ac:dyDescent="0.35">
      <c r="A1018" s="26" t="str">
        <f>Orders!A1018</f>
        <v>ORD-01017</v>
      </c>
      <c r="B1018" s="33">
        <f>Orders!B1018</f>
        <v>45554</v>
      </c>
      <c r="C1018" t="str">
        <f>Orders!C1018</f>
        <v>CUST-0283</v>
      </c>
      <c r="D1018" t="str">
        <f>Orders!D1018</f>
        <v>PROD-059</v>
      </c>
      <c r="E1018" t="str">
        <f>Orders!E1018</f>
        <v>R011</v>
      </c>
      <c r="F1018">
        <f>Orders!F1018</f>
        <v>8</v>
      </c>
      <c r="G1018" s="35">
        <f>Orders!G1018</f>
        <v>3780</v>
      </c>
      <c r="H1018" s="37">
        <f>Orders!H1018</f>
        <v>26.5</v>
      </c>
      <c r="I1018" s="39">
        <f>Orders!I1018</f>
        <v>22226.400000000001</v>
      </c>
      <c r="J1018" t="str">
        <f>Orders!J1018</f>
        <v>Completed</v>
      </c>
      <c r="K1018" t="str">
        <f>Orders!K1018</f>
        <v>Delhi</v>
      </c>
      <c r="L1018" t="str">
        <f>IFERROR(VLOOKUP(D1018,Products!$A$2:$F$61,3,FALSE),"")</f>
        <v>Sports</v>
      </c>
      <c r="M1018">
        <f>IFERROR(VLOOKUP(D1018,Products!$A$2:$F$61,4,FALSE),"")</f>
        <v>1860</v>
      </c>
      <c r="N1018" t="str">
        <f>IFERROR(VLOOKUP(E1018,Sales_Reps!$A$2:$E$31,3,FALSE),"")</f>
        <v>South</v>
      </c>
      <c r="O1018" t="str">
        <f>IFERROR(VLOOKUP(C1018,Customers!$A$2:$F$301,5,FALSE),"")</f>
        <v>SMB</v>
      </c>
      <c r="P1018">
        <f>IFERROR(VLOOKUP(C1018,Customers!$A$2:$F$301,3,FALSE),"")</f>
        <v>50</v>
      </c>
      <c r="Q1018" s="41">
        <f t="shared" si="24"/>
        <v>0.50793650793650791</v>
      </c>
      <c r="R1018" t="str">
        <f>IFERROR(VLOOKUP(C1018,Customers!$A$2:$F$301,1,FALSE),"")</f>
        <v>CUST-0283</v>
      </c>
      <c r="S1018" s="27" t="b">
        <f>IFERROR(VLOOKUP(D1018,Products!$A$2:$F$61,6,FALSE),"")</f>
        <v>1</v>
      </c>
      <c r="BL1018">
        <v>0</v>
      </c>
      <c r="BO1018">
        <v>0</v>
      </c>
      <c r="BP1018">
        <v>0</v>
      </c>
    </row>
    <row r="1019" spans="1:68" x14ac:dyDescent="0.35">
      <c r="A1019" s="26" t="str">
        <f>Orders!A1019</f>
        <v>ORD-01018</v>
      </c>
      <c r="B1019" s="33">
        <f>Orders!B1019</f>
        <v>45528</v>
      </c>
      <c r="C1019" t="str">
        <f>Orders!C1019</f>
        <v>CUST-0195</v>
      </c>
      <c r="D1019" t="str">
        <f>Orders!D1019</f>
        <v>PROD-058</v>
      </c>
      <c r="E1019" t="str">
        <f>Orders!E1019</f>
        <v>R011</v>
      </c>
      <c r="F1019">
        <f>Orders!F1019</f>
        <v>6</v>
      </c>
      <c r="G1019" s="35">
        <f>Orders!G1019</f>
        <v>2400</v>
      </c>
      <c r="H1019" s="37">
        <f>Orders!H1019</f>
        <v>1.4</v>
      </c>
      <c r="I1019" s="39">
        <f>Orders!I1019</f>
        <v>14198.4</v>
      </c>
      <c r="J1019" t="str">
        <f>Orders!J1019</f>
        <v>Completed</v>
      </c>
      <c r="K1019" t="str">
        <f>Orders!K1019</f>
        <v>Bengaluru</v>
      </c>
      <c r="L1019" t="str">
        <f>IFERROR(VLOOKUP(D1019,Products!$A$2:$F$61,3,FALSE),"")</f>
        <v>Sports</v>
      </c>
      <c r="M1019">
        <f>IFERROR(VLOOKUP(D1019,Products!$A$2:$F$61,4,FALSE),"")</f>
        <v>974</v>
      </c>
      <c r="N1019" t="str">
        <f>IFERROR(VLOOKUP(E1019,Sales_Reps!$A$2:$E$31,3,FALSE),"")</f>
        <v>South</v>
      </c>
      <c r="O1019" t="str">
        <f>IFERROR(VLOOKUP(C1019,Customers!$A$2:$F$301,5,FALSE),"")</f>
        <v>Retail</v>
      </c>
      <c r="P1019">
        <f>IFERROR(VLOOKUP(C1019,Customers!$A$2:$F$301,3,FALSE),"")</f>
        <v>28</v>
      </c>
      <c r="Q1019" s="41">
        <f t="shared" si="24"/>
        <v>0.59416666666666662</v>
      </c>
      <c r="R1019" t="str">
        <f>IFERROR(VLOOKUP(C1019,Customers!$A$2:$F$301,1,FALSE),"")</f>
        <v>CUST-0195</v>
      </c>
      <c r="S1019" s="27" t="b">
        <f>IFERROR(VLOOKUP(D1019,Products!$A$2:$F$61,6,FALSE),"")</f>
        <v>1</v>
      </c>
      <c r="BL1019">
        <v>0</v>
      </c>
      <c r="BO1019">
        <v>0</v>
      </c>
      <c r="BP1019">
        <v>0</v>
      </c>
    </row>
    <row r="1020" spans="1:68" x14ac:dyDescent="0.35">
      <c r="A1020" s="26" t="str">
        <f>Orders!A1020</f>
        <v>ORD-01019</v>
      </c>
      <c r="B1020" s="33">
        <f>Orders!B1020</f>
        <v>45486</v>
      </c>
      <c r="C1020" t="str">
        <f>Orders!C1020</f>
        <v>CUST-0181</v>
      </c>
      <c r="D1020" t="str">
        <f>Orders!D1020</f>
        <v>PROD-036</v>
      </c>
      <c r="E1020" t="str">
        <f>Orders!E1020</f>
        <v>R021</v>
      </c>
      <c r="F1020">
        <f>Orders!F1020</f>
        <v>10</v>
      </c>
      <c r="G1020" s="35">
        <f>Orders!G1020</f>
        <v>3250</v>
      </c>
      <c r="H1020" s="37">
        <f>Orders!H1020</f>
        <v>19.3</v>
      </c>
      <c r="I1020" s="39">
        <f>Orders!I1020</f>
        <v>26227.5</v>
      </c>
      <c r="J1020" t="str">
        <f>Orders!J1020</f>
        <v>Completed</v>
      </c>
      <c r="K1020" t="str">
        <f>Orders!K1020</f>
        <v>Delhi</v>
      </c>
      <c r="L1020" t="str">
        <f>IFERROR(VLOOKUP(D1020,Products!$A$2:$F$61,3,FALSE),"")</f>
        <v>Home</v>
      </c>
      <c r="M1020">
        <f>IFERROR(VLOOKUP(D1020,Products!$A$2:$F$61,4,FALSE),"")</f>
        <v>1556</v>
      </c>
      <c r="N1020" t="str">
        <f>IFERROR(VLOOKUP(E1020,Sales_Reps!$A$2:$E$31,3,FALSE),"")</f>
        <v>East</v>
      </c>
      <c r="O1020" t="str">
        <f>IFERROR(VLOOKUP(C1020,Customers!$A$2:$F$301,5,FALSE),"")</f>
        <v>SMB</v>
      </c>
      <c r="P1020">
        <f>IFERROR(VLOOKUP(C1020,Customers!$A$2:$F$301,3,FALSE),"")</f>
        <v>38</v>
      </c>
      <c r="Q1020" s="41">
        <f t="shared" si="24"/>
        <v>0.52123076923076928</v>
      </c>
      <c r="R1020" t="str">
        <f>IFERROR(VLOOKUP(C1020,Customers!$A$2:$F$301,1,FALSE),"")</f>
        <v>CUST-0181</v>
      </c>
      <c r="S1020" s="27" t="b">
        <f>IFERROR(VLOOKUP(D1020,Products!$A$2:$F$61,6,FALSE),"")</f>
        <v>1</v>
      </c>
      <c r="BL1020">
        <v>0</v>
      </c>
      <c r="BO1020">
        <v>0</v>
      </c>
      <c r="BP1020">
        <v>0</v>
      </c>
    </row>
    <row r="1021" spans="1:68" x14ac:dyDescent="0.35">
      <c r="A1021" s="26" t="str">
        <f>Orders!A1021</f>
        <v>ORD-01020</v>
      </c>
      <c r="B1021" s="33">
        <f>Orders!B1021</f>
        <v>45336</v>
      </c>
      <c r="C1021" t="str">
        <f>Orders!C1021</f>
        <v>CUST-0149</v>
      </c>
      <c r="D1021" t="str">
        <f>Orders!D1021</f>
        <v>PROD-021</v>
      </c>
      <c r="E1021" t="str">
        <f>Orders!E1021</f>
        <v>R014</v>
      </c>
      <c r="F1021">
        <f>Orders!F1021</f>
        <v>7</v>
      </c>
      <c r="G1021" s="35">
        <f>Orders!G1021</f>
        <v>2760</v>
      </c>
      <c r="H1021" s="37">
        <f>Orders!H1021</f>
        <v>23.6</v>
      </c>
      <c r="I1021" s="39">
        <f>Orders!I1021</f>
        <v>14760.48</v>
      </c>
      <c r="J1021" t="str">
        <f>Orders!J1021</f>
        <v>Pending</v>
      </c>
      <c r="K1021" t="str">
        <f>Orders!K1021</f>
        <v>Hyderabad</v>
      </c>
      <c r="L1021" t="str">
        <f>IFERROR(VLOOKUP(D1021,Products!$A$2:$F$61,3,FALSE),"")</f>
        <v>Grocery</v>
      </c>
      <c r="M1021">
        <f>IFERROR(VLOOKUP(D1021,Products!$A$2:$F$61,4,FALSE),"")</f>
        <v>1435</v>
      </c>
      <c r="N1021" t="str">
        <f>IFERROR(VLOOKUP(E1021,Sales_Reps!$A$2:$E$31,3,FALSE),"")</f>
        <v>South</v>
      </c>
      <c r="O1021" t="str">
        <f>IFERROR(VLOOKUP(C1021,Customers!$A$2:$F$301,5,FALSE),"")</f>
        <v>Retail</v>
      </c>
      <c r="P1021">
        <f>IFERROR(VLOOKUP(C1021,Customers!$A$2:$F$301,3,FALSE),"")</f>
        <v>44</v>
      </c>
      <c r="Q1021" s="41">
        <f t="shared" si="24"/>
        <v>0.48007246376811596</v>
      </c>
      <c r="R1021" t="str">
        <f>IFERROR(VLOOKUP(C1021,Customers!$A$2:$F$301,1,FALSE),"")</f>
        <v>CUST-0149</v>
      </c>
      <c r="S1021" s="27" t="b">
        <f>IFERROR(VLOOKUP(D1021,Products!$A$2:$F$61,6,FALSE),"")</f>
        <v>1</v>
      </c>
      <c r="BL1021">
        <v>0</v>
      </c>
      <c r="BO1021">
        <v>0</v>
      </c>
      <c r="BP1021">
        <v>0</v>
      </c>
    </row>
    <row r="1022" spans="1:68" x14ac:dyDescent="0.35">
      <c r="A1022" s="26" t="str">
        <f>Orders!A1022</f>
        <v>ORD-01021</v>
      </c>
      <c r="B1022" s="33">
        <f>Orders!B1022</f>
        <v>45463</v>
      </c>
      <c r="C1022" t="str">
        <f>Orders!C1022</f>
        <v>CUST-0152</v>
      </c>
      <c r="D1022" t="str">
        <f>Orders!D1022</f>
        <v>PROD-003</v>
      </c>
      <c r="E1022" t="str">
        <f>Orders!E1022</f>
        <v>R001</v>
      </c>
      <c r="F1022">
        <f>Orders!F1022</f>
        <v>3</v>
      </c>
      <c r="G1022" s="35">
        <f>Orders!G1022</f>
        <v>3570</v>
      </c>
      <c r="H1022" s="37">
        <f>Orders!H1022</f>
        <v>26.3</v>
      </c>
      <c r="I1022" s="39">
        <f>Orders!I1022</f>
        <v>7893.27</v>
      </c>
      <c r="J1022" t="str">
        <f>Orders!J1022</f>
        <v>Completed</v>
      </c>
      <c r="K1022" t="str">
        <f>Orders!K1022</f>
        <v>Bengaluru</v>
      </c>
      <c r="L1022" t="str">
        <f>IFERROR(VLOOKUP(D1022,Products!$A$2:$F$61,3,FALSE),"")</f>
        <v>Electronics</v>
      </c>
      <c r="M1022">
        <f>IFERROR(VLOOKUP(D1022,Products!$A$2:$F$61,4,FALSE),"")</f>
        <v>1665</v>
      </c>
      <c r="N1022" t="str">
        <f>IFERROR(VLOOKUP(E1022,Sales_Reps!$A$2:$E$31,3,FALSE),"")</f>
        <v>North</v>
      </c>
      <c r="O1022" t="str">
        <f>IFERROR(VLOOKUP(C1022,Customers!$A$2:$F$301,5,FALSE),"")</f>
        <v>SMB</v>
      </c>
      <c r="P1022">
        <f>IFERROR(VLOOKUP(C1022,Customers!$A$2:$F$301,3,FALSE),"")</f>
        <v>64</v>
      </c>
      <c r="Q1022" s="41">
        <f t="shared" si="24"/>
        <v>0.53361344537815125</v>
      </c>
      <c r="R1022" t="str">
        <f>IFERROR(VLOOKUP(C1022,Customers!$A$2:$F$301,1,FALSE),"")</f>
        <v>CUST-0152</v>
      </c>
      <c r="S1022" s="27" t="b">
        <f>IFERROR(VLOOKUP(D1022,Products!$A$2:$F$61,6,FALSE),"")</f>
        <v>1</v>
      </c>
      <c r="BL1022">
        <v>0</v>
      </c>
      <c r="BO1022">
        <v>0</v>
      </c>
      <c r="BP1022">
        <v>0</v>
      </c>
    </row>
    <row r="1023" spans="1:68" x14ac:dyDescent="0.35">
      <c r="A1023" s="26" t="str">
        <f>Orders!A1023</f>
        <v>ORD-01022</v>
      </c>
      <c r="B1023" s="33">
        <f>Orders!B1023</f>
        <v>45392</v>
      </c>
      <c r="C1023" t="str">
        <f>Orders!C1023</f>
        <v>CUST-0085</v>
      </c>
      <c r="D1023" t="str">
        <f>Orders!D1023</f>
        <v>PROD-027</v>
      </c>
      <c r="E1023" t="str">
        <f>Orders!E1023</f>
        <v>R015</v>
      </c>
      <c r="F1023">
        <f>Orders!F1023</f>
        <v>4</v>
      </c>
      <c r="G1023" s="35">
        <f>Orders!G1023</f>
        <v>3780</v>
      </c>
      <c r="H1023" s="37">
        <f>Orders!H1023</f>
        <v>10.1</v>
      </c>
      <c r="I1023" s="39">
        <f>Orders!I1023</f>
        <v>13592.88</v>
      </c>
      <c r="J1023" t="str">
        <f>Orders!J1023</f>
        <v>Completed</v>
      </c>
      <c r="K1023" t="str">
        <f>Orders!K1023</f>
        <v>Chennai</v>
      </c>
      <c r="L1023" t="str">
        <f>IFERROR(VLOOKUP(D1023,Products!$A$2:$F$61,3,FALSE),"")</f>
        <v>Grocery</v>
      </c>
      <c r="M1023">
        <f>IFERROR(VLOOKUP(D1023,Products!$A$2:$F$61,4,FALSE),"")</f>
        <v>2436</v>
      </c>
      <c r="N1023" t="str">
        <f>IFERROR(VLOOKUP(E1023,Sales_Reps!$A$2:$E$31,3,FALSE),"")</f>
        <v>South</v>
      </c>
      <c r="O1023" t="str">
        <f>IFERROR(VLOOKUP(C1023,Customers!$A$2:$F$301,5,FALSE),"")</f>
        <v>Retail</v>
      </c>
      <c r="P1023">
        <f>IFERROR(VLOOKUP(C1023,Customers!$A$2:$F$301,3,FALSE),"")</f>
        <v>26</v>
      </c>
      <c r="Q1023" s="41">
        <f t="shared" si="24"/>
        <v>0.35555555555555557</v>
      </c>
      <c r="R1023" t="str">
        <f>IFERROR(VLOOKUP(C1023,Customers!$A$2:$F$301,1,FALSE),"")</f>
        <v>CUST-0085</v>
      </c>
      <c r="S1023" s="27" t="b">
        <f>IFERROR(VLOOKUP(D1023,Products!$A$2:$F$61,6,FALSE),"")</f>
        <v>1</v>
      </c>
      <c r="BL1023">
        <v>0</v>
      </c>
      <c r="BO1023">
        <v>0</v>
      </c>
      <c r="BP1023">
        <v>0</v>
      </c>
    </row>
    <row r="1024" spans="1:68" x14ac:dyDescent="0.35">
      <c r="A1024" s="26" t="str">
        <f>Orders!A1024</f>
        <v>ORD-01023</v>
      </c>
      <c r="B1024" s="33">
        <f>Orders!B1024</f>
        <v>45600</v>
      </c>
      <c r="C1024" t="str">
        <f>Orders!C1024</f>
        <v>CUST-0231</v>
      </c>
      <c r="D1024" t="str">
        <f>Orders!D1024</f>
        <v>PROD-007</v>
      </c>
      <c r="E1024" t="str">
        <f>Orders!E1024</f>
        <v>R019</v>
      </c>
      <c r="F1024">
        <f>Orders!F1024</f>
        <v>10</v>
      </c>
      <c r="G1024" s="35">
        <f>Orders!G1024</f>
        <v>1430</v>
      </c>
      <c r="H1024" s="37">
        <f>Orders!H1024</f>
        <v>3.7</v>
      </c>
      <c r="I1024" s="39">
        <f>Orders!I1024</f>
        <v>13770.9</v>
      </c>
      <c r="J1024" t="str">
        <f>Orders!J1024</f>
        <v>Completed</v>
      </c>
      <c r="K1024" t="str">
        <f>Orders!K1024</f>
        <v>Chennai</v>
      </c>
      <c r="L1024" t="str">
        <f>IFERROR(VLOOKUP(D1024,Products!$A$2:$F$61,3,FALSE),"")</f>
        <v>Electronics</v>
      </c>
      <c r="M1024">
        <f>IFERROR(VLOOKUP(D1024,Products!$A$2:$F$61,4,FALSE),"")</f>
        <v>861</v>
      </c>
      <c r="N1024" t="str">
        <f>IFERROR(VLOOKUP(E1024,Sales_Reps!$A$2:$E$31,3,FALSE),"")</f>
        <v>East</v>
      </c>
      <c r="O1024" t="str">
        <f>IFERROR(VLOOKUP(C1024,Customers!$A$2:$F$301,5,FALSE),"")</f>
        <v>Retail</v>
      </c>
      <c r="P1024">
        <f>IFERROR(VLOOKUP(C1024,Customers!$A$2:$F$301,3,FALSE),"")</f>
        <v>61</v>
      </c>
      <c r="Q1024" s="41">
        <f t="shared" si="24"/>
        <v>0.39790209790209791</v>
      </c>
      <c r="R1024" t="str">
        <f>IFERROR(VLOOKUP(C1024,Customers!$A$2:$F$301,1,FALSE),"")</f>
        <v>CUST-0231</v>
      </c>
      <c r="S1024" s="27" t="b">
        <f>IFERROR(VLOOKUP(D1024,Products!$A$2:$F$61,6,FALSE),"")</f>
        <v>1</v>
      </c>
      <c r="BL1024">
        <v>0</v>
      </c>
      <c r="BO1024">
        <v>0</v>
      </c>
      <c r="BP1024">
        <v>0</v>
      </c>
    </row>
    <row r="1025" spans="1:68" x14ac:dyDescent="0.35">
      <c r="A1025" s="26" t="str">
        <f>Orders!A1025</f>
        <v>ORD-01024</v>
      </c>
      <c r="B1025" s="33">
        <f>Orders!B1025</f>
        <v>45411</v>
      </c>
      <c r="C1025" t="str">
        <f>Orders!C1025</f>
        <v>CUST-0044</v>
      </c>
      <c r="D1025" t="str">
        <f>Orders!D1025</f>
        <v>PROD-022</v>
      </c>
      <c r="E1025" t="str">
        <f>Orders!E1025</f>
        <v>R011</v>
      </c>
      <c r="F1025">
        <f>Orders!F1025</f>
        <v>6</v>
      </c>
      <c r="G1025" s="35">
        <f>Orders!G1025</f>
        <v>2270</v>
      </c>
      <c r="H1025" s="37">
        <f>Orders!H1025</f>
        <v>7.9</v>
      </c>
      <c r="I1025" s="39">
        <f>Orders!I1025</f>
        <v>12544.02</v>
      </c>
      <c r="J1025" t="str">
        <f>Orders!J1025</f>
        <v>Refunded</v>
      </c>
      <c r="K1025" t="str">
        <f>Orders!K1025</f>
        <v>Hyderabad</v>
      </c>
      <c r="L1025" t="str">
        <f>IFERROR(VLOOKUP(D1025,Products!$A$2:$F$61,3,FALSE),"")</f>
        <v>Grocery</v>
      </c>
      <c r="M1025">
        <f>IFERROR(VLOOKUP(D1025,Products!$A$2:$F$61,4,FALSE),"")</f>
        <v>1412</v>
      </c>
      <c r="N1025" t="str">
        <f>IFERROR(VLOOKUP(E1025,Sales_Reps!$A$2:$E$31,3,FALSE),"")</f>
        <v>South</v>
      </c>
      <c r="O1025" t="str">
        <f>IFERROR(VLOOKUP(C1025,Customers!$A$2:$F$301,5,FALSE),"")</f>
        <v>SMB</v>
      </c>
      <c r="P1025">
        <f>IFERROR(VLOOKUP(C1025,Customers!$A$2:$F$301,3,FALSE),"")</f>
        <v>29</v>
      </c>
      <c r="Q1025" s="41">
        <f t="shared" si="24"/>
        <v>0.37797356828193834</v>
      </c>
      <c r="R1025" t="str">
        <f>IFERROR(VLOOKUP(C1025,Customers!$A$2:$F$301,1,FALSE),"")</f>
        <v>CUST-0044</v>
      </c>
      <c r="S1025" s="27" t="b">
        <f>IFERROR(VLOOKUP(D1025,Products!$A$2:$F$61,6,FALSE),"")</f>
        <v>1</v>
      </c>
      <c r="BL1025">
        <v>0</v>
      </c>
      <c r="BO1025">
        <v>0</v>
      </c>
      <c r="BP1025">
        <v>0</v>
      </c>
    </row>
    <row r="1026" spans="1:68" x14ac:dyDescent="0.35">
      <c r="A1026" s="26" t="str">
        <f>Orders!A1026</f>
        <v>ORD-01025</v>
      </c>
      <c r="B1026" s="33">
        <f>Orders!B1026</f>
        <v>45406</v>
      </c>
      <c r="C1026" t="str">
        <f>Orders!C1026</f>
        <v>CUST-0027</v>
      </c>
      <c r="D1026" t="str">
        <f>Orders!D1026</f>
        <v>PROD-054</v>
      </c>
      <c r="E1026" t="str">
        <f>Orders!E1026</f>
        <v>R013</v>
      </c>
      <c r="F1026">
        <f>Orders!F1026</f>
        <v>1</v>
      </c>
      <c r="G1026" s="35">
        <f>Orders!G1026</f>
        <v>1010</v>
      </c>
      <c r="H1026" s="37">
        <f>Orders!H1026</f>
        <v>6.9</v>
      </c>
      <c r="I1026" s="39">
        <f>Orders!I1026</f>
        <v>940.31</v>
      </c>
      <c r="J1026" t="str">
        <f>Orders!J1026</f>
        <v>Pending</v>
      </c>
      <c r="K1026" t="str">
        <f>Orders!K1026</f>
        <v>Hyderabad</v>
      </c>
      <c r="L1026" t="str">
        <f>IFERROR(VLOOKUP(D1026,Products!$A$2:$F$61,3,FALSE),"")</f>
        <v>Sports</v>
      </c>
      <c r="M1026">
        <f>IFERROR(VLOOKUP(D1026,Products!$A$2:$F$61,4,FALSE),"")</f>
        <v>516</v>
      </c>
      <c r="N1026" t="str">
        <f>IFERROR(VLOOKUP(E1026,Sales_Reps!$A$2:$E$31,3,FALSE),"")</f>
        <v>South</v>
      </c>
      <c r="O1026" t="str">
        <f>IFERROR(VLOOKUP(C1026,Customers!$A$2:$F$301,5,FALSE),"")</f>
        <v>Corporate</v>
      </c>
      <c r="P1026">
        <f>IFERROR(VLOOKUP(C1026,Customers!$A$2:$F$301,3,FALSE),"")</f>
        <v>52</v>
      </c>
      <c r="Q1026" s="41">
        <f t="shared" ref="Q1026:Q1089" si="25">IFERROR((G1026-M1026)/G1026,0)</f>
        <v>0.4891089108910891</v>
      </c>
      <c r="R1026" t="str">
        <f>IFERROR(VLOOKUP(C1026,Customers!$A$2:$F$301,1,FALSE),"")</f>
        <v>CUST-0027</v>
      </c>
      <c r="S1026" s="27" t="b">
        <f>IFERROR(VLOOKUP(D1026,Products!$A$2:$F$61,6,FALSE),"")</f>
        <v>1</v>
      </c>
      <c r="BL1026">
        <v>0</v>
      </c>
      <c r="BO1026">
        <v>0</v>
      </c>
      <c r="BP1026">
        <v>0</v>
      </c>
    </row>
    <row r="1027" spans="1:68" x14ac:dyDescent="0.35">
      <c r="A1027" s="26" t="str">
        <f>Orders!A1027</f>
        <v>ORD-01026</v>
      </c>
      <c r="B1027" s="33">
        <f>Orders!B1027</f>
        <v>45411</v>
      </c>
      <c r="C1027" t="str">
        <f>Orders!C1027</f>
        <v>CUST-0101</v>
      </c>
      <c r="D1027" t="str">
        <f>Orders!D1027</f>
        <v>PROD-055</v>
      </c>
      <c r="E1027" t="str">
        <f>Orders!E1027</f>
        <v>R014</v>
      </c>
      <c r="F1027">
        <f>Orders!F1027</f>
        <v>2</v>
      </c>
      <c r="G1027" s="35">
        <f>Orders!G1027</f>
        <v>2860</v>
      </c>
      <c r="H1027" s="37">
        <f>Orders!H1027</f>
        <v>20.100000000000001</v>
      </c>
      <c r="I1027" s="39">
        <f>Orders!I1027</f>
        <v>4570.28</v>
      </c>
      <c r="J1027" t="str">
        <f>Orders!J1027</f>
        <v>Completed</v>
      </c>
      <c r="K1027" t="str">
        <f>Orders!K1027</f>
        <v>Hyderabad</v>
      </c>
      <c r="L1027" t="str">
        <f>IFERROR(VLOOKUP(D1027,Products!$A$2:$F$61,3,FALSE),"")</f>
        <v>Sports</v>
      </c>
      <c r="M1027">
        <f>IFERROR(VLOOKUP(D1027,Products!$A$2:$F$61,4,FALSE),"")</f>
        <v>2028</v>
      </c>
      <c r="N1027" t="str">
        <f>IFERROR(VLOOKUP(E1027,Sales_Reps!$A$2:$E$31,3,FALSE),"")</f>
        <v>South</v>
      </c>
      <c r="O1027" t="str">
        <f>IFERROR(VLOOKUP(C1027,Customers!$A$2:$F$301,5,FALSE),"")</f>
        <v>SMB</v>
      </c>
      <c r="P1027">
        <f>IFERROR(VLOOKUP(C1027,Customers!$A$2:$F$301,3,FALSE),"")</f>
        <v>40</v>
      </c>
      <c r="Q1027" s="41">
        <f t="shared" si="25"/>
        <v>0.29090909090909089</v>
      </c>
      <c r="R1027" t="str">
        <f>IFERROR(VLOOKUP(C1027,Customers!$A$2:$F$301,1,FALSE),"")</f>
        <v>CUST-0101</v>
      </c>
      <c r="S1027" s="27" t="b">
        <f>IFERROR(VLOOKUP(D1027,Products!$A$2:$F$61,6,FALSE),"")</f>
        <v>1</v>
      </c>
      <c r="BL1027">
        <v>0</v>
      </c>
      <c r="BO1027">
        <v>0</v>
      </c>
      <c r="BP1027">
        <v>0</v>
      </c>
    </row>
    <row r="1028" spans="1:68" x14ac:dyDescent="0.35">
      <c r="A1028" s="26" t="str">
        <f>Orders!A1028</f>
        <v>ORD-01027</v>
      </c>
      <c r="B1028" s="33">
        <f>Orders!B1028</f>
        <v>45461</v>
      </c>
      <c r="C1028" t="str">
        <f>Orders!C1028</f>
        <v>CUST-0123</v>
      </c>
      <c r="D1028" t="str">
        <f>Orders!D1028</f>
        <v>PROD-002</v>
      </c>
      <c r="E1028" t="str">
        <f>Orders!E1028</f>
        <v>R019</v>
      </c>
      <c r="F1028">
        <f>Orders!F1028</f>
        <v>9</v>
      </c>
      <c r="G1028" s="35">
        <f>Orders!G1028</f>
        <v>2600</v>
      </c>
      <c r="H1028" s="37">
        <f>Orders!H1028</f>
        <v>15.9</v>
      </c>
      <c r="I1028" s="39">
        <f>Orders!I1028</f>
        <v>19679.400000000001</v>
      </c>
      <c r="J1028" t="str">
        <f>Orders!J1028</f>
        <v>Cancelled</v>
      </c>
      <c r="K1028" t="str">
        <f>Orders!K1028</f>
        <v>Chennai</v>
      </c>
      <c r="L1028" t="str">
        <f>IFERROR(VLOOKUP(D1028,Products!$A$2:$F$61,3,FALSE),"")</f>
        <v>Electronics</v>
      </c>
      <c r="M1028">
        <f>IFERROR(VLOOKUP(D1028,Products!$A$2:$F$61,4,FALSE),"")</f>
        <v>1052</v>
      </c>
      <c r="N1028" t="str">
        <f>IFERROR(VLOOKUP(E1028,Sales_Reps!$A$2:$E$31,3,FALSE),"")</f>
        <v>East</v>
      </c>
      <c r="O1028" t="str">
        <f>IFERROR(VLOOKUP(C1028,Customers!$A$2:$F$301,5,FALSE),"")</f>
        <v>Corporate</v>
      </c>
      <c r="P1028">
        <f>IFERROR(VLOOKUP(C1028,Customers!$A$2:$F$301,3,FALSE),"")</f>
        <v>44</v>
      </c>
      <c r="Q1028" s="41">
        <f t="shared" si="25"/>
        <v>0.5953846153846154</v>
      </c>
      <c r="R1028" t="str">
        <f>IFERROR(VLOOKUP(C1028,Customers!$A$2:$F$301,1,FALSE),"")</f>
        <v>CUST-0123</v>
      </c>
      <c r="S1028" s="27" t="b">
        <f>IFERROR(VLOOKUP(D1028,Products!$A$2:$F$61,6,FALSE),"")</f>
        <v>1</v>
      </c>
      <c r="BL1028">
        <v>0</v>
      </c>
      <c r="BO1028">
        <v>0</v>
      </c>
      <c r="BP1028">
        <v>0</v>
      </c>
    </row>
    <row r="1029" spans="1:68" x14ac:dyDescent="0.35">
      <c r="A1029" s="26" t="str">
        <f>Orders!A1029</f>
        <v>ORD-01028</v>
      </c>
      <c r="B1029" s="33">
        <f>Orders!B1029</f>
        <v>45409</v>
      </c>
      <c r="C1029" t="str">
        <f>Orders!C1029</f>
        <v>CUST-0124</v>
      </c>
      <c r="D1029" t="str">
        <f>Orders!D1029</f>
        <v>PROD-053</v>
      </c>
      <c r="E1029" t="str">
        <f>Orders!E1029</f>
        <v>R024</v>
      </c>
      <c r="F1029">
        <f>Orders!F1029</f>
        <v>10</v>
      </c>
      <c r="G1029" s="35">
        <f>Orders!G1029</f>
        <v>470</v>
      </c>
      <c r="H1029" s="37">
        <f>Orders!H1029</f>
        <v>23.1</v>
      </c>
      <c r="I1029" s="39">
        <f>Orders!I1029</f>
        <v>3614.3</v>
      </c>
      <c r="J1029" t="str">
        <f>Orders!J1029</f>
        <v>Pending</v>
      </c>
      <c r="K1029" t="str">
        <f>Orders!K1029</f>
        <v>Pune</v>
      </c>
      <c r="L1029" t="str">
        <f>IFERROR(VLOOKUP(D1029,Products!$A$2:$F$61,3,FALSE),"")</f>
        <v>Sports</v>
      </c>
      <c r="M1029">
        <f>IFERROR(VLOOKUP(D1029,Products!$A$2:$F$61,4,FALSE),"")</f>
        <v>302</v>
      </c>
      <c r="N1029" t="str">
        <f>IFERROR(VLOOKUP(E1029,Sales_Reps!$A$2:$E$31,3,FALSE),"")</f>
        <v>West</v>
      </c>
      <c r="O1029" t="str">
        <f>IFERROR(VLOOKUP(C1029,Customers!$A$2:$F$301,5,FALSE),"")</f>
        <v>Retail</v>
      </c>
      <c r="P1029">
        <f>IFERROR(VLOOKUP(C1029,Customers!$A$2:$F$301,3,FALSE),"")</f>
        <v>57</v>
      </c>
      <c r="Q1029" s="41">
        <f t="shared" si="25"/>
        <v>0.35744680851063831</v>
      </c>
      <c r="R1029" t="str">
        <f>IFERROR(VLOOKUP(C1029,Customers!$A$2:$F$301,1,FALSE),"")</f>
        <v>CUST-0124</v>
      </c>
      <c r="S1029" s="27" t="b">
        <f>IFERROR(VLOOKUP(D1029,Products!$A$2:$F$61,6,FALSE),"")</f>
        <v>0</v>
      </c>
      <c r="BL1029">
        <v>0</v>
      </c>
      <c r="BO1029">
        <v>0</v>
      </c>
      <c r="BP1029">
        <v>1</v>
      </c>
    </row>
    <row r="1030" spans="1:68" x14ac:dyDescent="0.35">
      <c r="A1030" s="26" t="str">
        <f>Orders!A1030</f>
        <v>ORD-01029</v>
      </c>
      <c r="B1030" s="33">
        <f>Orders!B1030</f>
        <v>45495</v>
      </c>
      <c r="C1030" t="str">
        <f>Orders!C1030</f>
        <v>CUST-0159</v>
      </c>
      <c r="D1030" t="str">
        <f>Orders!D1030</f>
        <v>PROD-037</v>
      </c>
      <c r="E1030" t="str">
        <f>Orders!E1030</f>
        <v>R013</v>
      </c>
      <c r="F1030">
        <f>Orders!F1030</f>
        <v>10</v>
      </c>
      <c r="G1030" s="35">
        <f>Orders!G1030</f>
        <v>660</v>
      </c>
      <c r="H1030" s="37">
        <f>Orders!H1030</f>
        <v>9.4</v>
      </c>
      <c r="I1030" s="39">
        <f>Orders!I1030</f>
        <v>5979.6</v>
      </c>
      <c r="J1030" t="str">
        <f>Orders!J1030</f>
        <v>Completed</v>
      </c>
      <c r="K1030" t="str">
        <f>Orders!K1030</f>
        <v>Hyderabad</v>
      </c>
      <c r="L1030" t="str">
        <f>IFERROR(VLOOKUP(D1030,Products!$A$2:$F$61,3,FALSE),"")</f>
        <v>Home</v>
      </c>
      <c r="M1030">
        <f>IFERROR(VLOOKUP(D1030,Products!$A$2:$F$61,4,FALSE),"")</f>
        <v>329</v>
      </c>
      <c r="N1030" t="str">
        <f>IFERROR(VLOOKUP(E1030,Sales_Reps!$A$2:$E$31,3,FALSE),"")</f>
        <v>South</v>
      </c>
      <c r="O1030" t="str">
        <f>IFERROR(VLOOKUP(C1030,Customers!$A$2:$F$301,5,FALSE),"")</f>
        <v>Retail</v>
      </c>
      <c r="P1030">
        <f>IFERROR(VLOOKUP(C1030,Customers!$A$2:$F$301,3,FALSE),"")</f>
        <v>32</v>
      </c>
      <c r="Q1030" s="41">
        <f t="shared" si="25"/>
        <v>0.50151515151515147</v>
      </c>
      <c r="R1030" t="str">
        <f>IFERROR(VLOOKUP(C1030,Customers!$A$2:$F$301,1,FALSE),"")</f>
        <v>CUST-0159</v>
      </c>
      <c r="S1030" s="27" t="b">
        <f>IFERROR(VLOOKUP(D1030,Products!$A$2:$F$61,6,FALSE),"")</f>
        <v>1</v>
      </c>
      <c r="BL1030">
        <v>0</v>
      </c>
      <c r="BO1030">
        <v>0</v>
      </c>
      <c r="BP1030">
        <v>0</v>
      </c>
    </row>
    <row r="1031" spans="1:68" x14ac:dyDescent="0.35">
      <c r="A1031" s="26" t="str">
        <f>Orders!A1031</f>
        <v>ORD-01030</v>
      </c>
      <c r="B1031" s="33">
        <f>Orders!B1031</f>
        <v>45307</v>
      </c>
      <c r="C1031" t="str">
        <f>Orders!C1031</f>
        <v>CUST-0087</v>
      </c>
      <c r="D1031" t="str">
        <f>Orders!D1031</f>
        <v>PROD-009</v>
      </c>
      <c r="E1031" t="str">
        <f>Orders!E1031</f>
        <v>R023</v>
      </c>
      <c r="F1031">
        <f>Orders!F1031</f>
        <v>5</v>
      </c>
      <c r="G1031" s="35">
        <f>Orders!G1031</f>
        <v>1220</v>
      </c>
      <c r="H1031" s="37">
        <f>Orders!H1031</f>
        <v>23.3</v>
      </c>
      <c r="I1031" s="39">
        <f>Orders!I1031</f>
        <v>4678.7</v>
      </c>
      <c r="J1031" t="str">
        <f>Orders!J1031</f>
        <v>Completed</v>
      </c>
      <c r="K1031" t="str">
        <f>Orders!K1031</f>
        <v>Pune</v>
      </c>
      <c r="L1031" t="str">
        <f>IFERROR(VLOOKUP(D1031,Products!$A$2:$F$61,3,FALSE),"")</f>
        <v>Electronics</v>
      </c>
      <c r="M1031">
        <f>IFERROR(VLOOKUP(D1031,Products!$A$2:$F$61,4,FALSE),"")</f>
        <v>517</v>
      </c>
      <c r="N1031" t="str">
        <f>IFERROR(VLOOKUP(E1031,Sales_Reps!$A$2:$E$31,3,FALSE),"")</f>
        <v>East</v>
      </c>
      <c r="O1031" t="str">
        <f>IFERROR(VLOOKUP(C1031,Customers!$A$2:$F$301,5,FALSE),"")</f>
        <v>SMB</v>
      </c>
      <c r="P1031">
        <f>IFERROR(VLOOKUP(C1031,Customers!$A$2:$F$301,3,FALSE),"")</f>
        <v>49</v>
      </c>
      <c r="Q1031" s="41">
        <f t="shared" si="25"/>
        <v>0.57622950819672136</v>
      </c>
      <c r="R1031" t="str">
        <f>IFERROR(VLOOKUP(C1031,Customers!$A$2:$F$301,1,FALSE),"")</f>
        <v>CUST-0087</v>
      </c>
      <c r="S1031" s="27" t="b">
        <f>IFERROR(VLOOKUP(D1031,Products!$A$2:$F$61,6,FALSE),"")</f>
        <v>1</v>
      </c>
      <c r="BL1031">
        <v>0</v>
      </c>
      <c r="BO1031">
        <v>0</v>
      </c>
      <c r="BP1031">
        <v>0</v>
      </c>
    </row>
    <row r="1032" spans="1:68" x14ac:dyDescent="0.35">
      <c r="A1032" s="26" t="str">
        <f>Orders!A1032</f>
        <v>ORD-01031</v>
      </c>
      <c r="B1032" s="33">
        <f>Orders!B1032</f>
        <v>45294</v>
      </c>
      <c r="C1032" t="str">
        <f>Orders!C1032</f>
        <v>CUST-0295</v>
      </c>
      <c r="D1032" t="str">
        <f>Orders!D1032</f>
        <v>PROD-036</v>
      </c>
      <c r="E1032" t="str">
        <f>Orders!E1032</f>
        <v>R011</v>
      </c>
      <c r="F1032">
        <f>Orders!F1032</f>
        <v>9</v>
      </c>
      <c r="G1032" s="35">
        <f>Orders!G1032</f>
        <v>3250</v>
      </c>
      <c r="H1032" s="37">
        <f>Orders!H1032</f>
        <v>19.600000000000001</v>
      </c>
      <c r="I1032" s="39">
        <f>Orders!I1032</f>
        <v>23517</v>
      </c>
      <c r="J1032" t="str">
        <f>Orders!J1032</f>
        <v>Pending</v>
      </c>
      <c r="K1032" t="str">
        <f>Orders!K1032</f>
        <v>Delhi</v>
      </c>
      <c r="L1032" t="str">
        <f>IFERROR(VLOOKUP(D1032,Products!$A$2:$F$61,3,FALSE),"")</f>
        <v>Home</v>
      </c>
      <c r="M1032">
        <f>IFERROR(VLOOKUP(D1032,Products!$A$2:$F$61,4,FALSE),"")</f>
        <v>1556</v>
      </c>
      <c r="N1032" t="str">
        <f>IFERROR(VLOOKUP(E1032,Sales_Reps!$A$2:$E$31,3,FALSE),"")</f>
        <v>South</v>
      </c>
      <c r="O1032" t="str">
        <f>IFERROR(VLOOKUP(C1032,Customers!$A$2:$F$301,5,FALSE),"")</f>
        <v>SMB</v>
      </c>
      <c r="P1032">
        <f>IFERROR(VLOOKUP(C1032,Customers!$A$2:$F$301,3,FALSE),"")</f>
        <v>48</v>
      </c>
      <c r="Q1032" s="41">
        <f t="shared" si="25"/>
        <v>0.52123076923076928</v>
      </c>
      <c r="R1032" t="str">
        <f>IFERROR(VLOOKUP(C1032,Customers!$A$2:$F$301,1,FALSE),"")</f>
        <v>CUST-0295</v>
      </c>
      <c r="S1032" s="27" t="b">
        <f>IFERROR(VLOOKUP(D1032,Products!$A$2:$F$61,6,FALSE),"")</f>
        <v>1</v>
      </c>
      <c r="BL1032">
        <v>0</v>
      </c>
      <c r="BO1032">
        <v>0</v>
      </c>
      <c r="BP1032">
        <v>0</v>
      </c>
    </row>
    <row r="1033" spans="1:68" x14ac:dyDescent="0.35">
      <c r="A1033" s="26" t="str">
        <f>Orders!A1033</f>
        <v>ORD-01032</v>
      </c>
      <c r="B1033" s="33">
        <f>Orders!B1033</f>
        <v>45542</v>
      </c>
      <c r="C1033" t="str">
        <f>Orders!C1033</f>
        <v>CUST-0211</v>
      </c>
      <c r="D1033" t="str">
        <f>Orders!D1033</f>
        <v>PROD-016</v>
      </c>
      <c r="E1033" t="str">
        <f>Orders!E1033</f>
        <v>R018</v>
      </c>
      <c r="F1033">
        <f>Orders!F1033</f>
        <v>7</v>
      </c>
      <c r="G1033" s="35">
        <f>Orders!G1033</f>
        <v>620</v>
      </c>
      <c r="H1033" s="37">
        <f>Orders!H1033</f>
        <v>29</v>
      </c>
      <c r="I1033" s="39">
        <f>Orders!I1033</f>
        <v>3081.4</v>
      </c>
      <c r="J1033" t="str">
        <f>Orders!J1033</f>
        <v>Completed</v>
      </c>
      <c r="K1033" t="str">
        <f>Orders!K1033</f>
        <v>Bengaluru</v>
      </c>
      <c r="L1033" t="str">
        <f>IFERROR(VLOOKUP(D1033,Products!$A$2:$F$61,3,FALSE),"")</f>
        <v>Apparel</v>
      </c>
      <c r="M1033">
        <f>IFERROR(VLOOKUP(D1033,Products!$A$2:$F$61,4,FALSE),"")</f>
        <v>396</v>
      </c>
      <c r="N1033" t="str">
        <f>IFERROR(VLOOKUP(E1033,Sales_Reps!$A$2:$E$31,3,FALSE),"")</f>
        <v>East</v>
      </c>
      <c r="O1033" t="str">
        <f>IFERROR(VLOOKUP(C1033,Customers!$A$2:$F$301,5,FALSE),"")</f>
        <v>Retail</v>
      </c>
      <c r="P1033">
        <f>IFERROR(VLOOKUP(C1033,Customers!$A$2:$F$301,3,FALSE),"")</f>
        <v>36</v>
      </c>
      <c r="Q1033" s="41">
        <f t="shared" si="25"/>
        <v>0.36129032258064514</v>
      </c>
      <c r="R1033" t="str">
        <f>IFERROR(VLOOKUP(C1033,Customers!$A$2:$F$301,1,FALSE),"")</f>
        <v>CUST-0211</v>
      </c>
      <c r="S1033" s="27" t="b">
        <f>IFERROR(VLOOKUP(D1033,Products!$A$2:$F$61,6,FALSE),"")</f>
        <v>1</v>
      </c>
      <c r="BL1033">
        <v>0</v>
      </c>
      <c r="BO1033">
        <v>0</v>
      </c>
      <c r="BP1033">
        <v>0</v>
      </c>
    </row>
    <row r="1034" spans="1:68" x14ac:dyDescent="0.35">
      <c r="A1034" s="26" t="str">
        <f>Orders!A1034</f>
        <v>ORD-01033</v>
      </c>
      <c r="B1034" s="33">
        <f>Orders!B1034</f>
        <v>45453</v>
      </c>
      <c r="C1034" t="str">
        <f>Orders!C1034</f>
        <v>CUST-0265</v>
      </c>
      <c r="D1034" t="str">
        <f>Orders!D1034</f>
        <v>PROD-026</v>
      </c>
      <c r="E1034" t="str">
        <f>Orders!E1034</f>
        <v>R006</v>
      </c>
      <c r="F1034">
        <f>Orders!F1034</f>
        <v>9</v>
      </c>
      <c r="G1034" s="35">
        <f>Orders!G1034</f>
        <v>4070</v>
      </c>
      <c r="H1034" s="37">
        <f>Orders!H1034</f>
        <v>16.2</v>
      </c>
      <c r="I1034" s="39">
        <f>Orders!I1034</f>
        <v>30695.94</v>
      </c>
      <c r="J1034" t="str">
        <f>Orders!J1034</f>
        <v>Completed</v>
      </c>
      <c r="K1034" t="str">
        <f>Orders!K1034</f>
        <v>Chennai</v>
      </c>
      <c r="L1034" t="str">
        <f>IFERROR(VLOOKUP(D1034,Products!$A$2:$F$61,3,FALSE),"")</f>
        <v>Grocery</v>
      </c>
      <c r="M1034">
        <f>IFERROR(VLOOKUP(D1034,Products!$A$2:$F$61,4,FALSE),"")</f>
        <v>2027</v>
      </c>
      <c r="N1034" t="str">
        <f>IFERROR(VLOOKUP(E1034,Sales_Reps!$A$2:$E$31,3,FALSE),"")</f>
        <v>North</v>
      </c>
      <c r="O1034" t="str">
        <f>IFERROR(VLOOKUP(C1034,Customers!$A$2:$F$301,5,FALSE),"")</f>
        <v>Retail</v>
      </c>
      <c r="P1034">
        <f>IFERROR(VLOOKUP(C1034,Customers!$A$2:$F$301,3,FALSE),"")</f>
        <v>49</v>
      </c>
      <c r="Q1034" s="41">
        <f t="shared" si="25"/>
        <v>0.50196560196560192</v>
      </c>
      <c r="R1034" t="str">
        <f>IFERROR(VLOOKUP(C1034,Customers!$A$2:$F$301,1,FALSE),"")</f>
        <v>CUST-0265</v>
      </c>
      <c r="S1034" s="27" t="b">
        <f>IFERROR(VLOOKUP(D1034,Products!$A$2:$F$61,6,FALSE),"")</f>
        <v>1</v>
      </c>
      <c r="BL1034">
        <v>0</v>
      </c>
      <c r="BO1034">
        <v>0</v>
      </c>
      <c r="BP1034">
        <v>0</v>
      </c>
    </row>
    <row r="1035" spans="1:68" x14ac:dyDescent="0.35">
      <c r="A1035" s="26" t="str">
        <f>Orders!A1035</f>
        <v>ORD-01034</v>
      </c>
      <c r="B1035" s="33">
        <f>Orders!B1035</f>
        <v>45351</v>
      </c>
      <c r="C1035" t="str">
        <f>Orders!C1035</f>
        <v>CUST-0252</v>
      </c>
      <c r="D1035" t="str">
        <f>Orders!D1035</f>
        <v>PROD-012</v>
      </c>
      <c r="E1035" t="str">
        <f>Orders!E1035</f>
        <v>R007</v>
      </c>
      <c r="F1035">
        <f>Orders!F1035</f>
        <v>8</v>
      </c>
      <c r="G1035" s="35">
        <f>Orders!G1035</f>
        <v>3160</v>
      </c>
      <c r="H1035" s="37">
        <f>Orders!H1035</f>
        <v>23.8</v>
      </c>
      <c r="I1035" s="39">
        <f>Orders!I1035</f>
        <v>19263.36</v>
      </c>
      <c r="J1035" t="str">
        <f>Orders!J1035</f>
        <v>Completed</v>
      </c>
      <c r="K1035" t="str">
        <f>Orders!K1035</f>
        <v>Bengaluru</v>
      </c>
      <c r="L1035" t="str">
        <f>IFERROR(VLOOKUP(D1035,Products!$A$2:$F$61,3,FALSE),"")</f>
        <v>Apparel</v>
      </c>
      <c r="M1035">
        <f>IFERROR(VLOOKUP(D1035,Products!$A$2:$F$61,4,FALSE),"")</f>
        <v>1886</v>
      </c>
      <c r="N1035" t="str">
        <f>IFERROR(VLOOKUP(E1035,Sales_Reps!$A$2:$E$31,3,FALSE),"")</f>
        <v>North</v>
      </c>
      <c r="O1035" t="str">
        <f>IFERROR(VLOOKUP(C1035,Customers!$A$2:$F$301,5,FALSE),"")</f>
        <v>Retail</v>
      </c>
      <c r="P1035">
        <f>IFERROR(VLOOKUP(C1035,Customers!$A$2:$F$301,3,FALSE),"")</f>
        <v>27</v>
      </c>
      <c r="Q1035" s="41">
        <f t="shared" si="25"/>
        <v>0.4031645569620253</v>
      </c>
      <c r="R1035" t="str">
        <f>IFERROR(VLOOKUP(C1035,Customers!$A$2:$F$301,1,FALSE),"")</f>
        <v>CUST-0252</v>
      </c>
      <c r="S1035" s="27" t="b">
        <f>IFERROR(VLOOKUP(D1035,Products!$A$2:$F$61,6,FALSE),"")</f>
        <v>1</v>
      </c>
      <c r="BL1035">
        <v>0</v>
      </c>
      <c r="BO1035">
        <v>0</v>
      </c>
      <c r="BP1035">
        <v>0</v>
      </c>
    </row>
    <row r="1036" spans="1:68" x14ac:dyDescent="0.35">
      <c r="A1036" s="26" t="str">
        <f>Orders!A1036</f>
        <v>ORD-01035</v>
      </c>
      <c r="B1036" s="33">
        <f>Orders!B1036</f>
        <v>45422</v>
      </c>
      <c r="C1036" t="str">
        <f>Orders!C1036</f>
        <v>CUST-0180</v>
      </c>
      <c r="D1036" t="str">
        <f>Orders!D1036</f>
        <v>PROD-029</v>
      </c>
      <c r="E1036" t="str">
        <f>Orders!E1036</f>
        <v>R022</v>
      </c>
      <c r="F1036">
        <f>Orders!F1036</f>
        <v>3</v>
      </c>
      <c r="G1036" s="35">
        <f>Orders!G1036</f>
        <v>2210</v>
      </c>
      <c r="H1036" s="37">
        <f>Orders!H1036</f>
        <v>29.7</v>
      </c>
      <c r="I1036" s="39">
        <f>Orders!I1036</f>
        <v>4660.8900000000003</v>
      </c>
      <c r="J1036" t="str">
        <f>Orders!J1036</f>
        <v>Completed</v>
      </c>
      <c r="K1036" t="str">
        <f>Orders!K1036</f>
        <v>Chennai</v>
      </c>
      <c r="L1036" t="str">
        <f>IFERROR(VLOOKUP(D1036,Products!$A$2:$F$61,3,FALSE),"")</f>
        <v>Grocery</v>
      </c>
      <c r="M1036">
        <f>IFERROR(VLOOKUP(D1036,Products!$A$2:$F$61,4,FALSE),"")</f>
        <v>1010</v>
      </c>
      <c r="N1036" t="str">
        <f>IFERROR(VLOOKUP(E1036,Sales_Reps!$A$2:$E$31,3,FALSE),"")</f>
        <v>East</v>
      </c>
      <c r="O1036" t="str">
        <f>IFERROR(VLOOKUP(C1036,Customers!$A$2:$F$301,5,FALSE),"")</f>
        <v>Retail</v>
      </c>
      <c r="P1036">
        <f>IFERROR(VLOOKUP(C1036,Customers!$A$2:$F$301,3,FALSE),"")</f>
        <v>36</v>
      </c>
      <c r="Q1036" s="41">
        <f t="shared" si="25"/>
        <v>0.54298642533936647</v>
      </c>
      <c r="R1036" t="str">
        <f>IFERROR(VLOOKUP(C1036,Customers!$A$2:$F$301,1,FALSE),"")</f>
        <v>CUST-0180</v>
      </c>
      <c r="S1036" s="27" t="b">
        <f>IFERROR(VLOOKUP(D1036,Products!$A$2:$F$61,6,FALSE),"")</f>
        <v>1</v>
      </c>
      <c r="BL1036">
        <v>0</v>
      </c>
      <c r="BO1036">
        <v>0</v>
      </c>
      <c r="BP1036">
        <v>0</v>
      </c>
    </row>
    <row r="1037" spans="1:68" x14ac:dyDescent="0.35">
      <c r="A1037" s="26" t="str">
        <f>Orders!A1037</f>
        <v>ORD-01036</v>
      </c>
      <c r="B1037" s="33">
        <f>Orders!B1037</f>
        <v>45361</v>
      </c>
      <c r="C1037" t="str">
        <f>Orders!C1037</f>
        <v>CUST-0231</v>
      </c>
      <c r="D1037" t="str">
        <f>Orders!D1037</f>
        <v>PROD-053</v>
      </c>
      <c r="E1037" t="str">
        <f>Orders!E1037</f>
        <v>R025</v>
      </c>
      <c r="F1037">
        <f>Orders!F1037</f>
        <v>9</v>
      </c>
      <c r="G1037" s="35">
        <f>Orders!G1037</f>
        <v>470</v>
      </c>
      <c r="H1037" s="37">
        <f>Orders!H1037</f>
        <v>27.1</v>
      </c>
      <c r="I1037" s="39">
        <f>Orders!I1037</f>
        <v>3083.67</v>
      </c>
      <c r="J1037" t="str">
        <f>Orders!J1037</f>
        <v>Completed</v>
      </c>
      <c r="K1037" t="str">
        <f>Orders!K1037</f>
        <v>Chennai</v>
      </c>
      <c r="L1037" t="str">
        <f>IFERROR(VLOOKUP(D1037,Products!$A$2:$F$61,3,FALSE),"")</f>
        <v>Sports</v>
      </c>
      <c r="M1037">
        <f>IFERROR(VLOOKUP(D1037,Products!$A$2:$F$61,4,FALSE),"")</f>
        <v>302</v>
      </c>
      <c r="N1037" t="str">
        <f>IFERROR(VLOOKUP(E1037,Sales_Reps!$A$2:$E$31,3,FALSE),"")</f>
        <v>West</v>
      </c>
      <c r="O1037" t="str">
        <f>IFERROR(VLOOKUP(C1037,Customers!$A$2:$F$301,5,FALSE),"")</f>
        <v>Retail</v>
      </c>
      <c r="P1037">
        <f>IFERROR(VLOOKUP(C1037,Customers!$A$2:$F$301,3,FALSE),"")</f>
        <v>61</v>
      </c>
      <c r="Q1037" s="41">
        <f t="shared" si="25"/>
        <v>0.35744680851063831</v>
      </c>
      <c r="R1037" t="str">
        <f>IFERROR(VLOOKUP(C1037,Customers!$A$2:$F$301,1,FALSE),"")</f>
        <v>CUST-0231</v>
      </c>
      <c r="S1037" s="27" t="b">
        <f>IFERROR(VLOOKUP(D1037,Products!$A$2:$F$61,6,FALSE),"")</f>
        <v>0</v>
      </c>
      <c r="BL1037">
        <v>0</v>
      </c>
      <c r="BO1037">
        <v>0</v>
      </c>
      <c r="BP1037">
        <v>1</v>
      </c>
    </row>
    <row r="1038" spans="1:68" x14ac:dyDescent="0.35">
      <c r="A1038" s="26" t="str">
        <f>Orders!A1038</f>
        <v>ORD-01037</v>
      </c>
      <c r="B1038" s="33">
        <f>Orders!B1038</f>
        <v>45622</v>
      </c>
      <c r="C1038" t="str">
        <f>Orders!C1038</f>
        <v>CUST-0161</v>
      </c>
      <c r="D1038" t="str">
        <f>Orders!D1038</f>
        <v>PROD-032</v>
      </c>
      <c r="E1038" t="str">
        <f>Orders!E1038</f>
        <v>R020</v>
      </c>
      <c r="F1038">
        <f>Orders!F1038</f>
        <v>6</v>
      </c>
      <c r="G1038" s="35">
        <f>Orders!G1038</f>
        <v>370</v>
      </c>
      <c r="H1038" s="37">
        <f>Orders!H1038</f>
        <v>5.4</v>
      </c>
      <c r="I1038" s="39">
        <f>Orders!I1038</f>
        <v>2100.12</v>
      </c>
      <c r="J1038" t="str">
        <f>Orders!J1038</f>
        <v>Completed</v>
      </c>
      <c r="K1038" t="str">
        <f>Orders!K1038</f>
        <v>Chennai</v>
      </c>
      <c r="L1038" t="str">
        <f>IFERROR(VLOOKUP(D1038,Products!$A$2:$F$61,3,FALSE),"")</f>
        <v>Home</v>
      </c>
      <c r="M1038">
        <f>IFERROR(VLOOKUP(D1038,Products!$A$2:$F$61,4,FALSE),"")</f>
        <v>288</v>
      </c>
      <c r="N1038" t="str">
        <f>IFERROR(VLOOKUP(E1038,Sales_Reps!$A$2:$E$31,3,FALSE),"")</f>
        <v>East</v>
      </c>
      <c r="O1038" t="str">
        <f>IFERROR(VLOOKUP(C1038,Customers!$A$2:$F$301,5,FALSE),"")</f>
        <v>Retail</v>
      </c>
      <c r="P1038">
        <f>IFERROR(VLOOKUP(C1038,Customers!$A$2:$F$301,3,FALSE),"")</f>
        <v>38</v>
      </c>
      <c r="Q1038" s="41">
        <f t="shared" si="25"/>
        <v>0.22162162162162163</v>
      </c>
      <c r="R1038" t="str">
        <f>IFERROR(VLOOKUP(C1038,Customers!$A$2:$F$301,1,FALSE),"")</f>
        <v>CUST-0161</v>
      </c>
      <c r="S1038" s="27" t="b">
        <f>IFERROR(VLOOKUP(D1038,Products!$A$2:$F$61,6,FALSE),"")</f>
        <v>1</v>
      </c>
      <c r="BL1038">
        <v>0</v>
      </c>
      <c r="BO1038">
        <v>0</v>
      </c>
      <c r="BP1038">
        <v>0</v>
      </c>
    </row>
    <row r="1039" spans="1:68" x14ac:dyDescent="0.35">
      <c r="A1039" s="26" t="str">
        <f>Orders!A1039</f>
        <v>ORD-01038</v>
      </c>
      <c r="B1039" s="33">
        <f>Orders!B1039</f>
        <v>45496</v>
      </c>
      <c r="C1039" t="str">
        <f>Orders!C1039</f>
        <v>CUST-0249</v>
      </c>
      <c r="D1039" t="str">
        <f>Orders!D1039</f>
        <v>PROD-059</v>
      </c>
      <c r="E1039" t="str">
        <f>Orders!E1039</f>
        <v>R018</v>
      </c>
      <c r="F1039">
        <f>Orders!F1039</f>
        <v>10</v>
      </c>
      <c r="G1039" s="35">
        <f>Orders!G1039</f>
        <v>3780</v>
      </c>
      <c r="H1039" s="37">
        <f>Orders!H1039</f>
        <v>21.5</v>
      </c>
      <c r="I1039" s="39">
        <f>Orders!I1039</f>
        <v>29673</v>
      </c>
      <c r="J1039" t="str">
        <f>Orders!J1039</f>
        <v>Pending</v>
      </c>
      <c r="K1039" t="str">
        <f>Orders!K1039</f>
        <v>Mumbai</v>
      </c>
      <c r="L1039" t="str">
        <f>IFERROR(VLOOKUP(D1039,Products!$A$2:$F$61,3,FALSE),"")</f>
        <v>Sports</v>
      </c>
      <c r="M1039">
        <f>IFERROR(VLOOKUP(D1039,Products!$A$2:$F$61,4,FALSE),"")</f>
        <v>1860</v>
      </c>
      <c r="N1039" t="str">
        <f>IFERROR(VLOOKUP(E1039,Sales_Reps!$A$2:$E$31,3,FALSE),"")</f>
        <v>East</v>
      </c>
      <c r="O1039" t="str">
        <f>IFERROR(VLOOKUP(C1039,Customers!$A$2:$F$301,5,FALSE),"")</f>
        <v>Retail</v>
      </c>
      <c r="P1039">
        <f>IFERROR(VLOOKUP(C1039,Customers!$A$2:$F$301,3,FALSE),"")</f>
        <v>44</v>
      </c>
      <c r="Q1039" s="41">
        <f t="shared" si="25"/>
        <v>0.50793650793650791</v>
      </c>
      <c r="R1039" t="str">
        <f>IFERROR(VLOOKUP(C1039,Customers!$A$2:$F$301,1,FALSE),"")</f>
        <v>CUST-0249</v>
      </c>
      <c r="S1039" s="27" t="b">
        <f>IFERROR(VLOOKUP(D1039,Products!$A$2:$F$61,6,FALSE),"")</f>
        <v>1</v>
      </c>
      <c r="BL1039">
        <v>0</v>
      </c>
      <c r="BO1039">
        <v>0</v>
      </c>
      <c r="BP1039">
        <v>0</v>
      </c>
    </row>
    <row r="1040" spans="1:68" x14ac:dyDescent="0.35">
      <c r="A1040" s="26" t="str">
        <f>Orders!A1040</f>
        <v>ORD-01039</v>
      </c>
      <c r="B1040" s="33">
        <f>Orders!B1040</f>
        <v>45578</v>
      </c>
      <c r="C1040" t="str">
        <f>Orders!C1040</f>
        <v>CUST-0048</v>
      </c>
      <c r="D1040" t="str">
        <f>Orders!D1040</f>
        <v>PROD-056</v>
      </c>
      <c r="E1040" t="str">
        <f>Orders!E1040</f>
        <v>R009</v>
      </c>
      <c r="F1040">
        <f>Orders!F1040</f>
        <v>4</v>
      </c>
      <c r="G1040" s="35">
        <f>Orders!G1040</f>
        <v>6940</v>
      </c>
      <c r="H1040" s="37">
        <f>Orders!H1040</f>
        <v>3.9</v>
      </c>
      <c r="I1040" s="39">
        <f>Orders!I1040</f>
        <v>26677.360000000001</v>
      </c>
      <c r="J1040" t="str">
        <f>Orders!J1040</f>
        <v>Cancelled</v>
      </c>
      <c r="K1040" t="str">
        <f>Orders!K1040</f>
        <v>Delhi</v>
      </c>
      <c r="L1040" t="str">
        <f>IFERROR(VLOOKUP(D1040,Products!$A$2:$F$61,3,FALSE),"")</f>
        <v>Sports</v>
      </c>
      <c r="M1040">
        <f>IFERROR(VLOOKUP(D1040,Products!$A$2:$F$61,4,FALSE),"")</f>
        <v>2827</v>
      </c>
      <c r="N1040" t="str">
        <f>IFERROR(VLOOKUP(E1040,Sales_Reps!$A$2:$E$31,3,FALSE),"")</f>
        <v>South</v>
      </c>
      <c r="O1040" t="str">
        <f>IFERROR(VLOOKUP(C1040,Customers!$A$2:$F$301,5,FALSE),"")</f>
        <v>Retail</v>
      </c>
      <c r="P1040">
        <f>IFERROR(VLOOKUP(C1040,Customers!$A$2:$F$301,3,FALSE),"")</f>
        <v>59</v>
      </c>
      <c r="Q1040" s="41">
        <f t="shared" si="25"/>
        <v>0.5926512968299712</v>
      </c>
      <c r="R1040" t="str">
        <f>IFERROR(VLOOKUP(C1040,Customers!$A$2:$F$301,1,FALSE),"")</f>
        <v>CUST-0048</v>
      </c>
      <c r="S1040" s="27" t="b">
        <f>IFERROR(VLOOKUP(D1040,Products!$A$2:$F$61,6,FALSE),"")</f>
        <v>1</v>
      </c>
      <c r="BL1040">
        <v>0</v>
      </c>
      <c r="BO1040">
        <v>0</v>
      </c>
      <c r="BP1040">
        <v>0</v>
      </c>
    </row>
    <row r="1041" spans="1:68" x14ac:dyDescent="0.35">
      <c r="A1041" s="26" t="str">
        <f>Orders!A1041</f>
        <v>ORD-01040</v>
      </c>
      <c r="B1041" s="33">
        <f>Orders!B1041</f>
        <v>45476</v>
      </c>
      <c r="C1041" t="str">
        <f>Orders!C1041</f>
        <v>CUST-0068</v>
      </c>
      <c r="D1041" t="str">
        <f>Orders!D1041</f>
        <v>PROD-031</v>
      </c>
      <c r="E1041" t="str">
        <f>Orders!E1041</f>
        <v>R022</v>
      </c>
      <c r="F1041">
        <f>Orders!F1041</f>
        <v>3</v>
      </c>
      <c r="G1041" s="35">
        <f>Orders!G1041</f>
        <v>3730</v>
      </c>
      <c r="H1041" s="37">
        <f>Orders!H1041</f>
        <v>20.7</v>
      </c>
      <c r="I1041" s="39">
        <f>Orders!I1041</f>
        <v>8873.67</v>
      </c>
      <c r="J1041" t="str">
        <f>Orders!J1041</f>
        <v>Completed</v>
      </c>
      <c r="K1041" t="str">
        <f>Orders!K1041</f>
        <v>Delhi</v>
      </c>
      <c r="L1041" t="str">
        <f>IFERROR(VLOOKUP(D1041,Products!$A$2:$F$61,3,FALSE),"")</f>
        <v>Home</v>
      </c>
      <c r="M1041">
        <f>IFERROR(VLOOKUP(D1041,Products!$A$2:$F$61,4,FALSE),"")</f>
        <v>2135</v>
      </c>
      <c r="N1041" t="str">
        <f>IFERROR(VLOOKUP(E1041,Sales_Reps!$A$2:$E$31,3,FALSE),"")</f>
        <v>East</v>
      </c>
      <c r="O1041" t="str">
        <f>IFERROR(VLOOKUP(C1041,Customers!$A$2:$F$301,5,FALSE),"")</f>
        <v>SMB</v>
      </c>
      <c r="P1041">
        <f>IFERROR(VLOOKUP(C1041,Customers!$A$2:$F$301,3,FALSE),"")</f>
        <v>48</v>
      </c>
      <c r="Q1041" s="41">
        <f t="shared" si="25"/>
        <v>0.42761394101876676</v>
      </c>
      <c r="R1041" t="str">
        <f>IFERROR(VLOOKUP(C1041,Customers!$A$2:$F$301,1,FALSE),"")</f>
        <v>CUST-0068</v>
      </c>
      <c r="S1041" s="27" t="b">
        <f>IFERROR(VLOOKUP(D1041,Products!$A$2:$F$61,6,FALSE),"")</f>
        <v>1</v>
      </c>
      <c r="BL1041">
        <v>0</v>
      </c>
      <c r="BO1041">
        <v>0</v>
      </c>
      <c r="BP1041">
        <v>0</v>
      </c>
    </row>
    <row r="1042" spans="1:68" x14ac:dyDescent="0.35">
      <c r="A1042" s="26" t="str">
        <f>Orders!A1042</f>
        <v>ORD-01041</v>
      </c>
      <c r="B1042" s="33">
        <f>Orders!B1042</f>
        <v>45300</v>
      </c>
      <c r="C1042" t="str">
        <f>Orders!C1042</f>
        <v>CUST-0213</v>
      </c>
      <c r="D1042" t="str">
        <f>Orders!D1042</f>
        <v>PROD-034</v>
      </c>
      <c r="E1042" t="str">
        <f>Orders!E1042</f>
        <v>R025</v>
      </c>
      <c r="F1042">
        <f>Orders!F1042</f>
        <v>8</v>
      </c>
      <c r="G1042" s="35">
        <f>Orders!G1042</f>
        <v>5080</v>
      </c>
      <c r="H1042" s="37">
        <f>Orders!H1042</f>
        <v>6.2</v>
      </c>
      <c r="I1042" s="39">
        <f>Orders!I1042</f>
        <v>38120.32</v>
      </c>
      <c r="J1042" t="str">
        <f>Orders!J1042</f>
        <v>Completed</v>
      </c>
      <c r="K1042" t="str">
        <f>Orders!K1042</f>
        <v>Mumbai</v>
      </c>
      <c r="L1042" t="str">
        <f>IFERROR(VLOOKUP(D1042,Products!$A$2:$F$61,3,FALSE),"")</f>
        <v>Home</v>
      </c>
      <c r="M1042">
        <f>IFERROR(VLOOKUP(D1042,Products!$A$2:$F$61,4,FALSE),"")</f>
        <v>2459</v>
      </c>
      <c r="N1042" t="str">
        <f>IFERROR(VLOOKUP(E1042,Sales_Reps!$A$2:$E$31,3,FALSE),"")</f>
        <v>West</v>
      </c>
      <c r="O1042" t="str">
        <f>IFERROR(VLOOKUP(C1042,Customers!$A$2:$F$301,5,FALSE),"")</f>
        <v>Retail</v>
      </c>
      <c r="P1042">
        <f>IFERROR(VLOOKUP(C1042,Customers!$A$2:$F$301,3,FALSE),"")</f>
        <v>37</v>
      </c>
      <c r="Q1042" s="41">
        <f t="shared" si="25"/>
        <v>0.51594488188976373</v>
      </c>
      <c r="R1042" t="str">
        <f>IFERROR(VLOOKUP(C1042,Customers!$A$2:$F$301,1,FALSE),"")</f>
        <v>CUST-0213</v>
      </c>
      <c r="S1042" s="27" t="b">
        <f>IFERROR(VLOOKUP(D1042,Products!$A$2:$F$61,6,FALSE),"")</f>
        <v>1</v>
      </c>
      <c r="BL1042">
        <v>0</v>
      </c>
      <c r="BO1042">
        <v>0</v>
      </c>
      <c r="BP1042">
        <v>0</v>
      </c>
    </row>
    <row r="1043" spans="1:68" x14ac:dyDescent="0.35">
      <c r="A1043" s="26" t="str">
        <f>Orders!A1043</f>
        <v>ORD-01042</v>
      </c>
      <c r="B1043" s="33">
        <f>Orders!B1043</f>
        <v>45455</v>
      </c>
      <c r="C1043" t="str">
        <f>Orders!C1043</f>
        <v>CUST-0159</v>
      </c>
      <c r="D1043" t="str">
        <f>Orders!D1043</f>
        <v>PROD-052</v>
      </c>
      <c r="E1043" t="str">
        <f>Orders!E1043</f>
        <v>R001</v>
      </c>
      <c r="F1043">
        <f>Orders!F1043</f>
        <v>5</v>
      </c>
      <c r="G1043" s="35">
        <f>Orders!G1043</f>
        <v>5410</v>
      </c>
      <c r="H1043" s="37">
        <f>Orders!H1043</f>
        <v>5.2</v>
      </c>
      <c r="I1043" s="39">
        <f>Orders!I1043</f>
        <v>25643.4</v>
      </c>
      <c r="J1043" t="str">
        <f>Orders!J1043</f>
        <v>Completed</v>
      </c>
      <c r="K1043" t="str">
        <f>Orders!K1043</f>
        <v>Hyderabad</v>
      </c>
      <c r="L1043" t="str">
        <f>IFERROR(VLOOKUP(D1043,Products!$A$2:$F$61,3,FALSE),"")</f>
        <v>Sports</v>
      </c>
      <c r="M1043">
        <f>IFERROR(VLOOKUP(D1043,Products!$A$2:$F$61,4,FALSE),"")</f>
        <v>2265</v>
      </c>
      <c r="N1043" t="str">
        <f>IFERROR(VLOOKUP(E1043,Sales_Reps!$A$2:$E$31,3,FALSE),"")</f>
        <v>North</v>
      </c>
      <c r="O1043" t="str">
        <f>IFERROR(VLOOKUP(C1043,Customers!$A$2:$F$301,5,FALSE),"")</f>
        <v>Retail</v>
      </c>
      <c r="P1043">
        <f>IFERROR(VLOOKUP(C1043,Customers!$A$2:$F$301,3,FALSE),"")</f>
        <v>32</v>
      </c>
      <c r="Q1043" s="41">
        <f t="shared" si="25"/>
        <v>0.58133086876155271</v>
      </c>
      <c r="R1043" t="str">
        <f>IFERROR(VLOOKUP(C1043,Customers!$A$2:$F$301,1,FALSE),"")</f>
        <v>CUST-0159</v>
      </c>
      <c r="S1043" s="27" t="b">
        <f>IFERROR(VLOOKUP(D1043,Products!$A$2:$F$61,6,FALSE),"")</f>
        <v>1</v>
      </c>
      <c r="BL1043">
        <v>0</v>
      </c>
      <c r="BO1043">
        <v>0</v>
      </c>
      <c r="BP1043">
        <v>0</v>
      </c>
    </row>
    <row r="1044" spans="1:68" x14ac:dyDescent="0.35">
      <c r="A1044" s="26" t="str">
        <f>Orders!A1044</f>
        <v>ORD-01043</v>
      </c>
      <c r="B1044" s="33">
        <f>Orders!B1044</f>
        <v>45404</v>
      </c>
      <c r="C1044" t="str">
        <f>Orders!C1044</f>
        <v>CUST-0298</v>
      </c>
      <c r="D1044" t="str">
        <f>Orders!D1044</f>
        <v>PROD-015</v>
      </c>
      <c r="E1044" t="str">
        <f>Orders!E1044</f>
        <v>R026</v>
      </c>
      <c r="F1044">
        <f>Orders!F1044</f>
        <v>6</v>
      </c>
      <c r="G1044" s="35">
        <f>Orders!G1044</f>
        <v>2720</v>
      </c>
      <c r="H1044" s="37">
        <f>Orders!H1044</f>
        <v>29.8</v>
      </c>
      <c r="I1044" s="39">
        <f>Orders!I1044</f>
        <v>11456.64</v>
      </c>
      <c r="J1044" t="str">
        <f>Orders!J1044</f>
        <v>Pending</v>
      </c>
      <c r="K1044" t="str">
        <f>Orders!K1044</f>
        <v>Delhi</v>
      </c>
      <c r="L1044" t="str">
        <f>IFERROR(VLOOKUP(D1044,Products!$A$2:$F$61,3,FALSE),"")</f>
        <v>Apparel</v>
      </c>
      <c r="M1044">
        <f>IFERROR(VLOOKUP(D1044,Products!$A$2:$F$61,4,FALSE),"")</f>
        <v>1962</v>
      </c>
      <c r="N1044" t="str">
        <f>IFERROR(VLOOKUP(E1044,Sales_Reps!$A$2:$E$31,3,FALSE),"")</f>
        <v>West</v>
      </c>
      <c r="O1044" t="str">
        <f>IFERROR(VLOOKUP(C1044,Customers!$A$2:$F$301,5,FALSE),"")</f>
        <v>Retail</v>
      </c>
      <c r="P1044">
        <f>IFERROR(VLOOKUP(C1044,Customers!$A$2:$F$301,3,FALSE),"")</f>
        <v>44</v>
      </c>
      <c r="Q1044" s="41">
        <f t="shared" si="25"/>
        <v>0.2786764705882353</v>
      </c>
      <c r="R1044" t="str">
        <f>IFERROR(VLOOKUP(C1044,Customers!$A$2:$F$301,1,FALSE),"")</f>
        <v>CUST-0298</v>
      </c>
      <c r="S1044" s="27" t="b">
        <f>IFERROR(VLOOKUP(D1044,Products!$A$2:$F$61,6,FALSE),"")</f>
        <v>1</v>
      </c>
      <c r="BL1044">
        <v>0</v>
      </c>
      <c r="BO1044">
        <v>0</v>
      </c>
      <c r="BP1044">
        <v>0</v>
      </c>
    </row>
    <row r="1045" spans="1:68" x14ac:dyDescent="0.35">
      <c r="A1045" s="26" t="str">
        <f>Orders!A1045</f>
        <v>ORD-01044</v>
      </c>
      <c r="B1045" s="33">
        <f>Orders!B1045</f>
        <v>45468</v>
      </c>
      <c r="C1045" t="str">
        <f>Orders!C1045</f>
        <v>CUST-0145</v>
      </c>
      <c r="D1045" t="str">
        <f>Orders!D1045</f>
        <v>PROD-009</v>
      </c>
      <c r="E1045" t="str">
        <f>Orders!E1045</f>
        <v>R010</v>
      </c>
      <c r="F1045">
        <f>Orders!F1045</f>
        <v>1</v>
      </c>
      <c r="G1045" s="35">
        <f>Orders!G1045</f>
        <v>1220</v>
      </c>
      <c r="H1045" s="37">
        <f>Orders!H1045</f>
        <v>22.6</v>
      </c>
      <c r="I1045" s="39">
        <f>Orders!I1045</f>
        <v>944.28</v>
      </c>
      <c r="J1045" t="str">
        <f>Orders!J1045</f>
        <v>Completed</v>
      </c>
      <c r="K1045" t="str">
        <f>Orders!K1045</f>
        <v>Bengaluru</v>
      </c>
      <c r="L1045" t="str">
        <f>IFERROR(VLOOKUP(D1045,Products!$A$2:$F$61,3,FALSE),"")</f>
        <v>Electronics</v>
      </c>
      <c r="M1045">
        <f>IFERROR(VLOOKUP(D1045,Products!$A$2:$F$61,4,FALSE),"")</f>
        <v>517</v>
      </c>
      <c r="N1045" t="str">
        <f>IFERROR(VLOOKUP(E1045,Sales_Reps!$A$2:$E$31,3,FALSE),"")</f>
        <v>South</v>
      </c>
      <c r="O1045" t="str">
        <f>IFERROR(VLOOKUP(C1045,Customers!$A$2:$F$301,5,FALSE),"")</f>
        <v>SMB</v>
      </c>
      <c r="P1045">
        <f>IFERROR(VLOOKUP(C1045,Customers!$A$2:$F$301,3,FALSE),"")</f>
        <v>44</v>
      </c>
      <c r="Q1045" s="41">
        <f t="shared" si="25"/>
        <v>0.57622950819672136</v>
      </c>
      <c r="R1045" t="str">
        <f>IFERROR(VLOOKUP(C1045,Customers!$A$2:$F$301,1,FALSE),"")</f>
        <v>CUST-0145</v>
      </c>
      <c r="S1045" s="27" t="b">
        <f>IFERROR(VLOOKUP(D1045,Products!$A$2:$F$61,6,FALSE),"")</f>
        <v>1</v>
      </c>
      <c r="BL1045">
        <v>0</v>
      </c>
      <c r="BO1045">
        <v>0</v>
      </c>
      <c r="BP1045">
        <v>0</v>
      </c>
    </row>
    <row r="1046" spans="1:68" x14ac:dyDescent="0.35">
      <c r="A1046" s="26" t="str">
        <f>Orders!A1046</f>
        <v>ORD-01045</v>
      </c>
      <c r="B1046" s="33">
        <f>Orders!B1046</f>
        <v>45640</v>
      </c>
      <c r="C1046" t="str">
        <f>Orders!C1046</f>
        <v>CUST-0015</v>
      </c>
      <c r="D1046" t="str">
        <f>Orders!D1046</f>
        <v>PROD-046</v>
      </c>
      <c r="E1046" t="str">
        <f>Orders!E1046</f>
        <v>R008</v>
      </c>
      <c r="F1046">
        <f>Orders!F1046</f>
        <v>10</v>
      </c>
      <c r="G1046" s="35">
        <f>Orders!G1046</f>
        <v>4880</v>
      </c>
      <c r="H1046" s="37">
        <f>Orders!H1046</f>
        <v>7.3</v>
      </c>
      <c r="I1046" s="39">
        <f>Orders!I1046</f>
        <v>45237.599999999999</v>
      </c>
      <c r="J1046" t="str">
        <f>Orders!J1046</f>
        <v>Completed</v>
      </c>
      <c r="K1046" t="str">
        <f>Orders!K1046</f>
        <v>Chennai</v>
      </c>
      <c r="L1046" t="str">
        <f>IFERROR(VLOOKUP(D1046,Products!$A$2:$F$61,3,FALSE),"")</f>
        <v>Beauty</v>
      </c>
      <c r="M1046">
        <f>IFERROR(VLOOKUP(D1046,Products!$A$2:$F$61,4,FALSE),"")</f>
        <v>2768</v>
      </c>
      <c r="N1046" t="str">
        <f>IFERROR(VLOOKUP(E1046,Sales_Reps!$A$2:$E$31,3,FALSE),"")</f>
        <v>North</v>
      </c>
      <c r="O1046" t="str">
        <f>IFERROR(VLOOKUP(C1046,Customers!$A$2:$F$301,5,FALSE),"")</f>
        <v>Retail</v>
      </c>
      <c r="P1046">
        <f>IFERROR(VLOOKUP(C1046,Customers!$A$2:$F$301,3,FALSE),"")</f>
        <v>31</v>
      </c>
      <c r="Q1046" s="41">
        <f t="shared" si="25"/>
        <v>0.43278688524590164</v>
      </c>
      <c r="R1046" t="str">
        <f>IFERROR(VLOOKUP(C1046,Customers!$A$2:$F$301,1,FALSE),"")</f>
        <v>CUST-0015</v>
      </c>
      <c r="S1046" s="27" t="b">
        <f>IFERROR(VLOOKUP(D1046,Products!$A$2:$F$61,6,FALSE),"")</f>
        <v>1</v>
      </c>
      <c r="BL1046">
        <v>0</v>
      </c>
      <c r="BO1046">
        <v>0</v>
      </c>
      <c r="BP1046">
        <v>0</v>
      </c>
    </row>
    <row r="1047" spans="1:68" x14ac:dyDescent="0.35">
      <c r="A1047" s="26" t="str">
        <f>Orders!A1047</f>
        <v>ORD-01046</v>
      </c>
      <c r="B1047" s="33">
        <f>Orders!B1047</f>
        <v>45450</v>
      </c>
      <c r="C1047" t="str">
        <f>Orders!C1047</f>
        <v>CUST-0054</v>
      </c>
      <c r="D1047" t="str">
        <f>Orders!D1047</f>
        <v>PROD-022</v>
      </c>
      <c r="E1047" t="str">
        <f>Orders!E1047</f>
        <v>R021</v>
      </c>
      <c r="F1047">
        <f>Orders!F1047</f>
        <v>10</v>
      </c>
      <c r="G1047" s="35">
        <f>Orders!G1047</f>
        <v>2270</v>
      </c>
      <c r="H1047" s="37">
        <f>Orders!H1047</f>
        <v>1.6</v>
      </c>
      <c r="I1047" s="39">
        <f>Orders!I1047</f>
        <v>22336.799999999999</v>
      </c>
      <c r="J1047" t="str">
        <f>Orders!J1047</f>
        <v>Completed</v>
      </c>
      <c r="K1047" t="str">
        <f>Orders!K1047</f>
        <v>Mumbai</v>
      </c>
      <c r="L1047" t="str">
        <f>IFERROR(VLOOKUP(D1047,Products!$A$2:$F$61,3,FALSE),"")</f>
        <v>Grocery</v>
      </c>
      <c r="M1047">
        <f>IFERROR(VLOOKUP(D1047,Products!$A$2:$F$61,4,FALSE),"")</f>
        <v>1412</v>
      </c>
      <c r="N1047" t="str">
        <f>IFERROR(VLOOKUP(E1047,Sales_Reps!$A$2:$E$31,3,FALSE),"")</f>
        <v>East</v>
      </c>
      <c r="O1047" t="str">
        <f>IFERROR(VLOOKUP(C1047,Customers!$A$2:$F$301,5,FALSE),"")</f>
        <v>Corporate</v>
      </c>
      <c r="P1047">
        <f>IFERROR(VLOOKUP(C1047,Customers!$A$2:$F$301,3,FALSE),"")</f>
        <v>62</v>
      </c>
      <c r="Q1047" s="41">
        <f t="shared" si="25"/>
        <v>0.37797356828193834</v>
      </c>
      <c r="R1047" t="str">
        <f>IFERROR(VLOOKUP(C1047,Customers!$A$2:$F$301,1,FALSE),"")</f>
        <v>CUST-0054</v>
      </c>
      <c r="S1047" s="27" t="b">
        <f>IFERROR(VLOOKUP(D1047,Products!$A$2:$F$61,6,FALSE),"")</f>
        <v>1</v>
      </c>
      <c r="BL1047">
        <v>0</v>
      </c>
      <c r="BO1047">
        <v>0</v>
      </c>
      <c r="BP1047">
        <v>0</v>
      </c>
    </row>
    <row r="1048" spans="1:68" x14ac:dyDescent="0.35">
      <c r="A1048" s="26" t="str">
        <f>Orders!A1048</f>
        <v>ORD-01047</v>
      </c>
      <c r="B1048" s="33">
        <f>Orders!B1048</f>
        <v>45589</v>
      </c>
      <c r="C1048" t="str">
        <f>Orders!C1048</f>
        <v>CUST-0150</v>
      </c>
      <c r="D1048" t="str">
        <f>Orders!D1048</f>
        <v>PROD-030</v>
      </c>
      <c r="E1048" t="str">
        <f>Orders!E1048</f>
        <v>R003</v>
      </c>
      <c r="F1048">
        <f>Orders!F1048</f>
        <v>8</v>
      </c>
      <c r="G1048" s="35">
        <f>Orders!G1048</f>
        <v>970</v>
      </c>
      <c r="H1048" s="37">
        <f>Orders!H1048</f>
        <v>13.1</v>
      </c>
      <c r="I1048" s="39">
        <f>Orders!I1048</f>
        <v>6743.44</v>
      </c>
      <c r="J1048" t="str">
        <f>Orders!J1048</f>
        <v>Completed</v>
      </c>
      <c r="K1048" t="str">
        <f>Orders!K1048</f>
        <v>Pune</v>
      </c>
      <c r="L1048" t="str">
        <f>IFERROR(VLOOKUP(D1048,Products!$A$2:$F$61,3,FALSE),"")</f>
        <v>Grocery</v>
      </c>
      <c r="M1048">
        <f>IFERROR(VLOOKUP(D1048,Products!$A$2:$F$61,4,FALSE),"")</f>
        <v>434</v>
      </c>
      <c r="N1048" t="str">
        <f>IFERROR(VLOOKUP(E1048,Sales_Reps!$A$2:$E$31,3,FALSE),"")</f>
        <v>North</v>
      </c>
      <c r="O1048" t="str">
        <f>IFERROR(VLOOKUP(C1048,Customers!$A$2:$F$301,5,FALSE),"")</f>
        <v>SMB</v>
      </c>
      <c r="P1048">
        <f>IFERROR(VLOOKUP(C1048,Customers!$A$2:$F$301,3,FALSE),"")</f>
        <v>53</v>
      </c>
      <c r="Q1048" s="41">
        <f t="shared" si="25"/>
        <v>0.5525773195876289</v>
      </c>
      <c r="R1048" t="str">
        <f>IFERROR(VLOOKUP(C1048,Customers!$A$2:$F$301,1,FALSE),"")</f>
        <v>CUST-0150</v>
      </c>
      <c r="S1048" s="27" t="b">
        <f>IFERROR(VLOOKUP(D1048,Products!$A$2:$F$61,6,FALSE),"")</f>
        <v>1</v>
      </c>
      <c r="BL1048">
        <v>0</v>
      </c>
      <c r="BO1048">
        <v>0</v>
      </c>
      <c r="BP1048">
        <v>0</v>
      </c>
    </row>
    <row r="1049" spans="1:68" x14ac:dyDescent="0.35">
      <c r="A1049" s="26" t="str">
        <f>Orders!A1049</f>
        <v>ORD-01048</v>
      </c>
      <c r="B1049" s="33">
        <f>Orders!B1049</f>
        <v>45646</v>
      </c>
      <c r="C1049" t="str">
        <f>Orders!C1049</f>
        <v>CUST-0096</v>
      </c>
      <c r="D1049" t="str">
        <f>Orders!D1049</f>
        <v>PROD-023</v>
      </c>
      <c r="E1049" t="str">
        <f>Orders!E1049</f>
        <v>R012</v>
      </c>
      <c r="F1049">
        <f>Orders!F1049</f>
        <v>7</v>
      </c>
      <c r="G1049" s="35">
        <f>Orders!G1049</f>
        <v>2380</v>
      </c>
      <c r="H1049" s="37">
        <f>Orders!H1049</f>
        <v>10.6</v>
      </c>
      <c r="I1049" s="39">
        <f>Orders!I1049</f>
        <v>14894.04</v>
      </c>
      <c r="J1049" t="str">
        <f>Orders!J1049</f>
        <v>Cancelled</v>
      </c>
      <c r="K1049" t="str">
        <f>Orders!K1049</f>
        <v>Delhi</v>
      </c>
      <c r="L1049" t="str">
        <f>IFERROR(VLOOKUP(D1049,Products!$A$2:$F$61,3,FALSE),"")</f>
        <v>Grocery</v>
      </c>
      <c r="M1049">
        <f>IFERROR(VLOOKUP(D1049,Products!$A$2:$F$61,4,FALSE),"")</f>
        <v>1182</v>
      </c>
      <c r="N1049" t="str">
        <f>IFERROR(VLOOKUP(E1049,Sales_Reps!$A$2:$E$31,3,FALSE),"")</f>
        <v>South</v>
      </c>
      <c r="O1049" t="str">
        <f>IFERROR(VLOOKUP(C1049,Customers!$A$2:$F$301,5,FALSE),"")</f>
        <v>Corporate</v>
      </c>
      <c r="P1049">
        <f>IFERROR(VLOOKUP(C1049,Customers!$A$2:$F$301,3,FALSE),"")</f>
        <v>27</v>
      </c>
      <c r="Q1049" s="41">
        <f t="shared" si="25"/>
        <v>0.50336134453781511</v>
      </c>
      <c r="R1049" t="str">
        <f>IFERROR(VLOOKUP(C1049,Customers!$A$2:$F$301,1,FALSE),"")</f>
        <v>CUST-0096</v>
      </c>
      <c r="S1049" s="27" t="b">
        <f>IFERROR(VLOOKUP(D1049,Products!$A$2:$F$61,6,FALSE),"")</f>
        <v>1</v>
      </c>
      <c r="BL1049">
        <v>0</v>
      </c>
      <c r="BO1049">
        <v>0</v>
      </c>
      <c r="BP1049">
        <v>0</v>
      </c>
    </row>
    <row r="1050" spans="1:68" x14ac:dyDescent="0.35">
      <c r="A1050" s="26" t="str">
        <f>Orders!A1050</f>
        <v>ORD-01049</v>
      </c>
      <c r="B1050" s="33">
        <f>Orders!B1050</f>
        <v>45488</v>
      </c>
      <c r="C1050" t="str">
        <f>Orders!C1050</f>
        <v>CUST-0288</v>
      </c>
      <c r="D1050" t="str">
        <f>Orders!D1050</f>
        <v>PROD-014</v>
      </c>
      <c r="E1050" t="str">
        <f>Orders!E1050</f>
        <v>R016</v>
      </c>
      <c r="F1050">
        <f>Orders!F1050</f>
        <v>6</v>
      </c>
      <c r="G1050" s="35">
        <f>Orders!G1050</f>
        <v>3620</v>
      </c>
      <c r="H1050" s="37">
        <f>Orders!H1050</f>
        <v>21.3</v>
      </c>
      <c r="I1050" s="39">
        <f>Orders!I1050</f>
        <v>17093.64</v>
      </c>
      <c r="J1050" t="str">
        <f>Orders!J1050</f>
        <v>Cancelled</v>
      </c>
      <c r="K1050" t="str">
        <f>Orders!K1050</f>
        <v>Hyderabad</v>
      </c>
      <c r="L1050" t="str">
        <f>IFERROR(VLOOKUP(D1050,Products!$A$2:$F$61,3,FALSE),"")</f>
        <v>Apparel</v>
      </c>
      <c r="M1050">
        <f>IFERROR(VLOOKUP(D1050,Products!$A$2:$F$61,4,FALSE),"")</f>
        <v>2509</v>
      </c>
      <c r="N1050" t="str">
        <f>IFERROR(VLOOKUP(E1050,Sales_Reps!$A$2:$E$31,3,FALSE),"")</f>
        <v>South</v>
      </c>
      <c r="O1050" t="str">
        <f>IFERROR(VLOOKUP(C1050,Customers!$A$2:$F$301,5,FALSE),"")</f>
        <v>Corporate</v>
      </c>
      <c r="P1050">
        <f>IFERROR(VLOOKUP(C1050,Customers!$A$2:$F$301,3,FALSE),"")</f>
        <v>25</v>
      </c>
      <c r="Q1050" s="41">
        <f t="shared" si="25"/>
        <v>0.3069060773480663</v>
      </c>
      <c r="R1050" t="str">
        <f>IFERROR(VLOOKUP(C1050,Customers!$A$2:$F$301,1,FALSE),"")</f>
        <v>CUST-0288</v>
      </c>
      <c r="S1050" s="27" t="b">
        <f>IFERROR(VLOOKUP(D1050,Products!$A$2:$F$61,6,FALSE),"")</f>
        <v>1</v>
      </c>
      <c r="BL1050">
        <v>0</v>
      </c>
      <c r="BO1050">
        <v>0</v>
      </c>
      <c r="BP1050">
        <v>0</v>
      </c>
    </row>
    <row r="1051" spans="1:68" x14ac:dyDescent="0.35">
      <c r="A1051" s="26" t="str">
        <f>Orders!A1051</f>
        <v>ORD-01050</v>
      </c>
      <c r="B1051" s="33">
        <f>Orders!B1051</f>
        <v>45555</v>
      </c>
      <c r="C1051" t="str">
        <f>Orders!C1051</f>
        <v>CUST-0048</v>
      </c>
      <c r="D1051" t="str">
        <f>Orders!D1051</f>
        <v>PROD-026</v>
      </c>
      <c r="E1051" t="str">
        <f>Orders!E1051</f>
        <v>R027</v>
      </c>
      <c r="F1051">
        <f>Orders!F1051</f>
        <v>3</v>
      </c>
      <c r="G1051" s="35">
        <f>Orders!G1051</f>
        <v>4070</v>
      </c>
      <c r="H1051" s="37">
        <f>Orders!H1051</f>
        <v>8.1999999999999993</v>
      </c>
      <c r="I1051" s="39">
        <f>Orders!I1051</f>
        <v>11208.78</v>
      </c>
      <c r="J1051" t="str">
        <f>Orders!J1051</f>
        <v>Cancelled</v>
      </c>
      <c r="K1051" t="str">
        <f>Orders!K1051</f>
        <v>Delhi</v>
      </c>
      <c r="L1051" t="str">
        <f>IFERROR(VLOOKUP(D1051,Products!$A$2:$F$61,3,FALSE),"")</f>
        <v>Grocery</v>
      </c>
      <c r="M1051">
        <f>IFERROR(VLOOKUP(D1051,Products!$A$2:$F$61,4,FALSE),"")</f>
        <v>2027</v>
      </c>
      <c r="N1051" t="str">
        <f>IFERROR(VLOOKUP(E1051,Sales_Reps!$A$2:$E$31,3,FALSE),"")</f>
        <v>West</v>
      </c>
      <c r="O1051" t="str">
        <f>IFERROR(VLOOKUP(C1051,Customers!$A$2:$F$301,5,FALSE),"")</f>
        <v>Retail</v>
      </c>
      <c r="P1051">
        <f>IFERROR(VLOOKUP(C1051,Customers!$A$2:$F$301,3,FALSE),"")</f>
        <v>59</v>
      </c>
      <c r="Q1051" s="41">
        <f t="shared" si="25"/>
        <v>0.50196560196560192</v>
      </c>
      <c r="R1051" t="str">
        <f>IFERROR(VLOOKUP(C1051,Customers!$A$2:$F$301,1,FALSE),"")</f>
        <v>CUST-0048</v>
      </c>
      <c r="S1051" s="27" t="b">
        <f>IFERROR(VLOOKUP(D1051,Products!$A$2:$F$61,6,FALSE),"")</f>
        <v>1</v>
      </c>
      <c r="BL1051">
        <v>0</v>
      </c>
      <c r="BO1051">
        <v>0</v>
      </c>
      <c r="BP1051">
        <v>0</v>
      </c>
    </row>
    <row r="1052" spans="1:68" x14ac:dyDescent="0.35">
      <c r="A1052" s="26" t="str">
        <f>Orders!A1052</f>
        <v>ORD-01051</v>
      </c>
      <c r="B1052" s="33">
        <f>Orders!B1052</f>
        <v>45578</v>
      </c>
      <c r="C1052" t="str">
        <f>Orders!C1052</f>
        <v>CUST-0104</v>
      </c>
      <c r="D1052" t="str">
        <f>Orders!D1052</f>
        <v>PROD-048</v>
      </c>
      <c r="E1052" t="str">
        <f>Orders!E1052</f>
        <v>R026</v>
      </c>
      <c r="F1052">
        <f>Orders!F1052</f>
        <v>8</v>
      </c>
      <c r="G1052" s="35">
        <f>Orders!G1052</f>
        <v>5100</v>
      </c>
      <c r="H1052" s="37">
        <f>Orders!H1052</f>
        <v>26.9</v>
      </c>
      <c r="I1052" s="39">
        <f>Orders!I1052</f>
        <v>29824.799999999999</v>
      </c>
      <c r="J1052" t="str">
        <f>Orders!J1052</f>
        <v>Completed</v>
      </c>
      <c r="K1052" t="str">
        <f>Orders!K1052</f>
        <v>Hyderabad</v>
      </c>
      <c r="L1052" t="str">
        <f>IFERROR(VLOOKUP(D1052,Products!$A$2:$F$61,3,FALSE),"")</f>
        <v>Beauty</v>
      </c>
      <c r="M1052">
        <f>IFERROR(VLOOKUP(D1052,Products!$A$2:$F$61,4,FALSE),"")</f>
        <v>2237</v>
      </c>
      <c r="N1052" t="str">
        <f>IFERROR(VLOOKUP(E1052,Sales_Reps!$A$2:$E$31,3,FALSE),"")</f>
        <v>West</v>
      </c>
      <c r="O1052" t="str">
        <f>IFERROR(VLOOKUP(C1052,Customers!$A$2:$F$301,5,FALSE),"")</f>
        <v>Corporate</v>
      </c>
      <c r="P1052">
        <f>IFERROR(VLOOKUP(C1052,Customers!$A$2:$F$301,3,FALSE),"")</f>
        <v>43</v>
      </c>
      <c r="Q1052" s="41">
        <f t="shared" si="25"/>
        <v>0.56137254901960787</v>
      </c>
      <c r="R1052" t="str">
        <f>IFERROR(VLOOKUP(C1052,Customers!$A$2:$F$301,1,FALSE),"")</f>
        <v>CUST-0104</v>
      </c>
      <c r="S1052" s="27" t="b">
        <f>IFERROR(VLOOKUP(D1052,Products!$A$2:$F$61,6,FALSE),"")</f>
        <v>1</v>
      </c>
      <c r="BL1052">
        <v>0</v>
      </c>
      <c r="BO1052">
        <v>0</v>
      </c>
      <c r="BP1052">
        <v>0</v>
      </c>
    </row>
    <row r="1053" spans="1:68" x14ac:dyDescent="0.35">
      <c r="A1053" s="26" t="str">
        <f>Orders!A1053</f>
        <v>ORD-01052</v>
      </c>
      <c r="B1053" s="33">
        <f>Orders!B1053</f>
        <v>45296</v>
      </c>
      <c r="C1053" t="str">
        <f>Orders!C1053</f>
        <v>CUST-0054</v>
      </c>
      <c r="D1053" t="str">
        <f>Orders!D1053</f>
        <v>PROD-045</v>
      </c>
      <c r="E1053" t="str">
        <f>Orders!E1053</f>
        <v>R017</v>
      </c>
      <c r="F1053">
        <f>Orders!F1053</f>
        <v>3</v>
      </c>
      <c r="G1053" s="35">
        <f>Orders!G1053</f>
        <v>3020</v>
      </c>
      <c r="H1053" s="37">
        <f>Orders!H1053</f>
        <v>18.5</v>
      </c>
      <c r="I1053" s="39">
        <f>Orders!I1053</f>
        <v>7383.9</v>
      </c>
      <c r="J1053" t="str">
        <f>Orders!J1053</f>
        <v>Cancelled</v>
      </c>
      <c r="K1053" t="str">
        <f>Orders!K1053</f>
        <v>Mumbai</v>
      </c>
      <c r="L1053" t="str">
        <f>IFERROR(VLOOKUP(D1053,Products!$A$2:$F$61,3,FALSE),"")</f>
        <v>Beauty</v>
      </c>
      <c r="M1053">
        <f>IFERROR(VLOOKUP(D1053,Products!$A$2:$F$61,4,FALSE),"")</f>
        <v>1626</v>
      </c>
      <c r="N1053" t="str">
        <f>IFERROR(VLOOKUP(E1053,Sales_Reps!$A$2:$E$31,3,FALSE),"")</f>
        <v>East</v>
      </c>
      <c r="O1053" t="str">
        <f>IFERROR(VLOOKUP(C1053,Customers!$A$2:$F$301,5,FALSE),"")</f>
        <v>Corporate</v>
      </c>
      <c r="P1053">
        <f>IFERROR(VLOOKUP(C1053,Customers!$A$2:$F$301,3,FALSE),"")</f>
        <v>62</v>
      </c>
      <c r="Q1053" s="41">
        <f t="shared" si="25"/>
        <v>0.46158940397350995</v>
      </c>
      <c r="R1053" t="str">
        <f>IFERROR(VLOOKUP(C1053,Customers!$A$2:$F$301,1,FALSE),"")</f>
        <v>CUST-0054</v>
      </c>
      <c r="S1053" s="27" t="b">
        <f>IFERROR(VLOOKUP(D1053,Products!$A$2:$F$61,6,FALSE),"")</f>
        <v>1</v>
      </c>
      <c r="BL1053">
        <v>0.5</v>
      </c>
      <c r="BO1053">
        <v>0</v>
      </c>
      <c r="BP1053">
        <v>0</v>
      </c>
    </row>
    <row r="1054" spans="1:68" x14ac:dyDescent="0.35">
      <c r="A1054" s="26" t="str">
        <f>Orders!A1054</f>
        <v>ORD-01053</v>
      </c>
      <c r="B1054" s="33">
        <f>Orders!B1054</f>
        <v>45564</v>
      </c>
      <c r="C1054" t="str">
        <f>Orders!C1054</f>
        <v>CUST-0158</v>
      </c>
      <c r="D1054" t="str">
        <f>Orders!D1054</f>
        <v>PROD-049</v>
      </c>
      <c r="E1054" t="str">
        <f>Orders!E1054</f>
        <v>R002</v>
      </c>
      <c r="F1054">
        <f>Orders!F1054</f>
        <v>8</v>
      </c>
      <c r="G1054" s="35">
        <f>Orders!G1054</f>
        <v>960</v>
      </c>
      <c r="H1054" s="37">
        <f>Orders!H1054</f>
        <v>7.1</v>
      </c>
      <c r="I1054" s="39">
        <f>Orders!I1054</f>
        <v>7134.72</v>
      </c>
      <c r="J1054" t="str">
        <f>Orders!J1054</f>
        <v>Completed</v>
      </c>
      <c r="K1054" t="str">
        <f>Orders!K1054</f>
        <v>Pune</v>
      </c>
      <c r="L1054" t="str">
        <f>IFERROR(VLOOKUP(D1054,Products!$A$2:$F$61,3,FALSE),"")</f>
        <v>Beauty</v>
      </c>
      <c r="M1054">
        <f>IFERROR(VLOOKUP(D1054,Products!$A$2:$F$61,4,FALSE),"")</f>
        <v>675</v>
      </c>
      <c r="N1054" t="str">
        <f>IFERROR(VLOOKUP(E1054,Sales_Reps!$A$2:$E$31,3,FALSE),"")</f>
        <v>North</v>
      </c>
      <c r="O1054" t="str">
        <f>IFERROR(VLOOKUP(C1054,Customers!$A$2:$F$301,5,FALSE),"")</f>
        <v>Corporate</v>
      </c>
      <c r="P1054">
        <f>IFERROR(VLOOKUP(C1054,Customers!$A$2:$F$301,3,FALSE),"")</f>
        <v>42</v>
      </c>
      <c r="Q1054" s="41">
        <f t="shared" si="25"/>
        <v>0.296875</v>
      </c>
      <c r="R1054" t="str">
        <f>IFERROR(VLOOKUP(C1054,Customers!$A$2:$F$301,1,FALSE),"")</f>
        <v>CUST-0158</v>
      </c>
      <c r="S1054" s="27" t="b">
        <f>IFERROR(VLOOKUP(D1054,Products!$A$2:$F$61,6,FALSE),"")</f>
        <v>1</v>
      </c>
      <c r="BL1054">
        <v>0</v>
      </c>
      <c r="BO1054">
        <v>0</v>
      </c>
      <c r="BP1054">
        <v>0</v>
      </c>
    </row>
    <row r="1055" spans="1:68" x14ac:dyDescent="0.35">
      <c r="A1055" s="26" t="str">
        <f>Orders!A1055</f>
        <v>ORD-01054</v>
      </c>
      <c r="B1055" s="33">
        <f>Orders!B1055</f>
        <v>45383</v>
      </c>
      <c r="C1055" t="str">
        <f>Orders!C1055</f>
        <v>CUST-0231</v>
      </c>
      <c r="D1055" t="str">
        <f>Orders!D1055</f>
        <v>PROD-034</v>
      </c>
      <c r="E1055" t="str">
        <f>Orders!E1055</f>
        <v>R015</v>
      </c>
      <c r="F1055">
        <f>Orders!F1055</f>
        <v>8</v>
      </c>
      <c r="G1055" s="35">
        <f>Orders!G1055</f>
        <v>5080</v>
      </c>
      <c r="H1055" s="37">
        <f>Orders!H1055</f>
        <v>6.2</v>
      </c>
      <c r="I1055" s="39">
        <f>Orders!I1055</f>
        <v>38120.32</v>
      </c>
      <c r="J1055" t="str">
        <f>Orders!J1055</f>
        <v>Completed</v>
      </c>
      <c r="K1055" t="str">
        <f>Orders!K1055</f>
        <v>Chennai</v>
      </c>
      <c r="L1055" t="str">
        <f>IFERROR(VLOOKUP(D1055,Products!$A$2:$F$61,3,FALSE),"")</f>
        <v>Home</v>
      </c>
      <c r="M1055">
        <f>IFERROR(VLOOKUP(D1055,Products!$A$2:$F$61,4,FALSE),"")</f>
        <v>2459</v>
      </c>
      <c r="N1055" t="str">
        <f>IFERROR(VLOOKUP(E1055,Sales_Reps!$A$2:$E$31,3,FALSE),"")</f>
        <v>South</v>
      </c>
      <c r="O1055" t="str">
        <f>IFERROR(VLOOKUP(C1055,Customers!$A$2:$F$301,5,FALSE),"")</f>
        <v>Retail</v>
      </c>
      <c r="P1055">
        <f>IFERROR(VLOOKUP(C1055,Customers!$A$2:$F$301,3,FALSE),"")</f>
        <v>61</v>
      </c>
      <c r="Q1055" s="41">
        <f t="shared" si="25"/>
        <v>0.51594488188976373</v>
      </c>
      <c r="R1055" t="str">
        <f>IFERROR(VLOOKUP(C1055,Customers!$A$2:$F$301,1,FALSE),"")</f>
        <v>CUST-0231</v>
      </c>
      <c r="S1055" s="27" t="b">
        <f>IFERROR(VLOOKUP(D1055,Products!$A$2:$F$61,6,FALSE),"")</f>
        <v>1</v>
      </c>
      <c r="BL1055">
        <v>0</v>
      </c>
      <c r="BO1055">
        <v>0</v>
      </c>
      <c r="BP1055">
        <v>0</v>
      </c>
    </row>
    <row r="1056" spans="1:68" x14ac:dyDescent="0.35">
      <c r="A1056" s="26" t="str">
        <f>Orders!A1056</f>
        <v>ORD-01055</v>
      </c>
      <c r="B1056" s="33">
        <f>Orders!B1056</f>
        <v>45436</v>
      </c>
      <c r="C1056" t="str">
        <f>Orders!C1056</f>
        <v>CUST-0277</v>
      </c>
      <c r="D1056" t="str">
        <f>Orders!D1056</f>
        <v>PROD-050</v>
      </c>
      <c r="E1056" t="str">
        <f>Orders!E1056</f>
        <v>R010</v>
      </c>
      <c r="F1056">
        <f>Orders!F1056</f>
        <v>6</v>
      </c>
      <c r="G1056" s="35">
        <f>Orders!G1056</f>
        <v>6080</v>
      </c>
      <c r="H1056" s="37">
        <f>Orders!H1056</f>
        <v>25.8</v>
      </c>
      <c r="I1056" s="39">
        <f>Orders!I1056</f>
        <v>27068.16</v>
      </c>
      <c r="J1056" t="str">
        <f>Orders!J1056</f>
        <v>Completed</v>
      </c>
      <c r="K1056" t="str">
        <f>Orders!K1056</f>
        <v>Chennai</v>
      </c>
      <c r="L1056" t="str">
        <f>IFERROR(VLOOKUP(D1056,Products!$A$2:$F$61,3,FALSE),"")</f>
        <v>Beauty</v>
      </c>
      <c r="M1056">
        <f>IFERROR(VLOOKUP(D1056,Products!$A$2:$F$61,4,FALSE),"")</f>
        <v>2617</v>
      </c>
      <c r="N1056" t="str">
        <f>IFERROR(VLOOKUP(E1056,Sales_Reps!$A$2:$E$31,3,FALSE),"")</f>
        <v>South</v>
      </c>
      <c r="O1056" t="str">
        <f>IFERROR(VLOOKUP(C1056,Customers!$A$2:$F$301,5,FALSE),"")</f>
        <v>Corporate</v>
      </c>
      <c r="P1056">
        <f>IFERROR(VLOOKUP(C1056,Customers!$A$2:$F$301,3,FALSE),"")</f>
        <v>34</v>
      </c>
      <c r="Q1056" s="41">
        <f t="shared" si="25"/>
        <v>0.56957236842105263</v>
      </c>
      <c r="R1056" t="str">
        <f>IFERROR(VLOOKUP(C1056,Customers!$A$2:$F$301,1,FALSE),"")</f>
        <v>CUST-0277</v>
      </c>
      <c r="S1056" s="27" t="b">
        <f>IFERROR(VLOOKUP(D1056,Products!$A$2:$F$61,6,FALSE),"")</f>
        <v>1</v>
      </c>
      <c r="BL1056">
        <v>0</v>
      </c>
      <c r="BO1056">
        <v>0</v>
      </c>
      <c r="BP1056">
        <v>0</v>
      </c>
    </row>
    <row r="1057" spans="1:68" x14ac:dyDescent="0.35">
      <c r="A1057" s="26" t="str">
        <f>Orders!A1057</f>
        <v>ORD-01056</v>
      </c>
      <c r="B1057" s="33">
        <f>Orders!B1057</f>
        <v>45544</v>
      </c>
      <c r="C1057" t="str">
        <f>Orders!C1057</f>
        <v>CUST-0232</v>
      </c>
      <c r="D1057" t="str">
        <f>Orders!D1057</f>
        <v>PROD-041</v>
      </c>
      <c r="E1057" t="str">
        <f>Orders!E1057</f>
        <v>R010</v>
      </c>
      <c r="F1057">
        <f>Orders!F1057</f>
        <v>5</v>
      </c>
      <c r="G1057" s="35">
        <f>Orders!G1057</f>
        <v>1540</v>
      </c>
      <c r="H1057" s="37">
        <f>Orders!H1057</f>
        <v>24.6</v>
      </c>
      <c r="I1057" s="39">
        <f>Orders!I1057</f>
        <v>5805.8</v>
      </c>
      <c r="J1057" t="str">
        <f>Orders!J1057</f>
        <v>Completed</v>
      </c>
      <c r="K1057" t="str">
        <f>Orders!K1057</f>
        <v>Hyderabad</v>
      </c>
      <c r="L1057" t="str">
        <f>IFERROR(VLOOKUP(D1057,Products!$A$2:$F$61,3,FALSE),"")</f>
        <v>Beauty</v>
      </c>
      <c r="M1057">
        <f>IFERROR(VLOOKUP(D1057,Products!$A$2:$F$61,4,FALSE),"")</f>
        <v>647</v>
      </c>
      <c r="N1057" t="str">
        <f>IFERROR(VLOOKUP(E1057,Sales_Reps!$A$2:$E$31,3,FALSE),"")</f>
        <v>South</v>
      </c>
      <c r="O1057" t="str">
        <f>IFERROR(VLOOKUP(C1057,Customers!$A$2:$F$301,5,FALSE),"")</f>
        <v>Retail</v>
      </c>
      <c r="P1057">
        <f>IFERROR(VLOOKUP(C1057,Customers!$A$2:$F$301,3,FALSE),"")</f>
        <v>38</v>
      </c>
      <c r="Q1057" s="41">
        <f t="shared" si="25"/>
        <v>0.57987012987012987</v>
      </c>
      <c r="R1057" t="str">
        <f>IFERROR(VLOOKUP(C1057,Customers!$A$2:$F$301,1,FALSE),"")</f>
        <v>CUST-0232</v>
      </c>
      <c r="S1057" s="27" t="b">
        <f>IFERROR(VLOOKUP(D1057,Products!$A$2:$F$61,6,FALSE),"")</f>
        <v>0</v>
      </c>
      <c r="BL1057">
        <v>0</v>
      </c>
      <c r="BO1057">
        <v>0</v>
      </c>
      <c r="BP1057">
        <v>1</v>
      </c>
    </row>
    <row r="1058" spans="1:68" x14ac:dyDescent="0.35">
      <c r="A1058" s="26" t="str">
        <f>Orders!A1058</f>
        <v>ORD-01057</v>
      </c>
      <c r="B1058" s="33">
        <f>Orders!B1058</f>
        <v>45404</v>
      </c>
      <c r="C1058" t="str">
        <f>Orders!C1058</f>
        <v>CUST-0074</v>
      </c>
      <c r="D1058" t="str">
        <f>Orders!D1058</f>
        <v>PROD-054</v>
      </c>
      <c r="E1058" t="str">
        <f>Orders!E1058</f>
        <v>R024</v>
      </c>
      <c r="F1058">
        <f>Orders!F1058</f>
        <v>4</v>
      </c>
      <c r="G1058" s="35">
        <f>Orders!G1058</f>
        <v>1010</v>
      </c>
      <c r="H1058" s="37">
        <f>Orders!H1058</f>
        <v>2.9</v>
      </c>
      <c r="I1058" s="39">
        <f>Orders!I1058</f>
        <v>3922.84</v>
      </c>
      <c r="J1058" t="str">
        <f>Orders!J1058</f>
        <v>Pending</v>
      </c>
      <c r="K1058" t="str">
        <f>Orders!K1058</f>
        <v>Bengaluru</v>
      </c>
      <c r="L1058" t="str">
        <f>IFERROR(VLOOKUP(D1058,Products!$A$2:$F$61,3,FALSE),"")</f>
        <v>Sports</v>
      </c>
      <c r="M1058">
        <f>IFERROR(VLOOKUP(D1058,Products!$A$2:$F$61,4,FALSE),"")</f>
        <v>516</v>
      </c>
      <c r="N1058" t="str">
        <f>IFERROR(VLOOKUP(E1058,Sales_Reps!$A$2:$E$31,3,FALSE),"")</f>
        <v>West</v>
      </c>
      <c r="O1058" t="str">
        <f>IFERROR(VLOOKUP(C1058,Customers!$A$2:$F$301,5,FALSE),"")</f>
        <v>Retail</v>
      </c>
      <c r="P1058">
        <f>IFERROR(VLOOKUP(C1058,Customers!$A$2:$F$301,3,FALSE),"")</f>
        <v>27</v>
      </c>
      <c r="Q1058" s="41">
        <f t="shared" si="25"/>
        <v>0.4891089108910891</v>
      </c>
      <c r="R1058" t="str">
        <f>IFERROR(VLOOKUP(C1058,Customers!$A$2:$F$301,1,FALSE),"")</f>
        <v>CUST-0074</v>
      </c>
      <c r="S1058" s="27" t="b">
        <f>IFERROR(VLOOKUP(D1058,Products!$A$2:$F$61,6,FALSE),"")</f>
        <v>1</v>
      </c>
      <c r="BL1058">
        <v>0</v>
      </c>
      <c r="BO1058">
        <v>0</v>
      </c>
      <c r="BP1058">
        <v>0</v>
      </c>
    </row>
    <row r="1059" spans="1:68" x14ac:dyDescent="0.35">
      <c r="A1059" s="26" t="str">
        <f>Orders!A1059</f>
        <v>ORD-01058</v>
      </c>
      <c r="B1059" s="33">
        <f>Orders!B1059</f>
        <v>45586</v>
      </c>
      <c r="C1059" t="str">
        <f>Orders!C1059</f>
        <v>CUST-0068</v>
      </c>
      <c r="D1059" t="str">
        <f>Orders!D1059</f>
        <v>PROD-049</v>
      </c>
      <c r="E1059" t="str">
        <f>Orders!E1059</f>
        <v>R026</v>
      </c>
      <c r="F1059">
        <f>Orders!F1059</f>
        <v>5</v>
      </c>
      <c r="G1059" s="35">
        <f>Orders!G1059</f>
        <v>960</v>
      </c>
      <c r="H1059" s="37">
        <f>Orders!H1059</f>
        <v>11.4</v>
      </c>
      <c r="I1059" s="39">
        <f>Orders!I1059</f>
        <v>4252.8</v>
      </c>
      <c r="J1059" t="str">
        <f>Orders!J1059</f>
        <v>Completed</v>
      </c>
      <c r="K1059" t="str">
        <f>Orders!K1059</f>
        <v>Delhi</v>
      </c>
      <c r="L1059" t="str">
        <f>IFERROR(VLOOKUP(D1059,Products!$A$2:$F$61,3,FALSE),"")</f>
        <v>Beauty</v>
      </c>
      <c r="M1059">
        <f>IFERROR(VLOOKUP(D1059,Products!$A$2:$F$61,4,FALSE),"")</f>
        <v>675</v>
      </c>
      <c r="N1059" t="str">
        <f>IFERROR(VLOOKUP(E1059,Sales_Reps!$A$2:$E$31,3,FALSE),"")</f>
        <v>West</v>
      </c>
      <c r="O1059" t="str">
        <f>IFERROR(VLOOKUP(C1059,Customers!$A$2:$F$301,5,FALSE),"")</f>
        <v>SMB</v>
      </c>
      <c r="P1059">
        <f>IFERROR(VLOOKUP(C1059,Customers!$A$2:$F$301,3,FALSE),"")</f>
        <v>48</v>
      </c>
      <c r="Q1059" s="41">
        <f t="shared" si="25"/>
        <v>0.296875</v>
      </c>
      <c r="R1059" t="str">
        <f>IFERROR(VLOOKUP(C1059,Customers!$A$2:$F$301,1,FALSE),"")</f>
        <v>CUST-0068</v>
      </c>
      <c r="S1059" s="27" t="b">
        <f>IFERROR(VLOOKUP(D1059,Products!$A$2:$F$61,6,FALSE),"")</f>
        <v>1</v>
      </c>
      <c r="BL1059">
        <v>0</v>
      </c>
      <c r="BO1059">
        <v>0</v>
      </c>
      <c r="BP1059">
        <v>0</v>
      </c>
    </row>
    <row r="1060" spans="1:68" x14ac:dyDescent="0.35">
      <c r="A1060" s="26" t="str">
        <f>Orders!A1060</f>
        <v>ORD-01059</v>
      </c>
      <c r="B1060" s="33">
        <f>Orders!B1060</f>
        <v>45524</v>
      </c>
      <c r="C1060" t="str">
        <f>Orders!C1060</f>
        <v>CUST-0152</v>
      </c>
      <c r="D1060" t="str">
        <f>Orders!D1060</f>
        <v>PROD-041</v>
      </c>
      <c r="E1060" t="str">
        <f>Orders!E1060</f>
        <v>R010</v>
      </c>
      <c r="F1060">
        <f>Orders!F1060</f>
        <v>1</v>
      </c>
      <c r="G1060" s="35">
        <f>Orders!G1060</f>
        <v>1540</v>
      </c>
      <c r="H1060" s="37">
        <f>Orders!H1060</f>
        <v>5.6</v>
      </c>
      <c r="I1060" s="39">
        <f>Orders!I1060</f>
        <v>1453.76</v>
      </c>
      <c r="J1060" t="str">
        <f>Orders!J1060</f>
        <v>Completed</v>
      </c>
      <c r="K1060" t="str">
        <f>Orders!K1060</f>
        <v>Bengaluru</v>
      </c>
      <c r="L1060" t="str">
        <f>IFERROR(VLOOKUP(D1060,Products!$A$2:$F$61,3,FALSE),"")</f>
        <v>Beauty</v>
      </c>
      <c r="M1060">
        <f>IFERROR(VLOOKUP(D1060,Products!$A$2:$F$61,4,FALSE),"")</f>
        <v>647</v>
      </c>
      <c r="N1060" t="str">
        <f>IFERROR(VLOOKUP(E1060,Sales_Reps!$A$2:$E$31,3,FALSE),"")</f>
        <v>South</v>
      </c>
      <c r="O1060" t="str">
        <f>IFERROR(VLOOKUP(C1060,Customers!$A$2:$F$301,5,FALSE),"")</f>
        <v>SMB</v>
      </c>
      <c r="P1060">
        <f>IFERROR(VLOOKUP(C1060,Customers!$A$2:$F$301,3,FALSE),"")</f>
        <v>64</v>
      </c>
      <c r="Q1060" s="41">
        <f t="shared" si="25"/>
        <v>0.57987012987012987</v>
      </c>
      <c r="R1060" t="str">
        <f>IFERROR(VLOOKUP(C1060,Customers!$A$2:$F$301,1,FALSE),"")</f>
        <v>CUST-0152</v>
      </c>
      <c r="S1060" s="27" t="b">
        <f>IFERROR(VLOOKUP(D1060,Products!$A$2:$F$61,6,FALSE),"")</f>
        <v>0</v>
      </c>
      <c r="BL1060">
        <v>0</v>
      </c>
      <c r="BO1060">
        <v>0</v>
      </c>
      <c r="BP1060">
        <v>1</v>
      </c>
    </row>
    <row r="1061" spans="1:68" x14ac:dyDescent="0.35">
      <c r="A1061" s="26" t="str">
        <f>Orders!A1061</f>
        <v>ORD-01060</v>
      </c>
      <c r="B1061" s="33">
        <f>Orders!B1061</f>
        <v>45397</v>
      </c>
      <c r="C1061" t="str">
        <f>Orders!C1061</f>
        <v>CUST-0046</v>
      </c>
      <c r="D1061" t="str">
        <f>Orders!D1061</f>
        <v>PROD-043</v>
      </c>
      <c r="E1061" t="str">
        <f>Orders!E1061</f>
        <v>R019</v>
      </c>
      <c r="F1061">
        <f>Orders!F1061</f>
        <v>9</v>
      </c>
      <c r="G1061" s="35">
        <f>Orders!G1061</f>
        <v>3350</v>
      </c>
      <c r="H1061" s="37">
        <f>Orders!H1061</f>
        <v>2.1</v>
      </c>
      <c r="I1061" s="39">
        <f>Orders!I1061</f>
        <v>29516.85</v>
      </c>
      <c r="J1061" t="str">
        <f>Orders!J1061</f>
        <v>Completed</v>
      </c>
      <c r="K1061" t="str">
        <f>Orders!K1061</f>
        <v>Delhi</v>
      </c>
      <c r="L1061" t="str">
        <f>IFERROR(VLOOKUP(D1061,Products!$A$2:$F$61,3,FALSE),"")</f>
        <v>Beauty</v>
      </c>
      <c r="M1061">
        <f>IFERROR(VLOOKUP(D1061,Products!$A$2:$F$61,4,FALSE),"")</f>
        <v>1728</v>
      </c>
      <c r="N1061" t="str">
        <f>IFERROR(VLOOKUP(E1061,Sales_Reps!$A$2:$E$31,3,FALSE),"")</f>
        <v>East</v>
      </c>
      <c r="O1061" t="str">
        <f>IFERROR(VLOOKUP(C1061,Customers!$A$2:$F$301,5,FALSE),"")</f>
        <v>SMB</v>
      </c>
      <c r="P1061">
        <f>IFERROR(VLOOKUP(C1061,Customers!$A$2:$F$301,3,FALSE),"")</f>
        <v>45</v>
      </c>
      <c r="Q1061" s="41">
        <f t="shared" si="25"/>
        <v>0.48417910447761192</v>
      </c>
      <c r="R1061" t="str">
        <f>IFERROR(VLOOKUP(C1061,Customers!$A$2:$F$301,1,FALSE),"")</f>
        <v>CUST-0046</v>
      </c>
      <c r="S1061" s="27" t="b">
        <f>IFERROR(VLOOKUP(D1061,Products!$A$2:$F$61,6,FALSE),"")</f>
        <v>1</v>
      </c>
      <c r="BL1061">
        <v>0</v>
      </c>
      <c r="BO1061">
        <v>0</v>
      </c>
      <c r="BP1061">
        <v>0</v>
      </c>
    </row>
    <row r="1062" spans="1:68" x14ac:dyDescent="0.35">
      <c r="A1062" s="26" t="str">
        <f>Orders!A1062</f>
        <v>ORD-01061</v>
      </c>
      <c r="B1062" s="33">
        <f>Orders!B1062</f>
        <v>45336</v>
      </c>
      <c r="C1062" t="str">
        <f>Orders!C1062</f>
        <v>CUST-0201</v>
      </c>
      <c r="D1062" t="str">
        <f>Orders!D1062</f>
        <v>PROD-051</v>
      </c>
      <c r="E1062" t="str">
        <f>Orders!E1062</f>
        <v>R021</v>
      </c>
      <c r="F1062">
        <f>Orders!F1062</f>
        <v>7</v>
      </c>
      <c r="G1062" s="35">
        <f>Orders!G1062</f>
        <v>3450</v>
      </c>
      <c r="H1062" s="37">
        <f>Orders!H1062</f>
        <v>4.7</v>
      </c>
      <c r="I1062" s="39">
        <f>Orders!I1062</f>
        <v>23014.95</v>
      </c>
      <c r="J1062" t="str">
        <f>Orders!J1062</f>
        <v>Completed</v>
      </c>
      <c r="K1062" t="str">
        <f>Orders!K1062</f>
        <v>Hyderabad</v>
      </c>
      <c r="L1062" t="str">
        <f>IFERROR(VLOOKUP(D1062,Products!$A$2:$F$61,3,FALSE),"")</f>
        <v>Sports</v>
      </c>
      <c r="M1062">
        <f>IFERROR(VLOOKUP(D1062,Products!$A$2:$F$61,4,FALSE),"")</f>
        <v>2467</v>
      </c>
      <c r="N1062" t="str">
        <f>IFERROR(VLOOKUP(E1062,Sales_Reps!$A$2:$E$31,3,FALSE),"")</f>
        <v>East</v>
      </c>
      <c r="O1062" t="str">
        <f>IFERROR(VLOOKUP(C1062,Customers!$A$2:$F$301,5,FALSE),"")</f>
        <v>Retail</v>
      </c>
      <c r="P1062">
        <f>IFERROR(VLOOKUP(C1062,Customers!$A$2:$F$301,3,FALSE),"")</f>
        <v>31</v>
      </c>
      <c r="Q1062" s="41">
        <f t="shared" si="25"/>
        <v>0.28492753623188405</v>
      </c>
      <c r="R1062" t="str">
        <f>IFERROR(VLOOKUP(C1062,Customers!$A$2:$F$301,1,FALSE),"")</f>
        <v>CUST-0201</v>
      </c>
      <c r="S1062" s="27" t="b">
        <f>IFERROR(VLOOKUP(D1062,Products!$A$2:$F$61,6,FALSE),"")</f>
        <v>1</v>
      </c>
      <c r="BL1062">
        <v>0</v>
      </c>
      <c r="BO1062">
        <v>0</v>
      </c>
      <c r="BP1062">
        <v>0</v>
      </c>
    </row>
    <row r="1063" spans="1:68" x14ac:dyDescent="0.35">
      <c r="A1063" s="26" t="str">
        <f>Orders!A1063</f>
        <v>ORD-01062</v>
      </c>
      <c r="B1063" s="33">
        <f>Orders!B1063</f>
        <v>45594</v>
      </c>
      <c r="C1063" t="str">
        <f>Orders!C1063</f>
        <v>CUST-0191</v>
      </c>
      <c r="D1063" t="str">
        <f>Orders!D1063</f>
        <v>PROD-057</v>
      </c>
      <c r="E1063" t="str">
        <f>Orders!E1063</f>
        <v>R019</v>
      </c>
      <c r="F1063">
        <f>Orders!F1063</f>
        <v>10</v>
      </c>
      <c r="G1063" s="35">
        <f>Orders!G1063</f>
        <v>960</v>
      </c>
      <c r="H1063" s="37">
        <f>Orders!H1063</f>
        <v>17.899999999999999</v>
      </c>
      <c r="I1063" s="39">
        <f>Orders!I1063</f>
        <v>7881.6</v>
      </c>
      <c r="J1063" t="str">
        <f>Orders!J1063</f>
        <v>Completed</v>
      </c>
      <c r="K1063" t="str">
        <f>Orders!K1063</f>
        <v>Hyderabad</v>
      </c>
      <c r="L1063" t="str">
        <f>IFERROR(VLOOKUP(D1063,Products!$A$2:$F$61,3,FALSE),"")</f>
        <v>Sports</v>
      </c>
      <c r="M1063">
        <f>IFERROR(VLOOKUP(D1063,Products!$A$2:$F$61,4,FALSE),"")</f>
        <v>705</v>
      </c>
      <c r="N1063" t="str">
        <f>IFERROR(VLOOKUP(E1063,Sales_Reps!$A$2:$E$31,3,FALSE),"")</f>
        <v>East</v>
      </c>
      <c r="O1063" t="str">
        <f>IFERROR(VLOOKUP(C1063,Customers!$A$2:$F$301,5,FALSE),"")</f>
        <v>SMB</v>
      </c>
      <c r="P1063">
        <f>IFERROR(VLOOKUP(C1063,Customers!$A$2:$F$301,3,FALSE),"")</f>
        <v>43</v>
      </c>
      <c r="Q1063" s="41">
        <f t="shared" si="25"/>
        <v>0.265625</v>
      </c>
      <c r="R1063" t="str">
        <f>IFERROR(VLOOKUP(C1063,Customers!$A$2:$F$301,1,FALSE),"")</f>
        <v>CUST-0191</v>
      </c>
      <c r="S1063" s="27" t="b">
        <f>IFERROR(VLOOKUP(D1063,Products!$A$2:$F$61,6,FALSE),"")</f>
        <v>1</v>
      </c>
      <c r="BL1063">
        <v>0</v>
      </c>
      <c r="BO1063">
        <v>0</v>
      </c>
      <c r="BP1063">
        <v>0</v>
      </c>
    </row>
    <row r="1064" spans="1:68" x14ac:dyDescent="0.35">
      <c r="A1064" s="26" t="str">
        <f>Orders!A1064</f>
        <v>ORD-01063</v>
      </c>
      <c r="B1064" s="33">
        <f>Orders!B1064</f>
        <v>45617</v>
      </c>
      <c r="C1064" t="str">
        <f>Orders!C1064</f>
        <v>CUST-0192</v>
      </c>
      <c r="D1064" t="str">
        <f>Orders!D1064</f>
        <v>PROD-013</v>
      </c>
      <c r="E1064" t="str">
        <f>Orders!E1064</f>
        <v>R014</v>
      </c>
      <c r="F1064">
        <f>Orders!F1064</f>
        <v>1</v>
      </c>
      <c r="G1064" s="35">
        <f>Orders!G1064</f>
        <v>3640</v>
      </c>
      <c r="H1064" s="37">
        <f>Orders!H1064</f>
        <v>8.8000000000000007</v>
      </c>
      <c r="I1064" s="39">
        <f>Orders!I1064</f>
        <v>3319.68</v>
      </c>
      <c r="J1064" t="str">
        <f>Orders!J1064</f>
        <v>Completed</v>
      </c>
      <c r="K1064" t="str">
        <f>Orders!K1064</f>
        <v>Bengaluru</v>
      </c>
      <c r="L1064" t="str">
        <f>IFERROR(VLOOKUP(D1064,Products!$A$2:$F$61,3,FALSE),"")</f>
        <v>Apparel</v>
      </c>
      <c r="M1064">
        <f>IFERROR(VLOOKUP(D1064,Products!$A$2:$F$61,4,FALSE),"")</f>
        <v>2611</v>
      </c>
      <c r="N1064" t="str">
        <f>IFERROR(VLOOKUP(E1064,Sales_Reps!$A$2:$E$31,3,FALSE),"")</f>
        <v>South</v>
      </c>
      <c r="O1064" t="str">
        <f>IFERROR(VLOOKUP(C1064,Customers!$A$2:$F$301,5,FALSE),"")</f>
        <v>Retail</v>
      </c>
      <c r="P1064">
        <f>IFERROR(VLOOKUP(C1064,Customers!$A$2:$F$301,3,FALSE),"")</f>
        <v>55</v>
      </c>
      <c r="Q1064" s="41">
        <f t="shared" si="25"/>
        <v>0.28269230769230769</v>
      </c>
      <c r="R1064" t="str">
        <f>IFERROR(VLOOKUP(C1064,Customers!$A$2:$F$301,1,FALSE),"")</f>
        <v>CUST-0192</v>
      </c>
      <c r="S1064" s="27" t="b">
        <f>IFERROR(VLOOKUP(D1064,Products!$A$2:$F$61,6,FALSE),"")</f>
        <v>1</v>
      </c>
      <c r="BL1064">
        <v>0</v>
      </c>
      <c r="BO1064">
        <v>0</v>
      </c>
      <c r="BP1064">
        <v>0</v>
      </c>
    </row>
    <row r="1065" spans="1:68" x14ac:dyDescent="0.35">
      <c r="A1065" s="26" t="str">
        <f>Orders!A1065</f>
        <v>ORD-01064</v>
      </c>
      <c r="B1065" s="33">
        <f>Orders!B1065</f>
        <v>45378</v>
      </c>
      <c r="C1065" t="str">
        <f>Orders!C1065</f>
        <v>CUST-0074</v>
      </c>
      <c r="D1065" t="str">
        <f>Orders!D1065</f>
        <v>PROD-029</v>
      </c>
      <c r="E1065" t="str">
        <f>Orders!E1065</f>
        <v>R017</v>
      </c>
      <c r="F1065">
        <f>Orders!F1065</f>
        <v>1</v>
      </c>
      <c r="G1065" s="35">
        <f>Orders!G1065</f>
        <v>2210</v>
      </c>
      <c r="H1065" s="37">
        <f>Orders!H1065</f>
        <v>10.7</v>
      </c>
      <c r="I1065" s="39">
        <f>Orders!I1065</f>
        <v>1973.53</v>
      </c>
      <c r="J1065" t="str">
        <f>Orders!J1065</f>
        <v>Completed</v>
      </c>
      <c r="K1065" t="str">
        <f>Orders!K1065</f>
        <v>Bengaluru</v>
      </c>
      <c r="L1065" t="str">
        <f>IFERROR(VLOOKUP(D1065,Products!$A$2:$F$61,3,FALSE),"")</f>
        <v>Grocery</v>
      </c>
      <c r="M1065">
        <f>IFERROR(VLOOKUP(D1065,Products!$A$2:$F$61,4,FALSE),"")</f>
        <v>1010</v>
      </c>
      <c r="N1065" t="str">
        <f>IFERROR(VLOOKUP(E1065,Sales_Reps!$A$2:$E$31,3,FALSE),"")</f>
        <v>East</v>
      </c>
      <c r="O1065" t="str">
        <f>IFERROR(VLOOKUP(C1065,Customers!$A$2:$F$301,5,FALSE),"")</f>
        <v>Retail</v>
      </c>
      <c r="P1065">
        <f>IFERROR(VLOOKUP(C1065,Customers!$A$2:$F$301,3,FALSE),"")</f>
        <v>27</v>
      </c>
      <c r="Q1065" s="41">
        <f t="shared" si="25"/>
        <v>0.54298642533936647</v>
      </c>
      <c r="R1065" t="str">
        <f>IFERROR(VLOOKUP(C1065,Customers!$A$2:$F$301,1,FALSE),"")</f>
        <v>CUST-0074</v>
      </c>
      <c r="S1065" s="27" t="b">
        <f>IFERROR(VLOOKUP(D1065,Products!$A$2:$F$61,6,FALSE),"")</f>
        <v>1</v>
      </c>
      <c r="BL1065">
        <v>0</v>
      </c>
      <c r="BO1065">
        <v>0</v>
      </c>
      <c r="BP1065">
        <v>0</v>
      </c>
    </row>
    <row r="1066" spans="1:68" x14ac:dyDescent="0.35">
      <c r="A1066" s="26" t="str">
        <f>Orders!A1066</f>
        <v>ORD-01065</v>
      </c>
      <c r="B1066" s="33">
        <f>Orders!B1066</f>
        <v>45318</v>
      </c>
      <c r="C1066" t="str">
        <f>Orders!C1066</f>
        <v>CUST-0071</v>
      </c>
      <c r="D1066" t="str">
        <f>Orders!D1066</f>
        <v>PROD-031</v>
      </c>
      <c r="E1066" t="str">
        <f>Orders!E1066</f>
        <v>R005</v>
      </c>
      <c r="F1066">
        <f>Orders!F1066</f>
        <v>2</v>
      </c>
      <c r="G1066" s="35">
        <f>Orders!G1066</f>
        <v>3730</v>
      </c>
      <c r="H1066" s="37">
        <f>Orders!H1066</f>
        <v>13.9</v>
      </c>
      <c r="I1066" s="39">
        <f>Orders!I1066</f>
        <v>6423.06</v>
      </c>
      <c r="J1066" t="str">
        <f>Orders!J1066</f>
        <v>Completed</v>
      </c>
      <c r="K1066" t="str">
        <f>Orders!K1066</f>
        <v>Delhi</v>
      </c>
      <c r="L1066" t="str">
        <f>IFERROR(VLOOKUP(D1066,Products!$A$2:$F$61,3,FALSE),"")</f>
        <v>Home</v>
      </c>
      <c r="M1066">
        <f>IFERROR(VLOOKUP(D1066,Products!$A$2:$F$61,4,FALSE),"")</f>
        <v>2135</v>
      </c>
      <c r="N1066" t="str">
        <f>IFERROR(VLOOKUP(E1066,Sales_Reps!$A$2:$E$31,3,FALSE),"")</f>
        <v>North</v>
      </c>
      <c r="O1066" t="str">
        <f>IFERROR(VLOOKUP(C1066,Customers!$A$2:$F$301,5,FALSE),"")</f>
        <v>Corporate</v>
      </c>
      <c r="P1066">
        <f>IFERROR(VLOOKUP(C1066,Customers!$A$2:$F$301,3,FALSE),"")</f>
        <v>46</v>
      </c>
      <c r="Q1066" s="41">
        <f t="shared" si="25"/>
        <v>0.42761394101876676</v>
      </c>
      <c r="R1066" t="str">
        <f>IFERROR(VLOOKUP(C1066,Customers!$A$2:$F$301,1,FALSE),"")</f>
        <v>CUST-0071</v>
      </c>
      <c r="S1066" s="27" t="b">
        <f>IFERROR(VLOOKUP(D1066,Products!$A$2:$F$61,6,FALSE),"")</f>
        <v>1</v>
      </c>
      <c r="BL1066">
        <v>0</v>
      </c>
      <c r="BO1066">
        <v>0</v>
      </c>
      <c r="BP1066">
        <v>0</v>
      </c>
    </row>
    <row r="1067" spans="1:68" x14ac:dyDescent="0.35">
      <c r="A1067" s="26" t="str">
        <f>Orders!A1067</f>
        <v>ORD-01066</v>
      </c>
      <c r="B1067" s="33">
        <f>Orders!B1067</f>
        <v>45542</v>
      </c>
      <c r="C1067" t="str">
        <f>Orders!C1067</f>
        <v>CUST-0210</v>
      </c>
      <c r="D1067" t="str">
        <f>Orders!D1067</f>
        <v>PROD-052</v>
      </c>
      <c r="E1067" t="str">
        <f>Orders!E1067</f>
        <v>R010</v>
      </c>
      <c r="F1067">
        <f>Orders!F1067</f>
        <v>7</v>
      </c>
      <c r="G1067" s="35">
        <f>Orders!G1067</f>
        <v>5410</v>
      </c>
      <c r="H1067" s="37">
        <f>Orders!H1067</f>
        <v>23.6</v>
      </c>
      <c r="I1067" s="39">
        <f>Orders!I1067</f>
        <v>28932.68</v>
      </c>
      <c r="J1067" t="str">
        <f>Orders!J1067</f>
        <v>Completed</v>
      </c>
      <c r="K1067" t="str">
        <f>Orders!K1067</f>
        <v>Pune</v>
      </c>
      <c r="L1067" t="str">
        <f>IFERROR(VLOOKUP(D1067,Products!$A$2:$F$61,3,FALSE),"")</f>
        <v>Sports</v>
      </c>
      <c r="M1067">
        <f>IFERROR(VLOOKUP(D1067,Products!$A$2:$F$61,4,FALSE),"")</f>
        <v>2265</v>
      </c>
      <c r="N1067" t="str">
        <f>IFERROR(VLOOKUP(E1067,Sales_Reps!$A$2:$E$31,3,FALSE),"")</f>
        <v>South</v>
      </c>
      <c r="O1067" t="str">
        <f>IFERROR(VLOOKUP(C1067,Customers!$A$2:$F$301,5,FALSE),"")</f>
        <v>Corporate</v>
      </c>
      <c r="P1067">
        <f>IFERROR(VLOOKUP(C1067,Customers!$A$2:$F$301,3,FALSE),"")</f>
        <v>48</v>
      </c>
      <c r="Q1067" s="41">
        <f t="shared" si="25"/>
        <v>0.58133086876155271</v>
      </c>
      <c r="R1067" t="str">
        <f>IFERROR(VLOOKUP(C1067,Customers!$A$2:$F$301,1,FALSE),"")</f>
        <v>CUST-0210</v>
      </c>
      <c r="S1067" s="27" t="b">
        <f>IFERROR(VLOOKUP(D1067,Products!$A$2:$F$61,6,FALSE),"")</f>
        <v>1</v>
      </c>
      <c r="BL1067">
        <v>0</v>
      </c>
      <c r="BO1067">
        <v>0</v>
      </c>
      <c r="BP1067">
        <v>0</v>
      </c>
    </row>
    <row r="1068" spans="1:68" x14ac:dyDescent="0.35">
      <c r="A1068" s="26" t="str">
        <f>Orders!A1068</f>
        <v>ORD-01067</v>
      </c>
      <c r="B1068" s="33">
        <f>Orders!B1068</f>
        <v>45618</v>
      </c>
      <c r="C1068" t="str">
        <f>Orders!C1068</f>
        <v>CUST-0054</v>
      </c>
      <c r="D1068" t="str">
        <f>Orders!D1068</f>
        <v>PROD-027</v>
      </c>
      <c r="E1068" t="str">
        <f>Orders!E1068</f>
        <v>R018</v>
      </c>
      <c r="F1068">
        <f>Orders!F1068</f>
        <v>7</v>
      </c>
      <c r="G1068" s="35">
        <f>Orders!G1068</f>
        <v>3780</v>
      </c>
      <c r="H1068" s="37">
        <f>Orders!H1068</f>
        <v>8.5</v>
      </c>
      <c r="I1068" s="39">
        <f>Orders!I1068</f>
        <v>24210.9</v>
      </c>
      <c r="J1068" t="str">
        <f>Orders!J1068</f>
        <v>Cancelled</v>
      </c>
      <c r="K1068" t="str">
        <f>Orders!K1068</f>
        <v>Mumbai</v>
      </c>
      <c r="L1068" t="str">
        <f>IFERROR(VLOOKUP(D1068,Products!$A$2:$F$61,3,FALSE),"")</f>
        <v>Grocery</v>
      </c>
      <c r="M1068">
        <f>IFERROR(VLOOKUP(D1068,Products!$A$2:$F$61,4,FALSE),"")</f>
        <v>2436</v>
      </c>
      <c r="N1068" t="str">
        <f>IFERROR(VLOOKUP(E1068,Sales_Reps!$A$2:$E$31,3,FALSE),"")</f>
        <v>East</v>
      </c>
      <c r="O1068" t="str">
        <f>IFERROR(VLOOKUP(C1068,Customers!$A$2:$F$301,5,FALSE),"")</f>
        <v>Corporate</v>
      </c>
      <c r="P1068">
        <f>IFERROR(VLOOKUP(C1068,Customers!$A$2:$F$301,3,FALSE),"")</f>
        <v>62</v>
      </c>
      <c r="Q1068" s="41">
        <f t="shared" si="25"/>
        <v>0.35555555555555557</v>
      </c>
      <c r="R1068" t="str">
        <f>IFERROR(VLOOKUP(C1068,Customers!$A$2:$F$301,1,FALSE),"")</f>
        <v>CUST-0054</v>
      </c>
      <c r="S1068" s="27" t="b">
        <f>IFERROR(VLOOKUP(D1068,Products!$A$2:$F$61,6,FALSE),"")</f>
        <v>1</v>
      </c>
      <c r="BL1068">
        <v>0</v>
      </c>
      <c r="BO1068">
        <v>0</v>
      </c>
      <c r="BP1068">
        <v>0</v>
      </c>
    </row>
    <row r="1069" spans="1:68" x14ac:dyDescent="0.35">
      <c r="A1069" s="26" t="str">
        <f>Orders!A1069</f>
        <v>ORD-01068</v>
      </c>
      <c r="B1069" s="33">
        <f>Orders!B1069</f>
        <v>45555</v>
      </c>
      <c r="C1069" t="str">
        <f>Orders!C1069</f>
        <v>CUST-0194</v>
      </c>
      <c r="D1069" t="str">
        <f>Orders!D1069</f>
        <v>PROD-039</v>
      </c>
      <c r="E1069" t="str">
        <f>Orders!E1069</f>
        <v>R016</v>
      </c>
      <c r="F1069">
        <f>Orders!F1069</f>
        <v>9</v>
      </c>
      <c r="G1069" s="35">
        <f>Orders!G1069</f>
        <v>4610</v>
      </c>
      <c r="H1069" s="37">
        <f>Orders!H1069</f>
        <v>26.6</v>
      </c>
      <c r="I1069" s="39">
        <f>Orders!I1069</f>
        <v>30453.66</v>
      </c>
      <c r="J1069" t="str">
        <f>Orders!J1069</f>
        <v>Completed</v>
      </c>
      <c r="K1069" t="str">
        <f>Orders!K1069</f>
        <v>Delhi</v>
      </c>
      <c r="L1069" t="str">
        <f>IFERROR(VLOOKUP(D1069,Products!$A$2:$F$61,3,FALSE),"")</f>
        <v>Home</v>
      </c>
      <c r="M1069">
        <f>IFERROR(VLOOKUP(D1069,Products!$A$2:$F$61,4,FALSE),"")</f>
        <v>1850</v>
      </c>
      <c r="N1069" t="str">
        <f>IFERROR(VLOOKUP(E1069,Sales_Reps!$A$2:$E$31,3,FALSE),"")</f>
        <v>South</v>
      </c>
      <c r="O1069" t="str">
        <f>IFERROR(VLOOKUP(C1069,Customers!$A$2:$F$301,5,FALSE),"")</f>
        <v>SMB</v>
      </c>
      <c r="P1069">
        <f>IFERROR(VLOOKUP(C1069,Customers!$A$2:$F$301,3,FALSE),"")</f>
        <v>55</v>
      </c>
      <c r="Q1069" s="41">
        <f t="shared" si="25"/>
        <v>0.59869848156182215</v>
      </c>
      <c r="R1069" t="str">
        <f>IFERROR(VLOOKUP(C1069,Customers!$A$2:$F$301,1,FALSE),"")</f>
        <v>CUST-0194</v>
      </c>
      <c r="S1069" s="27" t="b">
        <f>IFERROR(VLOOKUP(D1069,Products!$A$2:$F$61,6,FALSE),"")</f>
        <v>1</v>
      </c>
      <c r="BL1069">
        <v>0</v>
      </c>
      <c r="BO1069">
        <v>0</v>
      </c>
      <c r="BP1069">
        <v>0</v>
      </c>
    </row>
    <row r="1070" spans="1:68" x14ac:dyDescent="0.35">
      <c r="A1070" s="26" t="str">
        <f>Orders!A1070</f>
        <v>ORD-01069</v>
      </c>
      <c r="B1070" s="33">
        <f>Orders!B1070</f>
        <v>45373</v>
      </c>
      <c r="C1070" t="str">
        <f>Orders!C1070</f>
        <v>CUST-0231</v>
      </c>
      <c r="D1070" t="str">
        <f>Orders!D1070</f>
        <v>PROD-010</v>
      </c>
      <c r="E1070" t="str">
        <f>Orders!E1070</f>
        <v>R025</v>
      </c>
      <c r="F1070">
        <f>Orders!F1070</f>
        <v>5</v>
      </c>
      <c r="G1070" s="35">
        <f>Orders!G1070</f>
        <v>2640</v>
      </c>
      <c r="H1070" s="37">
        <f>Orders!H1070</f>
        <v>1.5</v>
      </c>
      <c r="I1070" s="39">
        <f>Orders!I1070</f>
        <v>13002</v>
      </c>
      <c r="J1070" t="str">
        <f>Orders!J1070</f>
        <v>Completed</v>
      </c>
      <c r="K1070" t="str">
        <f>Orders!K1070</f>
        <v>Chennai</v>
      </c>
      <c r="L1070" t="str">
        <f>IFERROR(VLOOKUP(D1070,Products!$A$2:$F$61,3,FALSE),"")</f>
        <v>Electronics</v>
      </c>
      <c r="M1070">
        <f>IFERROR(VLOOKUP(D1070,Products!$A$2:$F$61,4,FALSE),"")</f>
        <v>1149</v>
      </c>
      <c r="N1070" t="str">
        <f>IFERROR(VLOOKUP(E1070,Sales_Reps!$A$2:$E$31,3,FALSE),"")</f>
        <v>West</v>
      </c>
      <c r="O1070" t="str">
        <f>IFERROR(VLOOKUP(C1070,Customers!$A$2:$F$301,5,FALSE),"")</f>
        <v>Retail</v>
      </c>
      <c r="P1070">
        <f>IFERROR(VLOOKUP(C1070,Customers!$A$2:$F$301,3,FALSE),"")</f>
        <v>61</v>
      </c>
      <c r="Q1070" s="41">
        <f t="shared" si="25"/>
        <v>0.56477272727272732</v>
      </c>
      <c r="R1070" t="str">
        <f>IFERROR(VLOOKUP(C1070,Customers!$A$2:$F$301,1,FALSE),"")</f>
        <v>CUST-0231</v>
      </c>
      <c r="S1070" s="27" t="b">
        <f>IFERROR(VLOOKUP(D1070,Products!$A$2:$F$61,6,FALSE),"")</f>
        <v>1</v>
      </c>
      <c r="BL1070">
        <v>0</v>
      </c>
      <c r="BO1070">
        <v>0</v>
      </c>
      <c r="BP1070">
        <v>0</v>
      </c>
    </row>
    <row r="1071" spans="1:68" x14ac:dyDescent="0.35">
      <c r="A1071" s="26" t="str">
        <f>Orders!A1071</f>
        <v>ORD-01070</v>
      </c>
      <c r="B1071" s="33">
        <f>Orders!B1071</f>
        <v>45515</v>
      </c>
      <c r="C1071" t="str">
        <f>Orders!C1071</f>
        <v>CUST-0053</v>
      </c>
      <c r="D1071" t="str">
        <f>Orders!D1071</f>
        <v>PROD-014</v>
      </c>
      <c r="E1071" t="str">
        <f>Orders!E1071</f>
        <v>R010</v>
      </c>
      <c r="F1071">
        <f>Orders!F1071</f>
        <v>3</v>
      </c>
      <c r="G1071" s="35">
        <f>Orders!G1071</f>
        <v>3620</v>
      </c>
      <c r="H1071" s="37">
        <f>Orders!H1071</f>
        <v>3.1</v>
      </c>
      <c r="I1071" s="39">
        <f>Orders!I1071</f>
        <v>10523.34</v>
      </c>
      <c r="J1071" t="str">
        <f>Orders!J1071</f>
        <v>Completed</v>
      </c>
      <c r="K1071" t="str">
        <f>Orders!K1071</f>
        <v>Delhi</v>
      </c>
      <c r="L1071" t="str">
        <f>IFERROR(VLOOKUP(D1071,Products!$A$2:$F$61,3,FALSE),"")</f>
        <v>Apparel</v>
      </c>
      <c r="M1071">
        <f>IFERROR(VLOOKUP(D1071,Products!$A$2:$F$61,4,FALSE),"")</f>
        <v>2509</v>
      </c>
      <c r="N1071" t="str">
        <f>IFERROR(VLOOKUP(E1071,Sales_Reps!$A$2:$E$31,3,FALSE),"")</f>
        <v>South</v>
      </c>
      <c r="O1071" t="str">
        <f>IFERROR(VLOOKUP(C1071,Customers!$A$2:$F$301,5,FALSE),"")</f>
        <v>Retail</v>
      </c>
      <c r="P1071">
        <f>IFERROR(VLOOKUP(C1071,Customers!$A$2:$F$301,3,FALSE),"")</f>
        <v>53</v>
      </c>
      <c r="Q1071" s="41">
        <f t="shared" si="25"/>
        <v>0.3069060773480663</v>
      </c>
      <c r="R1071" t="str">
        <f>IFERROR(VLOOKUP(C1071,Customers!$A$2:$F$301,1,FALSE),"")</f>
        <v>CUST-0053</v>
      </c>
      <c r="S1071" s="27" t="b">
        <f>IFERROR(VLOOKUP(D1071,Products!$A$2:$F$61,6,FALSE),"")</f>
        <v>1</v>
      </c>
      <c r="BL1071">
        <v>0</v>
      </c>
      <c r="BO1071">
        <v>0</v>
      </c>
      <c r="BP1071">
        <v>0</v>
      </c>
    </row>
    <row r="1072" spans="1:68" x14ac:dyDescent="0.35">
      <c r="A1072" s="26" t="str">
        <f>Orders!A1072</f>
        <v>ORD-01071</v>
      </c>
      <c r="B1072" s="33">
        <f>Orders!B1072</f>
        <v>45530</v>
      </c>
      <c r="C1072" t="str">
        <f>Orders!C1072</f>
        <v>CUST-0290</v>
      </c>
      <c r="D1072" t="str">
        <f>Orders!D1072</f>
        <v>PROD-053</v>
      </c>
      <c r="E1072" t="str">
        <f>Orders!E1072</f>
        <v>R018</v>
      </c>
      <c r="F1072">
        <f>Orders!F1072</f>
        <v>5</v>
      </c>
      <c r="G1072" s="35">
        <f>Orders!G1072</f>
        <v>470</v>
      </c>
      <c r="H1072" s="37">
        <f>Orders!H1072</f>
        <v>10.6</v>
      </c>
      <c r="I1072" s="39">
        <f>Orders!I1072</f>
        <v>2100.9</v>
      </c>
      <c r="J1072" t="str">
        <f>Orders!J1072</f>
        <v>Cancelled</v>
      </c>
      <c r="K1072" t="str">
        <f>Orders!K1072</f>
        <v>Delhi</v>
      </c>
      <c r="L1072" t="str">
        <f>IFERROR(VLOOKUP(D1072,Products!$A$2:$F$61,3,FALSE),"")</f>
        <v>Sports</v>
      </c>
      <c r="M1072">
        <f>IFERROR(VLOOKUP(D1072,Products!$A$2:$F$61,4,FALSE),"")</f>
        <v>302</v>
      </c>
      <c r="N1072" t="str">
        <f>IFERROR(VLOOKUP(E1072,Sales_Reps!$A$2:$E$31,3,FALSE),"")</f>
        <v>East</v>
      </c>
      <c r="O1072" t="str">
        <f>IFERROR(VLOOKUP(C1072,Customers!$A$2:$F$301,5,FALSE),"")</f>
        <v>Retail</v>
      </c>
      <c r="P1072">
        <f>IFERROR(VLOOKUP(C1072,Customers!$A$2:$F$301,3,FALSE),"")</f>
        <v>63</v>
      </c>
      <c r="Q1072" s="41">
        <f t="shared" si="25"/>
        <v>0.35744680851063831</v>
      </c>
      <c r="R1072" t="str">
        <f>IFERROR(VLOOKUP(C1072,Customers!$A$2:$F$301,1,FALSE),"")</f>
        <v>CUST-0290</v>
      </c>
      <c r="S1072" s="27" t="b">
        <f>IFERROR(VLOOKUP(D1072,Products!$A$2:$F$61,6,FALSE),"")</f>
        <v>0</v>
      </c>
      <c r="BL1072">
        <v>0</v>
      </c>
      <c r="BO1072">
        <v>0</v>
      </c>
      <c r="BP1072">
        <v>1</v>
      </c>
    </row>
    <row r="1073" spans="1:68" x14ac:dyDescent="0.35">
      <c r="A1073" s="26" t="str">
        <f>Orders!A1073</f>
        <v>ORD-01072</v>
      </c>
      <c r="B1073" s="33">
        <f>Orders!B1073</f>
        <v>45463</v>
      </c>
      <c r="C1073" t="str">
        <f>Orders!C1073</f>
        <v>CUST-0261</v>
      </c>
      <c r="D1073" t="str">
        <f>Orders!D1073</f>
        <v>PROD-001</v>
      </c>
      <c r="E1073" t="str">
        <f>Orders!E1073</f>
        <v>R009</v>
      </c>
      <c r="F1073">
        <f>Orders!F1073</f>
        <v>7</v>
      </c>
      <c r="G1073" s="35">
        <f>Orders!G1073</f>
        <v>5330</v>
      </c>
      <c r="H1073" s="37">
        <f>Orders!H1073</f>
        <v>25</v>
      </c>
      <c r="I1073" s="39">
        <f>Orders!I1073</f>
        <v>27982.5</v>
      </c>
      <c r="J1073" t="str">
        <f>Orders!J1073</f>
        <v>Cancelled</v>
      </c>
      <c r="K1073" t="str">
        <f>Orders!K1073</f>
        <v>Delhi</v>
      </c>
      <c r="L1073" t="str">
        <f>IFERROR(VLOOKUP(D1073,Products!$A$2:$F$61,3,FALSE),"")</f>
        <v>Electronics</v>
      </c>
      <c r="M1073">
        <f>IFERROR(VLOOKUP(D1073,Products!$A$2:$F$61,4,FALSE),"")</f>
        <v>2405</v>
      </c>
      <c r="N1073" t="str">
        <f>IFERROR(VLOOKUP(E1073,Sales_Reps!$A$2:$E$31,3,FALSE),"")</f>
        <v>South</v>
      </c>
      <c r="O1073" t="str">
        <f>IFERROR(VLOOKUP(C1073,Customers!$A$2:$F$301,5,FALSE),"")</f>
        <v>Retail</v>
      </c>
      <c r="P1073">
        <f>IFERROR(VLOOKUP(C1073,Customers!$A$2:$F$301,3,FALSE),"")</f>
        <v>54</v>
      </c>
      <c r="Q1073" s="41">
        <f t="shared" si="25"/>
        <v>0.54878048780487809</v>
      </c>
      <c r="R1073" t="str">
        <f>IFERROR(VLOOKUP(C1073,Customers!$A$2:$F$301,1,FALSE),"")</f>
        <v>CUST-0261</v>
      </c>
      <c r="S1073" s="27" t="b">
        <f>IFERROR(VLOOKUP(D1073,Products!$A$2:$F$61,6,FALSE),"")</f>
        <v>1</v>
      </c>
      <c r="BL1073">
        <v>0</v>
      </c>
      <c r="BO1073">
        <v>0</v>
      </c>
      <c r="BP1073">
        <v>0</v>
      </c>
    </row>
    <row r="1074" spans="1:68" x14ac:dyDescent="0.35">
      <c r="A1074" s="26" t="str">
        <f>Orders!A1074</f>
        <v>ORD-01073</v>
      </c>
      <c r="B1074" s="33">
        <f>Orders!B1074</f>
        <v>45292</v>
      </c>
      <c r="C1074" t="str">
        <f>Orders!C1074</f>
        <v>CUST-0045</v>
      </c>
      <c r="D1074" t="str">
        <f>Orders!D1074</f>
        <v>PROD-050</v>
      </c>
      <c r="E1074" t="str">
        <f>Orders!E1074</f>
        <v>R014</v>
      </c>
      <c r="F1074">
        <f>Orders!F1074</f>
        <v>1</v>
      </c>
      <c r="G1074" s="35">
        <f>Orders!G1074</f>
        <v>6080</v>
      </c>
      <c r="H1074" s="37">
        <f>Orders!H1074</f>
        <v>27.8</v>
      </c>
      <c r="I1074" s="39">
        <f>Orders!I1074</f>
        <v>4389.76</v>
      </c>
      <c r="J1074" t="str">
        <f>Orders!J1074</f>
        <v>Completed</v>
      </c>
      <c r="K1074" t="str">
        <f>Orders!K1074</f>
        <v>Chennai</v>
      </c>
      <c r="L1074" t="str">
        <f>IFERROR(VLOOKUP(D1074,Products!$A$2:$F$61,3,FALSE),"")</f>
        <v>Beauty</v>
      </c>
      <c r="M1074">
        <f>IFERROR(VLOOKUP(D1074,Products!$A$2:$F$61,4,FALSE),"")</f>
        <v>2617</v>
      </c>
      <c r="N1074" t="str">
        <f>IFERROR(VLOOKUP(E1074,Sales_Reps!$A$2:$E$31,3,FALSE),"")</f>
        <v>South</v>
      </c>
      <c r="O1074" t="str">
        <f>IFERROR(VLOOKUP(C1074,Customers!$A$2:$F$301,5,FALSE),"")</f>
        <v>SMB</v>
      </c>
      <c r="P1074">
        <f>IFERROR(VLOOKUP(C1074,Customers!$A$2:$F$301,3,FALSE),"")</f>
        <v>39</v>
      </c>
      <c r="Q1074" s="41">
        <f t="shared" si="25"/>
        <v>0.56957236842105263</v>
      </c>
      <c r="R1074" t="str">
        <f>IFERROR(VLOOKUP(C1074,Customers!$A$2:$F$301,1,FALSE),"")</f>
        <v>CUST-0045</v>
      </c>
      <c r="S1074" s="27" t="b">
        <f>IFERROR(VLOOKUP(D1074,Products!$A$2:$F$61,6,FALSE),"")</f>
        <v>1</v>
      </c>
      <c r="BL1074">
        <v>0</v>
      </c>
      <c r="BO1074">
        <v>0</v>
      </c>
      <c r="BP1074">
        <v>0</v>
      </c>
    </row>
    <row r="1075" spans="1:68" x14ac:dyDescent="0.35">
      <c r="A1075" s="26" t="str">
        <f>Orders!A1075</f>
        <v>ORD-01074</v>
      </c>
      <c r="B1075" s="33">
        <f>Orders!B1075</f>
        <v>45347</v>
      </c>
      <c r="C1075" t="str">
        <f>Orders!C1075</f>
        <v>CUST-0064</v>
      </c>
      <c r="D1075" t="str">
        <f>Orders!D1075</f>
        <v>PROD-043</v>
      </c>
      <c r="E1075" t="str">
        <f>Orders!E1075</f>
        <v>R024</v>
      </c>
      <c r="F1075">
        <f>Orders!F1075</f>
        <v>6</v>
      </c>
      <c r="G1075" s="35">
        <f>Orders!G1075</f>
        <v>3350</v>
      </c>
      <c r="H1075" s="37">
        <f>Orders!H1075</f>
        <v>12</v>
      </c>
      <c r="I1075" s="39">
        <f>Orders!I1075</f>
        <v>17688</v>
      </c>
      <c r="J1075" t="str">
        <f>Orders!J1075</f>
        <v>Completed</v>
      </c>
      <c r="K1075" t="str">
        <f>Orders!K1075</f>
        <v>Hyderabad</v>
      </c>
      <c r="L1075" t="str">
        <f>IFERROR(VLOOKUP(D1075,Products!$A$2:$F$61,3,FALSE),"")</f>
        <v>Beauty</v>
      </c>
      <c r="M1075">
        <f>IFERROR(VLOOKUP(D1075,Products!$A$2:$F$61,4,FALSE),"")</f>
        <v>1728</v>
      </c>
      <c r="N1075" t="str">
        <f>IFERROR(VLOOKUP(E1075,Sales_Reps!$A$2:$E$31,3,FALSE),"")</f>
        <v>West</v>
      </c>
      <c r="O1075" t="str">
        <f>IFERROR(VLOOKUP(C1075,Customers!$A$2:$F$301,5,FALSE),"")</f>
        <v>SMB</v>
      </c>
      <c r="P1075">
        <f>IFERROR(VLOOKUP(C1075,Customers!$A$2:$F$301,3,FALSE),"")</f>
        <v>40</v>
      </c>
      <c r="Q1075" s="41">
        <f t="shared" si="25"/>
        <v>0.48417910447761192</v>
      </c>
      <c r="R1075" t="str">
        <f>IFERROR(VLOOKUP(C1075,Customers!$A$2:$F$301,1,FALSE),"")</f>
        <v>CUST-0064</v>
      </c>
      <c r="S1075" s="27" t="b">
        <f>IFERROR(VLOOKUP(D1075,Products!$A$2:$F$61,6,FALSE),"")</f>
        <v>1</v>
      </c>
      <c r="BL1075">
        <v>0</v>
      </c>
      <c r="BO1075">
        <v>0</v>
      </c>
      <c r="BP1075">
        <v>0</v>
      </c>
    </row>
    <row r="1076" spans="1:68" x14ac:dyDescent="0.35">
      <c r="A1076" s="26" t="str">
        <f>Orders!A1076</f>
        <v>ORD-01075</v>
      </c>
      <c r="B1076" s="33">
        <f>Orders!B1076</f>
        <v>45592</v>
      </c>
      <c r="C1076" t="str">
        <f>Orders!C1076</f>
        <v>CUST-9754</v>
      </c>
      <c r="D1076" t="str">
        <f>Orders!D1076</f>
        <v>PROD-056</v>
      </c>
      <c r="E1076" t="str">
        <f>Orders!E1076</f>
        <v>R027</v>
      </c>
      <c r="F1076">
        <f>Orders!F1076</f>
        <v>6</v>
      </c>
      <c r="G1076" s="35">
        <f>Orders!G1076</f>
        <v>6940</v>
      </c>
      <c r="H1076" s="37">
        <f>Orders!H1076</f>
        <v>20</v>
      </c>
      <c r="I1076" s="39">
        <f>Orders!I1076</f>
        <v>33312</v>
      </c>
      <c r="J1076" t="str">
        <f>Orders!J1076</f>
        <v>Completed</v>
      </c>
      <c r="K1076" t="str">
        <f>Orders!K1076</f>
        <v>Chennai</v>
      </c>
      <c r="L1076" t="str">
        <f>IFERROR(VLOOKUP(D1076,Products!$A$2:$F$61,3,FALSE),"")</f>
        <v>Sports</v>
      </c>
      <c r="M1076">
        <f>IFERROR(VLOOKUP(D1076,Products!$A$2:$F$61,4,FALSE),"")</f>
        <v>2827</v>
      </c>
      <c r="N1076" t="str">
        <f>IFERROR(VLOOKUP(E1076,Sales_Reps!$A$2:$E$31,3,FALSE),"")</f>
        <v>West</v>
      </c>
      <c r="O1076" t="str">
        <f>IFERROR(VLOOKUP(C1076,Customers!$A$2:$F$301,5,FALSE),"")</f>
        <v/>
      </c>
      <c r="P1076" t="str">
        <f>IFERROR(VLOOKUP(C1076,Customers!$A$2:$F$301,3,FALSE),"")</f>
        <v/>
      </c>
      <c r="Q1076" s="41">
        <f t="shared" si="25"/>
        <v>0.5926512968299712</v>
      </c>
      <c r="R1076" t="str">
        <f>IFERROR(VLOOKUP(C1076,Customers!$A$2:$F$301,1,FALSE),"")</f>
        <v/>
      </c>
      <c r="S1076" s="27" t="b">
        <f>IFERROR(VLOOKUP(D1076,Products!$A$2:$F$61,6,FALSE),"")</f>
        <v>1</v>
      </c>
      <c r="BL1076">
        <v>0</v>
      </c>
      <c r="BO1076">
        <v>1</v>
      </c>
      <c r="BP1076">
        <v>0</v>
      </c>
    </row>
    <row r="1077" spans="1:68" x14ac:dyDescent="0.35">
      <c r="A1077" s="26" t="str">
        <f>Orders!A1077</f>
        <v>ORD-01076</v>
      </c>
      <c r="B1077" s="33">
        <f>Orders!B1077</f>
        <v>45636</v>
      </c>
      <c r="C1077" t="str">
        <f>Orders!C1077</f>
        <v>CUST-0200</v>
      </c>
      <c r="D1077" t="str">
        <f>Orders!D1077</f>
        <v>PROD-032</v>
      </c>
      <c r="E1077" t="str">
        <f>Orders!E1077</f>
        <v>R007</v>
      </c>
      <c r="F1077">
        <f>Orders!F1077</f>
        <v>1</v>
      </c>
      <c r="G1077" s="35">
        <f>Orders!G1077</f>
        <v>370</v>
      </c>
      <c r="H1077" s="37">
        <f>Orders!H1077</f>
        <v>10</v>
      </c>
      <c r="I1077" s="39">
        <f>Orders!I1077</f>
        <v>333</v>
      </c>
      <c r="J1077" t="str">
        <f>Orders!J1077</f>
        <v>Completed</v>
      </c>
      <c r="K1077" t="str">
        <f>Orders!K1077</f>
        <v>Hyderabad</v>
      </c>
      <c r="L1077" t="str">
        <f>IFERROR(VLOOKUP(D1077,Products!$A$2:$F$61,3,FALSE),"")</f>
        <v>Home</v>
      </c>
      <c r="M1077">
        <f>IFERROR(VLOOKUP(D1077,Products!$A$2:$F$61,4,FALSE),"")</f>
        <v>288</v>
      </c>
      <c r="N1077" t="str">
        <f>IFERROR(VLOOKUP(E1077,Sales_Reps!$A$2:$E$31,3,FALSE),"")</f>
        <v>North</v>
      </c>
      <c r="O1077" t="str">
        <f>IFERROR(VLOOKUP(C1077,Customers!$A$2:$F$301,5,FALSE),"")</f>
        <v>Corporate</v>
      </c>
      <c r="P1077">
        <f>IFERROR(VLOOKUP(C1077,Customers!$A$2:$F$301,3,FALSE),"")</f>
        <v>46</v>
      </c>
      <c r="Q1077" s="41">
        <f t="shared" si="25"/>
        <v>0.22162162162162163</v>
      </c>
      <c r="R1077" t="str">
        <f>IFERROR(VLOOKUP(C1077,Customers!$A$2:$F$301,1,FALSE),"")</f>
        <v>CUST-0200</v>
      </c>
      <c r="S1077" s="27" t="b">
        <f>IFERROR(VLOOKUP(D1077,Products!$A$2:$F$61,6,FALSE),"")</f>
        <v>1</v>
      </c>
      <c r="BL1077">
        <v>0</v>
      </c>
      <c r="BO1077">
        <v>0</v>
      </c>
      <c r="BP1077">
        <v>0</v>
      </c>
    </row>
    <row r="1078" spans="1:68" x14ac:dyDescent="0.35">
      <c r="A1078" s="26" t="str">
        <f>Orders!A1078</f>
        <v>ORD-01077</v>
      </c>
      <c r="B1078" s="33">
        <f>Orders!B1078</f>
        <v>45432</v>
      </c>
      <c r="C1078" t="str">
        <f>Orders!C1078</f>
        <v>CUST-0058</v>
      </c>
      <c r="D1078" t="str">
        <f>Orders!D1078</f>
        <v>PROD-038</v>
      </c>
      <c r="E1078" t="str">
        <f>Orders!E1078</f>
        <v>R020</v>
      </c>
      <c r="F1078">
        <f>Orders!F1078</f>
        <v>2</v>
      </c>
      <c r="G1078" s="35">
        <f>Orders!G1078</f>
        <v>5490</v>
      </c>
      <c r="H1078" s="37">
        <f>Orders!H1078</f>
        <v>27.9</v>
      </c>
      <c r="I1078" s="39">
        <f>Orders!I1078</f>
        <v>7916.58</v>
      </c>
      <c r="J1078" t="str">
        <f>Orders!J1078</f>
        <v>Completed</v>
      </c>
      <c r="K1078" t="str">
        <f>Orders!K1078</f>
        <v>Bengaluru</v>
      </c>
      <c r="L1078" t="str">
        <f>IFERROR(VLOOKUP(D1078,Products!$A$2:$F$61,3,FALSE),"")</f>
        <v>Home</v>
      </c>
      <c r="M1078">
        <f>IFERROR(VLOOKUP(D1078,Products!$A$2:$F$61,4,FALSE),"")</f>
        <v>2549</v>
      </c>
      <c r="N1078" t="str">
        <f>IFERROR(VLOOKUP(E1078,Sales_Reps!$A$2:$E$31,3,FALSE),"")</f>
        <v>East</v>
      </c>
      <c r="O1078" t="str">
        <f>IFERROR(VLOOKUP(C1078,Customers!$A$2:$F$301,5,FALSE),"")</f>
        <v>SMB</v>
      </c>
      <c r="P1078">
        <f>IFERROR(VLOOKUP(C1078,Customers!$A$2:$F$301,3,FALSE),"")</f>
        <v>49</v>
      </c>
      <c r="Q1078" s="41">
        <f t="shared" si="25"/>
        <v>0.53570127504553733</v>
      </c>
      <c r="R1078" t="str">
        <f>IFERROR(VLOOKUP(C1078,Customers!$A$2:$F$301,1,FALSE),"")</f>
        <v>CUST-0058</v>
      </c>
      <c r="S1078" s="27" t="b">
        <f>IFERROR(VLOOKUP(D1078,Products!$A$2:$F$61,6,FALSE),"")</f>
        <v>1</v>
      </c>
      <c r="BL1078">
        <v>0</v>
      </c>
      <c r="BO1078">
        <v>0</v>
      </c>
      <c r="BP1078">
        <v>0</v>
      </c>
    </row>
    <row r="1079" spans="1:68" x14ac:dyDescent="0.35">
      <c r="A1079" s="26" t="str">
        <f>Orders!A1079</f>
        <v>ORD-01078</v>
      </c>
      <c r="B1079" s="33">
        <f>Orders!B1079</f>
        <v>45479</v>
      </c>
      <c r="C1079" t="str">
        <f>Orders!C1079</f>
        <v>CUST-0156</v>
      </c>
      <c r="D1079" t="str">
        <f>Orders!D1079</f>
        <v>PROD-028</v>
      </c>
      <c r="E1079" t="str">
        <f>Orders!E1079</f>
        <v>R009</v>
      </c>
      <c r="F1079">
        <f>Orders!F1079</f>
        <v>5</v>
      </c>
      <c r="G1079" s="35">
        <f>Orders!G1079</f>
        <v>3660</v>
      </c>
      <c r="H1079" s="37">
        <f>Orders!H1079</f>
        <v>4.5999999999999996</v>
      </c>
      <c r="I1079" s="39">
        <f>Orders!I1079</f>
        <v>17458.2</v>
      </c>
      <c r="J1079" t="str">
        <f>Orders!J1079</f>
        <v>Completed</v>
      </c>
      <c r="K1079" t="str">
        <f>Orders!K1079</f>
        <v>Mumbai</v>
      </c>
      <c r="L1079" t="str">
        <f>IFERROR(VLOOKUP(D1079,Products!$A$2:$F$61,3,FALSE),"")</f>
        <v>Grocery</v>
      </c>
      <c r="M1079">
        <f>IFERROR(VLOOKUP(D1079,Products!$A$2:$F$61,4,FALSE),"")</f>
        <v>2214</v>
      </c>
      <c r="N1079" t="str">
        <f>IFERROR(VLOOKUP(E1079,Sales_Reps!$A$2:$E$31,3,FALSE),"")</f>
        <v>South</v>
      </c>
      <c r="O1079" t="str">
        <f>IFERROR(VLOOKUP(C1079,Customers!$A$2:$F$301,5,FALSE),"")</f>
        <v>Retail</v>
      </c>
      <c r="P1079">
        <f>IFERROR(VLOOKUP(C1079,Customers!$A$2:$F$301,3,FALSE),"")</f>
        <v>33</v>
      </c>
      <c r="Q1079" s="41">
        <f t="shared" si="25"/>
        <v>0.39508196721311473</v>
      </c>
      <c r="R1079" t="str">
        <f>IFERROR(VLOOKUP(C1079,Customers!$A$2:$F$301,1,FALSE),"")</f>
        <v>CUST-0156</v>
      </c>
      <c r="S1079" s="27" t="b">
        <f>IFERROR(VLOOKUP(D1079,Products!$A$2:$F$61,6,FALSE),"")</f>
        <v>0</v>
      </c>
      <c r="BL1079">
        <v>0</v>
      </c>
      <c r="BO1079">
        <v>0</v>
      </c>
      <c r="BP1079">
        <v>1</v>
      </c>
    </row>
    <row r="1080" spans="1:68" x14ac:dyDescent="0.35">
      <c r="A1080" s="26" t="str">
        <f>Orders!A1080</f>
        <v>ORD-01079</v>
      </c>
      <c r="B1080" s="33">
        <f>Orders!B1080</f>
        <v>45563</v>
      </c>
      <c r="C1080" t="str">
        <f>Orders!C1080</f>
        <v>CUST-0107</v>
      </c>
      <c r="D1080" t="str">
        <f>Orders!D1080</f>
        <v>PROD-005</v>
      </c>
      <c r="E1080" t="str">
        <f>Orders!E1080</f>
        <v>R029</v>
      </c>
      <c r="F1080">
        <f>Orders!F1080</f>
        <v>6</v>
      </c>
      <c r="G1080" s="35">
        <f>Orders!G1080</f>
        <v>300</v>
      </c>
      <c r="H1080" s="37">
        <f>Orders!H1080</f>
        <v>9</v>
      </c>
      <c r="I1080" s="39">
        <f>Orders!I1080</f>
        <v>1638</v>
      </c>
      <c r="J1080" t="str">
        <f>Orders!J1080</f>
        <v>Completed</v>
      </c>
      <c r="K1080" t="str">
        <f>Orders!K1080</f>
        <v>Pune</v>
      </c>
      <c r="L1080" t="str">
        <f>IFERROR(VLOOKUP(D1080,Products!$A$2:$F$61,3,FALSE),"")</f>
        <v>Electronics</v>
      </c>
      <c r="M1080">
        <f>IFERROR(VLOOKUP(D1080,Products!$A$2:$F$61,4,FALSE),"")</f>
        <v>128</v>
      </c>
      <c r="N1080" t="str">
        <f>IFERROR(VLOOKUP(E1080,Sales_Reps!$A$2:$E$31,3,FALSE),"")</f>
        <v>West</v>
      </c>
      <c r="O1080" t="str">
        <f>IFERROR(VLOOKUP(C1080,Customers!$A$2:$F$301,5,FALSE),"")</f>
        <v>Retail</v>
      </c>
      <c r="P1080">
        <f>IFERROR(VLOOKUP(C1080,Customers!$A$2:$F$301,3,FALSE),"")</f>
        <v>50</v>
      </c>
      <c r="Q1080" s="41">
        <f t="shared" si="25"/>
        <v>0.57333333333333336</v>
      </c>
      <c r="R1080" t="str">
        <f>IFERROR(VLOOKUP(C1080,Customers!$A$2:$F$301,1,FALSE),"")</f>
        <v>CUST-0107</v>
      </c>
      <c r="S1080" s="27" t="b">
        <f>IFERROR(VLOOKUP(D1080,Products!$A$2:$F$61,6,FALSE),"")</f>
        <v>1</v>
      </c>
      <c r="BL1080">
        <v>0</v>
      </c>
      <c r="BO1080">
        <v>0</v>
      </c>
      <c r="BP1080">
        <v>0</v>
      </c>
    </row>
    <row r="1081" spans="1:68" x14ac:dyDescent="0.35">
      <c r="A1081" s="26" t="str">
        <f>Orders!A1081</f>
        <v>ORD-01080</v>
      </c>
      <c r="B1081" s="33">
        <f>Orders!B1081</f>
        <v>45523</v>
      </c>
      <c r="C1081" t="str">
        <f>Orders!C1081</f>
        <v>CUST-0184</v>
      </c>
      <c r="D1081" t="str">
        <f>Orders!D1081</f>
        <v>PROD-005</v>
      </c>
      <c r="E1081" t="str">
        <f>Orders!E1081</f>
        <v>R012</v>
      </c>
      <c r="F1081">
        <f>Orders!F1081</f>
        <v>3</v>
      </c>
      <c r="G1081" s="35">
        <f>Orders!G1081</f>
        <v>300</v>
      </c>
      <c r="H1081" s="37">
        <f>Orders!H1081</f>
        <v>19.2</v>
      </c>
      <c r="I1081" s="39">
        <f>Orders!I1081</f>
        <v>727.2</v>
      </c>
      <c r="J1081" t="str">
        <f>Orders!J1081</f>
        <v>Completed</v>
      </c>
      <c r="K1081" t="str">
        <f>Orders!K1081</f>
        <v>Pune</v>
      </c>
      <c r="L1081" t="str">
        <f>IFERROR(VLOOKUP(D1081,Products!$A$2:$F$61,3,FALSE),"")</f>
        <v>Electronics</v>
      </c>
      <c r="M1081">
        <f>IFERROR(VLOOKUP(D1081,Products!$A$2:$F$61,4,FALSE),"")</f>
        <v>128</v>
      </c>
      <c r="N1081" t="str">
        <f>IFERROR(VLOOKUP(E1081,Sales_Reps!$A$2:$E$31,3,FALSE),"")</f>
        <v>South</v>
      </c>
      <c r="O1081" t="str">
        <f>IFERROR(VLOOKUP(C1081,Customers!$A$2:$F$301,5,FALSE),"")</f>
        <v>Retail</v>
      </c>
      <c r="P1081">
        <f>IFERROR(VLOOKUP(C1081,Customers!$A$2:$F$301,3,FALSE),"")</f>
        <v>63</v>
      </c>
      <c r="Q1081" s="41">
        <f t="shared" si="25"/>
        <v>0.57333333333333336</v>
      </c>
      <c r="R1081" t="str">
        <f>IFERROR(VLOOKUP(C1081,Customers!$A$2:$F$301,1,FALSE),"")</f>
        <v>CUST-0184</v>
      </c>
      <c r="S1081" s="27" t="b">
        <f>IFERROR(VLOOKUP(D1081,Products!$A$2:$F$61,6,FALSE),"")</f>
        <v>1</v>
      </c>
      <c r="BL1081">
        <v>0</v>
      </c>
      <c r="BO1081">
        <v>0</v>
      </c>
      <c r="BP1081">
        <v>0</v>
      </c>
    </row>
    <row r="1082" spans="1:68" x14ac:dyDescent="0.35">
      <c r="A1082" s="26" t="str">
        <f>Orders!A1082</f>
        <v>ORD-01081</v>
      </c>
      <c r="B1082" s="33">
        <f>Orders!B1082</f>
        <v>45537</v>
      </c>
      <c r="C1082" t="str">
        <f>Orders!C1082</f>
        <v>CUST-0202</v>
      </c>
      <c r="D1082" t="str">
        <f>Orders!D1082</f>
        <v>PROD-049</v>
      </c>
      <c r="E1082" t="str">
        <f>Orders!E1082</f>
        <v>R014</v>
      </c>
      <c r="F1082">
        <f>Orders!F1082</f>
        <v>6</v>
      </c>
      <c r="G1082" s="35">
        <f>Orders!G1082</f>
        <v>960</v>
      </c>
      <c r="H1082" s="37">
        <f>Orders!H1082</f>
        <v>29.3</v>
      </c>
      <c r="I1082" s="39">
        <f>Orders!I1082</f>
        <v>4072.32</v>
      </c>
      <c r="J1082" t="str">
        <f>Orders!J1082</f>
        <v>Cancelled</v>
      </c>
      <c r="K1082" t="str">
        <f>Orders!K1082</f>
        <v>Chennai</v>
      </c>
      <c r="L1082" t="str">
        <f>IFERROR(VLOOKUP(D1082,Products!$A$2:$F$61,3,FALSE),"")</f>
        <v>Beauty</v>
      </c>
      <c r="M1082">
        <f>IFERROR(VLOOKUP(D1082,Products!$A$2:$F$61,4,FALSE),"")</f>
        <v>675</v>
      </c>
      <c r="N1082" t="str">
        <f>IFERROR(VLOOKUP(E1082,Sales_Reps!$A$2:$E$31,3,FALSE),"")</f>
        <v>South</v>
      </c>
      <c r="O1082" t="str">
        <f>IFERROR(VLOOKUP(C1082,Customers!$A$2:$F$301,5,FALSE),"")</f>
        <v>Retail</v>
      </c>
      <c r="P1082">
        <f>IFERROR(VLOOKUP(C1082,Customers!$A$2:$F$301,3,FALSE),"")</f>
        <v>39</v>
      </c>
      <c r="Q1082" s="41">
        <f t="shared" si="25"/>
        <v>0.296875</v>
      </c>
      <c r="R1082" t="str">
        <f>IFERROR(VLOOKUP(C1082,Customers!$A$2:$F$301,1,FALSE),"")</f>
        <v>CUST-0202</v>
      </c>
      <c r="S1082" s="27" t="b">
        <f>IFERROR(VLOOKUP(D1082,Products!$A$2:$F$61,6,FALSE),"")</f>
        <v>1</v>
      </c>
      <c r="BL1082">
        <v>0</v>
      </c>
      <c r="BO1082">
        <v>0</v>
      </c>
      <c r="BP1082">
        <v>0</v>
      </c>
    </row>
    <row r="1083" spans="1:68" x14ac:dyDescent="0.35">
      <c r="A1083" s="26" t="str">
        <f>Orders!A1083</f>
        <v>ORD-01082</v>
      </c>
      <c r="B1083" s="33">
        <f>Orders!B1083</f>
        <v>45383</v>
      </c>
      <c r="C1083" t="str">
        <f>Orders!C1083</f>
        <v>CUST-0137</v>
      </c>
      <c r="D1083" t="str">
        <f>Orders!D1083</f>
        <v>PROD-022</v>
      </c>
      <c r="E1083" t="str">
        <f>Orders!E1083</f>
        <v>R025</v>
      </c>
      <c r="F1083">
        <f>Orders!F1083</f>
        <v>1</v>
      </c>
      <c r="G1083" s="35">
        <f>Orders!G1083</f>
        <v>2270</v>
      </c>
      <c r="H1083" s="37">
        <f>Orders!H1083</f>
        <v>12.4</v>
      </c>
      <c r="I1083" s="39">
        <f>Orders!I1083</f>
        <v>1988.52</v>
      </c>
      <c r="J1083" t="str">
        <f>Orders!J1083</f>
        <v>Completed</v>
      </c>
      <c r="K1083" t="str">
        <f>Orders!K1083</f>
        <v>Mumbai</v>
      </c>
      <c r="L1083" t="str">
        <f>IFERROR(VLOOKUP(D1083,Products!$A$2:$F$61,3,FALSE),"")</f>
        <v>Grocery</v>
      </c>
      <c r="M1083">
        <f>IFERROR(VLOOKUP(D1083,Products!$A$2:$F$61,4,FALSE),"")</f>
        <v>1412</v>
      </c>
      <c r="N1083" t="str">
        <f>IFERROR(VLOOKUP(E1083,Sales_Reps!$A$2:$E$31,3,FALSE),"")</f>
        <v>West</v>
      </c>
      <c r="O1083" t="str">
        <f>IFERROR(VLOOKUP(C1083,Customers!$A$2:$F$301,5,FALSE),"")</f>
        <v>Retail</v>
      </c>
      <c r="P1083">
        <f>IFERROR(VLOOKUP(C1083,Customers!$A$2:$F$301,3,FALSE),"")</f>
        <v>41</v>
      </c>
      <c r="Q1083" s="41">
        <f t="shared" si="25"/>
        <v>0.37797356828193834</v>
      </c>
      <c r="R1083" t="str">
        <f>IFERROR(VLOOKUP(C1083,Customers!$A$2:$F$301,1,FALSE),"")</f>
        <v>CUST-0137</v>
      </c>
      <c r="S1083" s="27" t="b">
        <f>IFERROR(VLOOKUP(D1083,Products!$A$2:$F$61,6,FALSE),"")</f>
        <v>1</v>
      </c>
      <c r="BL1083">
        <v>0</v>
      </c>
      <c r="BO1083">
        <v>0</v>
      </c>
      <c r="BP1083">
        <v>0</v>
      </c>
    </row>
    <row r="1084" spans="1:68" x14ac:dyDescent="0.35">
      <c r="A1084" s="26" t="str">
        <f>Orders!A1084</f>
        <v>ORD-01083</v>
      </c>
      <c r="B1084" s="33">
        <f>Orders!B1084</f>
        <v>45541</v>
      </c>
      <c r="C1084" t="str">
        <f>Orders!C1084</f>
        <v>CUST-0108</v>
      </c>
      <c r="D1084" t="str">
        <f>Orders!D1084</f>
        <v>PROD-033</v>
      </c>
      <c r="E1084" t="str">
        <f>Orders!E1084</f>
        <v>R027</v>
      </c>
      <c r="F1084">
        <f>Orders!F1084</f>
        <v>10</v>
      </c>
      <c r="G1084" s="35">
        <f>Orders!G1084</f>
        <v>2030</v>
      </c>
      <c r="H1084" s="37">
        <f>Orders!H1084</f>
        <v>4</v>
      </c>
      <c r="I1084" s="39">
        <f>Orders!I1084</f>
        <v>19488</v>
      </c>
      <c r="J1084" t="str">
        <f>Orders!J1084</f>
        <v>Completed</v>
      </c>
      <c r="K1084" t="str">
        <f>Orders!K1084</f>
        <v>Bengaluru</v>
      </c>
      <c r="L1084" t="str">
        <f>IFERROR(VLOOKUP(D1084,Products!$A$2:$F$61,3,FALSE),"")</f>
        <v>Home</v>
      </c>
      <c r="M1084">
        <f>IFERROR(VLOOKUP(D1084,Products!$A$2:$F$61,4,FALSE),"")</f>
        <v>1143</v>
      </c>
      <c r="N1084" t="str">
        <f>IFERROR(VLOOKUP(E1084,Sales_Reps!$A$2:$E$31,3,FALSE),"")</f>
        <v>West</v>
      </c>
      <c r="O1084" t="str">
        <f>IFERROR(VLOOKUP(C1084,Customers!$A$2:$F$301,5,FALSE),"")</f>
        <v>Corporate</v>
      </c>
      <c r="P1084">
        <f>IFERROR(VLOOKUP(C1084,Customers!$A$2:$F$301,3,FALSE),"")</f>
        <v>59</v>
      </c>
      <c r="Q1084" s="41">
        <f t="shared" si="25"/>
        <v>0.43694581280788175</v>
      </c>
      <c r="R1084" t="str">
        <f>IFERROR(VLOOKUP(C1084,Customers!$A$2:$F$301,1,FALSE),"")</f>
        <v>CUST-0108</v>
      </c>
      <c r="S1084" s="27" t="b">
        <f>IFERROR(VLOOKUP(D1084,Products!$A$2:$F$61,6,FALSE),"")</f>
        <v>1</v>
      </c>
      <c r="BL1084">
        <v>0</v>
      </c>
      <c r="BO1084">
        <v>0</v>
      </c>
      <c r="BP1084">
        <v>0</v>
      </c>
    </row>
    <row r="1085" spans="1:68" x14ac:dyDescent="0.35">
      <c r="A1085" s="26" t="str">
        <f>Orders!A1085</f>
        <v>ORD-01084</v>
      </c>
      <c r="B1085" s="33">
        <f>Orders!B1085</f>
        <v>45609</v>
      </c>
      <c r="C1085" t="str">
        <f>Orders!C1085</f>
        <v>CUST-0126</v>
      </c>
      <c r="D1085" t="str">
        <f>Orders!D1085</f>
        <v>PROD-040</v>
      </c>
      <c r="E1085" t="str">
        <f>Orders!E1085</f>
        <v>R021</v>
      </c>
      <c r="F1085">
        <f>Orders!F1085</f>
        <v>9</v>
      </c>
      <c r="G1085" s="35">
        <f>Orders!G1085</f>
        <v>1080</v>
      </c>
      <c r="H1085" s="37">
        <f>Orders!H1085</f>
        <v>19.2</v>
      </c>
      <c r="I1085" s="39">
        <f>Orders!I1085</f>
        <v>7853.76</v>
      </c>
      <c r="J1085" t="str">
        <f>Orders!J1085</f>
        <v>Pending</v>
      </c>
      <c r="K1085" t="str">
        <f>Orders!K1085</f>
        <v>Mumbai</v>
      </c>
      <c r="L1085" t="str">
        <f>IFERROR(VLOOKUP(D1085,Products!$A$2:$F$61,3,FALSE),"")</f>
        <v>Home</v>
      </c>
      <c r="M1085">
        <f>IFERROR(VLOOKUP(D1085,Products!$A$2:$F$61,4,FALSE),"")</f>
        <v>519</v>
      </c>
      <c r="N1085" t="str">
        <f>IFERROR(VLOOKUP(E1085,Sales_Reps!$A$2:$E$31,3,FALSE),"")</f>
        <v>East</v>
      </c>
      <c r="O1085" t="str">
        <f>IFERROR(VLOOKUP(C1085,Customers!$A$2:$F$301,5,FALSE),"")</f>
        <v>Retail</v>
      </c>
      <c r="P1085">
        <f>IFERROR(VLOOKUP(C1085,Customers!$A$2:$F$301,3,FALSE),"")</f>
        <v>37</v>
      </c>
      <c r="Q1085" s="41">
        <f t="shared" si="25"/>
        <v>0.51944444444444449</v>
      </c>
      <c r="R1085" t="str">
        <f>IFERROR(VLOOKUP(C1085,Customers!$A$2:$F$301,1,FALSE),"")</f>
        <v>CUST-0126</v>
      </c>
      <c r="S1085" s="27" t="b">
        <f>IFERROR(VLOOKUP(D1085,Products!$A$2:$F$61,6,FALSE),"")</f>
        <v>1</v>
      </c>
      <c r="BL1085">
        <v>0</v>
      </c>
      <c r="BO1085">
        <v>0</v>
      </c>
      <c r="BP1085">
        <v>0</v>
      </c>
    </row>
    <row r="1086" spans="1:68" x14ac:dyDescent="0.35">
      <c r="A1086" s="26" t="str">
        <f>Orders!A1086</f>
        <v>ORD-01085</v>
      </c>
      <c r="B1086" s="33">
        <f>Orders!B1086</f>
        <v>45463</v>
      </c>
      <c r="C1086" t="str">
        <f>Orders!C1086</f>
        <v>CUST-0107</v>
      </c>
      <c r="D1086" t="str">
        <f>Orders!D1086</f>
        <v>PROD-055</v>
      </c>
      <c r="E1086" t="str">
        <f>Orders!E1086</f>
        <v>R025</v>
      </c>
      <c r="F1086">
        <f>Orders!F1086</f>
        <v>5</v>
      </c>
      <c r="G1086" s="35">
        <f>Orders!G1086</f>
        <v>2860</v>
      </c>
      <c r="H1086" s="37">
        <f>Orders!H1086</f>
        <v>25</v>
      </c>
      <c r="I1086" s="39">
        <f>Orders!I1086</f>
        <v>10725</v>
      </c>
      <c r="J1086" t="str">
        <f>Orders!J1086</f>
        <v>Pending</v>
      </c>
      <c r="K1086" t="str">
        <f>Orders!K1086</f>
        <v>Pune</v>
      </c>
      <c r="L1086" t="str">
        <f>IFERROR(VLOOKUP(D1086,Products!$A$2:$F$61,3,FALSE),"")</f>
        <v>Sports</v>
      </c>
      <c r="M1086">
        <f>IFERROR(VLOOKUP(D1086,Products!$A$2:$F$61,4,FALSE),"")</f>
        <v>2028</v>
      </c>
      <c r="N1086" t="str">
        <f>IFERROR(VLOOKUP(E1086,Sales_Reps!$A$2:$E$31,3,FALSE),"")</f>
        <v>West</v>
      </c>
      <c r="O1086" t="str">
        <f>IFERROR(VLOOKUP(C1086,Customers!$A$2:$F$301,5,FALSE),"")</f>
        <v>Retail</v>
      </c>
      <c r="P1086">
        <f>IFERROR(VLOOKUP(C1086,Customers!$A$2:$F$301,3,FALSE),"")</f>
        <v>50</v>
      </c>
      <c r="Q1086" s="41">
        <f t="shared" si="25"/>
        <v>0.29090909090909089</v>
      </c>
      <c r="R1086" t="str">
        <f>IFERROR(VLOOKUP(C1086,Customers!$A$2:$F$301,1,FALSE),"")</f>
        <v>CUST-0107</v>
      </c>
      <c r="S1086" s="27" t="b">
        <f>IFERROR(VLOOKUP(D1086,Products!$A$2:$F$61,6,FALSE),"")</f>
        <v>1</v>
      </c>
      <c r="BL1086">
        <v>0</v>
      </c>
      <c r="BO1086">
        <v>0</v>
      </c>
      <c r="BP1086">
        <v>0</v>
      </c>
    </row>
    <row r="1087" spans="1:68" x14ac:dyDescent="0.35">
      <c r="A1087" s="26" t="str">
        <f>Orders!A1087</f>
        <v>ORD-01086</v>
      </c>
      <c r="B1087" s="33">
        <f>Orders!B1087</f>
        <v>45588</v>
      </c>
      <c r="C1087" t="str">
        <f>Orders!C1087</f>
        <v>CUST-0071</v>
      </c>
      <c r="D1087" t="str">
        <f>Orders!D1087</f>
        <v>PROD-024</v>
      </c>
      <c r="E1087" t="str">
        <f>Orders!E1087</f>
        <v>R012</v>
      </c>
      <c r="F1087">
        <f>Orders!F1087</f>
        <v>6</v>
      </c>
      <c r="G1087" s="35">
        <f>Orders!G1087</f>
        <v>2270</v>
      </c>
      <c r="H1087" s="37">
        <f>Orders!H1087</f>
        <v>9.3000000000000007</v>
      </c>
      <c r="I1087" s="39">
        <f>Orders!I1087</f>
        <v>12353.34</v>
      </c>
      <c r="J1087" t="str">
        <f>Orders!J1087</f>
        <v>Completed</v>
      </c>
      <c r="K1087" t="str">
        <f>Orders!K1087</f>
        <v>Delhi</v>
      </c>
      <c r="L1087" t="str">
        <f>IFERROR(VLOOKUP(D1087,Products!$A$2:$F$61,3,FALSE),"")</f>
        <v>Grocery</v>
      </c>
      <c r="M1087">
        <f>IFERROR(VLOOKUP(D1087,Products!$A$2:$F$61,4,FALSE),"")</f>
        <v>1203</v>
      </c>
      <c r="N1087" t="str">
        <f>IFERROR(VLOOKUP(E1087,Sales_Reps!$A$2:$E$31,3,FALSE),"")</f>
        <v>South</v>
      </c>
      <c r="O1087" t="str">
        <f>IFERROR(VLOOKUP(C1087,Customers!$A$2:$F$301,5,FALSE),"")</f>
        <v>Corporate</v>
      </c>
      <c r="P1087">
        <f>IFERROR(VLOOKUP(C1087,Customers!$A$2:$F$301,3,FALSE),"")</f>
        <v>46</v>
      </c>
      <c r="Q1087" s="41">
        <f t="shared" si="25"/>
        <v>0.47004405286343615</v>
      </c>
      <c r="R1087" t="str">
        <f>IFERROR(VLOOKUP(C1087,Customers!$A$2:$F$301,1,FALSE),"")</f>
        <v>CUST-0071</v>
      </c>
      <c r="S1087" s="27" t="b">
        <f>IFERROR(VLOOKUP(D1087,Products!$A$2:$F$61,6,FALSE),"")</f>
        <v>1</v>
      </c>
      <c r="BL1087">
        <v>0</v>
      </c>
      <c r="BO1087">
        <v>0</v>
      </c>
      <c r="BP1087">
        <v>0</v>
      </c>
    </row>
    <row r="1088" spans="1:68" x14ac:dyDescent="0.35">
      <c r="A1088" s="26" t="str">
        <f>Orders!A1088</f>
        <v>ORD-01087</v>
      </c>
      <c r="B1088" s="33">
        <f>Orders!B1088</f>
        <v>45328</v>
      </c>
      <c r="C1088" t="str">
        <f>Orders!C1088</f>
        <v>CUST-0238</v>
      </c>
      <c r="D1088" t="str">
        <f>Orders!D1088</f>
        <v>PROD-015</v>
      </c>
      <c r="E1088" t="str">
        <f>Orders!E1088</f>
        <v>R024</v>
      </c>
      <c r="F1088">
        <f>Orders!F1088</f>
        <v>1</v>
      </c>
      <c r="G1088" s="35">
        <f>Orders!G1088</f>
        <v>2720</v>
      </c>
      <c r="H1088" s="37">
        <f>Orders!H1088</f>
        <v>15.2</v>
      </c>
      <c r="I1088" s="39">
        <f>Orders!I1088</f>
        <v>2306.56</v>
      </c>
      <c r="J1088" t="str">
        <f>Orders!J1088</f>
        <v>Completed</v>
      </c>
      <c r="K1088" t="str">
        <f>Orders!K1088</f>
        <v>Delhi</v>
      </c>
      <c r="L1088" t="str">
        <f>IFERROR(VLOOKUP(D1088,Products!$A$2:$F$61,3,FALSE),"")</f>
        <v>Apparel</v>
      </c>
      <c r="M1088">
        <f>IFERROR(VLOOKUP(D1088,Products!$A$2:$F$61,4,FALSE),"")</f>
        <v>1962</v>
      </c>
      <c r="N1088" t="str">
        <f>IFERROR(VLOOKUP(E1088,Sales_Reps!$A$2:$E$31,3,FALSE),"")</f>
        <v>West</v>
      </c>
      <c r="O1088" t="str">
        <f>IFERROR(VLOOKUP(C1088,Customers!$A$2:$F$301,5,FALSE),"")</f>
        <v>Retail</v>
      </c>
      <c r="P1088">
        <f>IFERROR(VLOOKUP(C1088,Customers!$A$2:$F$301,3,FALSE),"")</f>
        <v>49</v>
      </c>
      <c r="Q1088" s="41">
        <f t="shared" si="25"/>
        <v>0.2786764705882353</v>
      </c>
      <c r="R1088" t="str">
        <f>IFERROR(VLOOKUP(C1088,Customers!$A$2:$F$301,1,FALSE),"")</f>
        <v>CUST-0238</v>
      </c>
      <c r="S1088" s="27" t="b">
        <f>IFERROR(VLOOKUP(D1088,Products!$A$2:$F$61,6,FALSE),"")</f>
        <v>1</v>
      </c>
      <c r="BL1088">
        <v>0</v>
      </c>
      <c r="BO1088">
        <v>0</v>
      </c>
      <c r="BP1088">
        <v>0</v>
      </c>
    </row>
    <row r="1089" spans="1:68" x14ac:dyDescent="0.35">
      <c r="A1089" s="26" t="str">
        <f>Orders!A1089</f>
        <v>ORD-01088</v>
      </c>
      <c r="B1089" s="33">
        <f>Orders!B1089</f>
        <v>45638</v>
      </c>
      <c r="C1089" t="str">
        <f>Orders!C1089</f>
        <v>CUST-0022</v>
      </c>
      <c r="D1089" t="str">
        <f>Orders!D1089</f>
        <v>PROD-004</v>
      </c>
      <c r="E1089" t="str">
        <f>Orders!E1089</f>
        <v>R005</v>
      </c>
      <c r="F1089">
        <f>Orders!F1089</f>
        <v>10</v>
      </c>
      <c r="G1089" s="35">
        <f>Orders!G1089</f>
        <v>3870</v>
      </c>
      <c r="H1089" s="37">
        <f>Orders!H1089</f>
        <v>4.9000000000000004</v>
      </c>
      <c r="I1089" s="39">
        <f>Orders!I1089</f>
        <v>36803.699999999997</v>
      </c>
      <c r="J1089" t="str">
        <f>Orders!J1089</f>
        <v>Cancelled</v>
      </c>
      <c r="K1089" t="str">
        <f>Orders!K1089</f>
        <v>Bengaluru</v>
      </c>
      <c r="L1089" t="str">
        <f>IFERROR(VLOOKUP(D1089,Products!$A$2:$F$61,3,FALSE),"")</f>
        <v>Electronics</v>
      </c>
      <c r="M1089">
        <f>IFERROR(VLOOKUP(D1089,Products!$A$2:$F$61,4,FALSE),"")</f>
        <v>1559</v>
      </c>
      <c r="N1089" t="str">
        <f>IFERROR(VLOOKUP(E1089,Sales_Reps!$A$2:$E$31,3,FALSE),"")</f>
        <v>North</v>
      </c>
      <c r="O1089" t="str">
        <f>IFERROR(VLOOKUP(C1089,Customers!$A$2:$F$301,5,FALSE),"")</f>
        <v>Corporate</v>
      </c>
      <c r="P1089">
        <f>IFERROR(VLOOKUP(C1089,Customers!$A$2:$F$301,3,FALSE),"")</f>
        <v>55</v>
      </c>
      <c r="Q1089" s="41">
        <f t="shared" si="25"/>
        <v>0.59715762273901807</v>
      </c>
      <c r="R1089" t="str">
        <f>IFERROR(VLOOKUP(C1089,Customers!$A$2:$F$301,1,FALSE),"")</f>
        <v>CUST-0022</v>
      </c>
      <c r="S1089" s="27" t="b">
        <f>IFERROR(VLOOKUP(D1089,Products!$A$2:$F$61,6,FALSE),"")</f>
        <v>1</v>
      </c>
      <c r="BL1089">
        <v>0</v>
      </c>
      <c r="BO1089">
        <v>0</v>
      </c>
      <c r="BP1089">
        <v>0</v>
      </c>
    </row>
    <row r="1090" spans="1:68" x14ac:dyDescent="0.35">
      <c r="A1090" s="26" t="str">
        <f>Orders!A1090</f>
        <v>ORD-01089</v>
      </c>
      <c r="B1090" s="33">
        <f>Orders!B1090</f>
        <v>45332</v>
      </c>
      <c r="C1090" t="str">
        <f>Orders!C1090</f>
        <v>CUST-0100</v>
      </c>
      <c r="D1090" t="str">
        <f>Orders!D1090</f>
        <v>PROD-011</v>
      </c>
      <c r="E1090" t="str">
        <f>Orders!E1090</f>
        <v>R019</v>
      </c>
      <c r="F1090">
        <f>Orders!F1090</f>
        <v>8</v>
      </c>
      <c r="G1090" s="35">
        <f>Orders!G1090</f>
        <v>3450</v>
      </c>
      <c r="H1090" s="37">
        <f>Orders!H1090</f>
        <v>20.6</v>
      </c>
      <c r="I1090" s="39">
        <f>Orders!I1090</f>
        <v>21914.400000000001</v>
      </c>
      <c r="J1090" t="str">
        <f>Orders!J1090</f>
        <v>Completed</v>
      </c>
      <c r="K1090" t="str">
        <f>Orders!K1090</f>
        <v>Hyderabad</v>
      </c>
      <c r="L1090" t="str">
        <f>IFERROR(VLOOKUP(D1090,Products!$A$2:$F$61,3,FALSE),"")</f>
        <v>Apparel</v>
      </c>
      <c r="M1090">
        <f>IFERROR(VLOOKUP(D1090,Products!$A$2:$F$61,4,FALSE),"")</f>
        <v>1748</v>
      </c>
      <c r="N1090" t="str">
        <f>IFERROR(VLOOKUP(E1090,Sales_Reps!$A$2:$E$31,3,FALSE),"")</f>
        <v>East</v>
      </c>
      <c r="O1090" t="str">
        <f>IFERROR(VLOOKUP(C1090,Customers!$A$2:$F$301,5,FALSE),"")</f>
        <v>Corporate</v>
      </c>
      <c r="P1090">
        <f>IFERROR(VLOOKUP(C1090,Customers!$A$2:$F$301,3,FALSE),"")</f>
        <v>60</v>
      </c>
      <c r="Q1090" s="41">
        <f t="shared" ref="Q1090:Q1153" si="26">IFERROR((G1090-M1090)/G1090,0)</f>
        <v>0.49333333333333335</v>
      </c>
      <c r="R1090" t="str">
        <f>IFERROR(VLOOKUP(C1090,Customers!$A$2:$F$301,1,FALSE),"")</f>
        <v>CUST-0100</v>
      </c>
      <c r="S1090" s="27" t="b">
        <f>IFERROR(VLOOKUP(D1090,Products!$A$2:$F$61,6,FALSE),"")</f>
        <v>1</v>
      </c>
      <c r="BL1090">
        <v>0</v>
      </c>
      <c r="BO1090">
        <v>0</v>
      </c>
      <c r="BP1090">
        <v>0</v>
      </c>
    </row>
    <row r="1091" spans="1:68" x14ac:dyDescent="0.35">
      <c r="A1091" s="26" t="str">
        <f>Orders!A1091</f>
        <v>ORD-01090</v>
      </c>
      <c r="B1091" s="33">
        <f>Orders!B1091</f>
        <v>45406</v>
      </c>
      <c r="C1091" t="str">
        <f>Orders!C1091</f>
        <v>CUST-0263</v>
      </c>
      <c r="D1091" t="str">
        <f>Orders!D1091</f>
        <v>PROD-053</v>
      </c>
      <c r="E1091" t="str">
        <f>Orders!E1091</f>
        <v>R002</v>
      </c>
      <c r="F1091">
        <f>Orders!F1091</f>
        <v>1</v>
      </c>
      <c r="G1091" s="35">
        <f>Orders!G1091</f>
        <v>470</v>
      </c>
      <c r="H1091" s="37">
        <f>Orders!H1091</f>
        <v>5.4</v>
      </c>
      <c r="I1091" s="39">
        <f>Orders!I1091</f>
        <v>444.62</v>
      </c>
      <c r="J1091" t="str">
        <f>Orders!J1091</f>
        <v>Refunded</v>
      </c>
      <c r="K1091" t="str">
        <f>Orders!K1091</f>
        <v>Mumbai</v>
      </c>
      <c r="L1091" t="str">
        <f>IFERROR(VLOOKUP(D1091,Products!$A$2:$F$61,3,FALSE),"")</f>
        <v>Sports</v>
      </c>
      <c r="M1091">
        <f>IFERROR(VLOOKUP(D1091,Products!$A$2:$F$61,4,FALSE),"")</f>
        <v>302</v>
      </c>
      <c r="N1091" t="str">
        <f>IFERROR(VLOOKUP(E1091,Sales_Reps!$A$2:$E$31,3,FALSE),"")</f>
        <v>North</v>
      </c>
      <c r="O1091" t="str">
        <f>IFERROR(VLOOKUP(C1091,Customers!$A$2:$F$301,5,FALSE),"")</f>
        <v>Retail</v>
      </c>
      <c r="P1091">
        <f>IFERROR(VLOOKUP(C1091,Customers!$A$2:$F$301,3,FALSE),"")</f>
        <v>40</v>
      </c>
      <c r="Q1091" s="41">
        <f t="shared" si="26"/>
        <v>0.35744680851063831</v>
      </c>
      <c r="R1091" t="str">
        <f>IFERROR(VLOOKUP(C1091,Customers!$A$2:$F$301,1,FALSE),"")</f>
        <v>CUST-0263</v>
      </c>
      <c r="S1091" s="27" t="b">
        <f>IFERROR(VLOOKUP(D1091,Products!$A$2:$F$61,6,FALSE),"")</f>
        <v>0</v>
      </c>
      <c r="BL1091">
        <v>0</v>
      </c>
      <c r="BO1091">
        <v>0</v>
      </c>
      <c r="BP1091">
        <v>1</v>
      </c>
    </row>
    <row r="1092" spans="1:68" x14ac:dyDescent="0.35">
      <c r="A1092" s="26" t="str">
        <f>Orders!A1092</f>
        <v>ORD-01091</v>
      </c>
      <c r="B1092" s="33">
        <f>Orders!B1092</f>
        <v>45405</v>
      </c>
      <c r="C1092" t="str">
        <f>Orders!C1092</f>
        <v>CUST-0032</v>
      </c>
      <c r="D1092" t="str">
        <f>Orders!D1092</f>
        <v>PROD-006</v>
      </c>
      <c r="E1092" t="str">
        <f>Orders!E1092</f>
        <v>R009</v>
      </c>
      <c r="F1092">
        <f>Orders!F1092</f>
        <v>5</v>
      </c>
      <c r="G1092" s="35">
        <f>Orders!G1092</f>
        <v>3970</v>
      </c>
      <c r="H1092" s="37">
        <f>Orders!H1092</f>
        <v>5.8</v>
      </c>
      <c r="I1092" s="39">
        <f>Orders!I1092</f>
        <v>18698.7</v>
      </c>
      <c r="J1092" t="str">
        <f>Orders!J1092</f>
        <v>Completed</v>
      </c>
      <c r="K1092" t="str">
        <f>Orders!K1092</f>
        <v>Hyderabad</v>
      </c>
      <c r="L1092" t="str">
        <f>IFERROR(VLOOKUP(D1092,Products!$A$2:$F$61,3,FALSE),"")</f>
        <v>Electronics</v>
      </c>
      <c r="M1092">
        <f>IFERROR(VLOOKUP(D1092,Products!$A$2:$F$61,4,FALSE),"")</f>
        <v>2865</v>
      </c>
      <c r="N1092" t="str">
        <f>IFERROR(VLOOKUP(E1092,Sales_Reps!$A$2:$E$31,3,FALSE),"")</f>
        <v>South</v>
      </c>
      <c r="O1092" t="str">
        <f>IFERROR(VLOOKUP(C1092,Customers!$A$2:$F$301,5,FALSE),"")</f>
        <v>Retail</v>
      </c>
      <c r="P1092">
        <f>IFERROR(VLOOKUP(C1092,Customers!$A$2:$F$301,3,FALSE),"")</f>
        <v>28</v>
      </c>
      <c r="Q1092" s="41">
        <f t="shared" si="26"/>
        <v>0.27833753148614609</v>
      </c>
      <c r="R1092" t="str">
        <f>IFERROR(VLOOKUP(C1092,Customers!$A$2:$F$301,1,FALSE),"")</f>
        <v>CUST-0032</v>
      </c>
      <c r="S1092" s="27" t="b">
        <f>IFERROR(VLOOKUP(D1092,Products!$A$2:$F$61,6,FALSE),"")</f>
        <v>1</v>
      </c>
      <c r="BL1092">
        <v>0</v>
      </c>
      <c r="BO1092">
        <v>0</v>
      </c>
      <c r="BP1092">
        <v>0</v>
      </c>
    </row>
    <row r="1093" spans="1:68" x14ac:dyDescent="0.35">
      <c r="A1093" s="26" t="str">
        <f>Orders!A1093</f>
        <v>ORD-01092</v>
      </c>
      <c r="B1093" s="33">
        <f>Orders!B1093</f>
        <v>45469</v>
      </c>
      <c r="C1093" t="str">
        <f>Orders!C1093</f>
        <v>CUST-0227</v>
      </c>
      <c r="D1093" t="str">
        <f>Orders!D1093</f>
        <v>PROD-048</v>
      </c>
      <c r="E1093" t="str">
        <f>Orders!E1093</f>
        <v>R012</v>
      </c>
      <c r="F1093">
        <f>Orders!F1093</f>
        <v>2</v>
      </c>
      <c r="G1093" s="35">
        <f>Orders!G1093</f>
        <v>5100</v>
      </c>
      <c r="H1093" s="37">
        <f>Orders!H1093</f>
        <v>19.899999999999999</v>
      </c>
      <c r="I1093" s="39">
        <f>Orders!I1093</f>
        <v>8170.2</v>
      </c>
      <c r="J1093" t="str">
        <f>Orders!J1093</f>
        <v>Completed</v>
      </c>
      <c r="K1093" t="str">
        <f>Orders!K1093</f>
        <v>Bengaluru</v>
      </c>
      <c r="L1093" t="str">
        <f>IFERROR(VLOOKUP(D1093,Products!$A$2:$F$61,3,FALSE),"")</f>
        <v>Beauty</v>
      </c>
      <c r="M1093">
        <f>IFERROR(VLOOKUP(D1093,Products!$A$2:$F$61,4,FALSE),"")</f>
        <v>2237</v>
      </c>
      <c r="N1093" t="str">
        <f>IFERROR(VLOOKUP(E1093,Sales_Reps!$A$2:$E$31,3,FALSE),"")</f>
        <v>South</v>
      </c>
      <c r="O1093" t="str">
        <f>IFERROR(VLOOKUP(C1093,Customers!$A$2:$F$301,5,FALSE),"")</f>
        <v>SMB</v>
      </c>
      <c r="P1093">
        <f>IFERROR(VLOOKUP(C1093,Customers!$A$2:$F$301,3,FALSE),"")</f>
        <v>44</v>
      </c>
      <c r="Q1093" s="41">
        <f t="shared" si="26"/>
        <v>0.56137254901960787</v>
      </c>
      <c r="R1093" t="str">
        <f>IFERROR(VLOOKUP(C1093,Customers!$A$2:$F$301,1,FALSE),"")</f>
        <v>CUST-0227</v>
      </c>
      <c r="S1093" s="27" t="b">
        <f>IFERROR(VLOOKUP(D1093,Products!$A$2:$F$61,6,FALSE),"")</f>
        <v>1</v>
      </c>
      <c r="BL1093">
        <v>0</v>
      </c>
      <c r="BO1093">
        <v>0</v>
      </c>
      <c r="BP1093">
        <v>0</v>
      </c>
    </row>
    <row r="1094" spans="1:68" x14ac:dyDescent="0.35">
      <c r="A1094" s="26" t="str">
        <f>Orders!A1094</f>
        <v>ORD-01093</v>
      </c>
      <c r="B1094" s="33">
        <f>Orders!B1094</f>
        <v>45656</v>
      </c>
      <c r="C1094" t="str">
        <f>Orders!C1094</f>
        <v>CUST-0124</v>
      </c>
      <c r="D1094" t="str">
        <f>Orders!D1094</f>
        <v>PROD-047</v>
      </c>
      <c r="E1094" t="str">
        <f>Orders!E1094</f>
        <v>R001</v>
      </c>
      <c r="F1094">
        <f>Orders!F1094</f>
        <v>6</v>
      </c>
      <c r="G1094" s="35">
        <f>Orders!G1094</f>
        <v>3450</v>
      </c>
      <c r="H1094" s="37">
        <f>Orders!H1094</f>
        <v>13</v>
      </c>
      <c r="I1094" s="39">
        <f>Orders!I1094</f>
        <v>18009</v>
      </c>
      <c r="J1094" t="str">
        <f>Orders!J1094</f>
        <v>Completed</v>
      </c>
      <c r="K1094" t="str">
        <f>Orders!K1094</f>
        <v>Pune</v>
      </c>
      <c r="L1094" t="str">
        <f>IFERROR(VLOOKUP(D1094,Products!$A$2:$F$61,3,FALSE),"")</f>
        <v>Beauty</v>
      </c>
      <c r="M1094">
        <f>IFERROR(VLOOKUP(D1094,Products!$A$2:$F$61,4,FALSE),"")</f>
        <v>2420</v>
      </c>
      <c r="N1094" t="str">
        <f>IFERROR(VLOOKUP(E1094,Sales_Reps!$A$2:$E$31,3,FALSE),"")</f>
        <v>North</v>
      </c>
      <c r="O1094" t="str">
        <f>IFERROR(VLOOKUP(C1094,Customers!$A$2:$F$301,5,FALSE),"")</f>
        <v>Retail</v>
      </c>
      <c r="P1094">
        <f>IFERROR(VLOOKUP(C1094,Customers!$A$2:$F$301,3,FALSE),"")</f>
        <v>57</v>
      </c>
      <c r="Q1094" s="41">
        <f t="shared" si="26"/>
        <v>0.29855072463768118</v>
      </c>
      <c r="R1094" t="str">
        <f>IFERROR(VLOOKUP(C1094,Customers!$A$2:$F$301,1,FALSE),"")</f>
        <v>CUST-0124</v>
      </c>
      <c r="S1094" s="27" t="b">
        <f>IFERROR(VLOOKUP(D1094,Products!$A$2:$F$61,6,FALSE),"")</f>
        <v>1</v>
      </c>
      <c r="BL1094">
        <v>0</v>
      </c>
      <c r="BO1094">
        <v>0</v>
      </c>
      <c r="BP1094">
        <v>0</v>
      </c>
    </row>
    <row r="1095" spans="1:68" x14ac:dyDescent="0.35">
      <c r="A1095" s="26" t="str">
        <f>Orders!A1095</f>
        <v>ORD-01094</v>
      </c>
      <c r="B1095" s="33">
        <f>Orders!B1095</f>
        <v>45653</v>
      </c>
      <c r="C1095" t="str">
        <f>Orders!C1095</f>
        <v>CUST-0276</v>
      </c>
      <c r="D1095" t="str">
        <f>Orders!D1095</f>
        <v>PROD-031</v>
      </c>
      <c r="E1095" t="str">
        <f>Orders!E1095</f>
        <v>R012</v>
      </c>
      <c r="F1095">
        <f>Orders!F1095</f>
        <v>9</v>
      </c>
      <c r="G1095" s="35">
        <f>Orders!G1095</f>
        <v>3730</v>
      </c>
      <c r="H1095" s="37">
        <f>Orders!H1095</f>
        <v>15.5</v>
      </c>
      <c r="I1095" s="39">
        <f>Orders!I1095</f>
        <v>28366.65</v>
      </c>
      <c r="J1095" t="str">
        <f>Orders!J1095</f>
        <v>Completed</v>
      </c>
      <c r="K1095" t="str">
        <f>Orders!K1095</f>
        <v>Chennai</v>
      </c>
      <c r="L1095" t="str">
        <f>IFERROR(VLOOKUP(D1095,Products!$A$2:$F$61,3,FALSE),"")</f>
        <v>Home</v>
      </c>
      <c r="M1095">
        <f>IFERROR(VLOOKUP(D1095,Products!$A$2:$F$61,4,FALSE),"")</f>
        <v>2135</v>
      </c>
      <c r="N1095" t="str">
        <f>IFERROR(VLOOKUP(E1095,Sales_Reps!$A$2:$E$31,3,FALSE),"")</f>
        <v>South</v>
      </c>
      <c r="O1095" t="str">
        <f>IFERROR(VLOOKUP(C1095,Customers!$A$2:$F$301,5,FALSE),"")</f>
        <v>Retail</v>
      </c>
      <c r="P1095">
        <f>IFERROR(VLOOKUP(C1095,Customers!$A$2:$F$301,3,FALSE),"")</f>
        <v>26</v>
      </c>
      <c r="Q1095" s="41">
        <f t="shared" si="26"/>
        <v>0.42761394101876676</v>
      </c>
      <c r="R1095" t="str">
        <f>IFERROR(VLOOKUP(C1095,Customers!$A$2:$F$301,1,FALSE),"")</f>
        <v>CUST-0276</v>
      </c>
      <c r="S1095" s="27" t="b">
        <f>IFERROR(VLOOKUP(D1095,Products!$A$2:$F$61,6,FALSE),"")</f>
        <v>1</v>
      </c>
      <c r="BL1095">
        <v>0</v>
      </c>
      <c r="BO1095">
        <v>0</v>
      </c>
      <c r="BP1095">
        <v>0</v>
      </c>
    </row>
    <row r="1096" spans="1:68" x14ac:dyDescent="0.35">
      <c r="A1096" s="26" t="str">
        <f>Orders!A1096</f>
        <v>ORD-01095</v>
      </c>
      <c r="B1096" s="33">
        <f>Orders!B1096</f>
        <v>45440</v>
      </c>
      <c r="C1096" t="str">
        <f>Orders!C1096</f>
        <v>CUST-0100</v>
      </c>
      <c r="D1096" t="str">
        <f>Orders!D1096</f>
        <v>PROD-049</v>
      </c>
      <c r="E1096" t="str">
        <f>Orders!E1096</f>
        <v>R020</v>
      </c>
      <c r="F1096">
        <f>Orders!F1096</f>
        <v>5</v>
      </c>
      <c r="G1096" s="35">
        <f>Orders!G1096</f>
        <v>960</v>
      </c>
      <c r="H1096" s="37">
        <f>Orders!H1096</f>
        <v>9.3000000000000007</v>
      </c>
      <c r="I1096" s="39">
        <f>Orders!I1096</f>
        <v>4353.6000000000004</v>
      </c>
      <c r="J1096" t="str">
        <f>Orders!J1096</f>
        <v>Completed</v>
      </c>
      <c r="K1096" t="str">
        <f>Orders!K1096</f>
        <v>Hyderabad</v>
      </c>
      <c r="L1096" t="str">
        <f>IFERROR(VLOOKUP(D1096,Products!$A$2:$F$61,3,FALSE),"")</f>
        <v>Beauty</v>
      </c>
      <c r="M1096">
        <f>IFERROR(VLOOKUP(D1096,Products!$A$2:$F$61,4,FALSE),"")</f>
        <v>675</v>
      </c>
      <c r="N1096" t="str">
        <f>IFERROR(VLOOKUP(E1096,Sales_Reps!$A$2:$E$31,3,FALSE),"")</f>
        <v>East</v>
      </c>
      <c r="O1096" t="str">
        <f>IFERROR(VLOOKUP(C1096,Customers!$A$2:$F$301,5,FALSE),"")</f>
        <v>Corporate</v>
      </c>
      <c r="P1096">
        <f>IFERROR(VLOOKUP(C1096,Customers!$A$2:$F$301,3,FALSE),"")</f>
        <v>60</v>
      </c>
      <c r="Q1096" s="41">
        <f t="shared" si="26"/>
        <v>0.296875</v>
      </c>
      <c r="R1096" t="str">
        <f>IFERROR(VLOOKUP(C1096,Customers!$A$2:$F$301,1,FALSE),"")</f>
        <v>CUST-0100</v>
      </c>
      <c r="S1096" s="27" t="b">
        <f>IFERROR(VLOOKUP(D1096,Products!$A$2:$F$61,6,FALSE),"")</f>
        <v>1</v>
      </c>
      <c r="BL1096">
        <v>0</v>
      </c>
      <c r="BO1096">
        <v>0</v>
      </c>
      <c r="BP1096">
        <v>0</v>
      </c>
    </row>
    <row r="1097" spans="1:68" x14ac:dyDescent="0.35">
      <c r="A1097" s="26" t="str">
        <f>Orders!A1097</f>
        <v>ORD-01096</v>
      </c>
      <c r="B1097" s="33">
        <f>Orders!B1097</f>
        <v>45511</v>
      </c>
      <c r="C1097" t="str">
        <f>Orders!C1097</f>
        <v>CUST-0221</v>
      </c>
      <c r="D1097" t="str">
        <f>Orders!D1097</f>
        <v>PROD-034</v>
      </c>
      <c r="E1097" t="str">
        <f>Orders!E1097</f>
        <v>R008</v>
      </c>
      <c r="F1097">
        <f>Orders!F1097</f>
        <v>3</v>
      </c>
      <c r="G1097" s="35">
        <f>Orders!G1097</f>
        <v>5080</v>
      </c>
      <c r="H1097" s="37">
        <f>Orders!H1097</f>
        <v>17.399999999999999</v>
      </c>
      <c r="I1097" s="39">
        <f>Orders!I1097</f>
        <v>12588.24</v>
      </c>
      <c r="J1097" t="str">
        <f>Orders!J1097</f>
        <v>Cancelled</v>
      </c>
      <c r="K1097" t="str">
        <f>Orders!K1097</f>
        <v>Delhi</v>
      </c>
      <c r="L1097" t="str">
        <f>IFERROR(VLOOKUP(D1097,Products!$A$2:$F$61,3,FALSE),"")</f>
        <v>Home</v>
      </c>
      <c r="M1097">
        <f>IFERROR(VLOOKUP(D1097,Products!$A$2:$F$61,4,FALSE),"")</f>
        <v>2459</v>
      </c>
      <c r="N1097" t="str">
        <f>IFERROR(VLOOKUP(E1097,Sales_Reps!$A$2:$E$31,3,FALSE),"")</f>
        <v>North</v>
      </c>
      <c r="O1097" t="str">
        <f>IFERROR(VLOOKUP(C1097,Customers!$A$2:$F$301,5,FALSE),"")</f>
        <v>SMB</v>
      </c>
      <c r="P1097">
        <f>IFERROR(VLOOKUP(C1097,Customers!$A$2:$F$301,3,FALSE),"")</f>
        <v>29</v>
      </c>
      <c r="Q1097" s="41">
        <f t="shared" si="26"/>
        <v>0.51594488188976373</v>
      </c>
      <c r="R1097" t="str">
        <f>IFERROR(VLOOKUP(C1097,Customers!$A$2:$F$301,1,FALSE),"")</f>
        <v>CUST-0221</v>
      </c>
      <c r="S1097" s="27" t="b">
        <f>IFERROR(VLOOKUP(D1097,Products!$A$2:$F$61,6,FALSE),"")</f>
        <v>1</v>
      </c>
      <c r="BL1097">
        <v>0</v>
      </c>
      <c r="BO1097">
        <v>0</v>
      </c>
      <c r="BP1097">
        <v>0</v>
      </c>
    </row>
    <row r="1098" spans="1:68" x14ac:dyDescent="0.35">
      <c r="A1098" s="26" t="str">
        <f>Orders!A1098</f>
        <v>ORD-01097</v>
      </c>
      <c r="B1098" s="33">
        <f>Orders!B1098</f>
        <v>45300</v>
      </c>
      <c r="C1098" t="str">
        <f>Orders!C1098</f>
        <v>CUST-0266</v>
      </c>
      <c r="D1098" t="str">
        <f>Orders!D1098</f>
        <v>PROD-004</v>
      </c>
      <c r="E1098" t="str">
        <f>Orders!E1098</f>
        <v>R003</v>
      </c>
      <c r="F1098">
        <f>Orders!F1098</f>
        <v>4</v>
      </c>
      <c r="G1098" s="35">
        <f>Orders!G1098</f>
        <v>3870</v>
      </c>
      <c r="H1098" s="37">
        <f>Orders!H1098</f>
        <v>20.5</v>
      </c>
      <c r="I1098" s="39">
        <f>Orders!I1098</f>
        <v>12306.6</v>
      </c>
      <c r="J1098" t="str">
        <f>Orders!J1098</f>
        <v>Pending</v>
      </c>
      <c r="K1098" t="str">
        <f>Orders!K1098</f>
        <v>PUNE</v>
      </c>
      <c r="L1098" t="str">
        <f>IFERROR(VLOOKUP(D1098,Products!$A$2:$F$61,3,FALSE),"")</f>
        <v>Electronics</v>
      </c>
      <c r="M1098">
        <f>IFERROR(VLOOKUP(D1098,Products!$A$2:$F$61,4,FALSE),"")</f>
        <v>1559</v>
      </c>
      <c r="N1098" t="str">
        <f>IFERROR(VLOOKUP(E1098,Sales_Reps!$A$2:$E$31,3,FALSE),"")</f>
        <v>North</v>
      </c>
      <c r="O1098" t="str">
        <f>IFERROR(VLOOKUP(C1098,Customers!$A$2:$F$301,5,FALSE),"")</f>
        <v>Retail</v>
      </c>
      <c r="P1098">
        <f>IFERROR(VLOOKUP(C1098,Customers!$A$2:$F$301,3,FALSE),"")</f>
        <v>65</v>
      </c>
      <c r="Q1098" s="41">
        <f t="shared" si="26"/>
        <v>0.59715762273901807</v>
      </c>
      <c r="R1098" t="str">
        <f>IFERROR(VLOOKUP(C1098,Customers!$A$2:$F$301,1,FALSE),"")</f>
        <v>CUST-0266</v>
      </c>
      <c r="S1098" s="27" t="b">
        <f>IFERROR(VLOOKUP(D1098,Products!$A$2:$F$61,6,FALSE),"")</f>
        <v>1</v>
      </c>
      <c r="BL1098">
        <v>0</v>
      </c>
      <c r="BO1098">
        <v>0</v>
      </c>
      <c r="BP1098">
        <v>0</v>
      </c>
    </row>
    <row r="1099" spans="1:68" x14ac:dyDescent="0.35">
      <c r="A1099" s="26" t="str">
        <f>Orders!A1099</f>
        <v>ORD-01098</v>
      </c>
      <c r="B1099" s="33">
        <f>Orders!B1099</f>
        <v>45528</v>
      </c>
      <c r="C1099" t="str">
        <f>Orders!C1099</f>
        <v>CUST-0210</v>
      </c>
      <c r="D1099" t="str">
        <f>Orders!D1099</f>
        <v>PROD-059</v>
      </c>
      <c r="E1099" t="str">
        <f>Orders!E1099</f>
        <v>R024</v>
      </c>
      <c r="F1099">
        <f>Orders!F1099</f>
        <v>1</v>
      </c>
      <c r="G1099" s="35">
        <f>Orders!G1099</f>
        <v>3780</v>
      </c>
      <c r="H1099" s="37">
        <f>Orders!H1099</f>
        <v>21.5</v>
      </c>
      <c r="I1099" s="39">
        <f>Orders!I1099</f>
        <v>2967.3</v>
      </c>
      <c r="J1099" t="str">
        <f>Orders!J1099</f>
        <v>Completed</v>
      </c>
      <c r="K1099" t="str">
        <f>Orders!K1099</f>
        <v>Pune</v>
      </c>
      <c r="L1099" t="str">
        <f>IFERROR(VLOOKUP(D1099,Products!$A$2:$F$61,3,FALSE),"")</f>
        <v>Sports</v>
      </c>
      <c r="M1099">
        <f>IFERROR(VLOOKUP(D1099,Products!$A$2:$F$61,4,FALSE),"")</f>
        <v>1860</v>
      </c>
      <c r="N1099" t="str">
        <f>IFERROR(VLOOKUP(E1099,Sales_Reps!$A$2:$E$31,3,FALSE),"")</f>
        <v>West</v>
      </c>
      <c r="O1099" t="str">
        <f>IFERROR(VLOOKUP(C1099,Customers!$A$2:$F$301,5,FALSE),"")</f>
        <v>Corporate</v>
      </c>
      <c r="P1099">
        <f>IFERROR(VLOOKUP(C1099,Customers!$A$2:$F$301,3,FALSE),"")</f>
        <v>48</v>
      </c>
      <c r="Q1099" s="41">
        <f t="shared" si="26"/>
        <v>0.50793650793650791</v>
      </c>
      <c r="R1099" t="str">
        <f>IFERROR(VLOOKUP(C1099,Customers!$A$2:$F$301,1,FALSE),"")</f>
        <v>CUST-0210</v>
      </c>
      <c r="S1099" s="27" t="b">
        <f>IFERROR(VLOOKUP(D1099,Products!$A$2:$F$61,6,FALSE),"")</f>
        <v>1</v>
      </c>
      <c r="BL1099">
        <v>0</v>
      </c>
      <c r="BO1099">
        <v>0</v>
      </c>
      <c r="BP1099">
        <v>0</v>
      </c>
    </row>
    <row r="1100" spans="1:68" x14ac:dyDescent="0.35">
      <c r="A1100" s="26" t="str">
        <f>Orders!A1100</f>
        <v>ORD-01099</v>
      </c>
      <c r="B1100" s="33">
        <f>Orders!B1100</f>
        <v>45622</v>
      </c>
      <c r="C1100" t="str">
        <f>Orders!C1100</f>
        <v>CUST-0293</v>
      </c>
      <c r="D1100" t="str">
        <f>Orders!D1100</f>
        <v>PROD-004</v>
      </c>
      <c r="E1100" t="str">
        <f>Orders!E1100</f>
        <v>R017</v>
      </c>
      <c r="F1100">
        <f>Orders!F1100</f>
        <v>3</v>
      </c>
      <c r="G1100" s="35">
        <f>Orders!G1100</f>
        <v>3870</v>
      </c>
      <c r="H1100" s="37">
        <f>Orders!H1100</f>
        <v>21.9</v>
      </c>
      <c r="I1100" s="39">
        <f>Orders!I1100</f>
        <v>9067.41</v>
      </c>
      <c r="J1100" t="str">
        <f>Orders!J1100</f>
        <v>Pending</v>
      </c>
      <c r="K1100" t="str">
        <f>Orders!K1100</f>
        <v>Bengaluru</v>
      </c>
      <c r="L1100" t="str">
        <f>IFERROR(VLOOKUP(D1100,Products!$A$2:$F$61,3,FALSE),"")</f>
        <v>Electronics</v>
      </c>
      <c r="M1100">
        <f>IFERROR(VLOOKUP(D1100,Products!$A$2:$F$61,4,FALSE),"")</f>
        <v>1559</v>
      </c>
      <c r="N1100" t="str">
        <f>IFERROR(VLOOKUP(E1100,Sales_Reps!$A$2:$E$31,3,FALSE),"")</f>
        <v>East</v>
      </c>
      <c r="O1100" t="str">
        <f>IFERROR(VLOOKUP(C1100,Customers!$A$2:$F$301,5,FALSE),"")</f>
        <v>Retail</v>
      </c>
      <c r="P1100">
        <f>IFERROR(VLOOKUP(C1100,Customers!$A$2:$F$301,3,FALSE),"")</f>
        <v>27</v>
      </c>
      <c r="Q1100" s="41">
        <f t="shared" si="26"/>
        <v>0.59715762273901807</v>
      </c>
      <c r="R1100" t="str">
        <f>IFERROR(VLOOKUP(C1100,Customers!$A$2:$F$301,1,FALSE),"")</f>
        <v>CUST-0293</v>
      </c>
      <c r="S1100" s="27" t="b">
        <f>IFERROR(VLOOKUP(D1100,Products!$A$2:$F$61,6,FALSE),"")</f>
        <v>1</v>
      </c>
      <c r="BL1100">
        <v>0</v>
      </c>
      <c r="BO1100">
        <v>0</v>
      </c>
      <c r="BP1100">
        <v>0</v>
      </c>
    </row>
    <row r="1101" spans="1:68" x14ac:dyDescent="0.35">
      <c r="A1101" s="26" t="str">
        <f>Orders!A1101</f>
        <v>ORD-01100</v>
      </c>
      <c r="B1101" s="33">
        <f>Orders!B1101</f>
        <v>45463</v>
      </c>
      <c r="C1101" t="str">
        <f>Orders!C1101</f>
        <v>CUST-0291</v>
      </c>
      <c r="D1101" t="str">
        <f>Orders!D1101</f>
        <v>PROD-033</v>
      </c>
      <c r="E1101" t="str">
        <f>Orders!E1101</f>
        <v>R009</v>
      </c>
      <c r="F1101">
        <f>Orders!F1101</f>
        <v>4</v>
      </c>
      <c r="G1101" s="35">
        <f>Orders!G1101</f>
        <v>2030</v>
      </c>
      <c r="H1101" s="37">
        <f>Orders!H1101</f>
        <v>23.4</v>
      </c>
      <c r="I1101" s="39">
        <f>Orders!I1101</f>
        <v>6219.92</v>
      </c>
      <c r="J1101" t="str">
        <f>Orders!J1101</f>
        <v>Completed</v>
      </c>
      <c r="K1101" t="str">
        <f>Orders!K1101</f>
        <v>Pune</v>
      </c>
      <c r="L1101" t="str">
        <f>IFERROR(VLOOKUP(D1101,Products!$A$2:$F$61,3,FALSE),"")</f>
        <v>Home</v>
      </c>
      <c r="M1101">
        <f>IFERROR(VLOOKUP(D1101,Products!$A$2:$F$61,4,FALSE),"")</f>
        <v>1143</v>
      </c>
      <c r="N1101" t="str">
        <f>IFERROR(VLOOKUP(E1101,Sales_Reps!$A$2:$E$31,3,FALSE),"")</f>
        <v>South</v>
      </c>
      <c r="O1101" t="str">
        <f>IFERROR(VLOOKUP(C1101,Customers!$A$2:$F$301,5,FALSE),"")</f>
        <v>SMB</v>
      </c>
      <c r="P1101">
        <f>IFERROR(VLOOKUP(C1101,Customers!$A$2:$F$301,3,FALSE),"")</f>
        <v>29</v>
      </c>
      <c r="Q1101" s="41">
        <f t="shared" si="26"/>
        <v>0.43694581280788175</v>
      </c>
      <c r="R1101" t="str">
        <f>IFERROR(VLOOKUP(C1101,Customers!$A$2:$F$301,1,FALSE),"")</f>
        <v>CUST-0291</v>
      </c>
      <c r="S1101" s="27" t="b">
        <f>IFERROR(VLOOKUP(D1101,Products!$A$2:$F$61,6,FALSE),"")</f>
        <v>1</v>
      </c>
      <c r="BL1101">
        <v>0</v>
      </c>
      <c r="BO1101">
        <v>0</v>
      </c>
      <c r="BP1101">
        <v>0</v>
      </c>
    </row>
    <row r="1102" spans="1:68" x14ac:dyDescent="0.35">
      <c r="A1102" s="26" t="str">
        <f>Orders!A1102</f>
        <v>ORD-01101</v>
      </c>
      <c r="B1102" s="33">
        <f>Orders!B1102</f>
        <v>45407</v>
      </c>
      <c r="C1102" t="str">
        <f>Orders!C1102</f>
        <v>CUST-0295</v>
      </c>
      <c r="D1102" t="str">
        <f>Orders!D1102</f>
        <v>PROD-029</v>
      </c>
      <c r="E1102" t="str">
        <f>Orders!E1102</f>
        <v>R003</v>
      </c>
      <c r="F1102">
        <f>Orders!F1102</f>
        <v>6</v>
      </c>
      <c r="G1102" s="35">
        <f>Orders!G1102</f>
        <v>2210</v>
      </c>
      <c r="H1102" s="37">
        <f>Orders!H1102</f>
        <v>9.1</v>
      </c>
      <c r="I1102" s="39">
        <f>Orders!I1102</f>
        <v>12053.34</v>
      </c>
      <c r="J1102" t="str">
        <f>Orders!J1102</f>
        <v>Completed</v>
      </c>
      <c r="K1102" t="str">
        <f>Orders!K1102</f>
        <v>Delhi</v>
      </c>
      <c r="L1102" t="str">
        <f>IFERROR(VLOOKUP(D1102,Products!$A$2:$F$61,3,FALSE),"")</f>
        <v>Grocery</v>
      </c>
      <c r="M1102">
        <f>IFERROR(VLOOKUP(D1102,Products!$A$2:$F$61,4,FALSE),"")</f>
        <v>1010</v>
      </c>
      <c r="N1102" t="str">
        <f>IFERROR(VLOOKUP(E1102,Sales_Reps!$A$2:$E$31,3,FALSE),"")</f>
        <v>North</v>
      </c>
      <c r="O1102" t="str">
        <f>IFERROR(VLOOKUP(C1102,Customers!$A$2:$F$301,5,FALSE),"")</f>
        <v>SMB</v>
      </c>
      <c r="P1102">
        <f>IFERROR(VLOOKUP(C1102,Customers!$A$2:$F$301,3,FALSE),"")</f>
        <v>48</v>
      </c>
      <c r="Q1102" s="41">
        <f t="shared" si="26"/>
        <v>0.54298642533936647</v>
      </c>
      <c r="R1102" t="str">
        <f>IFERROR(VLOOKUP(C1102,Customers!$A$2:$F$301,1,FALSE),"")</f>
        <v>CUST-0295</v>
      </c>
      <c r="S1102" s="27" t="b">
        <f>IFERROR(VLOOKUP(D1102,Products!$A$2:$F$61,6,FALSE),"")</f>
        <v>1</v>
      </c>
      <c r="BL1102">
        <v>0</v>
      </c>
      <c r="BO1102">
        <v>0</v>
      </c>
      <c r="BP1102">
        <v>0</v>
      </c>
    </row>
    <row r="1103" spans="1:68" x14ac:dyDescent="0.35">
      <c r="A1103" s="26" t="str">
        <f>Orders!A1103</f>
        <v>ORD-01102</v>
      </c>
      <c r="B1103" s="33">
        <f>Orders!B1103</f>
        <v>45627</v>
      </c>
      <c r="C1103" t="str">
        <f>Orders!C1103</f>
        <v>CUST-0123</v>
      </c>
      <c r="D1103" t="str">
        <f>Orders!D1103</f>
        <v>PROD-041</v>
      </c>
      <c r="E1103" t="str">
        <f>Orders!E1103</f>
        <v>R017</v>
      </c>
      <c r="F1103">
        <f>Orders!F1103</f>
        <v>5</v>
      </c>
      <c r="G1103" s="35">
        <f>Orders!G1103</f>
        <v>1540</v>
      </c>
      <c r="H1103" s="37">
        <f>Orders!H1103</f>
        <v>18.100000000000001</v>
      </c>
      <c r="I1103" s="39">
        <f>Orders!I1103</f>
        <v>6306.3</v>
      </c>
      <c r="J1103" t="str">
        <f>Orders!J1103</f>
        <v>Completed</v>
      </c>
      <c r="K1103" t="str">
        <f>Orders!K1103</f>
        <v>Chennai</v>
      </c>
      <c r="L1103" t="str">
        <f>IFERROR(VLOOKUP(D1103,Products!$A$2:$F$61,3,FALSE),"")</f>
        <v>Beauty</v>
      </c>
      <c r="M1103">
        <f>IFERROR(VLOOKUP(D1103,Products!$A$2:$F$61,4,FALSE),"")</f>
        <v>647</v>
      </c>
      <c r="N1103" t="str">
        <f>IFERROR(VLOOKUP(E1103,Sales_Reps!$A$2:$E$31,3,FALSE),"")</f>
        <v>East</v>
      </c>
      <c r="O1103" t="str">
        <f>IFERROR(VLOOKUP(C1103,Customers!$A$2:$F$301,5,FALSE),"")</f>
        <v>Corporate</v>
      </c>
      <c r="P1103">
        <f>IFERROR(VLOOKUP(C1103,Customers!$A$2:$F$301,3,FALSE),"")</f>
        <v>44</v>
      </c>
      <c r="Q1103" s="41">
        <f t="shared" si="26"/>
        <v>0.57987012987012987</v>
      </c>
      <c r="R1103" t="str">
        <f>IFERROR(VLOOKUP(C1103,Customers!$A$2:$F$301,1,FALSE),"")</f>
        <v>CUST-0123</v>
      </c>
      <c r="S1103" s="27" t="b">
        <f>IFERROR(VLOOKUP(D1103,Products!$A$2:$F$61,6,FALSE),"")</f>
        <v>0</v>
      </c>
      <c r="BL1103">
        <v>0</v>
      </c>
      <c r="BO1103">
        <v>0</v>
      </c>
      <c r="BP1103">
        <v>1</v>
      </c>
    </row>
    <row r="1104" spans="1:68" x14ac:dyDescent="0.35">
      <c r="A1104" s="26" t="str">
        <f>Orders!A1104</f>
        <v>ORD-01103</v>
      </c>
      <c r="B1104" s="33">
        <f>Orders!B1104</f>
        <v>45393</v>
      </c>
      <c r="C1104" t="str">
        <f>Orders!C1104</f>
        <v>CUST-0167</v>
      </c>
      <c r="D1104" t="str">
        <f>Orders!D1104</f>
        <v>PROD-054</v>
      </c>
      <c r="E1104" t="str">
        <f>Orders!E1104</f>
        <v>R011</v>
      </c>
      <c r="F1104">
        <f>Orders!F1104</f>
        <v>1</v>
      </c>
      <c r="G1104" s="35">
        <f>Orders!G1104</f>
        <v>1010</v>
      </c>
      <c r="H1104" s="37">
        <f>Orders!H1104</f>
        <v>7.3</v>
      </c>
      <c r="I1104" s="39">
        <f>Orders!I1104</f>
        <v>936.27</v>
      </c>
      <c r="J1104" t="str">
        <f>Orders!J1104</f>
        <v>Completed</v>
      </c>
      <c r="K1104" t="str">
        <f>Orders!K1104</f>
        <v>Delhi</v>
      </c>
      <c r="L1104" t="str">
        <f>IFERROR(VLOOKUP(D1104,Products!$A$2:$F$61,3,FALSE),"")</f>
        <v>Sports</v>
      </c>
      <c r="M1104">
        <f>IFERROR(VLOOKUP(D1104,Products!$A$2:$F$61,4,FALSE),"")</f>
        <v>516</v>
      </c>
      <c r="N1104" t="str">
        <f>IFERROR(VLOOKUP(E1104,Sales_Reps!$A$2:$E$31,3,FALSE),"")</f>
        <v>South</v>
      </c>
      <c r="O1104" t="str">
        <f>IFERROR(VLOOKUP(C1104,Customers!$A$2:$F$301,5,FALSE),"")</f>
        <v>Retail</v>
      </c>
      <c r="P1104">
        <f>IFERROR(VLOOKUP(C1104,Customers!$A$2:$F$301,3,FALSE),"")</f>
        <v>43</v>
      </c>
      <c r="Q1104" s="41">
        <f t="shared" si="26"/>
        <v>0.4891089108910891</v>
      </c>
      <c r="R1104" t="str">
        <f>IFERROR(VLOOKUP(C1104,Customers!$A$2:$F$301,1,FALSE),"")</f>
        <v>CUST-0167</v>
      </c>
      <c r="S1104" s="27" t="b">
        <f>IFERROR(VLOOKUP(D1104,Products!$A$2:$F$61,6,FALSE),"")</f>
        <v>1</v>
      </c>
      <c r="BL1104">
        <v>0</v>
      </c>
      <c r="BO1104">
        <v>0</v>
      </c>
      <c r="BP1104">
        <v>0</v>
      </c>
    </row>
    <row r="1105" spans="1:68" x14ac:dyDescent="0.35">
      <c r="A1105" s="26" t="str">
        <f>Orders!A1105</f>
        <v>ORD-01104</v>
      </c>
      <c r="B1105" s="33">
        <f>Orders!B1105</f>
        <v>45360</v>
      </c>
      <c r="C1105" t="str">
        <f>Orders!C1105</f>
        <v>CUST-0247</v>
      </c>
      <c r="D1105" t="str">
        <f>Orders!D1105</f>
        <v>PROD-001</v>
      </c>
      <c r="E1105" t="str">
        <f>Orders!E1105</f>
        <v>R015</v>
      </c>
      <c r="F1105">
        <f>Orders!F1105</f>
        <v>10</v>
      </c>
      <c r="G1105" s="35">
        <f>Orders!G1105</f>
        <v>5330</v>
      </c>
      <c r="H1105" s="37">
        <f>Orders!H1105</f>
        <v>27.3</v>
      </c>
      <c r="I1105" s="39">
        <f>Orders!I1105</f>
        <v>38749.1</v>
      </c>
      <c r="J1105" t="str">
        <f>Orders!J1105</f>
        <v>Completed</v>
      </c>
      <c r="K1105" t="str">
        <f>Orders!K1105</f>
        <v>Pune</v>
      </c>
      <c r="L1105" t="str">
        <f>IFERROR(VLOOKUP(D1105,Products!$A$2:$F$61,3,FALSE),"")</f>
        <v>Electronics</v>
      </c>
      <c r="M1105">
        <f>IFERROR(VLOOKUP(D1105,Products!$A$2:$F$61,4,FALSE),"")</f>
        <v>2405</v>
      </c>
      <c r="N1105" t="str">
        <f>IFERROR(VLOOKUP(E1105,Sales_Reps!$A$2:$E$31,3,FALSE),"")</f>
        <v>South</v>
      </c>
      <c r="O1105" t="str">
        <f>IFERROR(VLOOKUP(C1105,Customers!$A$2:$F$301,5,FALSE),"")</f>
        <v>SMB</v>
      </c>
      <c r="P1105">
        <f>IFERROR(VLOOKUP(C1105,Customers!$A$2:$F$301,3,FALSE),"")</f>
        <v>35</v>
      </c>
      <c r="Q1105" s="41">
        <f t="shared" si="26"/>
        <v>0.54878048780487809</v>
      </c>
      <c r="R1105" t="str">
        <f>IFERROR(VLOOKUP(C1105,Customers!$A$2:$F$301,1,FALSE),"")</f>
        <v>CUST-0247</v>
      </c>
      <c r="S1105" s="27" t="b">
        <f>IFERROR(VLOOKUP(D1105,Products!$A$2:$F$61,6,FALSE),"")</f>
        <v>1</v>
      </c>
      <c r="BL1105">
        <v>0</v>
      </c>
      <c r="BO1105">
        <v>0</v>
      </c>
      <c r="BP1105">
        <v>0</v>
      </c>
    </row>
    <row r="1106" spans="1:68" x14ac:dyDescent="0.35">
      <c r="A1106" s="26" t="str">
        <f>Orders!A1106</f>
        <v>ORD-01105</v>
      </c>
      <c r="B1106" s="33">
        <f>Orders!B1106</f>
        <v>45548</v>
      </c>
      <c r="C1106" t="str">
        <f>Orders!C1106</f>
        <v>CUST-0224</v>
      </c>
      <c r="D1106" t="str">
        <f>Orders!D1106</f>
        <v>PROD-003</v>
      </c>
      <c r="E1106" t="str">
        <f>Orders!E1106</f>
        <v>R022</v>
      </c>
      <c r="F1106">
        <f>Orders!F1106</f>
        <v>7</v>
      </c>
      <c r="G1106" s="35">
        <f>Orders!G1106</f>
        <v>3570</v>
      </c>
      <c r="H1106" s="37">
        <f>Orders!H1106</f>
        <v>24.3</v>
      </c>
      <c r="I1106" s="39">
        <f>Orders!I1106</f>
        <v>18917.43</v>
      </c>
      <c r="J1106" t="str">
        <f>Orders!J1106</f>
        <v>Completed</v>
      </c>
      <c r="K1106" t="str">
        <f>Orders!K1106</f>
        <v>Chennai</v>
      </c>
      <c r="L1106" t="str">
        <f>IFERROR(VLOOKUP(D1106,Products!$A$2:$F$61,3,FALSE),"")</f>
        <v>Electronics</v>
      </c>
      <c r="M1106">
        <f>IFERROR(VLOOKUP(D1106,Products!$A$2:$F$61,4,FALSE),"")</f>
        <v>1665</v>
      </c>
      <c r="N1106" t="str">
        <f>IFERROR(VLOOKUP(E1106,Sales_Reps!$A$2:$E$31,3,FALSE),"")</f>
        <v>East</v>
      </c>
      <c r="O1106" t="str">
        <f>IFERROR(VLOOKUP(C1106,Customers!$A$2:$F$301,5,FALSE),"")</f>
        <v>Corporate</v>
      </c>
      <c r="P1106">
        <f>IFERROR(VLOOKUP(C1106,Customers!$A$2:$F$301,3,FALSE),"")</f>
        <v>24</v>
      </c>
      <c r="Q1106" s="41">
        <f t="shared" si="26"/>
        <v>0.53361344537815125</v>
      </c>
      <c r="R1106" t="str">
        <f>IFERROR(VLOOKUP(C1106,Customers!$A$2:$F$301,1,FALSE),"")</f>
        <v>CUST-0224</v>
      </c>
      <c r="S1106" s="27" t="b">
        <f>IFERROR(VLOOKUP(D1106,Products!$A$2:$F$61,6,FALSE),"")</f>
        <v>1</v>
      </c>
      <c r="BL1106">
        <v>0</v>
      </c>
      <c r="BO1106">
        <v>0</v>
      </c>
      <c r="BP1106">
        <v>0</v>
      </c>
    </row>
    <row r="1107" spans="1:68" x14ac:dyDescent="0.35">
      <c r="A1107" s="26" t="str">
        <f>Orders!A1107</f>
        <v>ORD-01106</v>
      </c>
      <c r="B1107" s="33">
        <f>Orders!B1107</f>
        <v>45569</v>
      </c>
      <c r="C1107" t="str">
        <f>Orders!C1107</f>
        <v>CUST-0102</v>
      </c>
      <c r="D1107" t="str">
        <f>Orders!D1107</f>
        <v>PROD-043</v>
      </c>
      <c r="E1107" t="str">
        <f>Orders!E1107</f>
        <v>R017</v>
      </c>
      <c r="F1107">
        <f>Orders!F1107</f>
        <v>1</v>
      </c>
      <c r="G1107" s="35">
        <f>Orders!G1107</f>
        <v>3350</v>
      </c>
      <c r="H1107" s="37">
        <f>Orders!H1107</f>
        <v>14.9</v>
      </c>
      <c r="I1107" s="39">
        <f>Orders!I1107</f>
        <v>2850.85</v>
      </c>
      <c r="J1107" t="str">
        <f>Orders!J1107</f>
        <v>Completed</v>
      </c>
      <c r="K1107" t="str">
        <f>Orders!K1107</f>
        <v>Chennai</v>
      </c>
      <c r="L1107" t="str">
        <f>IFERROR(VLOOKUP(D1107,Products!$A$2:$F$61,3,FALSE),"")</f>
        <v>Beauty</v>
      </c>
      <c r="M1107">
        <f>IFERROR(VLOOKUP(D1107,Products!$A$2:$F$61,4,FALSE),"")</f>
        <v>1728</v>
      </c>
      <c r="N1107" t="str">
        <f>IFERROR(VLOOKUP(E1107,Sales_Reps!$A$2:$E$31,3,FALSE),"")</f>
        <v>East</v>
      </c>
      <c r="O1107" t="str">
        <f>IFERROR(VLOOKUP(C1107,Customers!$A$2:$F$301,5,FALSE),"")</f>
        <v>SMB</v>
      </c>
      <c r="P1107">
        <f>IFERROR(VLOOKUP(C1107,Customers!$A$2:$F$301,3,FALSE),"")</f>
        <v>62</v>
      </c>
      <c r="Q1107" s="41">
        <f t="shared" si="26"/>
        <v>0.48417910447761192</v>
      </c>
      <c r="R1107" t="str">
        <f>IFERROR(VLOOKUP(C1107,Customers!$A$2:$F$301,1,FALSE),"")</f>
        <v>CUST-0102</v>
      </c>
      <c r="S1107" s="27" t="b">
        <f>IFERROR(VLOOKUP(D1107,Products!$A$2:$F$61,6,FALSE),"")</f>
        <v>1</v>
      </c>
      <c r="BL1107">
        <v>0</v>
      </c>
      <c r="BO1107">
        <v>0</v>
      </c>
      <c r="BP1107">
        <v>0</v>
      </c>
    </row>
    <row r="1108" spans="1:68" x14ac:dyDescent="0.35">
      <c r="A1108" s="26" t="str">
        <f>Orders!A1108</f>
        <v>ORD-01107</v>
      </c>
      <c r="B1108" s="33">
        <f>Orders!B1108</f>
        <v>45541</v>
      </c>
      <c r="C1108" t="str">
        <f>Orders!C1108</f>
        <v>CUST-0151</v>
      </c>
      <c r="D1108" t="str">
        <f>Orders!D1108</f>
        <v>PROD-017</v>
      </c>
      <c r="E1108" t="str">
        <f>Orders!E1108</f>
        <v>R023</v>
      </c>
      <c r="F1108">
        <f>Orders!F1108</f>
        <v>2</v>
      </c>
      <c r="G1108" s="35">
        <f>Orders!G1108</f>
        <v>2510</v>
      </c>
      <c r="H1108" s="37">
        <f>Orders!H1108</f>
        <v>10.6</v>
      </c>
      <c r="I1108" s="39">
        <f>Orders!I1108</f>
        <v>4487.88</v>
      </c>
      <c r="J1108" t="str">
        <f>Orders!J1108</f>
        <v>Completed</v>
      </c>
      <c r="K1108" t="str">
        <f>Orders!K1108</f>
        <v>Mumbai</v>
      </c>
      <c r="L1108" t="str">
        <f>IFERROR(VLOOKUP(D1108,Products!$A$2:$F$61,3,FALSE),"")</f>
        <v>Apparel</v>
      </c>
      <c r="M1108">
        <f>IFERROR(VLOOKUP(D1108,Products!$A$2:$F$61,4,FALSE),"")</f>
        <v>1075</v>
      </c>
      <c r="N1108" t="str">
        <f>IFERROR(VLOOKUP(E1108,Sales_Reps!$A$2:$E$31,3,FALSE),"")</f>
        <v>East</v>
      </c>
      <c r="O1108" t="str">
        <f>IFERROR(VLOOKUP(C1108,Customers!$A$2:$F$301,5,FALSE),"")</f>
        <v>Retail</v>
      </c>
      <c r="P1108">
        <f>IFERROR(VLOOKUP(C1108,Customers!$A$2:$F$301,3,FALSE),"")</f>
        <v>53</v>
      </c>
      <c r="Q1108" s="41">
        <f t="shared" si="26"/>
        <v>0.57171314741035861</v>
      </c>
      <c r="R1108" t="str">
        <f>IFERROR(VLOOKUP(C1108,Customers!$A$2:$F$301,1,FALSE),"")</f>
        <v>CUST-0151</v>
      </c>
      <c r="S1108" s="27" t="b">
        <f>IFERROR(VLOOKUP(D1108,Products!$A$2:$F$61,6,FALSE),"")</f>
        <v>0</v>
      </c>
      <c r="BL1108">
        <v>0</v>
      </c>
      <c r="BO1108">
        <v>0</v>
      </c>
      <c r="BP1108">
        <v>1</v>
      </c>
    </row>
    <row r="1109" spans="1:68" x14ac:dyDescent="0.35">
      <c r="A1109" s="26" t="str">
        <f>Orders!A1109</f>
        <v>ORD-01108</v>
      </c>
      <c r="B1109" s="33">
        <f>Orders!B1109</f>
        <v>45369</v>
      </c>
      <c r="C1109" t="str">
        <f>Orders!C1109</f>
        <v>CUST-0182</v>
      </c>
      <c r="D1109" t="str">
        <f>Orders!D1109</f>
        <v>PROD-030</v>
      </c>
      <c r="E1109" t="str">
        <f>Orders!E1109</f>
        <v>R025</v>
      </c>
      <c r="F1109">
        <f>Orders!F1109</f>
        <v>5</v>
      </c>
      <c r="G1109" s="35">
        <f>Orders!G1109</f>
        <v>970</v>
      </c>
      <c r="H1109" s="37">
        <f>Orders!H1109</f>
        <v>6.8</v>
      </c>
      <c r="I1109" s="39">
        <f>Orders!I1109</f>
        <v>4520.2</v>
      </c>
      <c r="J1109" t="str">
        <f>Orders!J1109</f>
        <v>Pending</v>
      </c>
      <c r="K1109" t="str">
        <f>Orders!K1109</f>
        <v>Mumbai</v>
      </c>
      <c r="L1109" t="str">
        <f>IFERROR(VLOOKUP(D1109,Products!$A$2:$F$61,3,FALSE),"")</f>
        <v>Grocery</v>
      </c>
      <c r="M1109">
        <f>IFERROR(VLOOKUP(D1109,Products!$A$2:$F$61,4,FALSE),"")</f>
        <v>434</v>
      </c>
      <c r="N1109" t="str">
        <f>IFERROR(VLOOKUP(E1109,Sales_Reps!$A$2:$E$31,3,FALSE),"")</f>
        <v>West</v>
      </c>
      <c r="O1109" t="str">
        <f>IFERROR(VLOOKUP(C1109,Customers!$A$2:$F$301,5,FALSE),"")</f>
        <v>Retail</v>
      </c>
      <c r="P1109">
        <f>IFERROR(VLOOKUP(C1109,Customers!$A$2:$F$301,3,FALSE),"")</f>
        <v>54</v>
      </c>
      <c r="Q1109" s="41">
        <f t="shared" si="26"/>
        <v>0.5525773195876289</v>
      </c>
      <c r="R1109" t="str">
        <f>IFERROR(VLOOKUP(C1109,Customers!$A$2:$F$301,1,FALSE),"")</f>
        <v>CUST-0182</v>
      </c>
      <c r="S1109" s="27" t="b">
        <f>IFERROR(VLOOKUP(D1109,Products!$A$2:$F$61,6,FALSE),"")</f>
        <v>1</v>
      </c>
      <c r="BL1109">
        <v>0</v>
      </c>
      <c r="BO1109">
        <v>0</v>
      </c>
      <c r="BP1109">
        <v>0</v>
      </c>
    </row>
    <row r="1110" spans="1:68" x14ac:dyDescent="0.35">
      <c r="A1110" s="26" t="str">
        <f>Orders!A1110</f>
        <v>ORD-01109</v>
      </c>
      <c r="B1110" s="33">
        <f>Orders!B1110</f>
        <v>45519</v>
      </c>
      <c r="C1110" t="str">
        <f>Orders!C1110</f>
        <v>CUST-0152</v>
      </c>
      <c r="D1110" t="str">
        <f>Orders!D1110</f>
        <v>PROD-027</v>
      </c>
      <c r="E1110" t="str">
        <f>Orders!E1110</f>
        <v>R002</v>
      </c>
      <c r="F1110">
        <f>Orders!F1110</f>
        <v>5</v>
      </c>
      <c r="G1110" s="35">
        <f>Orders!G1110</f>
        <v>3780</v>
      </c>
      <c r="H1110" s="37">
        <f>Orders!H1110</f>
        <v>16.600000000000001</v>
      </c>
      <c r="I1110" s="39">
        <f>Orders!I1110</f>
        <v>15762.6</v>
      </c>
      <c r="J1110" t="str">
        <f>Orders!J1110</f>
        <v>Completed</v>
      </c>
      <c r="K1110" t="str">
        <f>Orders!K1110</f>
        <v>Bengaluru</v>
      </c>
      <c r="L1110" t="str">
        <f>IFERROR(VLOOKUP(D1110,Products!$A$2:$F$61,3,FALSE),"")</f>
        <v>Grocery</v>
      </c>
      <c r="M1110">
        <f>IFERROR(VLOOKUP(D1110,Products!$A$2:$F$61,4,FALSE),"")</f>
        <v>2436</v>
      </c>
      <c r="N1110" t="str">
        <f>IFERROR(VLOOKUP(E1110,Sales_Reps!$A$2:$E$31,3,FALSE),"")</f>
        <v>North</v>
      </c>
      <c r="O1110" t="str">
        <f>IFERROR(VLOOKUP(C1110,Customers!$A$2:$F$301,5,FALSE),"")</f>
        <v>SMB</v>
      </c>
      <c r="P1110">
        <f>IFERROR(VLOOKUP(C1110,Customers!$A$2:$F$301,3,FALSE),"")</f>
        <v>64</v>
      </c>
      <c r="Q1110" s="41">
        <f t="shared" si="26"/>
        <v>0.35555555555555557</v>
      </c>
      <c r="R1110" t="str">
        <f>IFERROR(VLOOKUP(C1110,Customers!$A$2:$F$301,1,FALSE),"")</f>
        <v>CUST-0152</v>
      </c>
      <c r="S1110" s="27" t="b">
        <f>IFERROR(VLOOKUP(D1110,Products!$A$2:$F$61,6,FALSE),"")</f>
        <v>1</v>
      </c>
      <c r="BL1110">
        <v>0</v>
      </c>
      <c r="BO1110">
        <v>0</v>
      </c>
      <c r="BP1110">
        <v>0</v>
      </c>
    </row>
    <row r="1111" spans="1:68" x14ac:dyDescent="0.35">
      <c r="A1111" s="26" t="str">
        <f>Orders!A1111</f>
        <v>ORD-01110</v>
      </c>
      <c r="B1111" s="33">
        <f>Orders!B1111</f>
        <v>45379</v>
      </c>
      <c r="C1111" t="str">
        <f>Orders!C1111</f>
        <v>CUST-0247</v>
      </c>
      <c r="D1111" t="str">
        <f>Orders!D1111</f>
        <v>PROD-017</v>
      </c>
      <c r="E1111" t="str">
        <f>Orders!E1111</f>
        <v>R007</v>
      </c>
      <c r="F1111">
        <f>Orders!F1111</f>
        <v>3</v>
      </c>
      <c r="G1111" s="35">
        <f>Orders!G1111</f>
        <v>2510</v>
      </c>
      <c r="H1111" s="37">
        <f>Orders!H1111</f>
        <v>24.9</v>
      </c>
      <c r="I1111" s="39">
        <f>Orders!I1111</f>
        <v>5655.03</v>
      </c>
      <c r="J1111" t="str">
        <f>Orders!J1111</f>
        <v>Cancelled</v>
      </c>
      <c r="K1111" t="str">
        <f>Orders!K1111</f>
        <v>Pune</v>
      </c>
      <c r="L1111" t="str">
        <f>IFERROR(VLOOKUP(D1111,Products!$A$2:$F$61,3,FALSE),"")</f>
        <v>Apparel</v>
      </c>
      <c r="M1111">
        <f>IFERROR(VLOOKUP(D1111,Products!$A$2:$F$61,4,FALSE),"")</f>
        <v>1075</v>
      </c>
      <c r="N1111" t="str">
        <f>IFERROR(VLOOKUP(E1111,Sales_Reps!$A$2:$E$31,3,FALSE),"")</f>
        <v>North</v>
      </c>
      <c r="O1111" t="str">
        <f>IFERROR(VLOOKUP(C1111,Customers!$A$2:$F$301,5,FALSE),"")</f>
        <v>SMB</v>
      </c>
      <c r="P1111">
        <f>IFERROR(VLOOKUP(C1111,Customers!$A$2:$F$301,3,FALSE),"")</f>
        <v>35</v>
      </c>
      <c r="Q1111" s="41">
        <f t="shared" si="26"/>
        <v>0.57171314741035861</v>
      </c>
      <c r="R1111" t="str">
        <f>IFERROR(VLOOKUP(C1111,Customers!$A$2:$F$301,1,FALSE),"")</f>
        <v>CUST-0247</v>
      </c>
      <c r="S1111" s="27" t="b">
        <f>IFERROR(VLOOKUP(D1111,Products!$A$2:$F$61,6,FALSE),"")</f>
        <v>0</v>
      </c>
      <c r="BL1111">
        <v>0</v>
      </c>
      <c r="BO1111">
        <v>0</v>
      </c>
      <c r="BP1111">
        <v>1</v>
      </c>
    </row>
    <row r="1112" spans="1:68" x14ac:dyDescent="0.35">
      <c r="A1112" s="26" t="str">
        <f>Orders!A1112</f>
        <v>ORD-01111</v>
      </c>
      <c r="B1112" s="33">
        <f>Orders!B1112</f>
        <v>45548</v>
      </c>
      <c r="C1112" t="str">
        <f>Orders!C1112</f>
        <v>CUST-0220</v>
      </c>
      <c r="D1112" t="str">
        <f>Orders!D1112</f>
        <v>PROD-033</v>
      </c>
      <c r="E1112" t="str">
        <f>Orders!E1112</f>
        <v>R008</v>
      </c>
      <c r="F1112">
        <f>Orders!F1112</f>
        <v>3</v>
      </c>
      <c r="G1112" s="35">
        <f>Orders!G1112</f>
        <v>2030</v>
      </c>
      <c r="H1112" s="37">
        <f>Orders!H1112</f>
        <v>3.8</v>
      </c>
      <c r="I1112" s="39">
        <f>Orders!I1112</f>
        <v>5858.58</v>
      </c>
      <c r="J1112" t="str">
        <f>Orders!J1112</f>
        <v>Completed</v>
      </c>
      <c r="K1112" t="str">
        <f>Orders!K1112</f>
        <v>Chennai</v>
      </c>
      <c r="L1112" t="str">
        <f>IFERROR(VLOOKUP(D1112,Products!$A$2:$F$61,3,FALSE),"")</f>
        <v>Home</v>
      </c>
      <c r="M1112">
        <f>IFERROR(VLOOKUP(D1112,Products!$A$2:$F$61,4,FALSE),"")</f>
        <v>1143</v>
      </c>
      <c r="N1112" t="str">
        <f>IFERROR(VLOOKUP(E1112,Sales_Reps!$A$2:$E$31,3,FALSE),"")</f>
        <v>North</v>
      </c>
      <c r="O1112" t="str">
        <f>IFERROR(VLOOKUP(C1112,Customers!$A$2:$F$301,5,FALSE),"")</f>
        <v>Retail</v>
      </c>
      <c r="P1112">
        <f>IFERROR(VLOOKUP(C1112,Customers!$A$2:$F$301,3,FALSE),"")</f>
        <v>34</v>
      </c>
      <c r="Q1112" s="41">
        <f t="shared" si="26"/>
        <v>0.43694581280788175</v>
      </c>
      <c r="R1112" t="str">
        <f>IFERROR(VLOOKUP(C1112,Customers!$A$2:$F$301,1,FALSE),"")</f>
        <v>CUST-0220</v>
      </c>
      <c r="S1112" s="27" t="b">
        <f>IFERROR(VLOOKUP(D1112,Products!$A$2:$F$61,6,FALSE),"")</f>
        <v>1</v>
      </c>
      <c r="BL1112">
        <v>0</v>
      </c>
      <c r="BO1112">
        <v>0</v>
      </c>
      <c r="BP1112">
        <v>0</v>
      </c>
    </row>
    <row r="1113" spans="1:68" x14ac:dyDescent="0.35">
      <c r="A1113" s="26" t="str">
        <f>Orders!A1113</f>
        <v>ORD-01112</v>
      </c>
      <c r="B1113" s="33">
        <f>Orders!B1113</f>
        <v>45478</v>
      </c>
      <c r="C1113" t="str">
        <f>Orders!C1113</f>
        <v>CUST-0206</v>
      </c>
      <c r="D1113" t="str">
        <f>Orders!D1113</f>
        <v>PROD-060</v>
      </c>
      <c r="E1113" t="str">
        <f>Orders!E1113</f>
        <v>R014</v>
      </c>
      <c r="F1113">
        <f>Orders!F1113</f>
        <v>9</v>
      </c>
      <c r="G1113" s="35">
        <f>Orders!G1113</f>
        <v>190</v>
      </c>
      <c r="H1113" s="37">
        <f>Orders!H1113</f>
        <v>5.4</v>
      </c>
      <c r="I1113" s="39">
        <f>Orders!I1113</f>
        <v>1617.66</v>
      </c>
      <c r="J1113" t="str">
        <f>Orders!J1113</f>
        <v>Completed</v>
      </c>
      <c r="K1113" t="str">
        <f>Orders!K1113</f>
        <v>Mumbai</v>
      </c>
      <c r="L1113" t="str">
        <f>IFERROR(VLOOKUP(D1113,Products!$A$2:$F$61,3,FALSE),"")</f>
        <v>Sports</v>
      </c>
      <c r="M1113">
        <f>IFERROR(VLOOKUP(D1113,Products!$A$2:$F$61,4,FALSE),"")</f>
        <v>147</v>
      </c>
      <c r="N1113" t="str">
        <f>IFERROR(VLOOKUP(E1113,Sales_Reps!$A$2:$E$31,3,FALSE),"")</f>
        <v>South</v>
      </c>
      <c r="O1113" t="str">
        <f>IFERROR(VLOOKUP(C1113,Customers!$A$2:$F$301,5,FALSE),"")</f>
        <v>Retail</v>
      </c>
      <c r="P1113">
        <f>IFERROR(VLOOKUP(C1113,Customers!$A$2:$F$301,3,FALSE),"")</f>
        <v>40</v>
      </c>
      <c r="Q1113" s="41">
        <f t="shared" si="26"/>
        <v>0.22631578947368422</v>
      </c>
      <c r="R1113" t="str">
        <f>IFERROR(VLOOKUP(C1113,Customers!$A$2:$F$301,1,FALSE),"")</f>
        <v>CUST-0206</v>
      </c>
      <c r="S1113" s="27" t="b">
        <f>IFERROR(VLOOKUP(D1113,Products!$A$2:$F$61,6,FALSE),"")</f>
        <v>1</v>
      </c>
      <c r="BL1113">
        <v>0</v>
      </c>
      <c r="BO1113">
        <v>0</v>
      </c>
      <c r="BP1113">
        <v>0</v>
      </c>
    </row>
    <row r="1114" spans="1:68" x14ac:dyDescent="0.35">
      <c r="A1114" s="26" t="str">
        <f>Orders!A1114</f>
        <v>ORD-01113</v>
      </c>
      <c r="B1114" s="33">
        <f>Orders!B1114</f>
        <v>45338</v>
      </c>
      <c r="C1114" t="str">
        <f>Orders!C1114</f>
        <v>CUST-0219</v>
      </c>
      <c r="D1114" t="str">
        <f>Orders!D1114</f>
        <v>PROD-029</v>
      </c>
      <c r="E1114" t="str">
        <f>Orders!E1114</f>
        <v>R020</v>
      </c>
      <c r="F1114">
        <f>Orders!F1114</f>
        <v>6</v>
      </c>
      <c r="G1114" s="35">
        <f>Orders!G1114</f>
        <v>2210</v>
      </c>
      <c r="H1114" s="37">
        <f>Orders!H1114</f>
        <v>29.4</v>
      </c>
      <c r="I1114" s="39">
        <f>Orders!I1114</f>
        <v>9361.56</v>
      </c>
      <c r="J1114" t="str">
        <f>Orders!J1114</f>
        <v>Completed</v>
      </c>
      <c r="K1114" t="str">
        <f>Orders!K1114</f>
        <v>Chennai</v>
      </c>
      <c r="L1114" t="str">
        <f>IFERROR(VLOOKUP(D1114,Products!$A$2:$F$61,3,FALSE),"")</f>
        <v>Grocery</v>
      </c>
      <c r="M1114">
        <f>IFERROR(VLOOKUP(D1114,Products!$A$2:$F$61,4,FALSE),"")</f>
        <v>1010</v>
      </c>
      <c r="N1114" t="str">
        <f>IFERROR(VLOOKUP(E1114,Sales_Reps!$A$2:$E$31,3,FALSE),"")</f>
        <v>East</v>
      </c>
      <c r="O1114" t="str">
        <f>IFERROR(VLOOKUP(C1114,Customers!$A$2:$F$301,5,FALSE),"")</f>
        <v>Corporate</v>
      </c>
      <c r="P1114">
        <f>IFERROR(VLOOKUP(C1114,Customers!$A$2:$F$301,3,FALSE),"")</f>
        <v>38</v>
      </c>
      <c r="Q1114" s="41">
        <f t="shared" si="26"/>
        <v>0.54298642533936647</v>
      </c>
      <c r="R1114" t="str">
        <f>IFERROR(VLOOKUP(C1114,Customers!$A$2:$F$301,1,FALSE),"")</f>
        <v>CUST-0219</v>
      </c>
      <c r="S1114" s="27" t="b">
        <f>IFERROR(VLOOKUP(D1114,Products!$A$2:$F$61,6,FALSE),"")</f>
        <v>1</v>
      </c>
      <c r="BL1114">
        <v>0</v>
      </c>
      <c r="BO1114">
        <v>0</v>
      </c>
      <c r="BP1114">
        <v>0</v>
      </c>
    </row>
    <row r="1115" spans="1:68" x14ac:dyDescent="0.35">
      <c r="A1115" s="26" t="str">
        <f>Orders!A1115</f>
        <v>ORD-01114</v>
      </c>
      <c r="B1115" s="33">
        <f>Orders!B1115</f>
        <v>45546</v>
      </c>
      <c r="C1115" t="str">
        <f>Orders!C1115</f>
        <v>CUST-0298</v>
      </c>
      <c r="D1115" t="str">
        <f>Orders!D1115</f>
        <v>PROD-013</v>
      </c>
      <c r="E1115" t="str">
        <f>Orders!E1115</f>
        <v>R005</v>
      </c>
      <c r="F1115">
        <f>Orders!F1115</f>
        <v>4</v>
      </c>
      <c r="G1115" s="35">
        <f>Orders!G1115</f>
        <v>3640</v>
      </c>
      <c r="H1115" s="37">
        <f>Orders!H1115</f>
        <v>0.6</v>
      </c>
      <c r="I1115" s="39">
        <f>Orders!I1115</f>
        <v>14472.64</v>
      </c>
      <c r="J1115" t="str">
        <f>Orders!J1115</f>
        <v>Completed</v>
      </c>
      <c r="K1115" t="str">
        <f>Orders!K1115</f>
        <v>Delhi</v>
      </c>
      <c r="L1115" t="str">
        <f>IFERROR(VLOOKUP(D1115,Products!$A$2:$F$61,3,FALSE),"")</f>
        <v>Apparel</v>
      </c>
      <c r="M1115">
        <f>IFERROR(VLOOKUP(D1115,Products!$A$2:$F$61,4,FALSE),"")</f>
        <v>2611</v>
      </c>
      <c r="N1115" t="str">
        <f>IFERROR(VLOOKUP(E1115,Sales_Reps!$A$2:$E$31,3,FALSE),"")</f>
        <v>North</v>
      </c>
      <c r="O1115" t="str">
        <f>IFERROR(VLOOKUP(C1115,Customers!$A$2:$F$301,5,FALSE),"")</f>
        <v>Retail</v>
      </c>
      <c r="P1115">
        <f>IFERROR(VLOOKUP(C1115,Customers!$A$2:$F$301,3,FALSE),"")</f>
        <v>44</v>
      </c>
      <c r="Q1115" s="41">
        <f t="shared" si="26"/>
        <v>0.28269230769230769</v>
      </c>
      <c r="R1115" t="str">
        <f>IFERROR(VLOOKUP(C1115,Customers!$A$2:$F$301,1,FALSE),"")</f>
        <v>CUST-0298</v>
      </c>
      <c r="S1115" s="27" t="b">
        <f>IFERROR(VLOOKUP(D1115,Products!$A$2:$F$61,6,FALSE),"")</f>
        <v>1</v>
      </c>
      <c r="BL1115">
        <v>0</v>
      </c>
      <c r="BO1115">
        <v>0</v>
      </c>
      <c r="BP1115">
        <v>0</v>
      </c>
    </row>
    <row r="1116" spans="1:68" x14ac:dyDescent="0.35">
      <c r="A1116" s="26" t="str">
        <f>Orders!A1116</f>
        <v>ORD-01115</v>
      </c>
      <c r="B1116" s="33">
        <f>Orders!B1116</f>
        <v>45626</v>
      </c>
      <c r="C1116" t="str">
        <f>Orders!C1116</f>
        <v>CUST-0254</v>
      </c>
      <c r="D1116" t="str">
        <f>Orders!D1116</f>
        <v>PROD-009</v>
      </c>
      <c r="E1116" t="str">
        <f>Orders!E1116</f>
        <v>R009</v>
      </c>
      <c r="F1116">
        <f>Orders!F1116</f>
        <v>9</v>
      </c>
      <c r="G1116" s="35">
        <f>Orders!G1116</f>
        <v>1220</v>
      </c>
      <c r="H1116" s="37">
        <f>Orders!H1116</f>
        <v>24.1</v>
      </c>
      <c r="I1116" s="39">
        <f>Orders!I1116</f>
        <v>8333.82</v>
      </c>
      <c r="J1116" t="str">
        <f>Orders!J1116</f>
        <v>Completed</v>
      </c>
      <c r="K1116" t="str">
        <f>Orders!K1116</f>
        <v>Bengaluru</v>
      </c>
      <c r="L1116" t="str">
        <f>IFERROR(VLOOKUP(D1116,Products!$A$2:$F$61,3,FALSE),"")</f>
        <v>Electronics</v>
      </c>
      <c r="M1116">
        <f>IFERROR(VLOOKUP(D1116,Products!$A$2:$F$61,4,FALSE),"")</f>
        <v>517</v>
      </c>
      <c r="N1116" t="str">
        <f>IFERROR(VLOOKUP(E1116,Sales_Reps!$A$2:$E$31,3,FALSE),"")</f>
        <v>South</v>
      </c>
      <c r="O1116" t="str">
        <f>IFERROR(VLOOKUP(C1116,Customers!$A$2:$F$301,5,FALSE),"")</f>
        <v>Retail</v>
      </c>
      <c r="P1116">
        <f>IFERROR(VLOOKUP(C1116,Customers!$A$2:$F$301,3,FALSE),"")</f>
        <v>35</v>
      </c>
      <c r="Q1116" s="41">
        <f t="shared" si="26"/>
        <v>0.57622950819672136</v>
      </c>
      <c r="R1116" t="str">
        <f>IFERROR(VLOOKUP(C1116,Customers!$A$2:$F$301,1,FALSE),"")</f>
        <v>CUST-0254</v>
      </c>
      <c r="S1116" s="27" t="b">
        <f>IFERROR(VLOOKUP(D1116,Products!$A$2:$F$61,6,FALSE),"")</f>
        <v>1</v>
      </c>
      <c r="BL1116">
        <v>0</v>
      </c>
      <c r="BO1116">
        <v>0</v>
      </c>
      <c r="BP1116">
        <v>0</v>
      </c>
    </row>
    <row r="1117" spans="1:68" x14ac:dyDescent="0.35">
      <c r="A1117" s="26" t="str">
        <f>Orders!A1117</f>
        <v>ORD-01116</v>
      </c>
      <c r="B1117" s="33">
        <f>Orders!B1117</f>
        <v>45402</v>
      </c>
      <c r="C1117" t="str">
        <f>Orders!C1117</f>
        <v>CUST-0085</v>
      </c>
      <c r="D1117" t="str">
        <f>Orders!D1117</f>
        <v>PROD-056</v>
      </c>
      <c r="E1117" t="str">
        <f>Orders!E1117</f>
        <v>R009</v>
      </c>
      <c r="F1117">
        <f>Orders!F1117</f>
        <v>2</v>
      </c>
      <c r="G1117" s="35">
        <f>Orders!G1117</f>
        <v>6940</v>
      </c>
      <c r="H1117" s="37">
        <f>Orders!H1117</f>
        <v>27</v>
      </c>
      <c r="I1117" s="39">
        <f>Orders!I1117</f>
        <v>10132.4</v>
      </c>
      <c r="J1117" t="str">
        <f>Orders!J1117</f>
        <v>Completed</v>
      </c>
      <c r="K1117" t="str">
        <f>Orders!K1117</f>
        <v>Chennai</v>
      </c>
      <c r="L1117" t="str">
        <f>IFERROR(VLOOKUP(D1117,Products!$A$2:$F$61,3,FALSE),"")</f>
        <v>Sports</v>
      </c>
      <c r="M1117">
        <f>IFERROR(VLOOKUP(D1117,Products!$A$2:$F$61,4,FALSE),"")</f>
        <v>2827</v>
      </c>
      <c r="N1117" t="str">
        <f>IFERROR(VLOOKUP(E1117,Sales_Reps!$A$2:$E$31,3,FALSE),"")</f>
        <v>South</v>
      </c>
      <c r="O1117" t="str">
        <f>IFERROR(VLOOKUP(C1117,Customers!$A$2:$F$301,5,FALSE),"")</f>
        <v>Retail</v>
      </c>
      <c r="P1117">
        <f>IFERROR(VLOOKUP(C1117,Customers!$A$2:$F$301,3,FALSE),"")</f>
        <v>26</v>
      </c>
      <c r="Q1117" s="41">
        <f t="shared" si="26"/>
        <v>0.5926512968299712</v>
      </c>
      <c r="R1117" t="str">
        <f>IFERROR(VLOOKUP(C1117,Customers!$A$2:$F$301,1,FALSE),"")</f>
        <v>CUST-0085</v>
      </c>
      <c r="S1117" s="27" t="b">
        <f>IFERROR(VLOOKUP(D1117,Products!$A$2:$F$61,6,FALSE),"")</f>
        <v>1</v>
      </c>
      <c r="BL1117">
        <v>0</v>
      </c>
      <c r="BO1117">
        <v>0</v>
      </c>
      <c r="BP1117">
        <v>0</v>
      </c>
    </row>
    <row r="1118" spans="1:68" x14ac:dyDescent="0.35">
      <c r="A1118" s="26" t="str">
        <f>Orders!A1118</f>
        <v>ORD-01117</v>
      </c>
      <c r="B1118" s="33">
        <f>Orders!B1118</f>
        <v>45604</v>
      </c>
      <c r="C1118" t="str">
        <f>Orders!C1118</f>
        <v>CUST-0181</v>
      </c>
      <c r="D1118" t="str">
        <f>Orders!D1118</f>
        <v>PROD-055</v>
      </c>
      <c r="E1118" t="str">
        <f>Orders!E1118</f>
        <v>R010</v>
      </c>
      <c r="F1118">
        <f>Orders!F1118</f>
        <v>6</v>
      </c>
      <c r="G1118" s="35">
        <f>Orders!G1118</f>
        <v>2860</v>
      </c>
      <c r="H1118" s="37">
        <f>Orders!H1118</f>
        <v>6.6</v>
      </c>
      <c r="I1118" s="39">
        <f>Orders!I1118</f>
        <v>16027.44</v>
      </c>
      <c r="J1118" t="str">
        <f>Orders!J1118</f>
        <v>Completed</v>
      </c>
      <c r="K1118" t="str">
        <f>Orders!K1118</f>
        <v>Delhi</v>
      </c>
      <c r="L1118" t="str">
        <f>IFERROR(VLOOKUP(D1118,Products!$A$2:$F$61,3,FALSE),"")</f>
        <v>Sports</v>
      </c>
      <c r="M1118">
        <f>IFERROR(VLOOKUP(D1118,Products!$A$2:$F$61,4,FALSE),"")</f>
        <v>2028</v>
      </c>
      <c r="N1118" t="str">
        <f>IFERROR(VLOOKUP(E1118,Sales_Reps!$A$2:$E$31,3,FALSE),"")</f>
        <v>South</v>
      </c>
      <c r="O1118" t="str">
        <f>IFERROR(VLOOKUP(C1118,Customers!$A$2:$F$301,5,FALSE),"")</f>
        <v>SMB</v>
      </c>
      <c r="P1118">
        <f>IFERROR(VLOOKUP(C1118,Customers!$A$2:$F$301,3,FALSE),"")</f>
        <v>38</v>
      </c>
      <c r="Q1118" s="41">
        <f t="shared" si="26"/>
        <v>0.29090909090909089</v>
      </c>
      <c r="R1118" t="str">
        <f>IFERROR(VLOOKUP(C1118,Customers!$A$2:$F$301,1,FALSE),"")</f>
        <v>CUST-0181</v>
      </c>
      <c r="S1118" s="27" t="b">
        <f>IFERROR(VLOOKUP(D1118,Products!$A$2:$F$61,6,FALSE),"")</f>
        <v>1</v>
      </c>
      <c r="BL1118">
        <v>0</v>
      </c>
      <c r="BO1118">
        <v>0</v>
      </c>
      <c r="BP1118">
        <v>0</v>
      </c>
    </row>
    <row r="1119" spans="1:68" x14ac:dyDescent="0.35">
      <c r="A1119" s="26" t="str">
        <f>Orders!A1119</f>
        <v>ORD-01118</v>
      </c>
      <c r="B1119" s="33">
        <f>Orders!B1119</f>
        <v>45545</v>
      </c>
      <c r="C1119" t="str">
        <f>Orders!C1119</f>
        <v>CUST-0143</v>
      </c>
      <c r="D1119" t="str">
        <f>Orders!D1119</f>
        <v>PROD-015</v>
      </c>
      <c r="E1119" t="str">
        <f>Orders!E1119</f>
        <v>R018</v>
      </c>
      <c r="F1119">
        <f>Orders!F1119</f>
        <v>5</v>
      </c>
      <c r="G1119" s="35">
        <f>Orders!G1119</f>
        <v>2720</v>
      </c>
      <c r="H1119" s="37">
        <f>Orders!H1119</f>
        <v>21.4</v>
      </c>
      <c r="I1119" s="39">
        <f>Orders!I1119</f>
        <v>10689.6</v>
      </c>
      <c r="J1119" t="str">
        <f>Orders!J1119</f>
        <v>Completed</v>
      </c>
      <c r="K1119" t="str">
        <f>Orders!K1119</f>
        <v>Chennai</v>
      </c>
      <c r="L1119" t="str">
        <f>IFERROR(VLOOKUP(D1119,Products!$A$2:$F$61,3,FALSE),"")</f>
        <v>Apparel</v>
      </c>
      <c r="M1119">
        <f>IFERROR(VLOOKUP(D1119,Products!$A$2:$F$61,4,FALSE),"")</f>
        <v>1962</v>
      </c>
      <c r="N1119" t="str">
        <f>IFERROR(VLOOKUP(E1119,Sales_Reps!$A$2:$E$31,3,FALSE),"")</f>
        <v>East</v>
      </c>
      <c r="O1119" t="str">
        <f>IFERROR(VLOOKUP(C1119,Customers!$A$2:$F$301,5,FALSE),"")</f>
        <v>SMB</v>
      </c>
      <c r="P1119">
        <f>IFERROR(VLOOKUP(C1119,Customers!$A$2:$F$301,3,FALSE),"")</f>
        <v>52</v>
      </c>
      <c r="Q1119" s="41">
        <f t="shared" si="26"/>
        <v>0.2786764705882353</v>
      </c>
      <c r="R1119" t="str">
        <f>IFERROR(VLOOKUP(C1119,Customers!$A$2:$F$301,1,FALSE),"")</f>
        <v>CUST-0143</v>
      </c>
      <c r="S1119" s="27" t="b">
        <f>IFERROR(VLOOKUP(D1119,Products!$A$2:$F$61,6,FALSE),"")</f>
        <v>1</v>
      </c>
      <c r="BL1119">
        <v>0</v>
      </c>
      <c r="BO1119">
        <v>0</v>
      </c>
      <c r="BP1119">
        <v>0</v>
      </c>
    </row>
    <row r="1120" spans="1:68" x14ac:dyDescent="0.35">
      <c r="A1120" s="26" t="str">
        <f>Orders!A1120</f>
        <v>ORD-01119</v>
      </c>
      <c r="B1120" s="33">
        <f>Orders!B1120</f>
        <v>45445</v>
      </c>
      <c r="C1120" t="str">
        <f>Orders!C1120</f>
        <v>CUST-0263</v>
      </c>
      <c r="D1120" t="str">
        <f>Orders!D1120</f>
        <v>PROD-020</v>
      </c>
      <c r="E1120" t="str">
        <f>Orders!E1120</f>
        <v>R006</v>
      </c>
      <c r="F1120">
        <f>Orders!F1120</f>
        <v>5</v>
      </c>
      <c r="G1120" s="35">
        <f>Orders!G1120</f>
        <v>820</v>
      </c>
      <c r="H1120" s="37">
        <f>Orders!H1120</f>
        <v>28.6</v>
      </c>
      <c r="I1120" s="39">
        <f>Orders!I1120</f>
        <v>2927.4</v>
      </c>
      <c r="J1120" t="str">
        <f>Orders!J1120</f>
        <v>Completed</v>
      </c>
      <c r="K1120" t="str">
        <f>Orders!K1120</f>
        <v>Mumbai</v>
      </c>
      <c r="L1120" t="str">
        <f>IFERROR(VLOOKUP(D1120,Products!$A$2:$F$61,3,FALSE),"")</f>
        <v>Apparel</v>
      </c>
      <c r="M1120">
        <f>IFERROR(VLOOKUP(D1120,Products!$A$2:$F$61,4,FALSE),"")</f>
        <v>391</v>
      </c>
      <c r="N1120" t="str">
        <f>IFERROR(VLOOKUP(E1120,Sales_Reps!$A$2:$E$31,3,FALSE),"")</f>
        <v>North</v>
      </c>
      <c r="O1120" t="str">
        <f>IFERROR(VLOOKUP(C1120,Customers!$A$2:$F$301,5,FALSE),"")</f>
        <v>Retail</v>
      </c>
      <c r="P1120">
        <f>IFERROR(VLOOKUP(C1120,Customers!$A$2:$F$301,3,FALSE),"")</f>
        <v>40</v>
      </c>
      <c r="Q1120" s="41">
        <f t="shared" si="26"/>
        <v>0.52317073170731709</v>
      </c>
      <c r="R1120" t="str">
        <f>IFERROR(VLOOKUP(C1120,Customers!$A$2:$F$301,1,FALSE),"")</f>
        <v>CUST-0263</v>
      </c>
      <c r="S1120" s="27" t="b">
        <f>IFERROR(VLOOKUP(D1120,Products!$A$2:$F$61,6,FALSE),"")</f>
        <v>1</v>
      </c>
      <c r="BL1120">
        <v>0</v>
      </c>
      <c r="BO1120">
        <v>0</v>
      </c>
      <c r="BP1120">
        <v>0</v>
      </c>
    </row>
    <row r="1121" spans="1:68" x14ac:dyDescent="0.35">
      <c r="A1121" s="26" t="str">
        <f>Orders!A1121</f>
        <v>ORD-01120</v>
      </c>
      <c r="B1121" s="33">
        <f>Orders!B1121</f>
        <v>45489</v>
      </c>
      <c r="C1121" t="str">
        <f>Orders!C1121</f>
        <v>CUST-0105</v>
      </c>
      <c r="D1121" t="str">
        <f>Orders!D1121</f>
        <v>PROD-042</v>
      </c>
      <c r="E1121" t="str">
        <f>Orders!E1121</f>
        <v>R022</v>
      </c>
      <c r="F1121">
        <f>Orders!F1121</f>
        <v>6</v>
      </c>
      <c r="G1121" s="35">
        <f>Orders!G1121</f>
        <v>2290</v>
      </c>
      <c r="H1121" s="37">
        <f>Orders!H1121</f>
        <v>18.8</v>
      </c>
      <c r="I1121" s="39">
        <f>Orders!I1121</f>
        <v>11156.88</v>
      </c>
      <c r="J1121" t="str">
        <f>Orders!J1121</f>
        <v>Completed</v>
      </c>
      <c r="K1121" t="str">
        <f>Orders!K1121</f>
        <v>Chennai</v>
      </c>
      <c r="L1121" t="str">
        <f>IFERROR(VLOOKUP(D1121,Products!$A$2:$F$61,3,FALSE),"")</f>
        <v>Beauty</v>
      </c>
      <c r="M1121">
        <f>IFERROR(VLOOKUP(D1121,Products!$A$2:$F$61,4,FALSE),"")</f>
        <v>1219</v>
      </c>
      <c r="N1121" t="str">
        <f>IFERROR(VLOOKUP(E1121,Sales_Reps!$A$2:$E$31,3,FALSE),"")</f>
        <v>East</v>
      </c>
      <c r="O1121" t="str">
        <f>IFERROR(VLOOKUP(C1121,Customers!$A$2:$F$301,5,FALSE),"")</f>
        <v>SMB</v>
      </c>
      <c r="P1121">
        <f>IFERROR(VLOOKUP(C1121,Customers!$A$2:$F$301,3,FALSE),"")</f>
        <v>51</v>
      </c>
      <c r="Q1121" s="41">
        <f t="shared" si="26"/>
        <v>0.46768558951965067</v>
      </c>
      <c r="R1121" t="str">
        <f>IFERROR(VLOOKUP(C1121,Customers!$A$2:$F$301,1,FALSE),"")</f>
        <v>CUST-0105</v>
      </c>
      <c r="S1121" s="27" t="b">
        <f>IFERROR(VLOOKUP(D1121,Products!$A$2:$F$61,6,FALSE),"")</f>
        <v>1</v>
      </c>
      <c r="BL1121">
        <v>0</v>
      </c>
      <c r="BO1121">
        <v>0</v>
      </c>
      <c r="BP1121">
        <v>0</v>
      </c>
    </row>
    <row r="1122" spans="1:68" x14ac:dyDescent="0.35">
      <c r="A1122" s="26" t="str">
        <f>Orders!A1122</f>
        <v>ORD-01121</v>
      </c>
      <c r="B1122" s="33">
        <f>Orders!B1122</f>
        <v>45394</v>
      </c>
      <c r="C1122" t="str">
        <f>Orders!C1122</f>
        <v>CUST-0256</v>
      </c>
      <c r="D1122" t="str">
        <f>Orders!D1122</f>
        <v>PROD-047</v>
      </c>
      <c r="E1122" t="str">
        <f>Orders!E1122</f>
        <v>R021</v>
      </c>
      <c r="F1122">
        <f>Orders!F1122</f>
        <v>6</v>
      </c>
      <c r="G1122" s="35">
        <f>Orders!G1122</f>
        <v>3450</v>
      </c>
      <c r="H1122" s="37">
        <f>Orders!H1122</f>
        <v>28.4</v>
      </c>
      <c r="I1122" s="39">
        <f>Orders!I1122</f>
        <v>14821.2</v>
      </c>
      <c r="J1122" t="str">
        <f>Orders!J1122</f>
        <v>Completed</v>
      </c>
      <c r="K1122" t="str">
        <f>Orders!K1122</f>
        <v>Hyderabad</v>
      </c>
      <c r="L1122" t="str">
        <f>IFERROR(VLOOKUP(D1122,Products!$A$2:$F$61,3,FALSE),"")</f>
        <v>Beauty</v>
      </c>
      <c r="M1122">
        <f>IFERROR(VLOOKUP(D1122,Products!$A$2:$F$61,4,FALSE),"")</f>
        <v>2420</v>
      </c>
      <c r="N1122" t="str">
        <f>IFERROR(VLOOKUP(E1122,Sales_Reps!$A$2:$E$31,3,FALSE),"")</f>
        <v>East</v>
      </c>
      <c r="O1122" t="str">
        <f>IFERROR(VLOOKUP(C1122,Customers!$A$2:$F$301,5,FALSE),"")</f>
        <v>Retail</v>
      </c>
      <c r="P1122">
        <f>IFERROR(VLOOKUP(C1122,Customers!$A$2:$F$301,3,FALSE),"")</f>
        <v>28</v>
      </c>
      <c r="Q1122" s="41">
        <f t="shared" si="26"/>
        <v>0.29855072463768118</v>
      </c>
      <c r="R1122" t="str">
        <f>IFERROR(VLOOKUP(C1122,Customers!$A$2:$F$301,1,FALSE),"")</f>
        <v>CUST-0256</v>
      </c>
      <c r="S1122" s="27" t="b">
        <f>IFERROR(VLOOKUP(D1122,Products!$A$2:$F$61,6,FALSE),"")</f>
        <v>1</v>
      </c>
      <c r="BL1122">
        <v>0</v>
      </c>
      <c r="BO1122">
        <v>0</v>
      </c>
      <c r="BP1122">
        <v>0</v>
      </c>
    </row>
    <row r="1123" spans="1:68" x14ac:dyDescent="0.35">
      <c r="A1123" s="26" t="str">
        <f>Orders!A1123</f>
        <v>ORD-01122</v>
      </c>
      <c r="B1123" s="33">
        <f>Orders!B1123</f>
        <v>45340</v>
      </c>
      <c r="C1123" t="str">
        <f>Orders!C1123</f>
        <v>CUST-0260</v>
      </c>
      <c r="D1123" t="str">
        <f>Orders!D1123</f>
        <v>PROD-033</v>
      </c>
      <c r="E1123" t="str">
        <f>Orders!E1123</f>
        <v>R002</v>
      </c>
      <c r="F1123">
        <f>Orders!F1123</f>
        <v>10</v>
      </c>
      <c r="G1123" s="35">
        <f>Orders!G1123</f>
        <v>2030</v>
      </c>
      <c r="H1123" s="37">
        <f>Orders!H1123</f>
        <v>8</v>
      </c>
      <c r="I1123" s="39">
        <f>Orders!I1123</f>
        <v>18676</v>
      </c>
      <c r="J1123" t="str">
        <f>Orders!J1123</f>
        <v>Completed</v>
      </c>
      <c r="K1123" t="str">
        <f>Orders!K1123</f>
        <v>Bengaluru</v>
      </c>
      <c r="L1123" t="str">
        <f>IFERROR(VLOOKUP(D1123,Products!$A$2:$F$61,3,FALSE),"")</f>
        <v>Home</v>
      </c>
      <c r="M1123">
        <f>IFERROR(VLOOKUP(D1123,Products!$A$2:$F$61,4,FALSE),"")</f>
        <v>1143</v>
      </c>
      <c r="N1123" t="str">
        <f>IFERROR(VLOOKUP(E1123,Sales_Reps!$A$2:$E$31,3,FALSE),"")</f>
        <v>North</v>
      </c>
      <c r="O1123" t="str">
        <f>IFERROR(VLOOKUP(C1123,Customers!$A$2:$F$301,5,FALSE),"")</f>
        <v>Retail</v>
      </c>
      <c r="P1123">
        <f>IFERROR(VLOOKUP(C1123,Customers!$A$2:$F$301,3,FALSE),"")</f>
        <v>42</v>
      </c>
      <c r="Q1123" s="41">
        <f t="shared" si="26"/>
        <v>0.43694581280788175</v>
      </c>
      <c r="R1123" t="str">
        <f>IFERROR(VLOOKUP(C1123,Customers!$A$2:$F$301,1,FALSE),"")</f>
        <v>CUST-0260</v>
      </c>
      <c r="S1123" s="27" t="b">
        <f>IFERROR(VLOOKUP(D1123,Products!$A$2:$F$61,6,FALSE),"")</f>
        <v>1</v>
      </c>
      <c r="BL1123">
        <v>0</v>
      </c>
      <c r="BO1123">
        <v>0</v>
      </c>
      <c r="BP1123">
        <v>0</v>
      </c>
    </row>
    <row r="1124" spans="1:68" x14ac:dyDescent="0.35">
      <c r="A1124" s="26" t="str">
        <f>Orders!A1124</f>
        <v>ORD-01123</v>
      </c>
      <c r="B1124" s="33">
        <f>Orders!B1124</f>
        <v>45378</v>
      </c>
      <c r="C1124" t="str">
        <f>Orders!C1124</f>
        <v>CUST-0233</v>
      </c>
      <c r="D1124" t="str">
        <f>Orders!D1124</f>
        <v>PROD-058</v>
      </c>
      <c r="E1124" t="str">
        <f>Orders!E1124</f>
        <v>R022</v>
      </c>
      <c r="F1124">
        <f>Orders!F1124</f>
        <v>1</v>
      </c>
      <c r="G1124" s="35">
        <f>Orders!G1124</f>
        <v>2400</v>
      </c>
      <c r="H1124" s="37">
        <f>Orders!H1124</f>
        <v>9.6999999999999993</v>
      </c>
      <c r="I1124" s="39">
        <f>Orders!I1124</f>
        <v>2167.1999999999998</v>
      </c>
      <c r="J1124" t="str">
        <f>Orders!J1124</f>
        <v>Completed</v>
      </c>
      <c r="K1124" t="str">
        <f>Orders!K1124</f>
        <v>Mumbai</v>
      </c>
      <c r="L1124" t="str">
        <f>IFERROR(VLOOKUP(D1124,Products!$A$2:$F$61,3,FALSE),"")</f>
        <v>Sports</v>
      </c>
      <c r="M1124">
        <f>IFERROR(VLOOKUP(D1124,Products!$A$2:$F$61,4,FALSE),"")</f>
        <v>974</v>
      </c>
      <c r="N1124" t="str">
        <f>IFERROR(VLOOKUP(E1124,Sales_Reps!$A$2:$E$31,3,FALSE),"")</f>
        <v>East</v>
      </c>
      <c r="O1124" t="str">
        <f>IFERROR(VLOOKUP(C1124,Customers!$A$2:$F$301,5,FALSE),"")</f>
        <v>SMB</v>
      </c>
      <c r="P1124">
        <f>IFERROR(VLOOKUP(C1124,Customers!$A$2:$F$301,3,FALSE),"")</f>
        <v>65</v>
      </c>
      <c r="Q1124" s="41">
        <f t="shared" si="26"/>
        <v>0.59416666666666662</v>
      </c>
      <c r="R1124" t="str">
        <f>IFERROR(VLOOKUP(C1124,Customers!$A$2:$F$301,1,FALSE),"")</f>
        <v>CUST-0233</v>
      </c>
      <c r="S1124" s="27" t="b">
        <f>IFERROR(VLOOKUP(D1124,Products!$A$2:$F$61,6,FALSE),"")</f>
        <v>1</v>
      </c>
      <c r="BL1124">
        <v>0</v>
      </c>
      <c r="BO1124">
        <v>0</v>
      </c>
      <c r="BP1124">
        <v>0</v>
      </c>
    </row>
    <row r="1125" spans="1:68" x14ac:dyDescent="0.35">
      <c r="A1125" s="26" t="str">
        <f>Orders!A1125</f>
        <v>ORD-01124</v>
      </c>
      <c r="B1125" s="33">
        <f>Orders!B1125</f>
        <v>45369</v>
      </c>
      <c r="C1125" t="str">
        <f>Orders!C1125</f>
        <v>CUST-0183</v>
      </c>
      <c r="D1125" t="str">
        <f>Orders!D1125</f>
        <v>PROD-033</v>
      </c>
      <c r="E1125" t="str">
        <f>Orders!E1125</f>
        <v>R014</v>
      </c>
      <c r="F1125">
        <f>Orders!F1125</f>
        <v>4</v>
      </c>
      <c r="G1125" s="35">
        <f>Orders!G1125</f>
        <v>2030</v>
      </c>
      <c r="H1125" s="37">
        <f>Orders!H1125</f>
        <v>24.8</v>
      </c>
      <c r="I1125" s="39">
        <f>Orders!I1125</f>
        <v>6106.24</v>
      </c>
      <c r="J1125" t="str">
        <f>Orders!J1125</f>
        <v>Pending</v>
      </c>
      <c r="K1125" t="str">
        <f>Orders!K1125</f>
        <v>Mumbai</v>
      </c>
      <c r="L1125" t="str">
        <f>IFERROR(VLOOKUP(D1125,Products!$A$2:$F$61,3,FALSE),"")</f>
        <v>Home</v>
      </c>
      <c r="M1125">
        <f>IFERROR(VLOOKUP(D1125,Products!$A$2:$F$61,4,FALSE),"")</f>
        <v>1143</v>
      </c>
      <c r="N1125" t="str">
        <f>IFERROR(VLOOKUP(E1125,Sales_Reps!$A$2:$E$31,3,FALSE),"")</f>
        <v>South</v>
      </c>
      <c r="O1125" t="str">
        <f>IFERROR(VLOOKUP(C1125,Customers!$A$2:$F$301,5,FALSE),"")</f>
        <v>SMB</v>
      </c>
      <c r="P1125">
        <f>IFERROR(VLOOKUP(C1125,Customers!$A$2:$F$301,3,FALSE),"")</f>
        <v>27</v>
      </c>
      <c r="Q1125" s="41">
        <f t="shared" si="26"/>
        <v>0.43694581280788175</v>
      </c>
      <c r="R1125" t="str">
        <f>IFERROR(VLOOKUP(C1125,Customers!$A$2:$F$301,1,FALSE),"")</f>
        <v>CUST-0183</v>
      </c>
      <c r="S1125" s="27" t="b">
        <f>IFERROR(VLOOKUP(D1125,Products!$A$2:$F$61,6,FALSE),"")</f>
        <v>1</v>
      </c>
      <c r="BL1125">
        <v>0</v>
      </c>
      <c r="BO1125">
        <v>0</v>
      </c>
      <c r="BP1125">
        <v>0</v>
      </c>
    </row>
    <row r="1126" spans="1:68" x14ac:dyDescent="0.35">
      <c r="A1126" s="26" t="str">
        <f>Orders!A1126</f>
        <v>ORD-01125</v>
      </c>
      <c r="B1126" s="33">
        <f>Orders!B1126</f>
        <v>45513</v>
      </c>
      <c r="C1126" t="str">
        <f>Orders!C1126</f>
        <v>CUST-0142</v>
      </c>
      <c r="D1126" t="str">
        <f>Orders!D1126</f>
        <v>PROD-025</v>
      </c>
      <c r="E1126" t="str">
        <f>Orders!E1126</f>
        <v>R002</v>
      </c>
      <c r="F1126">
        <f>Orders!F1126</f>
        <v>5</v>
      </c>
      <c r="G1126" s="35">
        <f>Orders!G1126</f>
        <v>4060</v>
      </c>
      <c r="H1126" s="37">
        <f>Orders!H1126</f>
        <v>9.1</v>
      </c>
      <c r="I1126" s="39">
        <f>Orders!I1126</f>
        <v>18452.7</v>
      </c>
      <c r="J1126" t="str">
        <f>Orders!J1126</f>
        <v>Pending</v>
      </c>
      <c r="K1126" t="str">
        <f>Orders!K1126</f>
        <v>Chennai</v>
      </c>
      <c r="L1126" t="str">
        <f>IFERROR(VLOOKUP(D1126,Products!$A$2:$F$61,3,FALSE),"")</f>
        <v>Grocery</v>
      </c>
      <c r="M1126">
        <f>IFERROR(VLOOKUP(D1126,Products!$A$2:$F$61,4,FALSE),"")</f>
        <v>2911</v>
      </c>
      <c r="N1126" t="str">
        <f>IFERROR(VLOOKUP(E1126,Sales_Reps!$A$2:$E$31,3,FALSE),"")</f>
        <v>North</v>
      </c>
      <c r="O1126" t="str">
        <f>IFERROR(VLOOKUP(C1126,Customers!$A$2:$F$301,5,FALSE),"")</f>
        <v>Corporate</v>
      </c>
      <c r="P1126">
        <f>IFERROR(VLOOKUP(C1126,Customers!$A$2:$F$301,3,FALSE),"")</f>
        <v>55</v>
      </c>
      <c r="Q1126" s="41">
        <f t="shared" si="26"/>
        <v>0.28300492610837441</v>
      </c>
      <c r="R1126" t="str">
        <f>IFERROR(VLOOKUP(C1126,Customers!$A$2:$F$301,1,FALSE),"")</f>
        <v>CUST-0142</v>
      </c>
      <c r="S1126" s="27" t="b">
        <f>IFERROR(VLOOKUP(D1126,Products!$A$2:$F$61,6,FALSE),"")</f>
        <v>1</v>
      </c>
      <c r="BL1126">
        <v>0</v>
      </c>
      <c r="BO1126">
        <v>0</v>
      </c>
      <c r="BP1126">
        <v>0</v>
      </c>
    </row>
    <row r="1127" spans="1:68" x14ac:dyDescent="0.35">
      <c r="A1127" s="26" t="str">
        <f>Orders!A1127</f>
        <v>ORD-01126</v>
      </c>
      <c r="B1127" s="33">
        <f>Orders!B1127</f>
        <v>45438</v>
      </c>
      <c r="C1127" t="str">
        <f>Orders!C1127</f>
        <v>CUST-0150</v>
      </c>
      <c r="D1127" t="str">
        <f>Orders!D1127</f>
        <v>PROD-033</v>
      </c>
      <c r="E1127" t="str">
        <f>Orders!E1127</f>
        <v>R013</v>
      </c>
      <c r="F1127">
        <f>Orders!F1127</f>
        <v>9</v>
      </c>
      <c r="G1127" s="35">
        <f>Orders!G1127</f>
        <v>2030</v>
      </c>
      <c r="H1127" s="37">
        <f>Orders!H1127</f>
        <v>15.9</v>
      </c>
      <c r="I1127" s="39">
        <f>Orders!I1127</f>
        <v>15365.07</v>
      </c>
      <c r="J1127" t="str">
        <f>Orders!J1127</f>
        <v>Pending</v>
      </c>
      <c r="K1127" t="str">
        <f>Orders!K1127</f>
        <v>Pune</v>
      </c>
      <c r="L1127" t="str">
        <f>IFERROR(VLOOKUP(D1127,Products!$A$2:$F$61,3,FALSE),"")</f>
        <v>Home</v>
      </c>
      <c r="M1127">
        <f>IFERROR(VLOOKUP(D1127,Products!$A$2:$F$61,4,FALSE),"")</f>
        <v>1143</v>
      </c>
      <c r="N1127" t="str">
        <f>IFERROR(VLOOKUP(E1127,Sales_Reps!$A$2:$E$31,3,FALSE),"")</f>
        <v>South</v>
      </c>
      <c r="O1127" t="str">
        <f>IFERROR(VLOOKUP(C1127,Customers!$A$2:$F$301,5,FALSE),"")</f>
        <v>SMB</v>
      </c>
      <c r="P1127">
        <f>IFERROR(VLOOKUP(C1127,Customers!$A$2:$F$301,3,FALSE),"")</f>
        <v>53</v>
      </c>
      <c r="Q1127" s="41">
        <f t="shared" si="26"/>
        <v>0.43694581280788175</v>
      </c>
      <c r="R1127" t="str">
        <f>IFERROR(VLOOKUP(C1127,Customers!$A$2:$F$301,1,FALSE),"")</f>
        <v>CUST-0150</v>
      </c>
      <c r="S1127" s="27" t="b">
        <f>IFERROR(VLOOKUP(D1127,Products!$A$2:$F$61,6,FALSE),"")</f>
        <v>1</v>
      </c>
      <c r="BL1127">
        <v>0</v>
      </c>
      <c r="BO1127">
        <v>0</v>
      </c>
      <c r="BP1127">
        <v>0</v>
      </c>
    </row>
    <row r="1128" spans="1:68" x14ac:dyDescent="0.35">
      <c r="A1128" s="26" t="str">
        <f>Orders!A1128</f>
        <v>ORD-01127</v>
      </c>
      <c r="B1128" s="33">
        <f>Orders!B1128</f>
        <v>45529</v>
      </c>
      <c r="C1128" t="str">
        <f>Orders!C1128</f>
        <v>CUST-0001</v>
      </c>
      <c r="D1128" t="str">
        <f>Orders!D1128</f>
        <v>PROD-043</v>
      </c>
      <c r="E1128" t="str">
        <f>Orders!E1128</f>
        <v>R014</v>
      </c>
      <c r="F1128">
        <f>Orders!F1128</f>
        <v>1</v>
      </c>
      <c r="G1128" s="35">
        <f>Orders!G1128</f>
        <v>3350</v>
      </c>
      <c r="H1128" s="37">
        <f>Orders!H1128</f>
        <v>23.2</v>
      </c>
      <c r="I1128" s="39">
        <f>Orders!I1128</f>
        <v>2572.8000000000002</v>
      </c>
      <c r="J1128" t="str">
        <f>Orders!J1128</f>
        <v>Refunded</v>
      </c>
      <c r="K1128" t="str">
        <f>Orders!K1128</f>
        <v>Pune</v>
      </c>
      <c r="L1128" t="str">
        <f>IFERROR(VLOOKUP(D1128,Products!$A$2:$F$61,3,FALSE),"")</f>
        <v>Beauty</v>
      </c>
      <c r="M1128">
        <f>IFERROR(VLOOKUP(D1128,Products!$A$2:$F$61,4,FALSE),"")</f>
        <v>1728</v>
      </c>
      <c r="N1128" t="str">
        <f>IFERROR(VLOOKUP(E1128,Sales_Reps!$A$2:$E$31,3,FALSE),"")</f>
        <v>South</v>
      </c>
      <c r="O1128" t="str">
        <f>IFERROR(VLOOKUP(C1128,Customers!$A$2:$F$301,5,FALSE),"")</f>
        <v>Retail</v>
      </c>
      <c r="P1128">
        <f>IFERROR(VLOOKUP(C1128,Customers!$A$2:$F$301,3,FALSE),"")</f>
        <v>36</v>
      </c>
      <c r="Q1128" s="41">
        <f t="shared" si="26"/>
        <v>0.48417910447761192</v>
      </c>
      <c r="R1128" t="str">
        <f>IFERROR(VLOOKUP(C1128,Customers!$A$2:$F$301,1,FALSE),"")</f>
        <v>CUST-0001</v>
      </c>
      <c r="S1128" s="27" t="b">
        <f>IFERROR(VLOOKUP(D1128,Products!$A$2:$F$61,6,FALSE),"")</f>
        <v>1</v>
      </c>
      <c r="BL1128">
        <v>0</v>
      </c>
      <c r="BO1128">
        <v>0</v>
      </c>
      <c r="BP1128">
        <v>0</v>
      </c>
    </row>
    <row r="1129" spans="1:68" x14ac:dyDescent="0.35">
      <c r="A1129" s="26" t="str">
        <f>Orders!A1129</f>
        <v>ORD-01128</v>
      </c>
      <c r="B1129" s="33">
        <f>Orders!B1129</f>
        <v>45634</v>
      </c>
      <c r="C1129" t="str">
        <f>Orders!C1129</f>
        <v>CUST-0104</v>
      </c>
      <c r="D1129" t="str">
        <f>Orders!D1129</f>
        <v>PROD-037</v>
      </c>
      <c r="E1129" t="str">
        <f>Orders!E1129</f>
        <v>R006</v>
      </c>
      <c r="F1129">
        <f>Orders!F1129</f>
        <v>4</v>
      </c>
      <c r="G1129" s="35">
        <f>Orders!G1129</f>
        <v>660</v>
      </c>
      <c r="H1129" s="37">
        <f>Orders!H1129</f>
        <v>27.1</v>
      </c>
      <c r="I1129" s="39">
        <f>Orders!I1129</f>
        <v>1924.56</v>
      </c>
      <c r="J1129" t="str">
        <f>Orders!J1129</f>
        <v>Completed</v>
      </c>
      <c r="K1129" t="str">
        <f>Orders!K1129</f>
        <v>Hyderabad</v>
      </c>
      <c r="L1129" t="str">
        <f>IFERROR(VLOOKUP(D1129,Products!$A$2:$F$61,3,FALSE),"")</f>
        <v>Home</v>
      </c>
      <c r="M1129">
        <f>IFERROR(VLOOKUP(D1129,Products!$A$2:$F$61,4,FALSE),"")</f>
        <v>329</v>
      </c>
      <c r="N1129" t="str">
        <f>IFERROR(VLOOKUP(E1129,Sales_Reps!$A$2:$E$31,3,FALSE),"")</f>
        <v>North</v>
      </c>
      <c r="O1129" t="str">
        <f>IFERROR(VLOOKUP(C1129,Customers!$A$2:$F$301,5,FALSE),"")</f>
        <v>Corporate</v>
      </c>
      <c r="P1129">
        <f>IFERROR(VLOOKUP(C1129,Customers!$A$2:$F$301,3,FALSE),"")</f>
        <v>43</v>
      </c>
      <c r="Q1129" s="41">
        <f t="shared" si="26"/>
        <v>0.50151515151515147</v>
      </c>
      <c r="R1129" t="str">
        <f>IFERROR(VLOOKUP(C1129,Customers!$A$2:$F$301,1,FALSE),"")</f>
        <v>CUST-0104</v>
      </c>
      <c r="S1129" s="27" t="b">
        <f>IFERROR(VLOOKUP(D1129,Products!$A$2:$F$61,6,FALSE),"")</f>
        <v>1</v>
      </c>
      <c r="BL1129">
        <v>0</v>
      </c>
      <c r="BO1129">
        <v>0</v>
      </c>
      <c r="BP1129">
        <v>0</v>
      </c>
    </row>
    <row r="1130" spans="1:68" x14ac:dyDescent="0.35">
      <c r="A1130" s="26" t="str">
        <f>Orders!A1130</f>
        <v>ORD-01129</v>
      </c>
      <c r="B1130" s="33">
        <f>Orders!B1130</f>
        <v>45441</v>
      </c>
      <c r="C1130" t="str">
        <f>Orders!C1130</f>
        <v>CUST-0261</v>
      </c>
      <c r="D1130" t="str">
        <f>Orders!D1130</f>
        <v>PROD-045</v>
      </c>
      <c r="E1130" t="str">
        <f>Orders!E1130</f>
        <v>R014</v>
      </c>
      <c r="F1130">
        <f>Orders!F1130</f>
        <v>3</v>
      </c>
      <c r="G1130" s="35">
        <f>Orders!G1130</f>
        <v>3020</v>
      </c>
      <c r="H1130" s="37">
        <f>Orders!H1130</f>
        <v>7.2</v>
      </c>
      <c r="I1130" s="39">
        <f>Orders!I1130</f>
        <v>8407.68</v>
      </c>
      <c r="J1130" t="str">
        <f>Orders!J1130</f>
        <v>Completed</v>
      </c>
      <c r="K1130" t="str">
        <f>Orders!K1130</f>
        <v>Delhi</v>
      </c>
      <c r="L1130" t="str">
        <f>IFERROR(VLOOKUP(D1130,Products!$A$2:$F$61,3,FALSE),"")</f>
        <v>Beauty</v>
      </c>
      <c r="M1130">
        <f>IFERROR(VLOOKUP(D1130,Products!$A$2:$F$61,4,FALSE),"")</f>
        <v>1626</v>
      </c>
      <c r="N1130" t="str">
        <f>IFERROR(VLOOKUP(E1130,Sales_Reps!$A$2:$E$31,3,FALSE),"")</f>
        <v>South</v>
      </c>
      <c r="O1130" t="str">
        <f>IFERROR(VLOOKUP(C1130,Customers!$A$2:$F$301,5,FALSE),"")</f>
        <v>Retail</v>
      </c>
      <c r="P1130">
        <f>IFERROR(VLOOKUP(C1130,Customers!$A$2:$F$301,3,FALSE),"")</f>
        <v>54</v>
      </c>
      <c r="Q1130" s="41">
        <f t="shared" si="26"/>
        <v>0.46158940397350995</v>
      </c>
      <c r="R1130" t="str">
        <f>IFERROR(VLOOKUP(C1130,Customers!$A$2:$F$301,1,FALSE),"")</f>
        <v>CUST-0261</v>
      </c>
      <c r="S1130" s="27" t="b">
        <f>IFERROR(VLOOKUP(D1130,Products!$A$2:$F$61,6,FALSE),"")</f>
        <v>1</v>
      </c>
      <c r="BL1130">
        <v>0</v>
      </c>
      <c r="BO1130">
        <v>0</v>
      </c>
      <c r="BP1130">
        <v>0</v>
      </c>
    </row>
    <row r="1131" spans="1:68" x14ac:dyDescent="0.35">
      <c r="A1131" s="26" t="str">
        <f>Orders!A1131</f>
        <v>ORD-01130</v>
      </c>
      <c r="B1131" s="33">
        <f>Orders!B1131</f>
        <v>45409</v>
      </c>
      <c r="C1131" t="str">
        <f>Orders!C1131</f>
        <v>CUST-0010</v>
      </c>
      <c r="D1131" t="str">
        <f>Orders!D1131</f>
        <v>PROD-008</v>
      </c>
      <c r="E1131" t="str">
        <f>Orders!E1131</f>
        <v>R006</v>
      </c>
      <c r="F1131">
        <f>Orders!F1131</f>
        <v>3</v>
      </c>
      <c r="G1131" s="35">
        <f>Orders!G1131</f>
        <v>2660</v>
      </c>
      <c r="H1131" s="37">
        <f>Orders!H1131</f>
        <v>0.2</v>
      </c>
      <c r="I1131" s="39">
        <f>Orders!I1131</f>
        <v>7964.04</v>
      </c>
      <c r="J1131" t="str">
        <f>Orders!J1131</f>
        <v>Completed</v>
      </c>
      <c r="K1131" t="str">
        <f>Orders!K1131</f>
        <v>Mumbai</v>
      </c>
      <c r="L1131" t="str">
        <f>IFERROR(VLOOKUP(D1131,Products!$A$2:$F$61,3,FALSE),"")</f>
        <v>Electronics</v>
      </c>
      <c r="M1131">
        <f>IFERROR(VLOOKUP(D1131,Products!$A$2:$F$61,4,FALSE),"")</f>
        <v>1259</v>
      </c>
      <c r="N1131" t="str">
        <f>IFERROR(VLOOKUP(E1131,Sales_Reps!$A$2:$E$31,3,FALSE),"")</f>
        <v>North</v>
      </c>
      <c r="O1131" t="str">
        <f>IFERROR(VLOOKUP(C1131,Customers!$A$2:$F$301,5,FALSE),"")</f>
        <v>SMB</v>
      </c>
      <c r="P1131">
        <f>IFERROR(VLOOKUP(C1131,Customers!$A$2:$F$301,3,FALSE),"")</f>
        <v>61</v>
      </c>
      <c r="Q1131" s="41">
        <f t="shared" si="26"/>
        <v>0.52669172932330832</v>
      </c>
      <c r="R1131" t="str">
        <f>IFERROR(VLOOKUP(C1131,Customers!$A$2:$F$301,1,FALSE),"")</f>
        <v>CUST-0010</v>
      </c>
      <c r="S1131" s="27" t="b">
        <f>IFERROR(VLOOKUP(D1131,Products!$A$2:$F$61,6,FALSE),"")</f>
        <v>0</v>
      </c>
      <c r="BL1131">
        <v>0</v>
      </c>
      <c r="BO1131">
        <v>0</v>
      </c>
      <c r="BP1131">
        <v>1</v>
      </c>
    </row>
    <row r="1132" spans="1:68" x14ac:dyDescent="0.35">
      <c r="A1132" s="26" t="str">
        <f>Orders!A1132</f>
        <v>ORD-01131</v>
      </c>
      <c r="B1132" s="33">
        <f>Orders!B1132</f>
        <v>45650</v>
      </c>
      <c r="C1132" t="str">
        <f>Orders!C1132</f>
        <v>CUST-0237</v>
      </c>
      <c r="D1132" t="str">
        <f>Orders!D1132</f>
        <v>PROD-054</v>
      </c>
      <c r="E1132" t="str">
        <f>Orders!E1132</f>
        <v>R006</v>
      </c>
      <c r="F1132">
        <f>Orders!F1132</f>
        <v>4</v>
      </c>
      <c r="G1132" s="35">
        <f>Orders!G1132</f>
        <v>1010</v>
      </c>
      <c r="H1132" s="37">
        <f>Orders!H1132</f>
        <v>3.1</v>
      </c>
      <c r="I1132" s="39">
        <f>Orders!I1132</f>
        <v>3914.76</v>
      </c>
      <c r="J1132" t="str">
        <f>Orders!J1132</f>
        <v>Completed</v>
      </c>
      <c r="K1132" t="str">
        <f>Orders!K1132</f>
        <v>Mumbai</v>
      </c>
      <c r="L1132" t="str">
        <f>IFERROR(VLOOKUP(D1132,Products!$A$2:$F$61,3,FALSE),"")</f>
        <v>Sports</v>
      </c>
      <c r="M1132">
        <f>IFERROR(VLOOKUP(D1132,Products!$A$2:$F$61,4,FALSE),"")</f>
        <v>516</v>
      </c>
      <c r="N1132" t="str">
        <f>IFERROR(VLOOKUP(E1132,Sales_Reps!$A$2:$E$31,3,FALSE),"")</f>
        <v>North</v>
      </c>
      <c r="O1132" t="str">
        <f>IFERROR(VLOOKUP(C1132,Customers!$A$2:$F$301,5,FALSE),"")</f>
        <v>Retail</v>
      </c>
      <c r="P1132">
        <f>IFERROR(VLOOKUP(C1132,Customers!$A$2:$F$301,3,FALSE),"")</f>
        <v>49</v>
      </c>
      <c r="Q1132" s="41">
        <f t="shared" si="26"/>
        <v>0.4891089108910891</v>
      </c>
      <c r="R1132" t="str">
        <f>IFERROR(VLOOKUP(C1132,Customers!$A$2:$F$301,1,FALSE),"")</f>
        <v>CUST-0237</v>
      </c>
      <c r="S1132" s="27" t="b">
        <f>IFERROR(VLOOKUP(D1132,Products!$A$2:$F$61,6,FALSE),"")</f>
        <v>1</v>
      </c>
      <c r="BL1132">
        <v>0</v>
      </c>
      <c r="BO1132">
        <v>0</v>
      </c>
      <c r="BP1132">
        <v>0</v>
      </c>
    </row>
    <row r="1133" spans="1:68" x14ac:dyDescent="0.35">
      <c r="A1133" s="26" t="str">
        <f>Orders!A1133</f>
        <v>ORD-01132</v>
      </c>
      <c r="B1133" s="33">
        <f>Orders!B1133</f>
        <v>45380</v>
      </c>
      <c r="C1133" t="str">
        <f>Orders!C1133</f>
        <v>CUST-0128</v>
      </c>
      <c r="D1133" t="str">
        <f>Orders!D1133</f>
        <v>PROD-038</v>
      </c>
      <c r="E1133" t="str">
        <f>Orders!E1133</f>
        <v>R017</v>
      </c>
      <c r="F1133">
        <f>Orders!F1133</f>
        <v>5</v>
      </c>
      <c r="G1133" s="35">
        <f>Orders!G1133</f>
        <v>5490</v>
      </c>
      <c r="H1133" s="37">
        <f>Orders!H1133</f>
        <v>3.6</v>
      </c>
      <c r="I1133" s="39">
        <f>Orders!I1133</f>
        <v>26461.8</v>
      </c>
      <c r="J1133" t="str">
        <f>Orders!J1133</f>
        <v>Completed</v>
      </c>
      <c r="K1133" t="str">
        <f>Orders!K1133</f>
        <v>Hyderabad</v>
      </c>
      <c r="L1133" t="str">
        <f>IFERROR(VLOOKUP(D1133,Products!$A$2:$F$61,3,FALSE),"")</f>
        <v>Home</v>
      </c>
      <c r="M1133">
        <f>IFERROR(VLOOKUP(D1133,Products!$A$2:$F$61,4,FALSE),"")</f>
        <v>2549</v>
      </c>
      <c r="N1133" t="str">
        <f>IFERROR(VLOOKUP(E1133,Sales_Reps!$A$2:$E$31,3,FALSE),"")</f>
        <v>East</v>
      </c>
      <c r="O1133" t="str">
        <f>IFERROR(VLOOKUP(C1133,Customers!$A$2:$F$301,5,FALSE),"")</f>
        <v>Retail</v>
      </c>
      <c r="P1133">
        <f>IFERROR(VLOOKUP(C1133,Customers!$A$2:$F$301,3,FALSE),"")</f>
        <v>35</v>
      </c>
      <c r="Q1133" s="41">
        <f t="shared" si="26"/>
        <v>0.53570127504553733</v>
      </c>
      <c r="R1133" t="str">
        <f>IFERROR(VLOOKUP(C1133,Customers!$A$2:$F$301,1,FALSE),"")</f>
        <v>CUST-0128</v>
      </c>
      <c r="S1133" s="27" t="b">
        <f>IFERROR(VLOOKUP(D1133,Products!$A$2:$F$61,6,FALSE),"")</f>
        <v>1</v>
      </c>
      <c r="BL1133">
        <v>0</v>
      </c>
      <c r="BO1133">
        <v>0</v>
      </c>
      <c r="BP1133">
        <v>0</v>
      </c>
    </row>
    <row r="1134" spans="1:68" x14ac:dyDescent="0.35">
      <c r="A1134" s="26" t="str">
        <f>Orders!A1134</f>
        <v>ORD-01133</v>
      </c>
      <c r="B1134" s="33">
        <f>Orders!B1134</f>
        <v>45322</v>
      </c>
      <c r="C1134" t="str">
        <f>Orders!C1134</f>
        <v>CUST-0182</v>
      </c>
      <c r="D1134" t="str">
        <f>Orders!D1134</f>
        <v>PROD-058</v>
      </c>
      <c r="E1134" t="str">
        <f>Orders!E1134</f>
        <v>R019</v>
      </c>
      <c r="F1134">
        <f>Orders!F1134</f>
        <v>1</v>
      </c>
      <c r="G1134" s="35">
        <f>Orders!G1134</f>
        <v>2400</v>
      </c>
      <c r="H1134" s="37">
        <f>Orders!H1134</f>
        <v>24.3</v>
      </c>
      <c r="I1134" s="39">
        <f>Orders!I1134</f>
        <v>1816.8</v>
      </c>
      <c r="J1134" t="str">
        <f>Orders!J1134</f>
        <v>Completed</v>
      </c>
      <c r="K1134" t="str">
        <f>Orders!K1134</f>
        <v>Mumbai</v>
      </c>
      <c r="L1134" t="str">
        <f>IFERROR(VLOOKUP(D1134,Products!$A$2:$F$61,3,FALSE),"")</f>
        <v>Sports</v>
      </c>
      <c r="M1134">
        <f>IFERROR(VLOOKUP(D1134,Products!$A$2:$F$61,4,FALSE),"")</f>
        <v>974</v>
      </c>
      <c r="N1134" t="str">
        <f>IFERROR(VLOOKUP(E1134,Sales_Reps!$A$2:$E$31,3,FALSE),"")</f>
        <v>East</v>
      </c>
      <c r="O1134" t="str">
        <f>IFERROR(VLOOKUP(C1134,Customers!$A$2:$F$301,5,FALSE),"")</f>
        <v>Retail</v>
      </c>
      <c r="P1134">
        <f>IFERROR(VLOOKUP(C1134,Customers!$A$2:$F$301,3,FALSE),"")</f>
        <v>54</v>
      </c>
      <c r="Q1134" s="41">
        <f t="shared" si="26"/>
        <v>0.59416666666666662</v>
      </c>
      <c r="R1134" t="str">
        <f>IFERROR(VLOOKUP(C1134,Customers!$A$2:$F$301,1,FALSE),"")</f>
        <v>CUST-0182</v>
      </c>
      <c r="S1134" s="27" t="b">
        <f>IFERROR(VLOOKUP(D1134,Products!$A$2:$F$61,6,FALSE),"")</f>
        <v>1</v>
      </c>
      <c r="BL1134">
        <v>0</v>
      </c>
      <c r="BO1134">
        <v>0</v>
      </c>
      <c r="BP1134">
        <v>0</v>
      </c>
    </row>
    <row r="1135" spans="1:68" x14ac:dyDescent="0.35">
      <c r="A1135" s="26" t="str">
        <f>Orders!A1135</f>
        <v>ORD-01134</v>
      </c>
      <c r="B1135" s="33">
        <f>Orders!B1135</f>
        <v>45532</v>
      </c>
      <c r="C1135" t="str">
        <f>Orders!C1135</f>
        <v>CUST-0131</v>
      </c>
      <c r="D1135" t="str">
        <f>Orders!D1135</f>
        <v>PROD-037</v>
      </c>
      <c r="E1135" t="str">
        <f>Orders!E1135</f>
        <v>R009</v>
      </c>
      <c r="F1135">
        <f>Orders!F1135</f>
        <v>8</v>
      </c>
      <c r="G1135" s="35">
        <f>Orders!G1135</f>
        <v>660</v>
      </c>
      <c r="H1135" s="37">
        <f>Orders!H1135</f>
        <v>19.8</v>
      </c>
      <c r="I1135" s="39">
        <f>Orders!I1135</f>
        <v>4234.5600000000004</v>
      </c>
      <c r="J1135" t="str">
        <f>Orders!J1135</f>
        <v>Completed</v>
      </c>
      <c r="K1135" t="str">
        <f>Orders!K1135</f>
        <v>Delhi</v>
      </c>
      <c r="L1135" t="str">
        <f>IFERROR(VLOOKUP(D1135,Products!$A$2:$F$61,3,FALSE),"")</f>
        <v>Home</v>
      </c>
      <c r="M1135">
        <f>IFERROR(VLOOKUP(D1135,Products!$A$2:$F$61,4,FALSE),"")</f>
        <v>329</v>
      </c>
      <c r="N1135" t="str">
        <f>IFERROR(VLOOKUP(E1135,Sales_Reps!$A$2:$E$31,3,FALSE),"")</f>
        <v>South</v>
      </c>
      <c r="O1135" t="str">
        <f>IFERROR(VLOOKUP(C1135,Customers!$A$2:$F$301,5,FALSE),"")</f>
        <v>SMB</v>
      </c>
      <c r="P1135">
        <f>IFERROR(VLOOKUP(C1135,Customers!$A$2:$F$301,3,FALSE),"")</f>
        <v>28</v>
      </c>
      <c r="Q1135" s="41">
        <f t="shared" si="26"/>
        <v>0.50151515151515147</v>
      </c>
      <c r="R1135" t="str">
        <f>IFERROR(VLOOKUP(C1135,Customers!$A$2:$F$301,1,FALSE),"")</f>
        <v>CUST-0131</v>
      </c>
      <c r="S1135" s="27" t="b">
        <f>IFERROR(VLOOKUP(D1135,Products!$A$2:$F$61,6,FALSE),"")</f>
        <v>1</v>
      </c>
      <c r="BL1135">
        <v>0</v>
      </c>
      <c r="BO1135">
        <v>0</v>
      </c>
      <c r="BP1135">
        <v>0</v>
      </c>
    </row>
    <row r="1136" spans="1:68" x14ac:dyDescent="0.35">
      <c r="A1136" s="26" t="str">
        <f>Orders!A1136</f>
        <v>ORD-01135</v>
      </c>
      <c r="B1136" s="33">
        <f>Orders!B1136</f>
        <v>45504</v>
      </c>
      <c r="C1136" t="str">
        <f>Orders!C1136</f>
        <v>CUST-0023</v>
      </c>
      <c r="D1136" t="str">
        <f>Orders!D1136</f>
        <v>PROD-001</v>
      </c>
      <c r="E1136" t="str">
        <f>Orders!E1136</f>
        <v>R016</v>
      </c>
      <c r="F1136">
        <f>Orders!F1136</f>
        <v>9</v>
      </c>
      <c r="G1136" s="35">
        <f>Orders!G1136</f>
        <v>5330</v>
      </c>
      <c r="H1136" s="37">
        <f>Orders!H1136</f>
        <v>16.5</v>
      </c>
      <c r="I1136" s="39">
        <f>Orders!I1136</f>
        <v>40054.949999999997</v>
      </c>
      <c r="J1136" t="str">
        <f>Orders!J1136</f>
        <v>Completed</v>
      </c>
      <c r="K1136" t="str">
        <f>Orders!K1136</f>
        <v>Chennai</v>
      </c>
      <c r="L1136" t="str">
        <f>IFERROR(VLOOKUP(D1136,Products!$A$2:$F$61,3,FALSE),"")</f>
        <v>Electronics</v>
      </c>
      <c r="M1136">
        <f>IFERROR(VLOOKUP(D1136,Products!$A$2:$F$61,4,FALSE),"")</f>
        <v>2405</v>
      </c>
      <c r="N1136" t="str">
        <f>IFERROR(VLOOKUP(E1136,Sales_Reps!$A$2:$E$31,3,FALSE),"")</f>
        <v>South</v>
      </c>
      <c r="O1136" t="str">
        <f>IFERROR(VLOOKUP(C1136,Customers!$A$2:$F$301,5,FALSE),"")</f>
        <v>SMB</v>
      </c>
      <c r="P1136">
        <f>IFERROR(VLOOKUP(C1136,Customers!$A$2:$F$301,3,FALSE),"")</f>
        <v>43</v>
      </c>
      <c r="Q1136" s="41">
        <f t="shared" si="26"/>
        <v>0.54878048780487809</v>
      </c>
      <c r="R1136" t="str">
        <f>IFERROR(VLOOKUP(C1136,Customers!$A$2:$F$301,1,FALSE),"")</f>
        <v>CUST-0023</v>
      </c>
      <c r="S1136" s="27" t="b">
        <f>IFERROR(VLOOKUP(D1136,Products!$A$2:$F$61,6,FALSE),"")</f>
        <v>1</v>
      </c>
      <c r="BL1136">
        <v>0</v>
      </c>
      <c r="BO1136">
        <v>0</v>
      </c>
      <c r="BP1136">
        <v>0</v>
      </c>
    </row>
    <row r="1137" spans="1:68" x14ac:dyDescent="0.35">
      <c r="A1137" s="26" t="str">
        <f>Orders!A1137</f>
        <v>ORD-01136</v>
      </c>
      <c r="B1137" s="33">
        <f>Orders!B1137</f>
        <v>45516</v>
      </c>
      <c r="C1137" t="str">
        <f>Orders!C1137</f>
        <v>CUST-0171</v>
      </c>
      <c r="D1137" t="str">
        <f>Orders!D1137</f>
        <v>PROD-002</v>
      </c>
      <c r="E1137" t="str">
        <f>Orders!E1137</f>
        <v>R007</v>
      </c>
      <c r="F1137">
        <f>Orders!F1137</f>
        <v>5</v>
      </c>
      <c r="G1137" s="35">
        <f>Orders!G1137</f>
        <v>2600</v>
      </c>
      <c r="H1137" s="37">
        <f>Orders!H1137</f>
        <v>0.3</v>
      </c>
      <c r="I1137" s="39">
        <f>Orders!I1137</f>
        <v>12961</v>
      </c>
      <c r="J1137" t="str">
        <f>Orders!J1137</f>
        <v>Completed</v>
      </c>
      <c r="K1137" t="str">
        <f>Orders!K1137</f>
        <v>Chennai</v>
      </c>
      <c r="L1137" t="str">
        <f>IFERROR(VLOOKUP(D1137,Products!$A$2:$F$61,3,FALSE),"")</f>
        <v>Electronics</v>
      </c>
      <c r="M1137">
        <f>IFERROR(VLOOKUP(D1137,Products!$A$2:$F$61,4,FALSE),"")</f>
        <v>1052</v>
      </c>
      <c r="N1137" t="str">
        <f>IFERROR(VLOOKUP(E1137,Sales_Reps!$A$2:$E$31,3,FALSE),"")</f>
        <v>North</v>
      </c>
      <c r="O1137" t="str">
        <f>IFERROR(VLOOKUP(C1137,Customers!$A$2:$F$301,5,FALSE),"")</f>
        <v>Corporate</v>
      </c>
      <c r="P1137">
        <f>IFERROR(VLOOKUP(C1137,Customers!$A$2:$F$301,3,FALSE),"")</f>
        <v>30</v>
      </c>
      <c r="Q1137" s="41">
        <f t="shared" si="26"/>
        <v>0.5953846153846154</v>
      </c>
      <c r="R1137" t="str">
        <f>IFERROR(VLOOKUP(C1137,Customers!$A$2:$F$301,1,FALSE),"")</f>
        <v>CUST-0171</v>
      </c>
      <c r="S1137" s="27" t="b">
        <f>IFERROR(VLOOKUP(D1137,Products!$A$2:$F$61,6,FALSE),"")</f>
        <v>1</v>
      </c>
      <c r="BL1137">
        <v>0.5</v>
      </c>
      <c r="BO1137">
        <v>0</v>
      </c>
      <c r="BP1137">
        <v>0</v>
      </c>
    </row>
    <row r="1138" spans="1:68" x14ac:dyDescent="0.35">
      <c r="A1138" s="26" t="str">
        <f>Orders!A1138</f>
        <v>ORD-01137</v>
      </c>
      <c r="B1138" s="33">
        <f>Orders!B1138</f>
        <v>45462</v>
      </c>
      <c r="C1138" t="str">
        <f>Orders!C1138</f>
        <v>CUST-0116</v>
      </c>
      <c r="D1138" t="str">
        <f>Orders!D1138</f>
        <v>PROD-034</v>
      </c>
      <c r="E1138" t="str">
        <f>Orders!E1138</f>
        <v>R018</v>
      </c>
      <c r="F1138">
        <f>Orders!F1138</f>
        <v>4</v>
      </c>
      <c r="G1138" s="35">
        <f>Orders!G1138</f>
        <v>5080</v>
      </c>
      <c r="H1138" s="37">
        <f>Orders!H1138</f>
        <v>13.8</v>
      </c>
      <c r="I1138" s="39">
        <f>Orders!I1138</f>
        <v>17515.84</v>
      </c>
      <c r="J1138" t="str">
        <f>Orders!J1138</f>
        <v>Pending</v>
      </c>
      <c r="K1138" t="str">
        <f>Orders!K1138</f>
        <v>Bengaluru</v>
      </c>
      <c r="L1138" t="str">
        <f>IFERROR(VLOOKUP(D1138,Products!$A$2:$F$61,3,FALSE),"")</f>
        <v>Home</v>
      </c>
      <c r="M1138">
        <f>IFERROR(VLOOKUP(D1138,Products!$A$2:$F$61,4,FALSE),"")</f>
        <v>2459</v>
      </c>
      <c r="N1138" t="str">
        <f>IFERROR(VLOOKUP(E1138,Sales_Reps!$A$2:$E$31,3,FALSE),"")</f>
        <v>East</v>
      </c>
      <c r="O1138" t="str">
        <f>IFERROR(VLOOKUP(C1138,Customers!$A$2:$F$301,5,FALSE),"")</f>
        <v>Retail</v>
      </c>
      <c r="P1138">
        <f>IFERROR(VLOOKUP(C1138,Customers!$A$2:$F$301,3,FALSE),"")</f>
        <v>53</v>
      </c>
      <c r="Q1138" s="41">
        <f t="shared" si="26"/>
        <v>0.51594488188976373</v>
      </c>
      <c r="R1138" t="str">
        <f>IFERROR(VLOOKUP(C1138,Customers!$A$2:$F$301,1,FALSE),"")</f>
        <v>CUST-0116</v>
      </c>
      <c r="S1138" s="27" t="b">
        <f>IFERROR(VLOOKUP(D1138,Products!$A$2:$F$61,6,FALSE),"")</f>
        <v>1</v>
      </c>
      <c r="BL1138">
        <v>0</v>
      </c>
      <c r="BO1138">
        <v>0</v>
      </c>
      <c r="BP1138">
        <v>0</v>
      </c>
    </row>
    <row r="1139" spans="1:68" x14ac:dyDescent="0.35">
      <c r="A1139" s="26" t="str">
        <f>Orders!A1139</f>
        <v>ORD-01138</v>
      </c>
      <c r="B1139" s="33">
        <f>Orders!B1139</f>
        <v>45597</v>
      </c>
      <c r="C1139" t="str">
        <f>Orders!C1139</f>
        <v>CUST-0021</v>
      </c>
      <c r="D1139" t="str">
        <f>Orders!D1139</f>
        <v>PROD-023</v>
      </c>
      <c r="E1139" t="str">
        <f>Orders!E1139</f>
        <v>R002</v>
      </c>
      <c r="F1139">
        <f>Orders!F1139</f>
        <v>7</v>
      </c>
      <c r="G1139" s="35">
        <f>Orders!G1139</f>
        <v>2380</v>
      </c>
      <c r="H1139" s="37">
        <f>Orders!H1139</f>
        <v>15.5</v>
      </c>
      <c r="I1139" s="39">
        <f>Orders!I1139</f>
        <v>14077.7</v>
      </c>
      <c r="J1139" t="str">
        <f>Orders!J1139</f>
        <v>Completed</v>
      </c>
      <c r="K1139" t="str">
        <f>Orders!K1139</f>
        <v>Pune</v>
      </c>
      <c r="L1139" t="str">
        <f>IFERROR(VLOOKUP(D1139,Products!$A$2:$F$61,3,FALSE),"")</f>
        <v>Grocery</v>
      </c>
      <c r="M1139">
        <f>IFERROR(VLOOKUP(D1139,Products!$A$2:$F$61,4,FALSE),"")</f>
        <v>1182</v>
      </c>
      <c r="N1139" t="str">
        <f>IFERROR(VLOOKUP(E1139,Sales_Reps!$A$2:$E$31,3,FALSE),"")</f>
        <v>North</v>
      </c>
      <c r="O1139" t="str">
        <f>IFERROR(VLOOKUP(C1139,Customers!$A$2:$F$301,5,FALSE),"")</f>
        <v>Retail</v>
      </c>
      <c r="P1139">
        <f>IFERROR(VLOOKUP(C1139,Customers!$A$2:$F$301,3,FALSE),"")</f>
        <v>44</v>
      </c>
      <c r="Q1139" s="41">
        <f t="shared" si="26"/>
        <v>0.50336134453781511</v>
      </c>
      <c r="R1139" t="str">
        <f>IFERROR(VLOOKUP(C1139,Customers!$A$2:$F$301,1,FALSE),"")</f>
        <v>CUST-0021</v>
      </c>
      <c r="S1139" s="27" t="b">
        <f>IFERROR(VLOOKUP(D1139,Products!$A$2:$F$61,6,FALSE),"")</f>
        <v>1</v>
      </c>
      <c r="BL1139">
        <v>0</v>
      </c>
      <c r="BO1139">
        <v>0</v>
      </c>
      <c r="BP1139">
        <v>0</v>
      </c>
    </row>
    <row r="1140" spans="1:68" x14ac:dyDescent="0.35">
      <c r="A1140" s="26" t="str">
        <f>Orders!A1140</f>
        <v>ORD-01139</v>
      </c>
      <c r="B1140" s="33">
        <f>Orders!B1140</f>
        <v>45648</v>
      </c>
      <c r="C1140" t="str">
        <f>Orders!C1140</f>
        <v>CUST-0234</v>
      </c>
      <c r="D1140" t="str">
        <f>Orders!D1140</f>
        <v>PROD-046</v>
      </c>
      <c r="E1140" t="str">
        <f>Orders!E1140</f>
        <v>R006</v>
      </c>
      <c r="F1140">
        <f>Orders!F1140</f>
        <v>3</v>
      </c>
      <c r="G1140" s="35">
        <f>Orders!G1140</f>
        <v>4880</v>
      </c>
      <c r="H1140" s="37">
        <f>Orders!H1140</f>
        <v>6.1</v>
      </c>
      <c r="I1140" s="39">
        <f>Orders!I1140</f>
        <v>13746.96</v>
      </c>
      <c r="J1140" t="str">
        <f>Orders!J1140</f>
        <v>Completed</v>
      </c>
      <c r="K1140" t="str">
        <f>Orders!K1140</f>
        <v>Bengaluru</v>
      </c>
      <c r="L1140" t="str">
        <f>IFERROR(VLOOKUP(D1140,Products!$A$2:$F$61,3,FALSE),"")</f>
        <v>Beauty</v>
      </c>
      <c r="M1140">
        <f>IFERROR(VLOOKUP(D1140,Products!$A$2:$F$61,4,FALSE),"")</f>
        <v>2768</v>
      </c>
      <c r="N1140" t="str">
        <f>IFERROR(VLOOKUP(E1140,Sales_Reps!$A$2:$E$31,3,FALSE),"")</f>
        <v>North</v>
      </c>
      <c r="O1140" t="str">
        <f>IFERROR(VLOOKUP(C1140,Customers!$A$2:$F$301,5,FALSE),"")</f>
        <v>Retail</v>
      </c>
      <c r="P1140">
        <f>IFERROR(VLOOKUP(C1140,Customers!$A$2:$F$301,3,FALSE),"")</f>
        <v>34</v>
      </c>
      <c r="Q1140" s="41">
        <f t="shared" si="26"/>
        <v>0.43278688524590164</v>
      </c>
      <c r="R1140" t="str">
        <f>IFERROR(VLOOKUP(C1140,Customers!$A$2:$F$301,1,FALSE),"")</f>
        <v>CUST-0234</v>
      </c>
      <c r="S1140" s="27" t="b">
        <f>IFERROR(VLOOKUP(D1140,Products!$A$2:$F$61,6,FALSE),"")</f>
        <v>1</v>
      </c>
      <c r="BL1140">
        <v>0</v>
      </c>
      <c r="BO1140">
        <v>0</v>
      </c>
      <c r="BP1140">
        <v>0</v>
      </c>
    </row>
    <row r="1141" spans="1:68" x14ac:dyDescent="0.35">
      <c r="A1141" s="26" t="str">
        <f>Orders!A1141</f>
        <v>ORD-01140</v>
      </c>
      <c r="B1141" s="33">
        <f>Orders!B1141</f>
        <v>45355</v>
      </c>
      <c r="C1141" t="str">
        <f>Orders!C1141</f>
        <v>CUST-0225</v>
      </c>
      <c r="D1141" t="str">
        <f>Orders!D1141</f>
        <v>PROD-043</v>
      </c>
      <c r="E1141" t="str">
        <f>Orders!E1141</f>
        <v>R009</v>
      </c>
      <c r="F1141">
        <f>Orders!F1141</f>
        <v>2</v>
      </c>
      <c r="G1141" s="35">
        <f>Orders!G1141</f>
        <v>3350</v>
      </c>
      <c r="H1141" s="37">
        <f>Orders!H1141</f>
        <v>17.2</v>
      </c>
      <c r="I1141" s="39">
        <f>Orders!I1141</f>
        <v>5547.6</v>
      </c>
      <c r="J1141" t="str">
        <f>Orders!J1141</f>
        <v>Completed</v>
      </c>
      <c r="K1141" t="str">
        <f>Orders!K1141</f>
        <v>Chennai</v>
      </c>
      <c r="L1141" t="str">
        <f>IFERROR(VLOOKUP(D1141,Products!$A$2:$F$61,3,FALSE),"")</f>
        <v>Beauty</v>
      </c>
      <c r="M1141">
        <f>IFERROR(VLOOKUP(D1141,Products!$A$2:$F$61,4,FALSE),"")</f>
        <v>1728</v>
      </c>
      <c r="N1141" t="str">
        <f>IFERROR(VLOOKUP(E1141,Sales_Reps!$A$2:$E$31,3,FALSE),"")</f>
        <v>South</v>
      </c>
      <c r="O1141" t="str">
        <f>IFERROR(VLOOKUP(C1141,Customers!$A$2:$F$301,5,FALSE),"")</f>
        <v>SMB</v>
      </c>
      <c r="P1141">
        <f>IFERROR(VLOOKUP(C1141,Customers!$A$2:$F$301,3,FALSE),"")</f>
        <v>26</v>
      </c>
      <c r="Q1141" s="41">
        <f t="shared" si="26"/>
        <v>0.48417910447761192</v>
      </c>
      <c r="R1141" t="str">
        <f>IFERROR(VLOOKUP(C1141,Customers!$A$2:$F$301,1,FALSE),"")</f>
        <v>CUST-0225</v>
      </c>
      <c r="S1141" s="27" t="b">
        <f>IFERROR(VLOOKUP(D1141,Products!$A$2:$F$61,6,FALSE),"")</f>
        <v>1</v>
      </c>
      <c r="BL1141">
        <v>0</v>
      </c>
      <c r="BO1141">
        <v>0</v>
      </c>
      <c r="BP1141">
        <v>0</v>
      </c>
    </row>
    <row r="1142" spans="1:68" x14ac:dyDescent="0.35">
      <c r="A1142" s="26" t="str">
        <f>Orders!A1142</f>
        <v>ORD-01141</v>
      </c>
      <c r="B1142" s="33">
        <f>Orders!B1142</f>
        <v>45331</v>
      </c>
      <c r="C1142" t="str">
        <f>Orders!C1142</f>
        <v>CUST-0268</v>
      </c>
      <c r="D1142" t="str">
        <f>Orders!D1142</f>
        <v>PROD-030</v>
      </c>
      <c r="E1142" t="str">
        <f>Orders!E1142</f>
        <v>R024</v>
      </c>
      <c r="F1142">
        <f>Orders!F1142</f>
        <v>5</v>
      </c>
      <c r="G1142" s="35">
        <f>Orders!G1142</f>
        <v>970</v>
      </c>
      <c r="H1142" s="37">
        <f>Orders!H1142</f>
        <v>23.6</v>
      </c>
      <c r="I1142" s="39">
        <f>Orders!I1142</f>
        <v>3705.4</v>
      </c>
      <c r="J1142" t="str">
        <f>Orders!J1142</f>
        <v>Completed</v>
      </c>
      <c r="K1142" t="str">
        <f>Orders!K1142</f>
        <v>Chennai</v>
      </c>
      <c r="L1142" t="str">
        <f>IFERROR(VLOOKUP(D1142,Products!$A$2:$F$61,3,FALSE),"")</f>
        <v>Grocery</v>
      </c>
      <c r="M1142">
        <f>IFERROR(VLOOKUP(D1142,Products!$A$2:$F$61,4,FALSE),"")</f>
        <v>434</v>
      </c>
      <c r="N1142" t="str">
        <f>IFERROR(VLOOKUP(E1142,Sales_Reps!$A$2:$E$31,3,FALSE),"")</f>
        <v>West</v>
      </c>
      <c r="O1142" t="str">
        <f>IFERROR(VLOOKUP(C1142,Customers!$A$2:$F$301,5,FALSE),"")</f>
        <v>Retail</v>
      </c>
      <c r="P1142">
        <f>IFERROR(VLOOKUP(C1142,Customers!$A$2:$F$301,3,FALSE),"")</f>
        <v>35</v>
      </c>
      <c r="Q1142" s="41">
        <f t="shared" si="26"/>
        <v>0.5525773195876289</v>
      </c>
      <c r="R1142" t="str">
        <f>IFERROR(VLOOKUP(C1142,Customers!$A$2:$F$301,1,FALSE),"")</f>
        <v>CUST-0268</v>
      </c>
      <c r="S1142" s="27" t="b">
        <f>IFERROR(VLOOKUP(D1142,Products!$A$2:$F$61,6,FALSE),"")</f>
        <v>1</v>
      </c>
      <c r="BL1142">
        <v>0</v>
      </c>
      <c r="BO1142">
        <v>0</v>
      </c>
      <c r="BP1142">
        <v>0</v>
      </c>
    </row>
    <row r="1143" spans="1:68" x14ac:dyDescent="0.35">
      <c r="A1143" s="26" t="str">
        <f>Orders!A1143</f>
        <v>ORD-01142</v>
      </c>
      <c r="B1143" s="33">
        <f>Orders!B1143</f>
        <v>45632</v>
      </c>
      <c r="C1143" t="str">
        <f>Orders!C1143</f>
        <v>CUST-0248</v>
      </c>
      <c r="D1143" t="str">
        <f>Orders!D1143</f>
        <v>PROD-005</v>
      </c>
      <c r="E1143" t="str">
        <f>Orders!E1143</f>
        <v>R022</v>
      </c>
      <c r="F1143">
        <f>Orders!F1143</f>
        <v>5</v>
      </c>
      <c r="G1143" s="35">
        <f>Orders!G1143</f>
        <v>300</v>
      </c>
      <c r="H1143" s="37">
        <f>Orders!H1143</f>
        <v>3.8</v>
      </c>
      <c r="I1143" s="39">
        <f>Orders!I1143</f>
        <v>1443</v>
      </c>
      <c r="J1143" t="str">
        <f>Orders!J1143</f>
        <v>Completed</v>
      </c>
      <c r="K1143" t="str">
        <f>Orders!K1143</f>
        <v>Chennai</v>
      </c>
      <c r="L1143" t="str">
        <f>IFERROR(VLOOKUP(D1143,Products!$A$2:$F$61,3,FALSE),"")</f>
        <v>Electronics</v>
      </c>
      <c r="M1143">
        <f>IFERROR(VLOOKUP(D1143,Products!$A$2:$F$61,4,FALSE),"")</f>
        <v>128</v>
      </c>
      <c r="N1143" t="str">
        <f>IFERROR(VLOOKUP(E1143,Sales_Reps!$A$2:$E$31,3,FALSE),"")</f>
        <v>East</v>
      </c>
      <c r="O1143" t="str">
        <f>IFERROR(VLOOKUP(C1143,Customers!$A$2:$F$301,5,FALSE),"")</f>
        <v>SMB</v>
      </c>
      <c r="P1143">
        <f>IFERROR(VLOOKUP(C1143,Customers!$A$2:$F$301,3,FALSE),"")</f>
        <v>57</v>
      </c>
      <c r="Q1143" s="41">
        <f t="shared" si="26"/>
        <v>0.57333333333333336</v>
      </c>
      <c r="R1143" t="str">
        <f>IFERROR(VLOOKUP(C1143,Customers!$A$2:$F$301,1,FALSE),"")</f>
        <v>CUST-0248</v>
      </c>
      <c r="S1143" s="27" t="b">
        <f>IFERROR(VLOOKUP(D1143,Products!$A$2:$F$61,6,FALSE),"")</f>
        <v>1</v>
      </c>
      <c r="BL1143">
        <v>0</v>
      </c>
      <c r="BO1143">
        <v>0</v>
      </c>
      <c r="BP1143">
        <v>0</v>
      </c>
    </row>
    <row r="1144" spans="1:68" x14ac:dyDescent="0.35">
      <c r="A1144" s="26" t="str">
        <f>Orders!A1144</f>
        <v>ORD-01143</v>
      </c>
      <c r="B1144" s="33">
        <f>Orders!B1144</f>
        <v>45358</v>
      </c>
      <c r="C1144" t="str">
        <f>Orders!C1144</f>
        <v>CUST-0026</v>
      </c>
      <c r="D1144" t="str">
        <f>Orders!D1144</f>
        <v>PROD-006</v>
      </c>
      <c r="E1144" t="str">
        <f>Orders!E1144</f>
        <v>R005</v>
      </c>
      <c r="F1144">
        <f>Orders!F1144</f>
        <v>9</v>
      </c>
      <c r="G1144" s="35">
        <f>Orders!G1144</f>
        <v>3970</v>
      </c>
      <c r="H1144" s="37">
        <f>Orders!H1144</f>
        <v>0.8</v>
      </c>
      <c r="I1144" s="39">
        <f>Orders!I1144</f>
        <v>35444.160000000003</v>
      </c>
      <c r="J1144" t="str">
        <f>Orders!J1144</f>
        <v>Completed</v>
      </c>
      <c r="K1144" t="str">
        <f>Orders!K1144</f>
        <v>Pune</v>
      </c>
      <c r="L1144" t="str">
        <f>IFERROR(VLOOKUP(D1144,Products!$A$2:$F$61,3,FALSE),"")</f>
        <v>Electronics</v>
      </c>
      <c r="M1144">
        <f>IFERROR(VLOOKUP(D1144,Products!$A$2:$F$61,4,FALSE),"")</f>
        <v>2865</v>
      </c>
      <c r="N1144" t="str">
        <f>IFERROR(VLOOKUP(E1144,Sales_Reps!$A$2:$E$31,3,FALSE),"")</f>
        <v>North</v>
      </c>
      <c r="O1144" t="str">
        <f>IFERROR(VLOOKUP(C1144,Customers!$A$2:$F$301,5,FALSE),"")</f>
        <v>Retail</v>
      </c>
      <c r="P1144">
        <f>IFERROR(VLOOKUP(C1144,Customers!$A$2:$F$301,3,FALSE),"")</f>
        <v>62</v>
      </c>
      <c r="Q1144" s="41">
        <f t="shared" si="26"/>
        <v>0.27833753148614609</v>
      </c>
      <c r="R1144" t="str">
        <f>IFERROR(VLOOKUP(C1144,Customers!$A$2:$F$301,1,FALSE),"")</f>
        <v>CUST-0026</v>
      </c>
      <c r="S1144" s="27" t="b">
        <f>IFERROR(VLOOKUP(D1144,Products!$A$2:$F$61,6,FALSE),"")</f>
        <v>1</v>
      </c>
      <c r="BL1144">
        <v>0</v>
      </c>
      <c r="BO1144">
        <v>0</v>
      </c>
      <c r="BP1144">
        <v>0</v>
      </c>
    </row>
    <row r="1145" spans="1:68" x14ac:dyDescent="0.35">
      <c r="A1145" s="26" t="str">
        <f>Orders!A1145</f>
        <v>ORD-01144</v>
      </c>
      <c r="B1145" s="33">
        <f>Orders!B1145</f>
        <v>45440</v>
      </c>
      <c r="C1145" t="str">
        <f>Orders!C1145</f>
        <v>CUST-0257</v>
      </c>
      <c r="D1145" t="str">
        <f>Orders!D1145</f>
        <v>PROD-015</v>
      </c>
      <c r="E1145" t="str">
        <f>Orders!E1145</f>
        <v>R013</v>
      </c>
      <c r="F1145">
        <f>Orders!F1145</f>
        <v>4</v>
      </c>
      <c r="G1145" s="35">
        <f>Orders!G1145</f>
        <v>2720</v>
      </c>
      <c r="H1145" s="37">
        <f>Orders!H1145</f>
        <v>12.7</v>
      </c>
      <c r="I1145" s="39">
        <f>Orders!I1145</f>
        <v>9498.24</v>
      </c>
      <c r="J1145" t="str">
        <f>Orders!J1145</f>
        <v>Completed</v>
      </c>
      <c r="K1145" t="str">
        <f>Orders!K1145</f>
        <v>Mumbai</v>
      </c>
      <c r="L1145" t="str">
        <f>IFERROR(VLOOKUP(D1145,Products!$A$2:$F$61,3,FALSE),"")</f>
        <v>Apparel</v>
      </c>
      <c r="M1145">
        <f>IFERROR(VLOOKUP(D1145,Products!$A$2:$F$61,4,FALSE),"")</f>
        <v>1962</v>
      </c>
      <c r="N1145" t="str">
        <f>IFERROR(VLOOKUP(E1145,Sales_Reps!$A$2:$E$31,3,FALSE),"")</f>
        <v>South</v>
      </c>
      <c r="O1145" t="str">
        <f>IFERROR(VLOOKUP(C1145,Customers!$A$2:$F$301,5,FALSE),"")</f>
        <v>Corporate</v>
      </c>
      <c r="P1145">
        <f>IFERROR(VLOOKUP(C1145,Customers!$A$2:$F$301,3,FALSE),"")</f>
        <v>46</v>
      </c>
      <c r="Q1145" s="41">
        <f t="shared" si="26"/>
        <v>0.2786764705882353</v>
      </c>
      <c r="R1145" t="str">
        <f>IFERROR(VLOOKUP(C1145,Customers!$A$2:$F$301,1,FALSE),"")</f>
        <v>CUST-0257</v>
      </c>
      <c r="S1145" s="27" t="b">
        <f>IFERROR(VLOOKUP(D1145,Products!$A$2:$F$61,6,FALSE),"")</f>
        <v>1</v>
      </c>
      <c r="BL1145">
        <v>0</v>
      </c>
      <c r="BO1145">
        <v>0</v>
      </c>
      <c r="BP1145">
        <v>0</v>
      </c>
    </row>
    <row r="1146" spans="1:68" x14ac:dyDescent="0.35">
      <c r="A1146" s="26" t="str">
        <f>Orders!A1146</f>
        <v>ORD-01145</v>
      </c>
      <c r="B1146" s="33">
        <f>Orders!B1146</f>
        <v>45412</v>
      </c>
      <c r="C1146" t="str">
        <f>Orders!C1146</f>
        <v>CUST-0258</v>
      </c>
      <c r="D1146" t="str">
        <f>Orders!D1146</f>
        <v>PROD-016</v>
      </c>
      <c r="E1146" t="str">
        <f>Orders!E1146</f>
        <v>R021</v>
      </c>
      <c r="F1146">
        <f>Orders!F1146</f>
        <v>3</v>
      </c>
      <c r="G1146" s="35">
        <f>Orders!G1146</f>
        <v>620</v>
      </c>
      <c r="H1146" s="37">
        <f>Orders!H1146</f>
        <v>5.5</v>
      </c>
      <c r="I1146" s="39">
        <f>Orders!I1146</f>
        <v>1757.7</v>
      </c>
      <c r="J1146" t="str">
        <f>Orders!J1146</f>
        <v>Completed</v>
      </c>
      <c r="K1146" t="str">
        <f>Orders!K1146</f>
        <v>Pune</v>
      </c>
      <c r="L1146" t="str">
        <f>IFERROR(VLOOKUP(D1146,Products!$A$2:$F$61,3,FALSE),"")</f>
        <v>Apparel</v>
      </c>
      <c r="M1146">
        <f>IFERROR(VLOOKUP(D1146,Products!$A$2:$F$61,4,FALSE),"")</f>
        <v>396</v>
      </c>
      <c r="N1146" t="str">
        <f>IFERROR(VLOOKUP(E1146,Sales_Reps!$A$2:$E$31,3,FALSE),"")</f>
        <v>East</v>
      </c>
      <c r="O1146" t="str">
        <f>IFERROR(VLOOKUP(C1146,Customers!$A$2:$F$301,5,FALSE),"")</f>
        <v>Retail</v>
      </c>
      <c r="P1146">
        <f>IFERROR(VLOOKUP(C1146,Customers!$A$2:$F$301,3,FALSE),"")</f>
        <v>44</v>
      </c>
      <c r="Q1146" s="41">
        <f t="shared" si="26"/>
        <v>0.36129032258064514</v>
      </c>
      <c r="R1146" t="str">
        <f>IFERROR(VLOOKUP(C1146,Customers!$A$2:$F$301,1,FALSE),"")</f>
        <v>CUST-0258</v>
      </c>
      <c r="S1146" s="27" t="b">
        <f>IFERROR(VLOOKUP(D1146,Products!$A$2:$F$61,6,FALSE),"")</f>
        <v>1</v>
      </c>
      <c r="BL1146">
        <v>0</v>
      </c>
      <c r="BO1146">
        <v>0</v>
      </c>
      <c r="BP1146">
        <v>0</v>
      </c>
    </row>
    <row r="1147" spans="1:68" x14ac:dyDescent="0.35">
      <c r="A1147" s="26" t="str">
        <f>Orders!A1147</f>
        <v>ORD-01146</v>
      </c>
      <c r="B1147" s="33">
        <f>Orders!B1147</f>
        <v>45479</v>
      </c>
      <c r="C1147" t="str">
        <f>Orders!C1147</f>
        <v>CUST-0142</v>
      </c>
      <c r="D1147" t="str">
        <f>Orders!D1147</f>
        <v>PROD-041</v>
      </c>
      <c r="E1147" t="str">
        <f>Orders!E1147</f>
        <v>R024</v>
      </c>
      <c r="F1147">
        <f>Orders!F1147</f>
        <v>2</v>
      </c>
      <c r="G1147" s="35">
        <f>Orders!G1147</f>
        <v>1540</v>
      </c>
      <c r="H1147" s="37">
        <f>Orders!H1147</f>
        <v>2.2000000000000002</v>
      </c>
      <c r="I1147" s="39">
        <f>Orders!I1147</f>
        <v>3012.24</v>
      </c>
      <c r="J1147" t="str">
        <f>Orders!J1147</f>
        <v>Pending</v>
      </c>
      <c r="K1147" t="str">
        <f>Orders!K1147</f>
        <v>Chennai</v>
      </c>
      <c r="L1147" t="str">
        <f>IFERROR(VLOOKUP(D1147,Products!$A$2:$F$61,3,FALSE),"")</f>
        <v>Beauty</v>
      </c>
      <c r="M1147">
        <f>IFERROR(VLOOKUP(D1147,Products!$A$2:$F$61,4,FALSE),"")</f>
        <v>647</v>
      </c>
      <c r="N1147" t="str">
        <f>IFERROR(VLOOKUP(E1147,Sales_Reps!$A$2:$E$31,3,FALSE),"")</f>
        <v>West</v>
      </c>
      <c r="O1147" t="str">
        <f>IFERROR(VLOOKUP(C1147,Customers!$A$2:$F$301,5,FALSE),"")</f>
        <v>Corporate</v>
      </c>
      <c r="P1147">
        <f>IFERROR(VLOOKUP(C1147,Customers!$A$2:$F$301,3,FALSE),"")</f>
        <v>55</v>
      </c>
      <c r="Q1147" s="41">
        <f t="shared" si="26"/>
        <v>0.57987012987012987</v>
      </c>
      <c r="R1147" t="str">
        <f>IFERROR(VLOOKUP(C1147,Customers!$A$2:$F$301,1,FALSE),"")</f>
        <v>CUST-0142</v>
      </c>
      <c r="S1147" s="27" t="b">
        <f>IFERROR(VLOOKUP(D1147,Products!$A$2:$F$61,6,FALSE),"")</f>
        <v>0</v>
      </c>
      <c r="BL1147">
        <v>0</v>
      </c>
      <c r="BO1147">
        <v>0</v>
      </c>
      <c r="BP1147">
        <v>1</v>
      </c>
    </row>
    <row r="1148" spans="1:68" x14ac:dyDescent="0.35">
      <c r="A1148" s="26" t="str">
        <f>Orders!A1148</f>
        <v>ORD-01147</v>
      </c>
      <c r="B1148" s="33">
        <f>Orders!B1148</f>
        <v>45534</v>
      </c>
      <c r="C1148" t="str">
        <f>Orders!C1148</f>
        <v>CUST-0020</v>
      </c>
      <c r="D1148" t="str">
        <f>Orders!D1148</f>
        <v>PROD-042</v>
      </c>
      <c r="E1148" t="str">
        <f>Orders!E1148</f>
        <v>R026</v>
      </c>
      <c r="F1148">
        <f>Orders!F1148</f>
        <v>1</v>
      </c>
      <c r="G1148" s="35">
        <f>Orders!G1148</f>
        <v>2290</v>
      </c>
      <c r="H1148" s="37">
        <f>Orders!H1148</f>
        <v>24.4</v>
      </c>
      <c r="I1148" s="39">
        <f>Orders!I1148</f>
        <v>1731.24</v>
      </c>
      <c r="J1148" t="str">
        <f>Orders!J1148</f>
        <v>Cancelled</v>
      </c>
      <c r="K1148" t="str">
        <f>Orders!K1148</f>
        <v>Hyderabad</v>
      </c>
      <c r="L1148" t="str">
        <f>IFERROR(VLOOKUP(D1148,Products!$A$2:$F$61,3,FALSE),"")</f>
        <v>Beauty</v>
      </c>
      <c r="M1148">
        <f>IFERROR(VLOOKUP(D1148,Products!$A$2:$F$61,4,FALSE),"")</f>
        <v>1219</v>
      </c>
      <c r="N1148" t="str">
        <f>IFERROR(VLOOKUP(E1148,Sales_Reps!$A$2:$E$31,3,FALSE),"")</f>
        <v>West</v>
      </c>
      <c r="O1148" t="str">
        <f>IFERROR(VLOOKUP(C1148,Customers!$A$2:$F$301,5,FALSE),"")</f>
        <v>Retail</v>
      </c>
      <c r="P1148">
        <f>IFERROR(VLOOKUP(C1148,Customers!$A$2:$F$301,3,FALSE),"")</f>
        <v>46</v>
      </c>
      <c r="Q1148" s="41">
        <f t="shared" si="26"/>
        <v>0.46768558951965067</v>
      </c>
      <c r="R1148" t="str">
        <f>IFERROR(VLOOKUP(C1148,Customers!$A$2:$F$301,1,FALSE),"")</f>
        <v>CUST-0020</v>
      </c>
      <c r="S1148" s="27" t="b">
        <f>IFERROR(VLOOKUP(D1148,Products!$A$2:$F$61,6,FALSE),"")</f>
        <v>1</v>
      </c>
      <c r="BL1148">
        <v>0</v>
      </c>
      <c r="BO1148">
        <v>0</v>
      </c>
      <c r="BP1148">
        <v>0</v>
      </c>
    </row>
    <row r="1149" spans="1:68" x14ac:dyDescent="0.35">
      <c r="A1149" s="26" t="str">
        <f>Orders!A1149</f>
        <v>ORD-01148</v>
      </c>
      <c r="B1149" s="33">
        <f>Orders!B1149</f>
        <v>45313</v>
      </c>
      <c r="C1149" t="str">
        <f>Orders!C1149</f>
        <v>CUST-0016</v>
      </c>
      <c r="D1149" t="str">
        <f>Orders!D1149</f>
        <v>PROD-015</v>
      </c>
      <c r="E1149" t="str">
        <f>Orders!E1149</f>
        <v>R018</v>
      </c>
      <c r="F1149">
        <f>Orders!F1149</f>
        <v>8</v>
      </c>
      <c r="G1149" s="35">
        <f>Orders!G1149</f>
        <v>2720</v>
      </c>
      <c r="H1149" s="37">
        <f>Orders!H1149</f>
        <v>1.7</v>
      </c>
      <c r="I1149" s="39">
        <f>Orders!I1149</f>
        <v>21390.080000000002</v>
      </c>
      <c r="J1149" t="str">
        <f>Orders!J1149</f>
        <v>Completed</v>
      </c>
      <c r="K1149" t="str">
        <f>Orders!K1149</f>
        <v>Delhi</v>
      </c>
      <c r="L1149" t="str">
        <f>IFERROR(VLOOKUP(D1149,Products!$A$2:$F$61,3,FALSE),"")</f>
        <v>Apparel</v>
      </c>
      <c r="M1149">
        <f>IFERROR(VLOOKUP(D1149,Products!$A$2:$F$61,4,FALSE),"")</f>
        <v>1962</v>
      </c>
      <c r="N1149" t="str">
        <f>IFERROR(VLOOKUP(E1149,Sales_Reps!$A$2:$E$31,3,FALSE),"")</f>
        <v>East</v>
      </c>
      <c r="O1149" t="str">
        <f>IFERROR(VLOOKUP(C1149,Customers!$A$2:$F$301,5,FALSE),"")</f>
        <v>SMB</v>
      </c>
      <c r="P1149">
        <f>IFERROR(VLOOKUP(C1149,Customers!$A$2:$F$301,3,FALSE),"")</f>
        <v>26</v>
      </c>
      <c r="Q1149" s="41">
        <f t="shared" si="26"/>
        <v>0.2786764705882353</v>
      </c>
      <c r="R1149" t="str">
        <f>IFERROR(VLOOKUP(C1149,Customers!$A$2:$F$301,1,FALSE),"")</f>
        <v>CUST-0016</v>
      </c>
      <c r="S1149" s="27" t="b">
        <f>IFERROR(VLOOKUP(D1149,Products!$A$2:$F$61,6,FALSE),"")</f>
        <v>1</v>
      </c>
      <c r="BL1149">
        <v>0</v>
      </c>
      <c r="BO1149">
        <v>0</v>
      </c>
      <c r="BP1149">
        <v>0</v>
      </c>
    </row>
    <row r="1150" spans="1:68" x14ac:dyDescent="0.35">
      <c r="A1150" s="26" t="str">
        <f>Orders!A1150</f>
        <v>ORD-01149</v>
      </c>
      <c r="B1150" s="33">
        <f>Orders!B1150</f>
        <v>45390</v>
      </c>
      <c r="C1150" t="str">
        <f>Orders!C1150</f>
        <v>CUST-0288</v>
      </c>
      <c r="D1150" t="str">
        <f>Orders!D1150</f>
        <v>PROD-025</v>
      </c>
      <c r="E1150" t="str">
        <f>Orders!E1150</f>
        <v>R023</v>
      </c>
      <c r="F1150">
        <f>Orders!F1150</f>
        <v>4</v>
      </c>
      <c r="G1150" s="35">
        <f>Orders!G1150</f>
        <v>4060</v>
      </c>
      <c r="H1150" s="37">
        <f>Orders!H1150</f>
        <v>19.600000000000001</v>
      </c>
      <c r="I1150" s="39">
        <f>Orders!I1150</f>
        <v>13056.96</v>
      </c>
      <c r="J1150" t="str">
        <f>Orders!J1150</f>
        <v>Cancelled</v>
      </c>
      <c r="K1150" t="str">
        <f>Orders!K1150</f>
        <v>Hyderabad</v>
      </c>
      <c r="L1150" t="str">
        <f>IFERROR(VLOOKUP(D1150,Products!$A$2:$F$61,3,FALSE),"")</f>
        <v>Grocery</v>
      </c>
      <c r="M1150">
        <f>IFERROR(VLOOKUP(D1150,Products!$A$2:$F$61,4,FALSE),"")</f>
        <v>2911</v>
      </c>
      <c r="N1150" t="str">
        <f>IFERROR(VLOOKUP(E1150,Sales_Reps!$A$2:$E$31,3,FALSE),"")</f>
        <v>East</v>
      </c>
      <c r="O1150" t="str">
        <f>IFERROR(VLOOKUP(C1150,Customers!$A$2:$F$301,5,FALSE),"")</f>
        <v>Corporate</v>
      </c>
      <c r="P1150">
        <f>IFERROR(VLOOKUP(C1150,Customers!$A$2:$F$301,3,FALSE),"")</f>
        <v>25</v>
      </c>
      <c r="Q1150" s="41">
        <f t="shared" si="26"/>
        <v>0.28300492610837441</v>
      </c>
      <c r="R1150" t="str">
        <f>IFERROR(VLOOKUP(C1150,Customers!$A$2:$F$301,1,FALSE),"")</f>
        <v>CUST-0288</v>
      </c>
      <c r="S1150" s="27" t="b">
        <f>IFERROR(VLOOKUP(D1150,Products!$A$2:$F$61,6,FALSE),"")</f>
        <v>1</v>
      </c>
      <c r="BL1150">
        <v>0</v>
      </c>
      <c r="BO1150">
        <v>0</v>
      </c>
      <c r="BP1150">
        <v>0</v>
      </c>
    </row>
    <row r="1151" spans="1:68" x14ac:dyDescent="0.35">
      <c r="A1151" s="26" t="str">
        <f>Orders!A1151</f>
        <v>ORD-01150</v>
      </c>
      <c r="B1151" s="33">
        <f>Orders!B1151</f>
        <v>45370</v>
      </c>
      <c r="C1151" t="str">
        <f>Orders!C1151</f>
        <v>CUST-0133</v>
      </c>
      <c r="D1151" t="str">
        <f>Orders!D1151</f>
        <v>PROD-003</v>
      </c>
      <c r="E1151" t="str">
        <f>Orders!E1151</f>
        <v>R016</v>
      </c>
      <c r="F1151">
        <f>Orders!F1151</f>
        <v>8</v>
      </c>
      <c r="G1151" s="35">
        <f>Orders!G1151</f>
        <v>3570</v>
      </c>
      <c r="H1151" s="37">
        <f>Orders!H1151</f>
        <v>10.8</v>
      </c>
      <c r="I1151" s="39">
        <f>Orders!I1151</f>
        <v>25475.52</v>
      </c>
      <c r="J1151" t="str">
        <f>Orders!J1151</f>
        <v>Completed</v>
      </c>
      <c r="K1151" t="str">
        <f>Orders!K1151</f>
        <v>Chennai</v>
      </c>
      <c r="L1151" t="str">
        <f>IFERROR(VLOOKUP(D1151,Products!$A$2:$F$61,3,FALSE),"")</f>
        <v>Electronics</v>
      </c>
      <c r="M1151">
        <f>IFERROR(VLOOKUP(D1151,Products!$A$2:$F$61,4,FALSE),"")</f>
        <v>1665</v>
      </c>
      <c r="N1151" t="str">
        <f>IFERROR(VLOOKUP(E1151,Sales_Reps!$A$2:$E$31,3,FALSE),"")</f>
        <v>South</v>
      </c>
      <c r="O1151" t="str">
        <f>IFERROR(VLOOKUP(C1151,Customers!$A$2:$F$301,5,FALSE),"")</f>
        <v>Retail</v>
      </c>
      <c r="P1151">
        <f>IFERROR(VLOOKUP(C1151,Customers!$A$2:$F$301,3,FALSE),"")</f>
        <v>26</v>
      </c>
      <c r="Q1151" s="41">
        <f t="shared" si="26"/>
        <v>0.53361344537815125</v>
      </c>
      <c r="R1151" t="str">
        <f>IFERROR(VLOOKUP(C1151,Customers!$A$2:$F$301,1,FALSE),"")</f>
        <v>CUST-0133</v>
      </c>
      <c r="S1151" s="27" t="b">
        <f>IFERROR(VLOOKUP(D1151,Products!$A$2:$F$61,6,FALSE),"")</f>
        <v>1</v>
      </c>
      <c r="BL1151">
        <v>0</v>
      </c>
      <c r="BO1151">
        <v>0</v>
      </c>
      <c r="BP1151">
        <v>0</v>
      </c>
    </row>
    <row r="1152" spans="1:68" x14ac:dyDescent="0.35">
      <c r="A1152" s="26" t="str">
        <f>Orders!A1152</f>
        <v>ORD-01151</v>
      </c>
      <c r="B1152" s="33">
        <f>Orders!B1152</f>
        <v>45324</v>
      </c>
      <c r="C1152" t="str">
        <f>Orders!C1152</f>
        <v>CUST-0192</v>
      </c>
      <c r="D1152" t="str">
        <f>Orders!D1152</f>
        <v>PROD-051</v>
      </c>
      <c r="E1152" t="str">
        <f>Orders!E1152</f>
        <v>R004</v>
      </c>
      <c r="F1152">
        <f>Orders!F1152</f>
        <v>10</v>
      </c>
      <c r="G1152" s="35">
        <f>Orders!G1152</f>
        <v>3450</v>
      </c>
      <c r="H1152" s="37">
        <f>Orders!H1152</f>
        <v>13.5</v>
      </c>
      <c r="I1152" s="39">
        <f>Orders!I1152</f>
        <v>29842.5</v>
      </c>
      <c r="J1152" t="str">
        <f>Orders!J1152</f>
        <v>Pending</v>
      </c>
      <c r="K1152" t="str">
        <f>Orders!K1152</f>
        <v>Bengaluru</v>
      </c>
      <c r="L1152" t="str">
        <f>IFERROR(VLOOKUP(D1152,Products!$A$2:$F$61,3,FALSE),"")</f>
        <v>Sports</v>
      </c>
      <c r="M1152">
        <f>IFERROR(VLOOKUP(D1152,Products!$A$2:$F$61,4,FALSE),"")</f>
        <v>2467</v>
      </c>
      <c r="N1152" t="str">
        <f>IFERROR(VLOOKUP(E1152,Sales_Reps!$A$2:$E$31,3,FALSE),"")</f>
        <v>North</v>
      </c>
      <c r="O1152" t="str">
        <f>IFERROR(VLOOKUP(C1152,Customers!$A$2:$F$301,5,FALSE),"")</f>
        <v>Retail</v>
      </c>
      <c r="P1152">
        <f>IFERROR(VLOOKUP(C1152,Customers!$A$2:$F$301,3,FALSE),"")</f>
        <v>55</v>
      </c>
      <c r="Q1152" s="41">
        <f t="shared" si="26"/>
        <v>0.28492753623188405</v>
      </c>
      <c r="R1152" t="str">
        <f>IFERROR(VLOOKUP(C1152,Customers!$A$2:$F$301,1,FALSE),"")</f>
        <v>CUST-0192</v>
      </c>
      <c r="S1152" s="27" t="b">
        <f>IFERROR(VLOOKUP(D1152,Products!$A$2:$F$61,6,FALSE),"")</f>
        <v>1</v>
      </c>
      <c r="BL1152">
        <v>0</v>
      </c>
      <c r="BO1152">
        <v>0</v>
      </c>
      <c r="BP1152">
        <v>0</v>
      </c>
    </row>
    <row r="1153" spans="1:68" x14ac:dyDescent="0.35">
      <c r="A1153" s="26" t="str">
        <f>Orders!A1153</f>
        <v>ORD-01152</v>
      </c>
      <c r="B1153" s="33">
        <f>Orders!B1153</f>
        <v>45469</v>
      </c>
      <c r="C1153" t="str">
        <f>Orders!C1153</f>
        <v>CUST-0298</v>
      </c>
      <c r="D1153" t="str">
        <f>Orders!D1153</f>
        <v>PROD-010</v>
      </c>
      <c r="E1153" t="str">
        <f>Orders!E1153</f>
        <v>R007</v>
      </c>
      <c r="F1153">
        <f>Orders!F1153</f>
        <v>10</v>
      </c>
      <c r="G1153" s="35">
        <f>Orders!G1153</f>
        <v>2640</v>
      </c>
      <c r="H1153" s="37">
        <f>Orders!H1153</f>
        <v>29.8</v>
      </c>
      <c r="I1153" s="39">
        <f>Orders!I1153</f>
        <v>18532.8</v>
      </c>
      <c r="J1153" t="str">
        <f>Orders!J1153</f>
        <v>Completed</v>
      </c>
      <c r="K1153" t="str">
        <f>Orders!K1153</f>
        <v>Delhi</v>
      </c>
      <c r="L1153" t="str">
        <f>IFERROR(VLOOKUP(D1153,Products!$A$2:$F$61,3,FALSE),"")</f>
        <v>Electronics</v>
      </c>
      <c r="M1153">
        <f>IFERROR(VLOOKUP(D1153,Products!$A$2:$F$61,4,FALSE),"")</f>
        <v>1149</v>
      </c>
      <c r="N1153" t="str">
        <f>IFERROR(VLOOKUP(E1153,Sales_Reps!$A$2:$E$31,3,FALSE),"")</f>
        <v>North</v>
      </c>
      <c r="O1153" t="str">
        <f>IFERROR(VLOOKUP(C1153,Customers!$A$2:$F$301,5,FALSE),"")</f>
        <v>Retail</v>
      </c>
      <c r="P1153">
        <f>IFERROR(VLOOKUP(C1153,Customers!$A$2:$F$301,3,FALSE),"")</f>
        <v>44</v>
      </c>
      <c r="Q1153" s="41">
        <f t="shared" si="26"/>
        <v>0.56477272727272732</v>
      </c>
      <c r="R1153" t="str">
        <f>IFERROR(VLOOKUP(C1153,Customers!$A$2:$F$301,1,FALSE),"")</f>
        <v>CUST-0298</v>
      </c>
      <c r="S1153" s="27" t="b">
        <f>IFERROR(VLOOKUP(D1153,Products!$A$2:$F$61,6,FALSE),"")</f>
        <v>1</v>
      </c>
      <c r="BL1153">
        <v>0</v>
      </c>
      <c r="BO1153">
        <v>0</v>
      </c>
      <c r="BP1153">
        <v>0</v>
      </c>
    </row>
    <row r="1154" spans="1:68" x14ac:dyDescent="0.35">
      <c r="A1154" s="26" t="str">
        <f>Orders!A1154</f>
        <v>ORD-01153</v>
      </c>
      <c r="B1154" s="33">
        <f>Orders!B1154</f>
        <v>45619</v>
      </c>
      <c r="C1154" t="str">
        <f>Orders!C1154</f>
        <v>CUST-0088</v>
      </c>
      <c r="D1154" t="str">
        <f>Orders!D1154</f>
        <v>PROD-032</v>
      </c>
      <c r="E1154" t="str">
        <f>Orders!E1154</f>
        <v>R009</v>
      </c>
      <c r="F1154">
        <f>Orders!F1154</f>
        <v>3</v>
      </c>
      <c r="G1154" s="35">
        <f>Orders!G1154</f>
        <v>370</v>
      </c>
      <c r="H1154" s="37">
        <f>Orders!H1154</f>
        <v>25.5</v>
      </c>
      <c r="I1154" s="39">
        <f>Orders!I1154</f>
        <v>826.95</v>
      </c>
      <c r="J1154" t="str">
        <f>Orders!J1154</f>
        <v>Completed</v>
      </c>
      <c r="K1154" t="str">
        <f>Orders!K1154</f>
        <v>Chennai</v>
      </c>
      <c r="L1154" t="str">
        <f>IFERROR(VLOOKUP(D1154,Products!$A$2:$F$61,3,FALSE),"")</f>
        <v>Home</v>
      </c>
      <c r="M1154">
        <f>IFERROR(VLOOKUP(D1154,Products!$A$2:$F$61,4,FALSE),"")</f>
        <v>288</v>
      </c>
      <c r="N1154" t="str">
        <f>IFERROR(VLOOKUP(E1154,Sales_Reps!$A$2:$E$31,3,FALSE),"")</f>
        <v>South</v>
      </c>
      <c r="O1154" t="str">
        <f>IFERROR(VLOOKUP(C1154,Customers!$A$2:$F$301,5,FALSE),"")</f>
        <v>Retail</v>
      </c>
      <c r="P1154">
        <f>IFERROR(VLOOKUP(C1154,Customers!$A$2:$F$301,3,FALSE),"")</f>
        <v>24</v>
      </c>
      <c r="Q1154" s="41">
        <f t="shared" ref="Q1154:Q1217" si="27">IFERROR((G1154-M1154)/G1154,0)</f>
        <v>0.22162162162162163</v>
      </c>
      <c r="R1154" t="str">
        <f>IFERROR(VLOOKUP(C1154,Customers!$A$2:$F$301,1,FALSE),"")</f>
        <v>CUST-0088</v>
      </c>
      <c r="S1154" s="27" t="b">
        <f>IFERROR(VLOOKUP(D1154,Products!$A$2:$F$61,6,FALSE),"")</f>
        <v>1</v>
      </c>
      <c r="BL1154">
        <v>0</v>
      </c>
      <c r="BO1154">
        <v>0</v>
      </c>
      <c r="BP1154">
        <v>0</v>
      </c>
    </row>
    <row r="1155" spans="1:68" x14ac:dyDescent="0.35">
      <c r="A1155" s="26" t="str">
        <f>Orders!A1155</f>
        <v>ORD-01154</v>
      </c>
      <c r="B1155" s="33">
        <f>Orders!B1155</f>
        <v>45627</v>
      </c>
      <c r="C1155" t="str">
        <f>Orders!C1155</f>
        <v>CUST-0274</v>
      </c>
      <c r="D1155" t="str">
        <f>Orders!D1155</f>
        <v>PROD-009</v>
      </c>
      <c r="E1155" t="str">
        <f>Orders!E1155</f>
        <v>R030</v>
      </c>
      <c r="F1155">
        <f>Orders!F1155</f>
        <v>3</v>
      </c>
      <c r="G1155" s="35">
        <f>Orders!G1155</f>
        <v>1220</v>
      </c>
      <c r="H1155" s="37">
        <f>Orders!H1155</f>
        <v>7.7</v>
      </c>
      <c r="I1155" s="39">
        <f>Orders!I1155</f>
        <v>3378.18</v>
      </c>
      <c r="J1155" t="str">
        <f>Orders!J1155</f>
        <v>Pending</v>
      </c>
      <c r="K1155" t="str">
        <f>Orders!K1155</f>
        <v>Bengaluru</v>
      </c>
      <c r="L1155" t="str">
        <f>IFERROR(VLOOKUP(D1155,Products!$A$2:$F$61,3,FALSE),"")</f>
        <v>Electronics</v>
      </c>
      <c r="M1155">
        <f>IFERROR(VLOOKUP(D1155,Products!$A$2:$F$61,4,FALSE),"")</f>
        <v>517</v>
      </c>
      <c r="N1155" t="str">
        <f>IFERROR(VLOOKUP(E1155,Sales_Reps!$A$2:$E$31,3,FALSE),"")</f>
        <v>West</v>
      </c>
      <c r="O1155" t="str">
        <f>IFERROR(VLOOKUP(C1155,Customers!$A$2:$F$301,5,FALSE),"")</f>
        <v>Corporate</v>
      </c>
      <c r="P1155">
        <f>IFERROR(VLOOKUP(C1155,Customers!$A$2:$F$301,3,FALSE),"")</f>
        <v>36</v>
      </c>
      <c r="Q1155" s="41">
        <f t="shared" si="27"/>
        <v>0.57622950819672136</v>
      </c>
      <c r="R1155" t="str">
        <f>IFERROR(VLOOKUP(C1155,Customers!$A$2:$F$301,1,FALSE),"")</f>
        <v>CUST-0274</v>
      </c>
      <c r="S1155" s="27" t="b">
        <f>IFERROR(VLOOKUP(D1155,Products!$A$2:$F$61,6,FALSE),"")</f>
        <v>1</v>
      </c>
      <c r="BL1155">
        <v>0</v>
      </c>
      <c r="BO1155">
        <v>0</v>
      </c>
      <c r="BP1155">
        <v>0</v>
      </c>
    </row>
    <row r="1156" spans="1:68" x14ac:dyDescent="0.35">
      <c r="A1156" s="26" t="str">
        <f>Orders!A1156</f>
        <v>ORD-01155</v>
      </c>
      <c r="B1156" s="33">
        <f>Orders!B1156</f>
        <v>45499</v>
      </c>
      <c r="C1156" t="str">
        <f>Orders!C1156</f>
        <v>CUST-0165</v>
      </c>
      <c r="D1156" t="str">
        <f>Orders!D1156</f>
        <v>PROD-010</v>
      </c>
      <c r="E1156" t="str">
        <f>Orders!E1156</f>
        <v>R022</v>
      </c>
      <c r="F1156">
        <f>Orders!F1156</f>
        <v>1</v>
      </c>
      <c r="G1156" s="35">
        <f>Orders!G1156</f>
        <v>2640</v>
      </c>
      <c r="H1156" s="37">
        <f>Orders!H1156</f>
        <v>23.6</v>
      </c>
      <c r="I1156" s="39">
        <f>Orders!I1156</f>
        <v>2016.96</v>
      </c>
      <c r="J1156" t="str">
        <f>Orders!J1156</f>
        <v>Completed</v>
      </c>
      <c r="K1156" t="str">
        <f>Orders!K1156</f>
        <v>Pune</v>
      </c>
      <c r="L1156" t="str">
        <f>IFERROR(VLOOKUP(D1156,Products!$A$2:$F$61,3,FALSE),"")</f>
        <v>Electronics</v>
      </c>
      <c r="M1156">
        <f>IFERROR(VLOOKUP(D1156,Products!$A$2:$F$61,4,FALSE),"")</f>
        <v>1149</v>
      </c>
      <c r="N1156" t="str">
        <f>IFERROR(VLOOKUP(E1156,Sales_Reps!$A$2:$E$31,3,FALSE),"")</f>
        <v>East</v>
      </c>
      <c r="O1156" t="str">
        <f>IFERROR(VLOOKUP(C1156,Customers!$A$2:$F$301,5,FALSE),"")</f>
        <v>Retail</v>
      </c>
      <c r="P1156">
        <f>IFERROR(VLOOKUP(C1156,Customers!$A$2:$F$301,3,FALSE),"")</f>
        <v>29</v>
      </c>
      <c r="Q1156" s="41">
        <f t="shared" si="27"/>
        <v>0.56477272727272732</v>
      </c>
      <c r="R1156" t="str">
        <f>IFERROR(VLOOKUP(C1156,Customers!$A$2:$F$301,1,FALSE),"")</f>
        <v>CUST-0165</v>
      </c>
      <c r="S1156" s="27" t="b">
        <f>IFERROR(VLOOKUP(D1156,Products!$A$2:$F$61,6,FALSE),"")</f>
        <v>1</v>
      </c>
      <c r="BL1156">
        <v>0</v>
      </c>
      <c r="BO1156">
        <v>0</v>
      </c>
      <c r="BP1156">
        <v>0</v>
      </c>
    </row>
    <row r="1157" spans="1:68" x14ac:dyDescent="0.35">
      <c r="A1157" s="26" t="str">
        <f>Orders!A1157</f>
        <v>ORD-01156</v>
      </c>
      <c r="B1157" s="33">
        <f>Orders!B1157</f>
        <v>45563</v>
      </c>
      <c r="C1157" t="str">
        <f>Orders!C1157</f>
        <v>CUST-0275</v>
      </c>
      <c r="D1157" t="str">
        <f>Orders!D1157</f>
        <v>PROD-048</v>
      </c>
      <c r="E1157" t="str">
        <f>Orders!E1157</f>
        <v>R011</v>
      </c>
      <c r="F1157">
        <f>Orders!F1157</f>
        <v>9</v>
      </c>
      <c r="G1157" s="35">
        <f>Orders!G1157</f>
        <v>5100</v>
      </c>
      <c r="H1157" s="37">
        <f>Orders!H1157</f>
        <v>9.5</v>
      </c>
      <c r="I1157" s="39">
        <f>Orders!I1157</f>
        <v>41539.5</v>
      </c>
      <c r="J1157" t="str">
        <f>Orders!J1157</f>
        <v>Completed</v>
      </c>
      <c r="K1157" t="str">
        <f>Orders!K1157</f>
        <v>Mumbai</v>
      </c>
      <c r="L1157" t="str">
        <f>IFERROR(VLOOKUP(D1157,Products!$A$2:$F$61,3,FALSE),"")</f>
        <v>Beauty</v>
      </c>
      <c r="M1157">
        <f>IFERROR(VLOOKUP(D1157,Products!$A$2:$F$61,4,FALSE),"")</f>
        <v>2237</v>
      </c>
      <c r="N1157" t="str">
        <f>IFERROR(VLOOKUP(E1157,Sales_Reps!$A$2:$E$31,3,FALSE),"")</f>
        <v>South</v>
      </c>
      <c r="O1157" t="str">
        <f>IFERROR(VLOOKUP(C1157,Customers!$A$2:$F$301,5,FALSE),"")</f>
        <v>Retail</v>
      </c>
      <c r="P1157">
        <f>IFERROR(VLOOKUP(C1157,Customers!$A$2:$F$301,3,FALSE),"")</f>
        <v>36</v>
      </c>
      <c r="Q1157" s="41">
        <f t="shared" si="27"/>
        <v>0.56137254901960787</v>
      </c>
      <c r="R1157" t="str">
        <f>IFERROR(VLOOKUP(C1157,Customers!$A$2:$F$301,1,FALSE),"")</f>
        <v>CUST-0275</v>
      </c>
      <c r="S1157" s="27" t="b">
        <f>IFERROR(VLOOKUP(D1157,Products!$A$2:$F$61,6,FALSE),"")</f>
        <v>1</v>
      </c>
      <c r="BL1157">
        <v>0</v>
      </c>
      <c r="BO1157">
        <v>0</v>
      </c>
      <c r="BP1157">
        <v>0</v>
      </c>
    </row>
    <row r="1158" spans="1:68" x14ac:dyDescent="0.35">
      <c r="A1158" s="26" t="str">
        <f>Orders!A1158</f>
        <v>ORD-01157</v>
      </c>
      <c r="B1158" s="33">
        <f>Orders!B1158</f>
        <v>45435</v>
      </c>
      <c r="C1158" t="str">
        <f>Orders!C1158</f>
        <v>CUST-0225</v>
      </c>
      <c r="D1158" t="str">
        <f>Orders!D1158</f>
        <v>PROD-050</v>
      </c>
      <c r="E1158" t="str">
        <f>Orders!E1158</f>
        <v>R008</v>
      </c>
      <c r="F1158">
        <f>Orders!F1158</f>
        <v>7</v>
      </c>
      <c r="G1158" s="35">
        <f>Orders!G1158</f>
        <v>6080</v>
      </c>
      <c r="H1158" s="37">
        <f>Orders!H1158</f>
        <v>17.5</v>
      </c>
      <c r="I1158" s="39">
        <f>Orders!I1158</f>
        <v>35112</v>
      </c>
      <c r="J1158" t="str">
        <f>Orders!J1158</f>
        <v>Completed</v>
      </c>
      <c r="K1158" t="str">
        <f>Orders!K1158</f>
        <v>Chennai</v>
      </c>
      <c r="L1158" t="str">
        <f>IFERROR(VLOOKUP(D1158,Products!$A$2:$F$61,3,FALSE),"")</f>
        <v>Beauty</v>
      </c>
      <c r="M1158">
        <f>IFERROR(VLOOKUP(D1158,Products!$A$2:$F$61,4,FALSE),"")</f>
        <v>2617</v>
      </c>
      <c r="N1158" t="str">
        <f>IFERROR(VLOOKUP(E1158,Sales_Reps!$A$2:$E$31,3,FALSE),"")</f>
        <v>North</v>
      </c>
      <c r="O1158" t="str">
        <f>IFERROR(VLOOKUP(C1158,Customers!$A$2:$F$301,5,FALSE),"")</f>
        <v>SMB</v>
      </c>
      <c r="P1158">
        <f>IFERROR(VLOOKUP(C1158,Customers!$A$2:$F$301,3,FALSE),"")</f>
        <v>26</v>
      </c>
      <c r="Q1158" s="41">
        <f t="shared" si="27"/>
        <v>0.56957236842105263</v>
      </c>
      <c r="R1158" t="str">
        <f>IFERROR(VLOOKUP(C1158,Customers!$A$2:$F$301,1,FALSE),"")</f>
        <v>CUST-0225</v>
      </c>
      <c r="S1158" s="27" t="b">
        <f>IFERROR(VLOOKUP(D1158,Products!$A$2:$F$61,6,FALSE),"")</f>
        <v>1</v>
      </c>
      <c r="BL1158">
        <v>0</v>
      </c>
      <c r="BO1158">
        <v>0</v>
      </c>
      <c r="BP1158">
        <v>0</v>
      </c>
    </row>
    <row r="1159" spans="1:68" x14ac:dyDescent="0.35">
      <c r="A1159" s="26" t="str">
        <f>Orders!A1159</f>
        <v>ORD-01158</v>
      </c>
      <c r="B1159" s="33">
        <f>Orders!B1159</f>
        <v>45602</v>
      </c>
      <c r="C1159" t="str">
        <f>Orders!C1159</f>
        <v>CUST-0059</v>
      </c>
      <c r="D1159" t="str">
        <f>Orders!D1159</f>
        <v>PROD-005</v>
      </c>
      <c r="E1159" t="str">
        <f>Orders!E1159</f>
        <v>R026</v>
      </c>
      <c r="F1159">
        <f>Orders!F1159</f>
        <v>1</v>
      </c>
      <c r="G1159" s="35">
        <f>Orders!G1159</f>
        <v>300</v>
      </c>
      <c r="H1159" s="37">
        <f>Orders!H1159</f>
        <v>26.9</v>
      </c>
      <c r="I1159" s="39">
        <f>Orders!I1159</f>
        <v>219.3</v>
      </c>
      <c r="J1159" t="str">
        <f>Orders!J1159</f>
        <v>Completed</v>
      </c>
      <c r="K1159" t="str">
        <f>Orders!K1159</f>
        <v>Pune</v>
      </c>
      <c r="L1159" t="str">
        <f>IFERROR(VLOOKUP(D1159,Products!$A$2:$F$61,3,FALSE),"")</f>
        <v>Electronics</v>
      </c>
      <c r="M1159">
        <f>IFERROR(VLOOKUP(D1159,Products!$A$2:$F$61,4,FALSE),"")</f>
        <v>128</v>
      </c>
      <c r="N1159" t="str">
        <f>IFERROR(VLOOKUP(E1159,Sales_Reps!$A$2:$E$31,3,FALSE),"")</f>
        <v>West</v>
      </c>
      <c r="O1159" t="str">
        <f>IFERROR(VLOOKUP(C1159,Customers!$A$2:$F$301,5,FALSE),"")</f>
        <v>Corporate</v>
      </c>
      <c r="P1159">
        <f>IFERROR(VLOOKUP(C1159,Customers!$A$2:$F$301,3,FALSE),"")</f>
        <v>29</v>
      </c>
      <c r="Q1159" s="41">
        <f t="shared" si="27"/>
        <v>0.57333333333333336</v>
      </c>
      <c r="R1159" t="str">
        <f>IFERROR(VLOOKUP(C1159,Customers!$A$2:$F$301,1,FALSE),"")</f>
        <v>CUST-0059</v>
      </c>
      <c r="S1159" s="27" t="b">
        <f>IFERROR(VLOOKUP(D1159,Products!$A$2:$F$61,6,FALSE),"")</f>
        <v>1</v>
      </c>
      <c r="BL1159">
        <v>0</v>
      </c>
      <c r="BO1159">
        <v>0</v>
      </c>
      <c r="BP1159">
        <v>0</v>
      </c>
    </row>
    <row r="1160" spans="1:68" x14ac:dyDescent="0.35">
      <c r="A1160" s="26" t="str">
        <f>Orders!A1160</f>
        <v>ORD-01159</v>
      </c>
      <c r="B1160" s="33">
        <f>Orders!B1160</f>
        <v>45650</v>
      </c>
      <c r="C1160" t="str">
        <f>Orders!C1160</f>
        <v>CUST-0149</v>
      </c>
      <c r="D1160" t="str">
        <f>Orders!D1160</f>
        <v>PROD-045</v>
      </c>
      <c r="E1160" t="str">
        <f>Orders!E1160</f>
        <v>R020</v>
      </c>
      <c r="F1160">
        <f>Orders!F1160</f>
        <v>6</v>
      </c>
      <c r="G1160" s="35">
        <f>Orders!G1160</f>
        <v>3020</v>
      </c>
      <c r="H1160" s="37">
        <f>Orders!H1160</f>
        <v>28.5</v>
      </c>
      <c r="I1160" s="39">
        <f>Orders!I1160</f>
        <v>12955.8</v>
      </c>
      <c r="J1160" t="str">
        <f>Orders!J1160</f>
        <v>Completed</v>
      </c>
      <c r="K1160" t="str">
        <f>Orders!K1160</f>
        <v>Hyderabad</v>
      </c>
      <c r="L1160" t="str">
        <f>IFERROR(VLOOKUP(D1160,Products!$A$2:$F$61,3,FALSE),"")</f>
        <v>Beauty</v>
      </c>
      <c r="M1160">
        <f>IFERROR(VLOOKUP(D1160,Products!$A$2:$F$61,4,FALSE),"")</f>
        <v>1626</v>
      </c>
      <c r="N1160" t="str">
        <f>IFERROR(VLOOKUP(E1160,Sales_Reps!$A$2:$E$31,3,FALSE),"")</f>
        <v>East</v>
      </c>
      <c r="O1160" t="str">
        <f>IFERROR(VLOOKUP(C1160,Customers!$A$2:$F$301,5,FALSE),"")</f>
        <v>Retail</v>
      </c>
      <c r="P1160">
        <f>IFERROR(VLOOKUP(C1160,Customers!$A$2:$F$301,3,FALSE),"")</f>
        <v>44</v>
      </c>
      <c r="Q1160" s="41">
        <f t="shared" si="27"/>
        <v>0.46158940397350995</v>
      </c>
      <c r="R1160" t="str">
        <f>IFERROR(VLOOKUP(C1160,Customers!$A$2:$F$301,1,FALSE),"")</f>
        <v>CUST-0149</v>
      </c>
      <c r="S1160" s="27" t="b">
        <f>IFERROR(VLOOKUP(D1160,Products!$A$2:$F$61,6,FALSE),"")</f>
        <v>1</v>
      </c>
      <c r="BL1160">
        <v>0</v>
      </c>
      <c r="BO1160">
        <v>0</v>
      </c>
      <c r="BP1160">
        <v>0</v>
      </c>
    </row>
    <row r="1161" spans="1:68" x14ac:dyDescent="0.35">
      <c r="A1161" s="26" t="str">
        <f>Orders!A1161</f>
        <v>ORD-01160</v>
      </c>
      <c r="B1161" s="33">
        <f>Orders!B1161</f>
        <v>45294</v>
      </c>
      <c r="C1161" t="str">
        <f>Orders!C1161</f>
        <v>CUST-0283</v>
      </c>
      <c r="D1161" t="str">
        <f>Orders!D1161</f>
        <v>PROD-005</v>
      </c>
      <c r="E1161" t="str">
        <f>Orders!E1161</f>
        <v>R018</v>
      </c>
      <c r="F1161">
        <f>Orders!F1161</f>
        <v>8</v>
      </c>
      <c r="G1161" s="35">
        <f>Orders!G1161</f>
        <v>300</v>
      </c>
      <c r="H1161" s="37">
        <f>Orders!H1161</f>
        <v>1.2</v>
      </c>
      <c r="I1161" s="39">
        <f>Orders!I1161</f>
        <v>2371.1999999999998</v>
      </c>
      <c r="J1161" t="str">
        <f>Orders!J1161</f>
        <v>Completed</v>
      </c>
      <c r="K1161" t="str">
        <f>Orders!K1161</f>
        <v>Delhi</v>
      </c>
      <c r="L1161" t="str">
        <f>IFERROR(VLOOKUP(D1161,Products!$A$2:$F$61,3,FALSE),"")</f>
        <v>Electronics</v>
      </c>
      <c r="M1161">
        <f>IFERROR(VLOOKUP(D1161,Products!$A$2:$F$61,4,FALSE),"")</f>
        <v>128</v>
      </c>
      <c r="N1161" t="str">
        <f>IFERROR(VLOOKUP(E1161,Sales_Reps!$A$2:$E$31,3,FALSE),"")</f>
        <v>East</v>
      </c>
      <c r="O1161" t="str">
        <f>IFERROR(VLOOKUP(C1161,Customers!$A$2:$F$301,5,FALSE),"")</f>
        <v>SMB</v>
      </c>
      <c r="P1161">
        <f>IFERROR(VLOOKUP(C1161,Customers!$A$2:$F$301,3,FALSE),"")</f>
        <v>50</v>
      </c>
      <c r="Q1161" s="41">
        <f t="shared" si="27"/>
        <v>0.57333333333333336</v>
      </c>
      <c r="R1161" t="str">
        <f>IFERROR(VLOOKUP(C1161,Customers!$A$2:$F$301,1,FALSE),"")</f>
        <v>CUST-0283</v>
      </c>
      <c r="S1161" s="27" t="b">
        <f>IFERROR(VLOOKUP(D1161,Products!$A$2:$F$61,6,FALSE),"")</f>
        <v>1</v>
      </c>
      <c r="BL1161">
        <v>0</v>
      </c>
      <c r="BO1161">
        <v>0</v>
      </c>
      <c r="BP1161">
        <v>0</v>
      </c>
    </row>
    <row r="1162" spans="1:68" x14ac:dyDescent="0.35">
      <c r="A1162" s="26" t="str">
        <f>Orders!A1162</f>
        <v>ORD-01161</v>
      </c>
      <c r="B1162" s="33">
        <f>Orders!B1162</f>
        <v>45523</v>
      </c>
      <c r="C1162" t="str">
        <f>Orders!C1162</f>
        <v>CUST-0039</v>
      </c>
      <c r="D1162" t="str">
        <f>Orders!D1162</f>
        <v>PROD-043</v>
      </c>
      <c r="E1162" t="str">
        <f>Orders!E1162</f>
        <v>R011</v>
      </c>
      <c r="F1162">
        <f>Orders!F1162</f>
        <v>9</v>
      </c>
      <c r="G1162" s="35">
        <f>Orders!G1162</f>
        <v>3350</v>
      </c>
      <c r="H1162" s="37">
        <f>Orders!H1162</f>
        <v>0.6</v>
      </c>
      <c r="I1162" s="39">
        <f>Orders!I1162</f>
        <v>29969.1</v>
      </c>
      <c r="J1162" t="str">
        <f>Orders!J1162</f>
        <v>Refunded</v>
      </c>
      <c r="K1162" t="str">
        <f>Orders!K1162</f>
        <v>Bengaluru</v>
      </c>
      <c r="L1162" t="str">
        <f>IFERROR(VLOOKUP(D1162,Products!$A$2:$F$61,3,FALSE),"")</f>
        <v>Beauty</v>
      </c>
      <c r="M1162">
        <f>IFERROR(VLOOKUP(D1162,Products!$A$2:$F$61,4,FALSE),"")</f>
        <v>1728</v>
      </c>
      <c r="N1162" t="str">
        <f>IFERROR(VLOOKUP(E1162,Sales_Reps!$A$2:$E$31,3,FALSE),"")</f>
        <v>South</v>
      </c>
      <c r="O1162" t="str">
        <f>IFERROR(VLOOKUP(C1162,Customers!$A$2:$F$301,5,FALSE),"")</f>
        <v>Retail</v>
      </c>
      <c r="P1162">
        <f>IFERROR(VLOOKUP(C1162,Customers!$A$2:$F$301,3,FALSE),"")</f>
        <v>37</v>
      </c>
      <c r="Q1162" s="41">
        <f t="shared" si="27"/>
        <v>0.48417910447761192</v>
      </c>
      <c r="R1162" t="str">
        <f>IFERROR(VLOOKUP(C1162,Customers!$A$2:$F$301,1,FALSE),"")</f>
        <v>CUST-0039</v>
      </c>
      <c r="S1162" s="27" t="b">
        <f>IFERROR(VLOOKUP(D1162,Products!$A$2:$F$61,6,FALSE),"")</f>
        <v>1</v>
      </c>
      <c r="BL1162">
        <v>0</v>
      </c>
      <c r="BO1162">
        <v>0</v>
      </c>
      <c r="BP1162">
        <v>0</v>
      </c>
    </row>
    <row r="1163" spans="1:68" x14ac:dyDescent="0.35">
      <c r="A1163" s="26" t="str">
        <f>Orders!A1163</f>
        <v>ORD-01162</v>
      </c>
      <c r="B1163" s="33">
        <f>Orders!B1163</f>
        <v>45479</v>
      </c>
      <c r="C1163" t="str">
        <f>Orders!C1163</f>
        <v>CUST-0046</v>
      </c>
      <c r="D1163" t="str">
        <f>Orders!D1163</f>
        <v>PROD-026</v>
      </c>
      <c r="E1163" t="str">
        <f>Orders!E1163</f>
        <v>R024</v>
      </c>
      <c r="F1163">
        <f>Orders!F1163</f>
        <v>4</v>
      </c>
      <c r="G1163" s="35">
        <f>Orders!G1163</f>
        <v>4070</v>
      </c>
      <c r="H1163" s="37">
        <f>Orders!H1163</f>
        <v>10.1</v>
      </c>
      <c r="I1163" s="39">
        <f>Orders!I1163</f>
        <v>14635.72</v>
      </c>
      <c r="J1163" t="str">
        <f>Orders!J1163</f>
        <v>Completed</v>
      </c>
      <c r="K1163" t="str">
        <f>Orders!K1163</f>
        <v>Delhi</v>
      </c>
      <c r="L1163" t="str">
        <f>IFERROR(VLOOKUP(D1163,Products!$A$2:$F$61,3,FALSE),"")</f>
        <v>Grocery</v>
      </c>
      <c r="M1163">
        <f>IFERROR(VLOOKUP(D1163,Products!$A$2:$F$61,4,FALSE),"")</f>
        <v>2027</v>
      </c>
      <c r="N1163" t="str">
        <f>IFERROR(VLOOKUP(E1163,Sales_Reps!$A$2:$E$31,3,FALSE),"")</f>
        <v>West</v>
      </c>
      <c r="O1163" t="str">
        <f>IFERROR(VLOOKUP(C1163,Customers!$A$2:$F$301,5,FALSE),"")</f>
        <v>SMB</v>
      </c>
      <c r="P1163">
        <f>IFERROR(VLOOKUP(C1163,Customers!$A$2:$F$301,3,FALSE),"")</f>
        <v>45</v>
      </c>
      <c r="Q1163" s="41">
        <f t="shared" si="27"/>
        <v>0.50196560196560192</v>
      </c>
      <c r="R1163" t="str">
        <f>IFERROR(VLOOKUP(C1163,Customers!$A$2:$F$301,1,FALSE),"")</f>
        <v>CUST-0046</v>
      </c>
      <c r="S1163" s="27" t="b">
        <f>IFERROR(VLOOKUP(D1163,Products!$A$2:$F$61,6,FALSE),"")</f>
        <v>1</v>
      </c>
      <c r="BL1163">
        <v>0</v>
      </c>
      <c r="BO1163">
        <v>0</v>
      </c>
      <c r="BP1163">
        <v>0</v>
      </c>
    </row>
    <row r="1164" spans="1:68" x14ac:dyDescent="0.35">
      <c r="A1164" s="26" t="str">
        <f>Orders!A1164</f>
        <v>ORD-01163</v>
      </c>
      <c r="B1164" s="33">
        <f>Orders!B1164</f>
        <v>45614</v>
      </c>
      <c r="C1164" t="str">
        <f>Orders!C1164</f>
        <v>CUST-0105</v>
      </c>
      <c r="D1164" t="str">
        <f>Orders!D1164</f>
        <v>PROD-059</v>
      </c>
      <c r="E1164" t="str">
        <f>Orders!E1164</f>
        <v>R024</v>
      </c>
      <c r="F1164">
        <f>Orders!F1164</f>
        <v>9</v>
      </c>
      <c r="G1164" s="35">
        <f>Orders!G1164</f>
        <v>3780</v>
      </c>
      <c r="H1164" s="37">
        <f>Orders!H1164</f>
        <v>27.8</v>
      </c>
      <c r="I1164" s="39">
        <f>Orders!I1164</f>
        <v>24562.44</v>
      </c>
      <c r="J1164" t="str">
        <f>Orders!J1164</f>
        <v>Cancelled</v>
      </c>
      <c r="K1164" t="str">
        <f>Orders!K1164</f>
        <v>Chennai</v>
      </c>
      <c r="L1164" t="str">
        <f>IFERROR(VLOOKUP(D1164,Products!$A$2:$F$61,3,FALSE),"")</f>
        <v>Sports</v>
      </c>
      <c r="M1164">
        <f>IFERROR(VLOOKUP(D1164,Products!$A$2:$F$61,4,FALSE),"")</f>
        <v>1860</v>
      </c>
      <c r="N1164" t="str">
        <f>IFERROR(VLOOKUP(E1164,Sales_Reps!$A$2:$E$31,3,FALSE),"")</f>
        <v>West</v>
      </c>
      <c r="O1164" t="str">
        <f>IFERROR(VLOOKUP(C1164,Customers!$A$2:$F$301,5,FALSE),"")</f>
        <v>SMB</v>
      </c>
      <c r="P1164">
        <f>IFERROR(VLOOKUP(C1164,Customers!$A$2:$F$301,3,FALSE),"")</f>
        <v>51</v>
      </c>
      <c r="Q1164" s="41">
        <f t="shared" si="27"/>
        <v>0.50793650793650791</v>
      </c>
      <c r="R1164" t="str">
        <f>IFERROR(VLOOKUP(C1164,Customers!$A$2:$F$301,1,FALSE),"")</f>
        <v>CUST-0105</v>
      </c>
      <c r="S1164" s="27" t="b">
        <f>IFERROR(VLOOKUP(D1164,Products!$A$2:$F$61,6,FALSE),"")</f>
        <v>1</v>
      </c>
      <c r="BL1164">
        <v>0</v>
      </c>
      <c r="BO1164">
        <v>0</v>
      </c>
      <c r="BP1164">
        <v>0</v>
      </c>
    </row>
    <row r="1165" spans="1:68" x14ac:dyDescent="0.35">
      <c r="A1165" s="26" t="str">
        <f>Orders!A1165</f>
        <v>ORD-01164</v>
      </c>
      <c r="B1165" s="33">
        <f>Orders!B1165</f>
        <v>45407</v>
      </c>
      <c r="C1165" t="str">
        <f>Orders!C1165</f>
        <v>CUST-0006</v>
      </c>
      <c r="D1165" t="str">
        <f>Orders!D1165</f>
        <v>PROD-040</v>
      </c>
      <c r="E1165" t="str">
        <f>Orders!E1165</f>
        <v>R030</v>
      </c>
      <c r="F1165">
        <f>Orders!F1165</f>
        <v>6</v>
      </c>
      <c r="G1165" s="35">
        <f>Orders!G1165</f>
        <v>1080</v>
      </c>
      <c r="H1165" s="37">
        <f>Orders!H1165</f>
        <v>17.5</v>
      </c>
      <c r="I1165" s="39">
        <f>Orders!I1165</f>
        <v>5346</v>
      </c>
      <c r="J1165" t="str">
        <f>Orders!J1165</f>
        <v>Completed</v>
      </c>
      <c r="K1165" t="str">
        <f>Orders!K1165</f>
        <v>Pune</v>
      </c>
      <c r="L1165" t="str">
        <f>IFERROR(VLOOKUP(D1165,Products!$A$2:$F$61,3,FALSE),"")</f>
        <v>Home</v>
      </c>
      <c r="M1165">
        <f>IFERROR(VLOOKUP(D1165,Products!$A$2:$F$61,4,FALSE),"")</f>
        <v>519</v>
      </c>
      <c r="N1165" t="str">
        <f>IFERROR(VLOOKUP(E1165,Sales_Reps!$A$2:$E$31,3,FALSE),"")</f>
        <v>West</v>
      </c>
      <c r="O1165" t="str">
        <f>IFERROR(VLOOKUP(C1165,Customers!$A$2:$F$301,5,FALSE),"")</f>
        <v>SMB</v>
      </c>
      <c r="P1165">
        <f>IFERROR(VLOOKUP(C1165,Customers!$A$2:$F$301,3,FALSE),"")</f>
        <v>44</v>
      </c>
      <c r="Q1165" s="41">
        <f t="shared" si="27"/>
        <v>0.51944444444444449</v>
      </c>
      <c r="R1165" t="str">
        <f>IFERROR(VLOOKUP(C1165,Customers!$A$2:$F$301,1,FALSE),"")</f>
        <v>CUST-0006</v>
      </c>
      <c r="S1165" s="27" t="b">
        <f>IFERROR(VLOOKUP(D1165,Products!$A$2:$F$61,6,FALSE),"")</f>
        <v>1</v>
      </c>
      <c r="BL1165">
        <v>0</v>
      </c>
      <c r="BO1165">
        <v>0</v>
      </c>
      <c r="BP1165">
        <v>0</v>
      </c>
    </row>
    <row r="1166" spans="1:68" x14ac:dyDescent="0.35">
      <c r="A1166" s="26" t="str">
        <f>Orders!A1166</f>
        <v>ORD-01165</v>
      </c>
      <c r="B1166" s="33">
        <f>Orders!B1166</f>
        <v>45603</v>
      </c>
      <c r="C1166" t="str">
        <f>Orders!C1166</f>
        <v>CUST-0192</v>
      </c>
      <c r="D1166" t="str">
        <f>Orders!D1166</f>
        <v>PROD-002</v>
      </c>
      <c r="E1166" t="str">
        <f>Orders!E1166</f>
        <v>R023</v>
      </c>
      <c r="F1166">
        <f>Orders!F1166</f>
        <v>3</v>
      </c>
      <c r="G1166" s="35">
        <f>Orders!G1166</f>
        <v>2600</v>
      </c>
      <c r="H1166" s="37">
        <f>Orders!H1166</f>
        <v>1.9</v>
      </c>
      <c r="I1166" s="39">
        <f>Orders!I1166</f>
        <v>7651.8</v>
      </c>
      <c r="J1166" t="str">
        <f>Orders!J1166</f>
        <v>Completed</v>
      </c>
      <c r="K1166" t="str">
        <f>Orders!K1166</f>
        <v>Bengaluru</v>
      </c>
      <c r="L1166" t="str">
        <f>IFERROR(VLOOKUP(D1166,Products!$A$2:$F$61,3,FALSE),"")</f>
        <v>Electronics</v>
      </c>
      <c r="M1166">
        <f>IFERROR(VLOOKUP(D1166,Products!$A$2:$F$61,4,FALSE),"")</f>
        <v>1052</v>
      </c>
      <c r="N1166" t="str">
        <f>IFERROR(VLOOKUP(E1166,Sales_Reps!$A$2:$E$31,3,FALSE),"")</f>
        <v>East</v>
      </c>
      <c r="O1166" t="str">
        <f>IFERROR(VLOOKUP(C1166,Customers!$A$2:$F$301,5,FALSE),"")</f>
        <v>Retail</v>
      </c>
      <c r="P1166">
        <f>IFERROR(VLOOKUP(C1166,Customers!$A$2:$F$301,3,FALSE),"")</f>
        <v>55</v>
      </c>
      <c r="Q1166" s="41">
        <f t="shared" si="27"/>
        <v>0.5953846153846154</v>
      </c>
      <c r="R1166" t="str">
        <f>IFERROR(VLOOKUP(C1166,Customers!$A$2:$F$301,1,FALSE),"")</f>
        <v>CUST-0192</v>
      </c>
      <c r="S1166" s="27" t="b">
        <f>IFERROR(VLOOKUP(D1166,Products!$A$2:$F$61,6,FALSE),"")</f>
        <v>1</v>
      </c>
      <c r="BL1166">
        <v>0</v>
      </c>
      <c r="BO1166">
        <v>0</v>
      </c>
      <c r="BP1166">
        <v>0</v>
      </c>
    </row>
    <row r="1167" spans="1:68" x14ac:dyDescent="0.35">
      <c r="A1167" s="26" t="str">
        <f>Orders!A1167</f>
        <v>ORD-01166</v>
      </c>
      <c r="B1167" s="33">
        <f>Orders!B1167</f>
        <v>45375</v>
      </c>
      <c r="C1167" t="str">
        <f>Orders!C1167</f>
        <v>CUST-0290</v>
      </c>
      <c r="D1167" t="str">
        <f>Orders!D1167</f>
        <v>PROD-015</v>
      </c>
      <c r="E1167" t="str">
        <f>Orders!E1167</f>
        <v>R008</v>
      </c>
      <c r="F1167">
        <f>Orders!F1167</f>
        <v>5</v>
      </c>
      <c r="G1167" s="35">
        <f>Orders!G1167</f>
        <v>2720</v>
      </c>
      <c r="H1167" s="37">
        <f>Orders!H1167</f>
        <v>1.8</v>
      </c>
      <c r="I1167" s="39">
        <f>Orders!I1167</f>
        <v>13355.2</v>
      </c>
      <c r="J1167" t="str">
        <f>Orders!J1167</f>
        <v>Cancelled</v>
      </c>
      <c r="K1167" t="str">
        <f>Orders!K1167</f>
        <v>Delhi</v>
      </c>
      <c r="L1167" t="str">
        <f>IFERROR(VLOOKUP(D1167,Products!$A$2:$F$61,3,FALSE),"")</f>
        <v>Apparel</v>
      </c>
      <c r="M1167">
        <f>IFERROR(VLOOKUP(D1167,Products!$A$2:$F$61,4,FALSE),"")</f>
        <v>1962</v>
      </c>
      <c r="N1167" t="str">
        <f>IFERROR(VLOOKUP(E1167,Sales_Reps!$A$2:$E$31,3,FALSE),"")</f>
        <v>North</v>
      </c>
      <c r="O1167" t="str">
        <f>IFERROR(VLOOKUP(C1167,Customers!$A$2:$F$301,5,FALSE),"")</f>
        <v>Retail</v>
      </c>
      <c r="P1167">
        <f>IFERROR(VLOOKUP(C1167,Customers!$A$2:$F$301,3,FALSE),"")</f>
        <v>63</v>
      </c>
      <c r="Q1167" s="41">
        <f t="shared" si="27"/>
        <v>0.2786764705882353</v>
      </c>
      <c r="R1167" t="str">
        <f>IFERROR(VLOOKUP(C1167,Customers!$A$2:$F$301,1,FALSE),"")</f>
        <v>CUST-0290</v>
      </c>
      <c r="S1167" s="27" t="b">
        <f>IFERROR(VLOOKUP(D1167,Products!$A$2:$F$61,6,FALSE),"")</f>
        <v>1</v>
      </c>
      <c r="BL1167">
        <v>0</v>
      </c>
      <c r="BO1167">
        <v>0</v>
      </c>
      <c r="BP1167">
        <v>0</v>
      </c>
    </row>
    <row r="1168" spans="1:68" x14ac:dyDescent="0.35">
      <c r="A1168" s="26" t="str">
        <f>Orders!A1168</f>
        <v>ORD-01167</v>
      </c>
      <c r="B1168" s="33">
        <f>Orders!B1168</f>
        <v>45485</v>
      </c>
      <c r="C1168" t="str">
        <f>Orders!C1168</f>
        <v>CUST-0287</v>
      </c>
      <c r="D1168" t="str">
        <f>Orders!D1168</f>
        <v>PROD-028</v>
      </c>
      <c r="E1168" t="str">
        <f>Orders!E1168</f>
        <v>R012</v>
      </c>
      <c r="F1168">
        <f>Orders!F1168</f>
        <v>8</v>
      </c>
      <c r="G1168" s="35">
        <f>Orders!G1168</f>
        <v>3660</v>
      </c>
      <c r="H1168" s="37">
        <f>Orders!H1168</f>
        <v>29.5</v>
      </c>
      <c r="I1168" s="39">
        <f>Orders!I1168</f>
        <v>20642.400000000001</v>
      </c>
      <c r="J1168" t="str">
        <f>Orders!J1168</f>
        <v>Completed</v>
      </c>
      <c r="K1168" t="str">
        <f>Orders!K1168</f>
        <v>Chennai</v>
      </c>
      <c r="L1168" t="str">
        <f>IFERROR(VLOOKUP(D1168,Products!$A$2:$F$61,3,FALSE),"")</f>
        <v>Grocery</v>
      </c>
      <c r="M1168">
        <f>IFERROR(VLOOKUP(D1168,Products!$A$2:$F$61,4,FALSE),"")</f>
        <v>2214</v>
      </c>
      <c r="N1168" t="str">
        <f>IFERROR(VLOOKUP(E1168,Sales_Reps!$A$2:$E$31,3,FALSE),"")</f>
        <v>South</v>
      </c>
      <c r="O1168" t="str">
        <f>IFERROR(VLOOKUP(C1168,Customers!$A$2:$F$301,5,FALSE),"")</f>
        <v>SMB</v>
      </c>
      <c r="P1168">
        <f>IFERROR(VLOOKUP(C1168,Customers!$A$2:$F$301,3,FALSE),"")</f>
        <v>53</v>
      </c>
      <c r="Q1168" s="41">
        <f t="shared" si="27"/>
        <v>0.39508196721311473</v>
      </c>
      <c r="R1168" t="str">
        <f>IFERROR(VLOOKUP(C1168,Customers!$A$2:$F$301,1,FALSE),"")</f>
        <v>CUST-0287</v>
      </c>
      <c r="S1168" s="27" t="b">
        <f>IFERROR(VLOOKUP(D1168,Products!$A$2:$F$61,6,FALSE),"")</f>
        <v>0</v>
      </c>
      <c r="BL1168">
        <v>0</v>
      </c>
      <c r="BO1168">
        <v>0</v>
      </c>
      <c r="BP1168">
        <v>1</v>
      </c>
    </row>
    <row r="1169" spans="1:68" x14ac:dyDescent="0.35">
      <c r="A1169" s="26" t="str">
        <f>Orders!A1169</f>
        <v>ORD-01168</v>
      </c>
      <c r="B1169" s="33">
        <f>Orders!B1169</f>
        <v>45567</v>
      </c>
      <c r="C1169" t="str">
        <f>Orders!C1169</f>
        <v>CUST-0025</v>
      </c>
      <c r="D1169" t="str">
        <f>Orders!D1169</f>
        <v>PROD-044</v>
      </c>
      <c r="E1169" t="str">
        <f>Orders!E1169</f>
        <v>R005</v>
      </c>
      <c r="F1169">
        <f>Orders!F1169</f>
        <v>9</v>
      </c>
      <c r="G1169" s="35">
        <f>Orders!G1169</f>
        <v>1650</v>
      </c>
      <c r="H1169" s="37">
        <f>Orders!H1169</f>
        <v>19.8</v>
      </c>
      <c r="I1169" s="39">
        <f>Orders!I1169</f>
        <v>11909.7</v>
      </c>
      <c r="J1169" t="str">
        <f>Orders!J1169</f>
        <v>Refunded</v>
      </c>
      <c r="K1169" t="str">
        <f>Orders!K1169</f>
        <v>Bengaluru</v>
      </c>
      <c r="L1169" t="str">
        <f>IFERROR(VLOOKUP(D1169,Products!$A$2:$F$61,3,FALSE),"")</f>
        <v>Beauty</v>
      </c>
      <c r="M1169">
        <f>IFERROR(VLOOKUP(D1169,Products!$A$2:$F$61,4,FALSE),"")</f>
        <v>1222</v>
      </c>
      <c r="N1169" t="str">
        <f>IFERROR(VLOOKUP(E1169,Sales_Reps!$A$2:$E$31,3,FALSE),"")</f>
        <v>North</v>
      </c>
      <c r="O1169" t="str">
        <f>IFERROR(VLOOKUP(C1169,Customers!$A$2:$F$301,5,FALSE),"")</f>
        <v>Retail</v>
      </c>
      <c r="P1169">
        <f>IFERROR(VLOOKUP(C1169,Customers!$A$2:$F$301,3,FALSE),"")</f>
        <v>23</v>
      </c>
      <c r="Q1169" s="41">
        <f t="shared" si="27"/>
        <v>0.2593939393939394</v>
      </c>
      <c r="R1169" t="str">
        <f>IFERROR(VLOOKUP(C1169,Customers!$A$2:$F$301,1,FALSE),"")</f>
        <v>CUST-0025</v>
      </c>
      <c r="S1169" s="27" t="b">
        <f>IFERROR(VLOOKUP(D1169,Products!$A$2:$F$61,6,FALSE),"")</f>
        <v>1</v>
      </c>
      <c r="BL1169">
        <v>0</v>
      </c>
      <c r="BO1169">
        <v>0</v>
      </c>
      <c r="BP1169">
        <v>0</v>
      </c>
    </row>
    <row r="1170" spans="1:68" x14ac:dyDescent="0.35">
      <c r="A1170" s="26" t="str">
        <f>Orders!A1170</f>
        <v>ORD-01169</v>
      </c>
      <c r="B1170" s="33">
        <f>Orders!B1170</f>
        <v>45502</v>
      </c>
      <c r="C1170" t="str">
        <f>Orders!C1170</f>
        <v>CUST-0139</v>
      </c>
      <c r="D1170" t="str">
        <f>Orders!D1170</f>
        <v>PROD-055</v>
      </c>
      <c r="E1170" t="str">
        <f>Orders!E1170</f>
        <v>R019</v>
      </c>
      <c r="F1170">
        <f>Orders!F1170</f>
        <v>3</v>
      </c>
      <c r="G1170" s="35">
        <f>Orders!G1170</f>
        <v>2860</v>
      </c>
      <c r="H1170" s="37">
        <f>Orders!H1170</f>
        <v>22.7</v>
      </c>
      <c r="I1170" s="39">
        <f>Orders!I1170</f>
        <v>6632.34</v>
      </c>
      <c r="J1170" t="str">
        <f>Orders!J1170</f>
        <v>Completed</v>
      </c>
      <c r="K1170" t="str">
        <f>Orders!K1170</f>
        <v>Hyderabad</v>
      </c>
      <c r="L1170" t="str">
        <f>IFERROR(VLOOKUP(D1170,Products!$A$2:$F$61,3,FALSE),"")</f>
        <v>Sports</v>
      </c>
      <c r="M1170">
        <f>IFERROR(VLOOKUP(D1170,Products!$A$2:$F$61,4,FALSE),"")</f>
        <v>2028</v>
      </c>
      <c r="N1170" t="str">
        <f>IFERROR(VLOOKUP(E1170,Sales_Reps!$A$2:$E$31,3,FALSE),"")</f>
        <v>East</v>
      </c>
      <c r="O1170" t="str">
        <f>IFERROR(VLOOKUP(C1170,Customers!$A$2:$F$301,5,FALSE),"")</f>
        <v>SMB</v>
      </c>
      <c r="P1170">
        <f>IFERROR(VLOOKUP(C1170,Customers!$A$2:$F$301,3,FALSE),"")</f>
        <v>65</v>
      </c>
      <c r="Q1170" s="41">
        <f t="shared" si="27"/>
        <v>0.29090909090909089</v>
      </c>
      <c r="R1170" t="str">
        <f>IFERROR(VLOOKUP(C1170,Customers!$A$2:$F$301,1,FALSE),"")</f>
        <v>CUST-0139</v>
      </c>
      <c r="S1170" s="27" t="b">
        <f>IFERROR(VLOOKUP(D1170,Products!$A$2:$F$61,6,FALSE),"")</f>
        <v>1</v>
      </c>
      <c r="BL1170">
        <v>0</v>
      </c>
      <c r="BO1170">
        <v>0</v>
      </c>
      <c r="BP1170">
        <v>0</v>
      </c>
    </row>
    <row r="1171" spans="1:68" x14ac:dyDescent="0.35">
      <c r="A1171" s="26" t="str">
        <f>Orders!A1171</f>
        <v>ORD-01170</v>
      </c>
      <c r="B1171" s="33">
        <f>Orders!B1171</f>
        <v>45429</v>
      </c>
      <c r="C1171" t="str">
        <f>Orders!C1171</f>
        <v>CUST-0278</v>
      </c>
      <c r="D1171" t="str">
        <f>Orders!D1171</f>
        <v>PROD-051</v>
      </c>
      <c r="E1171" t="str">
        <f>Orders!E1171</f>
        <v>R025</v>
      </c>
      <c r="F1171">
        <f>Orders!F1171</f>
        <v>4</v>
      </c>
      <c r="G1171" s="35">
        <f>Orders!G1171</f>
        <v>3450</v>
      </c>
      <c r="H1171" s="37">
        <f>Orders!H1171</f>
        <v>9.1999999999999993</v>
      </c>
      <c r="I1171" s="39">
        <f>Orders!I1171</f>
        <v>12530.4</v>
      </c>
      <c r="J1171" t="str">
        <f>Orders!J1171</f>
        <v>Completed</v>
      </c>
      <c r="K1171" t="str">
        <f>Orders!K1171</f>
        <v>Hyderabad</v>
      </c>
      <c r="L1171" t="str">
        <f>IFERROR(VLOOKUP(D1171,Products!$A$2:$F$61,3,FALSE),"")</f>
        <v>Sports</v>
      </c>
      <c r="M1171">
        <f>IFERROR(VLOOKUP(D1171,Products!$A$2:$F$61,4,FALSE),"")</f>
        <v>2467</v>
      </c>
      <c r="N1171" t="str">
        <f>IFERROR(VLOOKUP(E1171,Sales_Reps!$A$2:$E$31,3,FALSE),"")</f>
        <v>West</v>
      </c>
      <c r="O1171" t="str">
        <f>IFERROR(VLOOKUP(C1171,Customers!$A$2:$F$301,5,FALSE),"")</f>
        <v>Retail</v>
      </c>
      <c r="P1171">
        <f>IFERROR(VLOOKUP(C1171,Customers!$A$2:$F$301,3,FALSE),"")</f>
        <v>41</v>
      </c>
      <c r="Q1171" s="41">
        <f t="shared" si="27"/>
        <v>0.28492753623188405</v>
      </c>
      <c r="R1171" t="str">
        <f>IFERROR(VLOOKUP(C1171,Customers!$A$2:$F$301,1,FALSE),"")</f>
        <v>CUST-0278</v>
      </c>
      <c r="S1171" s="27" t="b">
        <f>IFERROR(VLOOKUP(D1171,Products!$A$2:$F$61,6,FALSE),"")</f>
        <v>1</v>
      </c>
      <c r="BL1171">
        <v>0</v>
      </c>
      <c r="BO1171">
        <v>0</v>
      </c>
      <c r="BP1171">
        <v>0</v>
      </c>
    </row>
    <row r="1172" spans="1:68" x14ac:dyDescent="0.35">
      <c r="A1172" s="26" t="str">
        <f>Orders!A1172</f>
        <v>ORD-01171</v>
      </c>
      <c r="B1172" s="33">
        <f>Orders!B1172</f>
        <v>45405</v>
      </c>
      <c r="C1172" t="str">
        <f>Orders!C1172</f>
        <v>CUST-0258</v>
      </c>
      <c r="D1172" t="str">
        <f>Orders!D1172</f>
        <v>PROD-033</v>
      </c>
      <c r="E1172" t="str">
        <f>Orders!E1172</f>
        <v>R003</v>
      </c>
      <c r="F1172">
        <f>Orders!F1172</f>
        <v>4</v>
      </c>
      <c r="G1172" s="35">
        <f>Orders!G1172</f>
        <v>2030</v>
      </c>
      <c r="H1172" s="37">
        <f>Orders!H1172</f>
        <v>17.100000000000001</v>
      </c>
      <c r="I1172" s="39">
        <f>Orders!I1172</f>
        <v>6731.48</v>
      </c>
      <c r="J1172" t="str">
        <f>Orders!J1172</f>
        <v>Completed</v>
      </c>
      <c r="K1172" t="str">
        <f>Orders!K1172</f>
        <v>Pune</v>
      </c>
      <c r="L1172" t="str">
        <f>IFERROR(VLOOKUP(D1172,Products!$A$2:$F$61,3,FALSE),"")</f>
        <v>Home</v>
      </c>
      <c r="M1172">
        <f>IFERROR(VLOOKUP(D1172,Products!$A$2:$F$61,4,FALSE),"")</f>
        <v>1143</v>
      </c>
      <c r="N1172" t="str">
        <f>IFERROR(VLOOKUP(E1172,Sales_Reps!$A$2:$E$31,3,FALSE),"")</f>
        <v>North</v>
      </c>
      <c r="O1172" t="str">
        <f>IFERROR(VLOOKUP(C1172,Customers!$A$2:$F$301,5,FALSE),"")</f>
        <v>Retail</v>
      </c>
      <c r="P1172">
        <f>IFERROR(VLOOKUP(C1172,Customers!$A$2:$F$301,3,FALSE),"")</f>
        <v>44</v>
      </c>
      <c r="Q1172" s="41">
        <f t="shared" si="27"/>
        <v>0.43694581280788175</v>
      </c>
      <c r="R1172" t="str">
        <f>IFERROR(VLOOKUP(C1172,Customers!$A$2:$F$301,1,FALSE),"")</f>
        <v>CUST-0258</v>
      </c>
      <c r="S1172" s="27" t="b">
        <f>IFERROR(VLOOKUP(D1172,Products!$A$2:$F$61,6,FALSE),"")</f>
        <v>1</v>
      </c>
      <c r="BL1172">
        <v>0</v>
      </c>
      <c r="BO1172">
        <v>0</v>
      </c>
      <c r="BP1172">
        <v>0</v>
      </c>
    </row>
    <row r="1173" spans="1:68" x14ac:dyDescent="0.35">
      <c r="A1173" s="26" t="str">
        <f>Orders!A1173</f>
        <v>ORD-01172</v>
      </c>
      <c r="B1173" s="33">
        <f>Orders!B1173</f>
        <v>45401</v>
      </c>
      <c r="C1173" t="str">
        <f>Orders!C1173</f>
        <v>CUST-0106</v>
      </c>
      <c r="D1173" t="str">
        <f>Orders!D1173</f>
        <v>PROD-022</v>
      </c>
      <c r="E1173" t="str">
        <f>Orders!E1173</f>
        <v>R016</v>
      </c>
      <c r="F1173">
        <f>Orders!F1173</f>
        <v>4</v>
      </c>
      <c r="G1173" s="35">
        <f>Orders!G1173</f>
        <v>2270</v>
      </c>
      <c r="H1173" s="37">
        <f>Orders!H1173</f>
        <v>27.3</v>
      </c>
      <c r="I1173" s="39">
        <f>Orders!I1173</f>
        <v>6601.16</v>
      </c>
      <c r="J1173" t="str">
        <f>Orders!J1173</f>
        <v>Completed</v>
      </c>
      <c r="K1173" t="str">
        <f>Orders!K1173</f>
        <v>Pune</v>
      </c>
      <c r="L1173" t="str">
        <f>IFERROR(VLOOKUP(D1173,Products!$A$2:$F$61,3,FALSE),"")</f>
        <v>Grocery</v>
      </c>
      <c r="M1173">
        <f>IFERROR(VLOOKUP(D1173,Products!$A$2:$F$61,4,FALSE),"")</f>
        <v>1412</v>
      </c>
      <c r="N1173" t="str">
        <f>IFERROR(VLOOKUP(E1173,Sales_Reps!$A$2:$E$31,3,FALSE),"")</f>
        <v>South</v>
      </c>
      <c r="O1173" t="str">
        <f>IFERROR(VLOOKUP(C1173,Customers!$A$2:$F$301,5,FALSE),"")</f>
        <v>Retail</v>
      </c>
      <c r="P1173">
        <f>IFERROR(VLOOKUP(C1173,Customers!$A$2:$F$301,3,FALSE),"")</f>
        <v>22</v>
      </c>
      <c r="Q1173" s="41">
        <f t="shared" si="27"/>
        <v>0.37797356828193834</v>
      </c>
      <c r="R1173" t="str">
        <f>IFERROR(VLOOKUP(C1173,Customers!$A$2:$F$301,1,FALSE),"")</f>
        <v>CUST-0106</v>
      </c>
      <c r="S1173" s="27" t="b">
        <f>IFERROR(VLOOKUP(D1173,Products!$A$2:$F$61,6,FALSE),"")</f>
        <v>1</v>
      </c>
      <c r="BL1173">
        <v>0</v>
      </c>
      <c r="BO1173">
        <v>0</v>
      </c>
      <c r="BP1173">
        <v>0</v>
      </c>
    </row>
    <row r="1174" spans="1:68" x14ac:dyDescent="0.35">
      <c r="A1174" s="26" t="str">
        <f>Orders!A1174</f>
        <v>ORD-01173</v>
      </c>
      <c r="B1174" s="33">
        <f>Orders!B1174</f>
        <v>45373</v>
      </c>
      <c r="C1174" t="str">
        <f>Orders!C1174</f>
        <v>CUST-0009</v>
      </c>
      <c r="D1174" t="str">
        <f>Orders!D1174</f>
        <v>PROD-034</v>
      </c>
      <c r="E1174" t="str">
        <f>Orders!E1174</f>
        <v>R013</v>
      </c>
      <c r="F1174">
        <f>Orders!F1174</f>
        <v>9</v>
      </c>
      <c r="G1174" s="35">
        <f>Orders!G1174</f>
        <v>5080</v>
      </c>
      <c r="H1174" s="37">
        <f>Orders!H1174</f>
        <v>10.9</v>
      </c>
      <c r="I1174" s="39">
        <f>Orders!I1174</f>
        <v>40736.519999999997</v>
      </c>
      <c r="J1174" t="str">
        <f>Orders!J1174</f>
        <v>Completed</v>
      </c>
      <c r="K1174" t="str">
        <f>Orders!K1174</f>
        <v>Mumbai</v>
      </c>
      <c r="L1174" t="str">
        <f>IFERROR(VLOOKUP(D1174,Products!$A$2:$F$61,3,FALSE),"")</f>
        <v>Home</v>
      </c>
      <c r="M1174">
        <f>IFERROR(VLOOKUP(D1174,Products!$A$2:$F$61,4,FALSE),"")</f>
        <v>2459</v>
      </c>
      <c r="N1174" t="str">
        <f>IFERROR(VLOOKUP(E1174,Sales_Reps!$A$2:$E$31,3,FALSE),"")</f>
        <v>South</v>
      </c>
      <c r="O1174" t="str">
        <f>IFERROR(VLOOKUP(C1174,Customers!$A$2:$F$301,5,FALSE),"")</f>
        <v>Retail</v>
      </c>
      <c r="P1174">
        <f>IFERROR(VLOOKUP(C1174,Customers!$A$2:$F$301,3,FALSE),"")</f>
        <v>61</v>
      </c>
      <c r="Q1174" s="41">
        <f t="shared" si="27"/>
        <v>0.51594488188976373</v>
      </c>
      <c r="R1174" t="str">
        <f>IFERROR(VLOOKUP(C1174,Customers!$A$2:$F$301,1,FALSE),"")</f>
        <v>CUST-0009</v>
      </c>
      <c r="S1174" s="27" t="b">
        <f>IFERROR(VLOOKUP(D1174,Products!$A$2:$F$61,6,FALSE),"")</f>
        <v>1</v>
      </c>
      <c r="BL1174">
        <v>0</v>
      </c>
      <c r="BO1174">
        <v>0</v>
      </c>
      <c r="BP1174">
        <v>0</v>
      </c>
    </row>
    <row r="1175" spans="1:68" x14ac:dyDescent="0.35">
      <c r="A1175" s="26" t="str">
        <f>Orders!A1175</f>
        <v>ORD-01174</v>
      </c>
      <c r="B1175" s="33">
        <f>Orders!B1175</f>
        <v>45602</v>
      </c>
      <c r="C1175" t="str">
        <f>Orders!C1175</f>
        <v>CUST-0209</v>
      </c>
      <c r="D1175" t="str">
        <f>Orders!D1175</f>
        <v>PROD-026</v>
      </c>
      <c r="E1175" t="str">
        <f>Orders!E1175</f>
        <v>R029</v>
      </c>
      <c r="F1175">
        <f>Orders!F1175</f>
        <v>8</v>
      </c>
      <c r="G1175" s="35">
        <f>Orders!G1175</f>
        <v>4070</v>
      </c>
      <c r="H1175" s="37">
        <f>Orders!H1175</f>
        <v>17.7</v>
      </c>
      <c r="I1175" s="39">
        <f>Orders!I1175</f>
        <v>26796.880000000001</v>
      </c>
      <c r="J1175" t="str">
        <f>Orders!J1175</f>
        <v>Completed</v>
      </c>
      <c r="K1175" t="str">
        <f>Orders!K1175</f>
        <v>Pune</v>
      </c>
      <c r="L1175" t="str">
        <f>IFERROR(VLOOKUP(D1175,Products!$A$2:$F$61,3,FALSE),"")</f>
        <v>Grocery</v>
      </c>
      <c r="M1175">
        <f>IFERROR(VLOOKUP(D1175,Products!$A$2:$F$61,4,FALSE),"")</f>
        <v>2027</v>
      </c>
      <c r="N1175" t="str">
        <f>IFERROR(VLOOKUP(E1175,Sales_Reps!$A$2:$E$31,3,FALSE),"")</f>
        <v>West</v>
      </c>
      <c r="O1175" t="str">
        <f>IFERROR(VLOOKUP(C1175,Customers!$A$2:$F$301,5,FALSE),"")</f>
        <v>Retail</v>
      </c>
      <c r="P1175">
        <f>IFERROR(VLOOKUP(C1175,Customers!$A$2:$F$301,3,FALSE),"")</f>
        <v>31</v>
      </c>
      <c r="Q1175" s="41">
        <f t="shared" si="27"/>
        <v>0.50196560196560192</v>
      </c>
      <c r="R1175" t="str">
        <f>IFERROR(VLOOKUP(C1175,Customers!$A$2:$F$301,1,FALSE),"")</f>
        <v>CUST-0209</v>
      </c>
      <c r="S1175" s="27" t="b">
        <f>IFERROR(VLOOKUP(D1175,Products!$A$2:$F$61,6,FALSE),"")</f>
        <v>1</v>
      </c>
      <c r="BL1175">
        <v>0</v>
      </c>
      <c r="BO1175">
        <v>0</v>
      </c>
      <c r="BP1175">
        <v>0</v>
      </c>
    </row>
    <row r="1176" spans="1:68" x14ac:dyDescent="0.35">
      <c r="A1176" s="26" t="str">
        <f>Orders!A1176</f>
        <v>ORD-01175</v>
      </c>
      <c r="B1176" s="33">
        <f>Orders!B1176</f>
        <v>45372</v>
      </c>
      <c r="C1176" t="str">
        <f>Orders!C1176</f>
        <v>CUST-0111</v>
      </c>
      <c r="D1176" t="str">
        <f>Orders!D1176</f>
        <v>PROD-041</v>
      </c>
      <c r="E1176" t="str">
        <f>Orders!E1176</f>
        <v>R005</v>
      </c>
      <c r="F1176">
        <f>Orders!F1176</f>
        <v>1</v>
      </c>
      <c r="G1176" s="35">
        <f>Orders!G1176</f>
        <v>1540</v>
      </c>
      <c r="H1176" s="37">
        <f>Orders!H1176</f>
        <v>0.9</v>
      </c>
      <c r="I1176" s="39">
        <f>Orders!I1176</f>
        <v>1526.14</v>
      </c>
      <c r="J1176" t="str">
        <f>Orders!J1176</f>
        <v>Completed</v>
      </c>
      <c r="K1176" t="str">
        <f>Orders!K1176</f>
        <v>Chennai</v>
      </c>
      <c r="L1176" t="str">
        <f>IFERROR(VLOOKUP(D1176,Products!$A$2:$F$61,3,FALSE),"")</f>
        <v>Beauty</v>
      </c>
      <c r="M1176">
        <f>IFERROR(VLOOKUP(D1176,Products!$A$2:$F$61,4,FALSE),"")</f>
        <v>647</v>
      </c>
      <c r="N1176" t="str">
        <f>IFERROR(VLOOKUP(E1176,Sales_Reps!$A$2:$E$31,3,FALSE),"")</f>
        <v>North</v>
      </c>
      <c r="O1176" t="str">
        <f>IFERROR(VLOOKUP(C1176,Customers!$A$2:$F$301,5,FALSE),"")</f>
        <v>SMB</v>
      </c>
      <c r="P1176">
        <f>IFERROR(VLOOKUP(C1176,Customers!$A$2:$F$301,3,FALSE),"")</f>
        <v>64</v>
      </c>
      <c r="Q1176" s="41">
        <f t="shared" si="27"/>
        <v>0.57987012987012987</v>
      </c>
      <c r="R1176" t="str">
        <f>IFERROR(VLOOKUP(C1176,Customers!$A$2:$F$301,1,FALSE),"")</f>
        <v>CUST-0111</v>
      </c>
      <c r="S1176" s="27" t="b">
        <f>IFERROR(VLOOKUP(D1176,Products!$A$2:$F$61,6,FALSE),"")</f>
        <v>0</v>
      </c>
      <c r="BL1176">
        <v>0</v>
      </c>
      <c r="BO1176">
        <v>0</v>
      </c>
      <c r="BP1176">
        <v>1</v>
      </c>
    </row>
    <row r="1177" spans="1:68" x14ac:dyDescent="0.35">
      <c r="A1177" s="26" t="str">
        <f>Orders!A1177</f>
        <v>ORD-01176</v>
      </c>
      <c r="B1177" s="33">
        <f>Orders!B1177</f>
        <v>45416</v>
      </c>
      <c r="C1177" t="str">
        <f>Orders!C1177</f>
        <v>CUST-0014</v>
      </c>
      <c r="D1177" t="str">
        <f>Orders!D1177</f>
        <v>PROD-048</v>
      </c>
      <c r="E1177" t="str">
        <f>Orders!E1177</f>
        <v>R024</v>
      </c>
      <c r="F1177">
        <f>Orders!F1177</f>
        <v>10</v>
      </c>
      <c r="G1177" s="35">
        <f>Orders!G1177</f>
        <v>5100</v>
      </c>
      <c r="H1177" s="37">
        <f>Orders!H1177</f>
        <v>3</v>
      </c>
      <c r="I1177" s="39">
        <f>Orders!I1177</f>
        <v>49470</v>
      </c>
      <c r="J1177" t="str">
        <f>Orders!J1177</f>
        <v>Completed</v>
      </c>
      <c r="K1177" t="str">
        <f>Orders!K1177</f>
        <v>Bengaluru</v>
      </c>
      <c r="L1177" t="str">
        <f>IFERROR(VLOOKUP(D1177,Products!$A$2:$F$61,3,FALSE),"")</f>
        <v>Beauty</v>
      </c>
      <c r="M1177">
        <f>IFERROR(VLOOKUP(D1177,Products!$A$2:$F$61,4,FALSE),"")</f>
        <v>2237</v>
      </c>
      <c r="N1177" t="str">
        <f>IFERROR(VLOOKUP(E1177,Sales_Reps!$A$2:$E$31,3,FALSE),"")</f>
        <v>West</v>
      </c>
      <c r="O1177" t="str">
        <f>IFERROR(VLOOKUP(C1177,Customers!$A$2:$F$301,5,FALSE),"")</f>
        <v>Retail</v>
      </c>
      <c r="P1177">
        <f>IFERROR(VLOOKUP(C1177,Customers!$A$2:$F$301,3,FALSE),"")</f>
        <v>48</v>
      </c>
      <c r="Q1177" s="41">
        <f t="shared" si="27"/>
        <v>0.56137254901960787</v>
      </c>
      <c r="R1177" t="str">
        <f>IFERROR(VLOOKUP(C1177,Customers!$A$2:$F$301,1,FALSE),"")</f>
        <v>CUST-0014</v>
      </c>
      <c r="S1177" s="27" t="b">
        <f>IFERROR(VLOOKUP(D1177,Products!$A$2:$F$61,6,FALSE),"")</f>
        <v>1</v>
      </c>
      <c r="BL1177">
        <v>0</v>
      </c>
      <c r="BO1177">
        <v>0</v>
      </c>
      <c r="BP1177">
        <v>0</v>
      </c>
    </row>
    <row r="1178" spans="1:68" x14ac:dyDescent="0.35">
      <c r="A1178" s="26" t="str">
        <f>Orders!A1178</f>
        <v>ORD-01177</v>
      </c>
      <c r="B1178" s="33">
        <f>Orders!B1178</f>
        <v>45656</v>
      </c>
      <c r="C1178" t="str">
        <f>Orders!C1178</f>
        <v>CUST-0073</v>
      </c>
      <c r="D1178" t="str">
        <f>Orders!D1178</f>
        <v>PROD-014</v>
      </c>
      <c r="E1178" t="str">
        <f>Orders!E1178</f>
        <v>R006</v>
      </c>
      <c r="F1178">
        <f>Orders!F1178</f>
        <v>6</v>
      </c>
      <c r="G1178" s="35">
        <f>Orders!G1178</f>
        <v>3620</v>
      </c>
      <c r="H1178" s="37">
        <f>Orders!H1178</f>
        <v>20.2</v>
      </c>
      <c r="I1178" s="39">
        <f>Orders!I1178</f>
        <v>17332.560000000001</v>
      </c>
      <c r="J1178" t="str">
        <f>Orders!J1178</f>
        <v>Completed</v>
      </c>
      <c r="K1178" t="str">
        <f>Orders!K1178</f>
        <v>Pune</v>
      </c>
      <c r="L1178" t="str">
        <f>IFERROR(VLOOKUP(D1178,Products!$A$2:$F$61,3,FALSE),"")</f>
        <v>Apparel</v>
      </c>
      <c r="M1178">
        <f>IFERROR(VLOOKUP(D1178,Products!$A$2:$F$61,4,FALSE),"")</f>
        <v>2509</v>
      </c>
      <c r="N1178" t="str">
        <f>IFERROR(VLOOKUP(E1178,Sales_Reps!$A$2:$E$31,3,FALSE),"")</f>
        <v>North</v>
      </c>
      <c r="O1178" t="str">
        <f>IFERROR(VLOOKUP(C1178,Customers!$A$2:$F$301,5,FALSE),"")</f>
        <v>Corporate</v>
      </c>
      <c r="P1178">
        <f>IFERROR(VLOOKUP(C1178,Customers!$A$2:$F$301,3,FALSE),"")</f>
        <v>40</v>
      </c>
      <c r="Q1178" s="41">
        <f t="shared" si="27"/>
        <v>0.3069060773480663</v>
      </c>
      <c r="R1178" t="str">
        <f>IFERROR(VLOOKUP(C1178,Customers!$A$2:$F$301,1,FALSE),"")</f>
        <v>CUST-0073</v>
      </c>
      <c r="S1178" s="27" t="b">
        <f>IFERROR(VLOOKUP(D1178,Products!$A$2:$F$61,6,FALSE),"")</f>
        <v>1</v>
      </c>
      <c r="BL1178">
        <v>0</v>
      </c>
      <c r="BO1178">
        <v>0</v>
      </c>
      <c r="BP1178">
        <v>0</v>
      </c>
    </row>
    <row r="1179" spans="1:68" x14ac:dyDescent="0.35">
      <c r="A1179" s="26" t="str">
        <f>Orders!A1179</f>
        <v>ORD-01178</v>
      </c>
      <c r="B1179" s="33">
        <f>Orders!B1179</f>
        <v>45324</v>
      </c>
      <c r="C1179" t="str">
        <f>Orders!C1179</f>
        <v>CUST-0147</v>
      </c>
      <c r="D1179" t="str">
        <f>Orders!D1179</f>
        <v>PROD-046</v>
      </c>
      <c r="E1179" t="str">
        <f>Orders!E1179</f>
        <v>R003</v>
      </c>
      <c r="F1179">
        <f>Orders!F1179</f>
        <v>7</v>
      </c>
      <c r="G1179" s="35">
        <f>Orders!G1179</f>
        <v>4880</v>
      </c>
      <c r="H1179" s="37">
        <f>Orders!H1179</f>
        <v>5</v>
      </c>
      <c r="I1179" s="39">
        <f>Orders!I1179</f>
        <v>32452</v>
      </c>
      <c r="J1179" t="str">
        <f>Orders!J1179</f>
        <v>Completed</v>
      </c>
      <c r="K1179" t="str">
        <f>Orders!K1179</f>
        <v>Pune</v>
      </c>
      <c r="L1179" t="str">
        <f>IFERROR(VLOOKUP(D1179,Products!$A$2:$F$61,3,FALSE),"")</f>
        <v>Beauty</v>
      </c>
      <c r="M1179">
        <f>IFERROR(VLOOKUP(D1179,Products!$A$2:$F$61,4,FALSE),"")</f>
        <v>2768</v>
      </c>
      <c r="N1179" t="str">
        <f>IFERROR(VLOOKUP(E1179,Sales_Reps!$A$2:$E$31,3,FALSE),"")</f>
        <v>North</v>
      </c>
      <c r="O1179" t="str">
        <f>IFERROR(VLOOKUP(C1179,Customers!$A$2:$F$301,5,FALSE),"")</f>
        <v>Retail</v>
      </c>
      <c r="P1179">
        <f>IFERROR(VLOOKUP(C1179,Customers!$A$2:$F$301,3,FALSE),"")</f>
        <v>56</v>
      </c>
      <c r="Q1179" s="41">
        <f t="shared" si="27"/>
        <v>0.43278688524590164</v>
      </c>
      <c r="R1179" t="str">
        <f>IFERROR(VLOOKUP(C1179,Customers!$A$2:$F$301,1,FALSE),"")</f>
        <v>CUST-0147</v>
      </c>
      <c r="S1179" s="27" t="b">
        <f>IFERROR(VLOOKUP(D1179,Products!$A$2:$F$61,6,FALSE),"")</f>
        <v>1</v>
      </c>
      <c r="BL1179">
        <v>0</v>
      </c>
      <c r="BO1179">
        <v>0</v>
      </c>
      <c r="BP1179">
        <v>0</v>
      </c>
    </row>
    <row r="1180" spans="1:68" x14ac:dyDescent="0.35">
      <c r="A1180" s="26" t="str">
        <f>Orders!A1180</f>
        <v>ORD-01179</v>
      </c>
      <c r="B1180" s="33">
        <f>Orders!B1180</f>
        <v>45472</v>
      </c>
      <c r="C1180" t="str">
        <f>Orders!C1180</f>
        <v>CUST-0006</v>
      </c>
      <c r="D1180" t="str">
        <f>Orders!D1180</f>
        <v>PROD-010</v>
      </c>
      <c r="E1180" t="str">
        <f>Orders!E1180</f>
        <v>R024</v>
      </c>
      <c r="F1180">
        <f>Orders!F1180</f>
        <v>1</v>
      </c>
      <c r="G1180" s="35">
        <f>Orders!G1180</f>
        <v>2640</v>
      </c>
      <c r="H1180" s="37">
        <f>Orders!H1180</f>
        <v>4.0999999999999996</v>
      </c>
      <c r="I1180" s="39">
        <f>Orders!I1180</f>
        <v>2531.7600000000002</v>
      </c>
      <c r="J1180" t="str">
        <f>Orders!J1180</f>
        <v>Completed</v>
      </c>
      <c r="K1180" t="str">
        <f>Orders!K1180</f>
        <v>Pune</v>
      </c>
      <c r="L1180" t="str">
        <f>IFERROR(VLOOKUP(D1180,Products!$A$2:$F$61,3,FALSE),"")</f>
        <v>Electronics</v>
      </c>
      <c r="M1180">
        <f>IFERROR(VLOOKUP(D1180,Products!$A$2:$F$61,4,FALSE),"")</f>
        <v>1149</v>
      </c>
      <c r="N1180" t="str">
        <f>IFERROR(VLOOKUP(E1180,Sales_Reps!$A$2:$E$31,3,FALSE),"")</f>
        <v>West</v>
      </c>
      <c r="O1180" t="str">
        <f>IFERROR(VLOOKUP(C1180,Customers!$A$2:$F$301,5,FALSE),"")</f>
        <v>SMB</v>
      </c>
      <c r="P1180">
        <f>IFERROR(VLOOKUP(C1180,Customers!$A$2:$F$301,3,FALSE),"")</f>
        <v>44</v>
      </c>
      <c r="Q1180" s="41">
        <f t="shared" si="27"/>
        <v>0.56477272727272732</v>
      </c>
      <c r="R1180" t="str">
        <f>IFERROR(VLOOKUP(C1180,Customers!$A$2:$F$301,1,FALSE),"")</f>
        <v>CUST-0006</v>
      </c>
      <c r="S1180" s="27" t="b">
        <f>IFERROR(VLOOKUP(D1180,Products!$A$2:$F$61,6,FALSE),"")</f>
        <v>1</v>
      </c>
      <c r="BL1180">
        <v>0</v>
      </c>
      <c r="BO1180">
        <v>0</v>
      </c>
      <c r="BP1180">
        <v>0</v>
      </c>
    </row>
    <row r="1181" spans="1:68" x14ac:dyDescent="0.35">
      <c r="A1181" s="26" t="str">
        <f>Orders!A1181</f>
        <v>ORD-01180</v>
      </c>
      <c r="B1181" s="33">
        <f>Orders!B1181</f>
        <v>45508</v>
      </c>
      <c r="C1181" t="str">
        <f>Orders!C1181</f>
        <v>CUST-0031</v>
      </c>
      <c r="D1181" t="str">
        <f>Orders!D1181</f>
        <v>PROD-026</v>
      </c>
      <c r="E1181" t="str">
        <f>Orders!E1181</f>
        <v>R020</v>
      </c>
      <c r="F1181">
        <f>Orders!F1181</f>
        <v>9</v>
      </c>
      <c r="G1181" s="35">
        <f>Orders!G1181</f>
        <v>4070</v>
      </c>
      <c r="H1181" s="37">
        <f>Orders!H1181</f>
        <v>4.4000000000000004</v>
      </c>
      <c r="I1181" s="39">
        <f>Orders!I1181</f>
        <v>35018.28</v>
      </c>
      <c r="J1181" t="str">
        <f>Orders!J1181</f>
        <v>Completed</v>
      </c>
      <c r="K1181" t="str">
        <f>Orders!K1181</f>
        <v>Hyderabad</v>
      </c>
      <c r="L1181" t="str">
        <f>IFERROR(VLOOKUP(D1181,Products!$A$2:$F$61,3,FALSE),"")</f>
        <v>Grocery</v>
      </c>
      <c r="M1181">
        <f>IFERROR(VLOOKUP(D1181,Products!$A$2:$F$61,4,FALSE),"")</f>
        <v>2027</v>
      </c>
      <c r="N1181" t="str">
        <f>IFERROR(VLOOKUP(E1181,Sales_Reps!$A$2:$E$31,3,FALSE),"")</f>
        <v>East</v>
      </c>
      <c r="O1181" t="str">
        <f>IFERROR(VLOOKUP(C1181,Customers!$A$2:$F$301,5,FALSE),"")</f>
        <v>Retail</v>
      </c>
      <c r="P1181">
        <f>IFERROR(VLOOKUP(C1181,Customers!$A$2:$F$301,3,FALSE),"")</f>
        <v>53</v>
      </c>
      <c r="Q1181" s="41">
        <f t="shared" si="27"/>
        <v>0.50196560196560192</v>
      </c>
      <c r="R1181" t="str">
        <f>IFERROR(VLOOKUP(C1181,Customers!$A$2:$F$301,1,FALSE),"")</f>
        <v>CUST-0031</v>
      </c>
      <c r="S1181" s="27" t="b">
        <f>IFERROR(VLOOKUP(D1181,Products!$A$2:$F$61,6,FALSE),"")</f>
        <v>1</v>
      </c>
      <c r="BL1181">
        <v>0</v>
      </c>
      <c r="BO1181">
        <v>0</v>
      </c>
      <c r="BP1181">
        <v>0</v>
      </c>
    </row>
    <row r="1182" spans="1:68" x14ac:dyDescent="0.35">
      <c r="A1182" s="26" t="str">
        <f>Orders!A1182</f>
        <v>ORD-01181</v>
      </c>
      <c r="B1182" s="33">
        <f>Orders!B1182</f>
        <v>45617</v>
      </c>
      <c r="C1182" t="str">
        <f>Orders!C1182</f>
        <v>CUST-0084</v>
      </c>
      <c r="D1182" t="str">
        <f>Orders!D1182</f>
        <v>PROD-003</v>
      </c>
      <c r="E1182" t="str">
        <f>Orders!E1182</f>
        <v>R025</v>
      </c>
      <c r="F1182">
        <f>Orders!F1182</f>
        <v>9</v>
      </c>
      <c r="G1182" s="35">
        <f>Orders!G1182</f>
        <v>3570</v>
      </c>
      <c r="H1182" s="37">
        <f>Orders!H1182</f>
        <v>24.8</v>
      </c>
      <c r="I1182" s="39">
        <f>Orders!I1182</f>
        <v>24161.759999999998</v>
      </c>
      <c r="J1182" t="str">
        <f>Orders!J1182</f>
        <v>Completed</v>
      </c>
      <c r="K1182" t="str">
        <f>Orders!K1182</f>
        <v>Chennai</v>
      </c>
      <c r="L1182" t="str">
        <f>IFERROR(VLOOKUP(D1182,Products!$A$2:$F$61,3,FALSE),"")</f>
        <v>Electronics</v>
      </c>
      <c r="M1182">
        <f>IFERROR(VLOOKUP(D1182,Products!$A$2:$F$61,4,FALSE),"")</f>
        <v>1665</v>
      </c>
      <c r="N1182" t="str">
        <f>IFERROR(VLOOKUP(E1182,Sales_Reps!$A$2:$E$31,3,FALSE),"")</f>
        <v>West</v>
      </c>
      <c r="O1182" t="str">
        <f>IFERROR(VLOOKUP(C1182,Customers!$A$2:$F$301,5,FALSE),"")</f>
        <v>Retail</v>
      </c>
      <c r="P1182">
        <f>IFERROR(VLOOKUP(C1182,Customers!$A$2:$F$301,3,FALSE),"")</f>
        <v>28</v>
      </c>
      <c r="Q1182" s="41">
        <f t="shared" si="27"/>
        <v>0.53361344537815125</v>
      </c>
      <c r="R1182" t="str">
        <f>IFERROR(VLOOKUP(C1182,Customers!$A$2:$F$301,1,FALSE),"")</f>
        <v>CUST-0084</v>
      </c>
      <c r="S1182" s="27" t="b">
        <f>IFERROR(VLOOKUP(D1182,Products!$A$2:$F$61,6,FALSE),"")</f>
        <v>1</v>
      </c>
      <c r="BL1182">
        <v>0</v>
      </c>
      <c r="BO1182">
        <v>0</v>
      </c>
      <c r="BP1182">
        <v>0</v>
      </c>
    </row>
    <row r="1183" spans="1:68" x14ac:dyDescent="0.35">
      <c r="A1183" s="26" t="str">
        <f>Orders!A1183</f>
        <v>ORD-01182</v>
      </c>
      <c r="B1183" s="33">
        <f>Orders!B1183</f>
        <v>45470</v>
      </c>
      <c r="C1183" t="str">
        <f>Orders!C1183</f>
        <v>CUST-0203</v>
      </c>
      <c r="D1183" t="str">
        <f>Orders!D1183</f>
        <v>PROD-043</v>
      </c>
      <c r="E1183" t="str">
        <f>Orders!E1183</f>
        <v>R005</v>
      </c>
      <c r="F1183">
        <f>Orders!F1183</f>
        <v>10</v>
      </c>
      <c r="G1183" s="35">
        <f>Orders!G1183</f>
        <v>3350</v>
      </c>
      <c r="H1183" s="37">
        <f>Orders!H1183</f>
        <v>25.1</v>
      </c>
      <c r="I1183" s="39">
        <f>Orders!I1183</f>
        <v>25091.5</v>
      </c>
      <c r="J1183" t="str">
        <f>Orders!J1183</f>
        <v>Cancelled</v>
      </c>
      <c r="K1183" t="str">
        <f>Orders!K1183</f>
        <v>Chennai</v>
      </c>
      <c r="L1183" t="str">
        <f>IFERROR(VLOOKUP(D1183,Products!$A$2:$F$61,3,FALSE),"")</f>
        <v>Beauty</v>
      </c>
      <c r="M1183">
        <f>IFERROR(VLOOKUP(D1183,Products!$A$2:$F$61,4,FALSE),"")</f>
        <v>1728</v>
      </c>
      <c r="N1183" t="str">
        <f>IFERROR(VLOOKUP(E1183,Sales_Reps!$A$2:$E$31,3,FALSE),"")</f>
        <v>North</v>
      </c>
      <c r="O1183" t="str">
        <f>IFERROR(VLOOKUP(C1183,Customers!$A$2:$F$301,5,FALSE),"")</f>
        <v>SMB</v>
      </c>
      <c r="P1183">
        <f>IFERROR(VLOOKUP(C1183,Customers!$A$2:$F$301,3,FALSE),"")</f>
        <v>55</v>
      </c>
      <c r="Q1183" s="41">
        <f t="shared" si="27"/>
        <v>0.48417910447761192</v>
      </c>
      <c r="R1183" t="str">
        <f>IFERROR(VLOOKUP(C1183,Customers!$A$2:$F$301,1,FALSE),"")</f>
        <v>CUST-0203</v>
      </c>
      <c r="S1183" s="27" t="b">
        <f>IFERROR(VLOOKUP(D1183,Products!$A$2:$F$61,6,FALSE),"")</f>
        <v>1</v>
      </c>
      <c r="BL1183">
        <v>0</v>
      </c>
      <c r="BO1183">
        <v>0</v>
      </c>
      <c r="BP1183">
        <v>0</v>
      </c>
    </row>
    <row r="1184" spans="1:68" x14ac:dyDescent="0.35">
      <c r="A1184" s="26" t="str">
        <f>Orders!A1184</f>
        <v>ORD-01183</v>
      </c>
      <c r="B1184" s="33">
        <f>Orders!B1184</f>
        <v>45307</v>
      </c>
      <c r="C1184" t="str">
        <f>Orders!C1184</f>
        <v>CUST-0138</v>
      </c>
      <c r="D1184" t="str">
        <f>Orders!D1184</f>
        <v>PROD-059</v>
      </c>
      <c r="E1184" t="str">
        <f>Orders!E1184</f>
        <v>R025</v>
      </c>
      <c r="F1184">
        <f>Orders!F1184</f>
        <v>3</v>
      </c>
      <c r="G1184" s="35">
        <f>Orders!G1184</f>
        <v>3780</v>
      </c>
      <c r="H1184" s="37">
        <f>Orders!H1184</f>
        <v>3.8</v>
      </c>
      <c r="I1184" s="39">
        <f>Orders!I1184</f>
        <v>10909.08</v>
      </c>
      <c r="J1184" t="str">
        <f>Orders!J1184</f>
        <v>Completed</v>
      </c>
      <c r="K1184" t="str">
        <f>Orders!K1184</f>
        <v>Chennai</v>
      </c>
      <c r="L1184" t="str">
        <f>IFERROR(VLOOKUP(D1184,Products!$A$2:$F$61,3,FALSE),"")</f>
        <v>Sports</v>
      </c>
      <c r="M1184">
        <f>IFERROR(VLOOKUP(D1184,Products!$A$2:$F$61,4,FALSE),"")</f>
        <v>1860</v>
      </c>
      <c r="N1184" t="str">
        <f>IFERROR(VLOOKUP(E1184,Sales_Reps!$A$2:$E$31,3,FALSE),"")</f>
        <v>West</v>
      </c>
      <c r="O1184" t="str">
        <f>IFERROR(VLOOKUP(C1184,Customers!$A$2:$F$301,5,FALSE),"")</f>
        <v>Retail</v>
      </c>
      <c r="P1184">
        <f>IFERROR(VLOOKUP(C1184,Customers!$A$2:$F$301,3,FALSE),"")</f>
        <v>24</v>
      </c>
      <c r="Q1184" s="41">
        <f t="shared" si="27"/>
        <v>0.50793650793650791</v>
      </c>
      <c r="R1184" t="str">
        <f>IFERROR(VLOOKUP(C1184,Customers!$A$2:$F$301,1,FALSE),"")</f>
        <v>CUST-0138</v>
      </c>
      <c r="S1184" s="27" t="b">
        <f>IFERROR(VLOOKUP(D1184,Products!$A$2:$F$61,6,FALSE),"")</f>
        <v>1</v>
      </c>
      <c r="BL1184">
        <v>0</v>
      </c>
      <c r="BO1184">
        <v>0</v>
      </c>
      <c r="BP1184">
        <v>0</v>
      </c>
    </row>
    <row r="1185" spans="1:68" x14ac:dyDescent="0.35">
      <c r="A1185" s="26" t="str">
        <f>Orders!A1185</f>
        <v>ORD-01184</v>
      </c>
      <c r="B1185" s="33">
        <f>Orders!B1185</f>
        <v>45651</v>
      </c>
      <c r="C1185" t="str">
        <f>Orders!C1185</f>
        <v>CUST-0157</v>
      </c>
      <c r="D1185" t="str">
        <f>Orders!D1185</f>
        <v>PROD-003</v>
      </c>
      <c r="E1185" t="str">
        <f>Orders!E1185</f>
        <v>R008</v>
      </c>
      <c r="F1185">
        <f>Orders!F1185</f>
        <v>4</v>
      </c>
      <c r="G1185" s="35">
        <f>Orders!G1185</f>
        <v>3570</v>
      </c>
      <c r="H1185" s="37">
        <f>Orders!H1185</f>
        <v>0.9</v>
      </c>
      <c r="I1185" s="39">
        <f>Orders!I1185</f>
        <v>14151.48</v>
      </c>
      <c r="J1185" t="str">
        <f>Orders!J1185</f>
        <v>Pending</v>
      </c>
      <c r="K1185" t="str">
        <f>Orders!K1185</f>
        <v>Pune</v>
      </c>
      <c r="L1185" t="str">
        <f>IFERROR(VLOOKUP(D1185,Products!$A$2:$F$61,3,FALSE),"")</f>
        <v>Electronics</v>
      </c>
      <c r="M1185">
        <f>IFERROR(VLOOKUP(D1185,Products!$A$2:$F$61,4,FALSE),"")</f>
        <v>1665</v>
      </c>
      <c r="N1185" t="str">
        <f>IFERROR(VLOOKUP(E1185,Sales_Reps!$A$2:$E$31,3,FALSE),"")</f>
        <v>North</v>
      </c>
      <c r="O1185" t="str">
        <f>IFERROR(VLOOKUP(C1185,Customers!$A$2:$F$301,5,FALSE),"")</f>
        <v>Corporate</v>
      </c>
      <c r="P1185">
        <f>IFERROR(VLOOKUP(C1185,Customers!$A$2:$F$301,3,FALSE),"")</f>
        <v>52</v>
      </c>
      <c r="Q1185" s="41">
        <f t="shared" si="27"/>
        <v>0.53361344537815125</v>
      </c>
      <c r="R1185" t="str">
        <f>IFERROR(VLOOKUP(C1185,Customers!$A$2:$F$301,1,FALSE),"")</f>
        <v>CUST-0157</v>
      </c>
      <c r="S1185" s="27" t="b">
        <f>IFERROR(VLOOKUP(D1185,Products!$A$2:$F$61,6,FALSE),"")</f>
        <v>1</v>
      </c>
      <c r="BL1185">
        <v>0</v>
      </c>
      <c r="BO1185">
        <v>0</v>
      </c>
      <c r="BP1185">
        <v>0</v>
      </c>
    </row>
    <row r="1186" spans="1:68" x14ac:dyDescent="0.35">
      <c r="A1186" s="26" t="str">
        <f>Orders!A1186</f>
        <v>ORD-01185</v>
      </c>
      <c r="B1186" s="33">
        <f>Orders!B1186</f>
        <v>45436</v>
      </c>
      <c r="C1186" t="str">
        <f>Orders!C1186</f>
        <v>CUST-0298</v>
      </c>
      <c r="D1186" t="str">
        <f>Orders!D1186</f>
        <v>PROD-055</v>
      </c>
      <c r="E1186" t="str">
        <f>Orders!E1186</f>
        <v>R024</v>
      </c>
      <c r="F1186">
        <f>Orders!F1186</f>
        <v>5</v>
      </c>
      <c r="G1186" s="35">
        <f>Orders!G1186</f>
        <v>2860</v>
      </c>
      <c r="H1186" s="37">
        <f>Orders!H1186</f>
        <v>20.100000000000001</v>
      </c>
      <c r="I1186" s="39">
        <f>Orders!I1186</f>
        <v>11425.7</v>
      </c>
      <c r="J1186" t="str">
        <f>Orders!J1186</f>
        <v>Completed</v>
      </c>
      <c r="K1186" t="str">
        <f>Orders!K1186</f>
        <v>Delhi</v>
      </c>
      <c r="L1186" t="str">
        <f>IFERROR(VLOOKUP(D1186,Products!$A$2:$F$61,3,FALSE),"")</f>
        <v>Sports</v>
      </c>
      <c r="M1186">
        <f>IFERROR(VLOOKUP(D1186,Products!$A$2:$F$61,4,FALSE),"")</f>
        <v>2028</v>
      </c>
      <c r="N1186" t="str">
        <f>IFERROR(VLOOKUP(E1186,Sales_Reps!$A$2:$E$31,3,FALSE),"")</f>
        <v>West</v>
      </c>
      <c r="O1186" t="str">
        <f>IFERROR(VLOOKUP(C1186,Customers!$A$2:$F$301,5,FALSE),"")</f>
        <v>Retail</v>
      </c>
      <c r="P1186">
        <f>IFERROR(VLOOKUP(C1186,Customers!$A$2:$F$301,3,FALSE),"")</f>
        <v>44</v>
      </c>
      <c r="Q1186" s="41">
        <f t="shared" si="27"/>
        <v>0.29090909090909089</v>
      </c>
      <c r="R1186" t="str">
        <f>IFERROR(VLOOKUP(C1186,Customers!$A$2:$F$301,1,FALSE),"")</f>
        <v>CUST-0298</v>
      </c>
      <c r="S1186" s="27" t="b">
        <f>IFERROR(VLOOKUP(D1186,Products!$A$2:$F$61,6,FALSE),"")</f>
        <v>1</v>
      </c>
      <c r="BL1186">
        <v>0.5</v>
      </c>
      <c r="BO1186">
        <v>0</v>
      </c>
      <c r="BP1186">
        <v>0</v>
      </c>
    </row>
    <row r="1187" spans="1:68" x14ac:dyDescent="0.35">
      <c r="A1187" s="26" t="str">
        <f>Orders!A1187</f>
        <v>ORD-01186</v>
      </c>
      <c r="B1187" s="33">
        <f>Orders!B1187</f>
        <v>45518</v>
      </c>
      <c r="C1187" t="str">
        <f>Orders!C1187</f>
        <v>CUST-0132</v>
      </c>
      <c r="D1187" t="str">
        <f>Orders!D1187</f>
        <v>PROD-016</v>
      </c>
      <c r="E1187" t="str">
        <f>Orders!E1187</f>
        <v>R003</v>
      </c>
      <c r="F1187">
        <f>Orders!F1187</f>
        <v>1</v>
      </c>
      <c r="G1187" s="35">
        <f>Orders!G1187</f>
        <v>620</v>
      </c>
      <c r="H1187" s="37">
        <f>Orders!H1187</f>
        <v>1.1000000000000001</v>
      </c>
      <c r="I1187" s="39">
        <f>Orders!I1187</f>
        <v>613.17999999999995</v>
      </c>
      <c r="J1187" t="str">
        <f>Orders!J1187</f>
        <v>Cancelled</v>
      </c>
      <c r="K1187" t="str">
        <f>Orders!K1187</f>
        <v>Delhi</v>
      </c>
      <c r="L1187" t="str">
        <f>IFERROR(VLOOKUP(D1187,Products!$A$2:$F$61,3,FALSE),"")</f>
        <v>Apparel</v>
      </c>
      <c r="M1187">
        <f>IFERROR(VLOOKUP(D1187,Products!$A$2:$F$61,4,FALSE),"")</f>
        <v>396</v>
      </c>
      <c r="N1187" t="str">
        <f>IFERROR(VLOOKUP(E1187,Sales_Reps!$A$2:$E$31,3,FALSE),"")</f>
        <v>North</v>
      </c>
      <c r="O1187" t="str">
        <f>IFERROR(VLOOKUP(C1187,Customers!$A$2:$F$301,5,FALSE),"")</f>
        <v>Retail</v>
      </c>
      <c r="P1187">
        <f>IFERROR(VLOOKUP(C1187,Customers!$A$2:$F$301,3,FALSE),"")</f>
        <v>41</v>
      </c>
      <c r="Q1187" s="41">
        <f t="shared" si="27"/>
        <v>0.36129032258064514</v>
      </c>
      <c r="R1187" t="str">
        <f>IFERROR(VLOOKUP(C1187,Customers!$A$2:$F$301,1,FALSE),"")</f>
        <v>CUST-0132</v>
      </c>
      <c r="S1187" s="27" t="b">
        <f>IFERROR(VLOOKUP(D1187,Products!$A$2:$F$61,6,FALSE),"")</f>
        <v>1</v>
      </c>
      <c r="BL1187">
        <v>0</v>
      </c>
      <c r="BO1187">
        <v>0</v>
      </c>
      <c r="BP1187">
        <v>0</v>
      </c>
    </row>
    <row r="1188" spans="1:68" x14ac:dyDescent="0.35">
      <c r="A1188" s="26" t="str">
        <f>Orders!A1188</f>
        <v>ORD-01187</v>
      </c>
      <c r="B1188" s="33">
        <f>Orders!B1188</f>
        <v>45432</v>
      </c>
      <c r="C1188" t="str">
        <f>Orders!C1188</f>
        <v>CUST-0006</v>
      </c>
      <c r="D1188" t="str">
        <f>Orders!D1188</f>
        <v>PROD-003</v>
      </c>
      <c r="E1188" t="str">
        <f>Orders!E1188</f>
        <v>R012</v>
      </c>
      <c r="F1188">
        <f>Orders!F1188</f>
        <v>1</v>
      </c>
      <c r="G1188" s="35">
        <f>Orders!G1188</f>
        <v>3570</v>
      </c>
      <c r="H1188" s="37">
        <f>Orders!H1188</f>
        <v>11.1</v>
      </c>
      <c r="I1188" s="39">
        <f>Orders!I1188</f>
        <v>3173.73</v>
      </c>
      <c r="J1188" t="str">
        <f>Orders!J1188</f>
        <v>Cancelled</v>
      </c>
      <c r="K1188" t="str">
        <f>Orders!K1188</f>
        <v>Pune</v>
      </c>
      <c r="L1188" t="str">
        <f>IFERROR(VLOOKUP(D1188,Products!$A$2:$F$61,3,FALSE),"")</f>
        <v>Electronics</v>
      </c>
      <c r="M1188">
        <f>IFERROR(VLOOKUP(D1188,Products!$A$2:$F$61,4,FALSE),"")</f>
        <v>1665</v>
      </c>
      <c r="N1188" t="str">
        <f>IFERROR(VLOOKUP(E1188,Sales_Reps!$A$2:$E$31,3,FALSE),"")</f>
        <v>South</v>
      </c>
      <c r="O1188" t="str">
        <f>IFERROR(VLOOKUP(C1188,Customers!$A$2:$F$301,5,FALSE),"")</f>
        <v>SMB</v>
      </c>
      <c r="P1188">
        <f>IFERROR(VLOOKUP(C1188,Customers!$A$2:$F$301,3,FALSE),"")</f>
        <v>44</v>
      </c>
      <c r="Q1188" s="41">
        <f t="shared" si="27"/>
        <v>0.53361344537815125</v>
      </c>
      <c r="R1188" t="str">
        <f>IFERROR(VLOOKUP(C1188,Customers!$A$2:$F$301,1,FALSE),"")</f>
        <v>CUST-0006</v>
      </c>
      <c r="S1188" s="27" t="b">
        <f>IFERROR(VLOOKUP(D1188,Products!$A$2:$F$61,6,FALSE),"")</f>
        <v>1</v>
      </c>
      <c r="BL1188">
        <v>0</v>
      </c>
      <c r="BO1188">
        <v>0</v>
      </c>
      <c r="BP1188">
        <v>0</v>
      </c>
    </row>
    <row r="1189" spans="1:68" x14ac:dyDescent="0.35">
      <c r="A1189" s="26" t="str">
        <f>Orders!A1189</f>
        <v>ORD-01188</v>
      </c>
      <c r="B1189" s="33">
        <f>Orders!B1189</f>
        <v>45551</v>
      </c>
      <c r="C1189" t="str">
        <f>Orders!C1189</f>
        <v>CUST-0011</v>
      </c>
      <c r="D1189" t="str">
        <f>Orders!D1189</f>
        <v>PROD-001</v>
      </c>
      <c r="E1189" t="str">
        <f>Orders!E1189</f>
        <v>R012</v>
      </c>
      <c r="F1189">
        <f>Orders!F1189</f>
        <v>1</v>
      </c>
      <c r="G1189" s="35">
        <f>Orders!G1189</f>
        <v>5330</v>
      </c>
      <c r="H1189" s="37">
        <f>Orders!H1189</f>
        <v>3.5</v>
      </c>
      <c r="I1189" s="39">
        <f>Orders!I1189</f>
        <v>5143.45</v>
      </c>
      <c r="J1189" t="str">
        <f>Orders!J1189</f>
        <v>Completed</v>
      </c>
      <c r="K1189" t="str">
        <f>Orders!K1189</f>
        <v>Chennai</v>
      </c>
      <c r="L1189" t="str">
        <f>IFERROR(VLOOKUP(D1189,Products!$A$2:$F$61,3,FALSE),"")</f>
        <v>Electronics</v>
      </c>
      <c r="M1189">
        <f>IFERROR(VLOOKUP(D1189,Products!$A$2:$F$61,4,FALSE),"")</f>
        <v>2405</v>
      </c>
      <c r="N1189" t="str">
        <f>IFERROR(VLOOKUP(E1189,Sales_Reps!$A$2:$E$31,3,FALSE),"")</f>
        <v>South</v>
      </c>
      <c r="O1189" t="str">
        <f>IFERROR(VLOOKUP(C1189,Customers!$A$2:$F$301,5,FALSE),"")</f>
        <v>Corporate</v>
      </c>
      <c r="P1189">
        <f>IFERROR(VLOOKUP(C1189,Customers!$A$2:$F$301,3,FALSE),"")</f>
        <v>41</v>
      </c>
      <c r="Q1189" s="41">
        <f t="shared" si="27"/>
        <v>0.54878048780487809</v>
      </c>
      <c r="R1189" t="str">
        <f>IFERROR(VLOOKUP(C1189,Customers!$A$2:$F$301,1,FALSE),"")</f>
        <v>CUST-0011</v>
      </c>
      <c r="S1189" s="27" t="b">
        <f>IFERROR(VLOOKUP(D1189,Products!$A$2:$F$61,6,FALSE),"")</f>
        <v>1</v>
      </c>
      <c r="BL1189">
        <v>0</v>
      </c>
      <c r="BO1189">
        <v>0</v>
      </c>
      <c r="BP1189">
        <v>0</v>
      </c>
    </row>
    <row r="1190" spans="1:68" x14ac:dyDescent="0.35">
      <c r="A1190" s="26" t="str">
        <f>Orders!A1190</f>
        <v>ORD-01189</v>
      </c>
      <c r="B1190" s="33">
        <f>Orders!B1190</f>
        <v>45348</v>
      </c>
      <c r="C1190" t="str">
        <f>Orders!C1190</f>
        <v>CUST-0170</v>
      </c>
      <c r="D1190" t="str">
        <f>Orders!D1190</f>
        <v>PROD-052</v>
      </c>
      <c r="E1190" t="str">
        <f>Orders!E1190</f>
        <v>R018</v>
      </c>
      <c r="F1190">
        <f>Orders!F1190</f>
        <v>7</v>
      </c>
      <c r="G1190" s="35">
        <f>Orders!G1190</f>
        <v>5410</v>
      </c>
      <c r="H1190" s="37">
        <f>Orders!H1190</f>
        <v>26.2</v>
      </c>
      <c r="I1190" s="39">
        <f>Orders!I1190</f>
        <v>27948.06</v>
      </c>
      <c r="J1190" t="str">
        <f>Orders!J1190</f>
        <v>Completed</v>
      </c>
      <c r="K1190" t="str">
        <f>Orders!K1190</f>
        <v>Mumbai</v>
      </c>
      <c r="L1190" t="str">
        <f>IFERROR(VLOOKUP(D1190,Products!$A$2:$F$61,3,FALSE),"")</f>
        <v>Sports</v>
      </c>
      <c r="M1190">
        <f>IFERROR(VLOOKUP(D1190,Products!$A$2:$F$61,4,FALSE),"")</f>
        <v>2265</v>
      </c>
      <c r="N1190" t="str">
        <f>IFERROR(VLOOKUP(E1190,Sales_Reps!$A$2:$E$31,3,FALSE),"")</f>
        <v>East</v>
      </c>
      <c r="O1190" t="str">
        <f>IFERROR(VLOOKUP(C1190,Customers!$A$2:$F$301,5,FALSE),"")</f>
        <v>SMB</v>
      </c>
      <c r="P1190">
        <f>IFERROR(VLOOKUP(C1190,Customers!$A$2:$F$301,3,FALSE),"")</f>
        <v>22</v>
      </c>
      <c r="Q1190" s="41">
        <f t="shared" si="27"/>
        <v>0.58133086876155271</v>
      </c>
      <c r="R1190" t="str">
        <f>IFERROR(VLOOKUP(C1190,Customers!$A$2:$F$301,1,FALSE),"")</f>
        <v>CUST-0170</v>
      </c>
      <c r="S1190" s="27" t="b">
        <f>IFERROR(VLOOKUP(D1190,Products!$A$2:$F$61,6,FALSE),"")</f>
        <v>1</v>
      </c>
      <c r="BL1190">
        <v>0</v>
      </c>
      <c r="BO1190">
        <v>0</v>
      </c>
      <c r="BP1190">
        <v>0</v>
      </c>
    </row>
    <row r="1191" spans="1:68" x14ac:dyDescent="0.35">
      <c r="A1191" s="26" t="str">
        <f>Orders!A1191</f>
        <v>ORD-01190</v>
      </c>
      <c r="B1191" s="33">
        <f>Orders!B1191</f>
        <v>45374</v>
      </c>
      <c r="C1191" t="str">
        <f>Orders!C1191</f>
        <v>CUST-0109</v>
      </c>
      <c r="D1191" t="str">
        <f>Orders!D1191</f>
        <v>PROD-034</v>
      </c>
      <c r="E1191" t="str">
        <f>Orders!E1191</f>
        <v>R016</v>
      </c>
      <c r="F1191">
        <f>Orders!F1191</f>
        <v>10</v>
      </c>
      <c r="G1191" s="35">
        <f>Orders!G1191</f>
        <v>5080</v>
      </c>
      <c r="H1191" s="37">
        <f>Orders!H1191</f>
        <v>3.7</v>
      </c>
      <c r="I1191" s="39">
        <f>Orders!I1191</f>
        <v>48920.4</v>
      </c>
      <c r="J1191" t="str">
        <f>Orders!J1191</f>
        <v>Pending</v>
      </c>
      <c r="K1191" t="str">
        <f>Orders!K1191</f>
        <v>Pune</v>
      </c>
      <c r="L1191" t="str">
        <f>IFERROR(VLOOKUP(D1191,Products!$A$2:$F$61,3,FALSE),"")</f>
        <v>Home</v>
      </c>
      <c r="M1191">
        <f>IFERROR(VLOOKUP(D1191,Products!$A$2:$F$61,4,FALSE),"")</f>
        <v>2459</v>
      </c>
      <c r="N1191" t="str">
        <f>IFERROR(VLOOKUP(E1191,Sales_Reps!$A$2:$E$31,3,FALSE),"")</f>
        <v>South</v>
      </c>
      <c r="O1191" t="str">
        <f>IFERROR(VLOOKUP(C1191,Customers!$A$2:$F$301,5,FALSE),"")</f>
        <v>Retail</v>
      </c>
      <c r="P1191">
        <f>IFERROR(VLOOKUP(C1191,Customers!$A$2:$F$301,3,FALSE),"")</f>
        <v>42</v>
      </c>
      <c r="Q1191" s="41">
        <f t="shared" si="27"/>
        <v>0.51594488188976373</v>
      </c>
      <c r="R1191" t="str">
        <f>IFERROR(VLOOKUP(C1191,Customers!$A$2:$F$301,1,FALSE),"")</f>
        <v>CUST-0109</v>
      </c>
      <c r="S1191" s="27" t="b">
        <f>IFERROR(VLOOKUP(D1191,Products!$A$2:$F$61,6,FALSE),"")</f>
        <v>1</v>
      </c>
      <c r="BL1191">
        <v>0</v>
      </c>
      <c r="BO1191">
        <v>0</v>
      </c>
      <c r="BP1191">
        <v>0</v>
      </c>
    </row>
    <row r="1192" spans="1:68" x14ac:dyDescent="0.35">
      <c r="A1192" s="26" t="str">
        <f>Orders!A1192</f>
        <v>ORD-01191</v>
      </c>
      <c r="B1192" s="33">
        <f>Orders!B1192</f>
        <v>45370</v>
      </c>
      <c r="C1192" t="str">
        <f>Orders!C1192</f>
        <v>CUST-0066</v>
      </c>
      <c r="D1192" t="str">
        <f>Orders!D1192</f>
        <v>PROD-003</v>
      </c>
      <c r="E1192" t="str">
        <f>Orders!E1192</f>
        <v>R005</v>
      </c>
      <c r="F1192">
        <f>Orders!F1192</f>
        <v>9</v>
      </c>
      <c r="G1192" s="35">
        <f>Orders!G1192</f>
        <v>3570</v>
      </c>
      <c r="H1192" s="37">
        <f>Orders!H1192</f>
        <v>5.6</v>
      </c>
      <c r="I1192" s="39">
        <f>Orders!I1192</f>
        <v>30330.720000000001</v>
      </c>
      <c r="J1192" t="str">
        <f>Orders!J1192</f>
        <v>Completed</v>
      </c>
      <c r="K1192" t="str">
        <f>Orders!K1192</f>
        <v>Delhi</v>
      </c>
      <c r="L1192" t="str">
        <f>IFERROR(VLOOKUP(D1192,Products!$A$2:$F$61,3,FALSE),"")</f>
        <v>Electronics</v>
      </c>
      <c r="M1192">
        <f>IFERROR(VLOOKUP(D1192,Products!$A$2:$F$61,4,FALSE),"")</f>
        <v>1665</v>
      </c>
      <c r="N1192" t="str">
        <f>IFERROR(VLOOKUP(E1192,Sales_Reps!$A$2:$E$31,3,FALSE),"")</f>
        <v>North</v>
      </c>
      <c r="O1192" t="str">
        <f>IFERROR(VLOOKUP(C1192,Customers!$A$2:$F$301,5,FALSE),"")</f>
        <v>Retail</v>
      </c>
      <c r="P1192">
        <f>IFERROR(VLOOKUP(C1192,Customers!$A$2:$F$301,3,FALSE),"")</f>
        <v>24</v>
      </c>
      <c r="Q1192" s="41">
        <f t="shared" si="27"/>
        <v>0.53361344537815125</v>
      </c>
      <c r="R1192" t="str">
        <f>IFERROR(VLOOKUP(C1192,Customers!$A$2:$F$301,1,FALSE),"")</f>
        <v>CUST-0066</v>
      </c>
      <c r="S1192" s="27" t="b">
        <f>IFERROR(VLOOKUP(D1192,Products!$A$2:$F$61,6,FALSE),"")</f>
        <v>1</v>
      </c>
      <c r="BL1192">
        <v>0</v>
      </c>
      <c r="BO1192">
        <v>0</v>
      </c>
      <c r="BP1192">
        <v>0</v>
      </c>
    </row>
    <row r="1193" spans="1:68" x14ac:dyDescent="0.35">
      <c r="A1193" s="26" t="str">
        <f>Orders!A1193</f>
        <v>ORD-01192</v>
      </c>
      <c r="B1193" s="33">
        <f>Orders!B1193</f>
        <v>45656</v>
      </c>
      <c r="C1193" t="str">
        <f>Orders!C1193</f>
        <v>CUST-0055</v>
      </c>
      <c r="D1193" t="str">
        <f>Orders!D1193</f>
        <v>PROD-030</v>
      </c>
      <c r="E1193" t="str">
        <f>Orders!E1193</f>
        <v>R022</v>
      </c>
      <c r="F1193">
        <f>Orders!F1193</f>
        <v>9</v>
      </c>
      <c r="G1193" s="35">
        <f>Orders!G1193</f>
        <v>970</v>
      </c>
      <c r="H1193" s="37">
        <f>Orders!H1193</f>
        <v>19.5</v>
      </c>
      <c r="I1193" s="39">
        <f>Orders!I1193</f>
        <v>7027.65</v>
      </c>
      <c r="J1193" t="str">
        <f>Orders!J1193</f>
        <v>Completed</v>
      </c>
      <c r="K1193" t="str">
        <f>Orders!K1193</f>
        <v>Bengaluru</v>
      </c>
      <c r="L1193" t="str">
        <f>IFERROR(VLOOKUP(D1193,Products!$A$2:$F$61,3,FALSE),"")</f>
        <v>Grocery</v>
      </c>
      <c r="M1193">
        <f>IFERROR(VLOOKUP(D1193,Products!$A$2:$F$61,4,FALSE),"")</f>
        <v>434</v>
      </c>
      <c r="N1193" t="str">
        <f>IFERROR(VLOOKUP(E1193,Sales_Reps!$A$2:$E$31,3,FALSE),"")</f>
        <v>East</v>
      </c>
      <c r="O1193" t="str">
        <f>IFERROR(VLOOKUP(C1193,Customers!$A$2:$F$301,5,FALSE),"")</f>
        <v>Retail</v>
      </c>
      <c r="P1193">
        <f>IFERROR(VLOOKUP(C1193,Customers!$A$2:$F$301,3,FALSE),"")</f>
        <v>34</v>
      </c>
      <c r="Q1193" s="41">
        <f t="shared" si="27"/>
        <v>0.5525773195876289</v>
      </c>
      <c r="R1193" t="str">
        <f>IFERROR(VLOOKUP(C1193,Customers!$A$2:$F$301,1,FALSE),"")</f>
        <v>CUST-0055</v>
      </c>
      <c r="S1193" s="27" t="b">
        <f>IFERROR(VLOOKUP(D1193,Products!$A$2:$F$61,6,FALSE),"")</f>
        <v>1</v>
      </c>
      <c r="BL1193">
        <v>0</v>
      </c>
      <c r="BO1193">
        <v>0</v>
      </c>
      <c r="BP1193">
        <v>0</v>
      </c>
    </row>
    <row r="1194" spans="1:68" x14ac:dyDescent="0.35">
      <c r="A1194" s="26" t="str">
        <f>Orders!A1194</f>
        <v>ORD-01193</v>
      </c>
      <c r="B1194" s="33">
        <f>Orders!B1194</f>
        <v>45357</v>
      </c>
      <c r="C1194" t="str">
        <f>Orders!C1194</f>
        <v>CUST-0298</v>
      </c>
      <c r="D1194" t="str">
        <f>Orders!D1194</f>
        <v>PROD-005</v>
      </c>
      <c r="E1194" t="str">
        <f>Orders!E1194</f>
        <v>R009</v>
      </c>
      <c r="F1194">
        <f>Orders!F1194</f>
        <v>10</v>
      </c>
      <c r="G1194" s="35">
        <f>Orders!G1194</f>
        <v>300</v>
      </c>
      <c r="H1194" s="37">
        <f>Orders!H1194</f>
        <v>23</v>
      </c>
      <c r="I1194" s="39">
        <f>Orders!I1194</f>
        <v>2310</v>
      </c>
      <c r="J1194" t="str">
        <f>Orders!J1194</f>
        <v>Cancelled</v>
      </c>
      <c r="K1194" t="str">
        <f>Orders!K1194</f>
        <v>Delhi</v>
      </c>
      <c r="L1194" t="str">
        <f>IFERROR(VLOOKUP(D1194,Products!$A$2:$F$61,3,FALSE),"")</f>
        <v>Electronics</v>
      </c>
      <c r="M1194">
        <f>IFERROR(VLOOKUP(D1194,Products!$A$2:$F$61,4,FALSE),"")</f>
        <v>128</v>
      </c>
      <c r="N1194" t="str">
        <f>IFERROR(VLOOKUP(E1194,Sales_Reps!$A$2:$E$31,3,FALSE),"")</f>
        <v>South</v>
      </c>
      <c r="O1194" t="str">
        <f>IFERROR(VLOOKUP(C1194,Customers!$A$2:$F$301,5,FALSE),"")</f>
        <v>Retail</v>
      </c>
      <c r="P1194">
        <f>IFERROR(VLOOKUP(C1194,Customers!$A$2:$F$301,3,FALSE),"")</f>
        <v>44</v>
      </c>
      <c r="Q1194" s="41">
        <f t="shared" si="27"/>
        <v>0.57333333333333336</v>
      </c>
      <c r="R1194" t="str">
        <f>IFERROR(VLOOKUP(C1194,Customers!$A$2:$F$301,1,FALSE),"")</f>
        <v>CUST-0298</v>
      </c>
      <c r="S1194" s="27" t="b">
        <f>IFERROR(VLOOKUP(D1194,Products!$A$2:$F$61,6,FALSE),"")</f>
        <v>1</v>
      </c>
      <c r="BL1194">
        <v>0</v>
      </c>
      <c r="BO1194">
        <v>0</v>
      </c>
      <c r="BP1194">
        <v>0</v>
      </c>
    </row>
    <row r="1195" spans="1:68" x14ac:dyDescent="0.35">
      <c r="A1195" s="26" t="str">
        <f>Orders!A1195</f>
        <v>ORD-01194</v>
      </c>
      <c r="B1195" s="33">
        <f>Orders!B1195</f>
        <v>45479</v>
      </c>
      <c r="C1195" t="str">
        <f>Orders!C1195</f>
        <v>CUST-0024</v>
      </c>
      <c r="D1195" t="str">
        <f>Orders!D1195</f>
        <v>PROD-050</v>
      </c>
      <c r="E1195" t="str">
        <f>Orders!E1195</f>
        <v>R003</v>
      </c>
      <c r="F1195">
        <f>Orders!F1195</f>
        <v>10</v>
      </c>
      <c r="G1195" s="35">
        <f>Orders!G1195</f>
        <v>6080</v>
      </c>
      <c r="H1195" s="37">
        <f>Orders!H1195</f>
        <v>3.9</v>
      </c>
      <c r="I1195" s="39">
        <f>Orders!I1195</f>
        <v>58428.800000000003</v>
      </c>
      <c r="J1195" t="str">
        <f>Orders!J1195</f>
        <v>Completed</v>
      </c>
      <c r="K1195" t="str">
        <f>Orders!K1195</f>
        <v>Chennai</v>
      </c>
      <c r="L1195" t="str">
        <f>IFERROR(VLOOKUP(D1195,Products!$A$2:$F$61,3,FALSE),"")</f>
        <v>Beauty</v>
      </c>
      <c r="M1195">
        <f>IFERROR(VLOOKUP(D1195,Products!$A$2:$F$61,4,FALSE),"")</f>
        <v>2617</v>
      </c>
      <c r="N1195" t="str">
        <f>IFERROR(VLOOKUP(E1195,Sales_Reps!$A$2:$E$31,3,FALSE),"")</f>
        <v>North</v>
      </c>
      <c r="O1195" t="str">
        <f>IFERROR(VLOOKUP(C1195,Customers!$A$2:$F$301,5,FALSE),"")</f>
        <v>SMB</v>
      </c>
      <c r="P1195">
        <f>IFERROR(VLOOKUP(C1195,Customers!$A$2:$F$301,3,FALSE),"")</f>
        <v>64</v>
      </c>
      <c r="Q1195" s="41">
        <f t="shared" si="27"/>
        <v>0.56957236842105263</v>
      </c>
      <c r="R1195" t="str">
        <f>IFERROR(VLOOKUP(C1195,Customers!$A$2:$F$301,1,FALSE),"")</f>
        <v>CUST-0024</v>
      </c>
      <c r="S1195" s="27" t="b">
        <f>IFERROR(VLOOKUP(D1195,Products!$A$2:$F$61,6,FALSE),"")</f>
        <v>1</v>
      </c>
      <c r="BL1195">
        <v>0</v>
      </c>
      <c r="BO1195">
        <v>0</v>
      </c>
      <c r="BP1195">
        <v>0</v>
      </c>
    </row>
    <row r="1196" spans="1:68" x14ac:dyDescent="0.35">
      <c r="A1196" s="26" t="str">
        <f>Orders!A1196</f>
        <v>ORD-01195</v>
      </c>
      <c r="B1196" s="33">
        <f>Orders!B1196</f>
        <v>45539</v>
      </c>
      <c r="C1196" t="str">
        <f>Orders!C1196</f>
        <v>CUST-0008</v>
      </c>
      <c r="D1196" t="str">
        <f>Orders!D1196</f>
        <v>PROD-048</v>
      </c>
      <c r="E1196" t="str">
        <f>Orders!E1196</f>
        <v>R011</v>
      </c>
      <c r="F1196">
        <f>Orders!F1196</f>
        <v>2</v>
      </c>
      <c r="G1196" s="35">
        <f>Orders!G1196</f>
        <v>5100</v>
      </c>
      <c r="H1196" s="37">
        <f>Orders!H1196</f>
        <v>11</v>
      </c>
      <c r="I1196" s="39">
        <f>Orders!I1196</f>
        <v>9078</v>
      </c>
      <c r="J1196" t="str">
        <f>Orders!J1196</f>
        <v>Completed</v>
      </c>
      <c r="K1196" t="str">
        <f>Orders!K1196</f>
        <v>Pune</v>
      </c>
      <c r="L1196" t="str">
        <f>IFERROR(VLOOKUP(D1196,Products!$A$2:$F$61,3,FALSE),"")</f>
        <v>Beauty</v>
      </c>
      <c r="M1196">
        <f>IFERROR(VLOOKUP(D1196,Products!$A$2:$F$61,4,FALSE),"")</f>
        <v>2237</v>
      </c>
      <c r="N1196" t="str">
        <f>IFERROR(VLOOKUP(E1196,Sales_Reps!$A$2:$E$31,3,FALSE),"")</f>
        <v>South</v>
      </c>
      <c r="O1196" t="str">
        <f>IFERROR(VLOOKUP(C1196,Customers!$A$2:$F$301,5,FALSE),"")</f>
        <v>SMB</v>
      </c>
      <c r="P1196">
        <f>IFERROR(VLOOKUP(C1196,Customers!$A$2:$F$301,3,FALSE),"")</f>
        <v>39</v>
      </c>
      <c r="Q1196" s="41">
        <f t="shared" si="27"/>
        <v>0.56137254901960787</v>
      </c>
      <c r="R1196" t="str">
        <f>IFERROR(VLOOKUP(C1196,Customers!$A$2:$F$301,1,FALSE),"")</f>
        <v>CUST-0008</v>
      </c>
      <c r="S1196" s="27" t="b">
        <f>IFERROR(VLOOKUP(D1196,Products!$A$2:$F$61,6,FALSE),"")</f>
        <v>1</v>
      </c>
      <c r="BL1196">
        <v>0.5</v>
      </c>
      <c r="BO1196">
        <v>0</v>
      </c>
      <c r="BP1196">
        <v>0</v>
      </c>
    </row>
    <row r="1197" spans="1:68" x14ac:dyDescent="0.35">
      <c r="A1197" s="26" t="str">
        <f>Orders!A1197</f>
        <v>ORD-01196</v>
      </c>
      <c r="B1197" s="33">
        <f>Orders!B1197</f>
        <v>45394</v>
      </c>
      <c r="C1197" t="str">
        <f>Orders!C1197</f>
        <v>CUST-0070</v>
      </c>
      <c r="D1197" t="str">
        <f>Orders!D1197</f>
        <v>PROD-011</v>
      </c>
      <c r="E1197" t="str">
        <f>Orders!E1197</f>
        <v>R019</v>
      </c>
      <c r="F1197">
        <f>Orders!F1197</f>
        <v>9</v>
      </c>
      <c r="G1197" s="35">
        <f>Orders!G1197</f>
        <v>3450</v>
      </c>
      <c r="H1197" s="37">
        <f>Orders!H1197</f>
        <v>23.7</v>
      </c>
      <c r="I1197" s="39">
        <f>Orders!I1197</f>
        <v>23691.15</v>
      </c>
      <c r="J1197" t="str">
        <f>Orders!J1197</f>
        <v>Completed</v>
      </c>
      <c r="K1197" t="str">
        <f>Orders!K1197</f>
        <v>Mumbai</v>
      </c>
      <c r="L1197" t="str">
        <f>IFERROR(VLOOKUP(D1197,Products!$A$2:$F$61,3,FALSE),"")</f>
        <v>Apparel</v>
      </c>
      <c r="M1197">
        <f>IFERROR(VLOOKUP(D1197,Products!$A$2:$F$61,4,FALSE),"")</f>
        <v>1748</v>
      </c>
      <c r="N1197" t="str">
        <f>IFERROR(VLOOKUP(E1197,Sales_Reps!$A$2:$E$31,3,FALSE),"")</f>
        <v>East</v>
      </c>
      <c r="O1197" t="str">
        <f>IFERROR(VLOOKUP(C1197,Customers!$A$2:$F$301,5,FALSE),"")</f>
        <v>Retail</v>
      </c>
      <c r="P1197">
        <f>IFERROR(VLOOKUP(C1197,Customers!$A$2:$F$301,3,FALSE),"")</f>
        <v>42</v>
      </c>
      <c r="Q1197" s="41">
        <f t="shared" si="27"/>
        <v>0.49333333333333335</v>
      </c>
      <c r="R1197" t="str">
        <f>IFERROR(VLOOKUP(C1197,Customers!$A$2:$F$301,1,FALSE),"")</f>
        <v>CUST-0070</v>
      </c>
      <c r="S1197" s="27" t="b">
        <f>IFERROR(VLOOKUP(D1197,Products!$A$2:$F$61,6,FALSE),"")</f>
        <v>1</v>
      </c>
      <c r="BL1197">
        <v>0</v>
      </c>
      <c r="BO1197">
        <v>0</v>
      </c>
      <c r="BP1197">
        <v>0</v>
      </c>
    </row>
    <row r="1198" spans="1:68" x14ac:dyDescent="0.35">
      <c r="A1198" s="26" t="str">
        <f>Orders!A1198</f>
        <v>ORD-01197</v>
      </c>
      <c r="B1198" s="33">
        <f>Orders!B1198</f>
        <v>45335</v>
      </c>
      <c r="C1198" t="str">
        <f>Orders!C1198</f>
        <v>CUST-0270</v>
      </c>
      <c r="D1198" t="str">
        <f>Orders!D1198</f>
        <v>PROD-019</v>
      </c>
      <c r="E1198" t="str">
        <f>Orders!E1198</f>
        <v>R011</v>
      </c>
      <c r="F1198">
        <f>Orders!F1198</f>
        <v>5</v>
      </c>
      <c r="G1198" s="35">
        <f>Orders!G1198</f>
        <v>2480</v>
      </c>
      <c r="H1198" s="37">
        <f>Orders!H1198</f>
        <v>20.399999999999999</v>
      </c>
      <c r="I1198" s="39">
        <f>Orders!I1198</f>
        <v>9870.4</v>
      </c>
      <c r="J1198" t="str">
        <f>Orders!J1198</f>
        <v>Completed</v>
      </c>
      <c r="K1198" t="str">
        <f>Orders!K1198</f>
        <v>Bengaluru</v>
      </c>
      <c r="L1198" t="str">
        <f>IFERROR(VLOOKUP(D1198,Products!$A$2:$F$61,3,FALSE),"")</f>
        <v>Apparel</v>
      </c>
      <c r="M1198">
        <f>IFERROR(VLOOKUP(D1198,Products!$A$2:$F$61,4,FALSE),"")</f>
        <v>1173</v>
      </c>
      <c r="N1198" t="str">
        <f>IFERROR(VLOOKUP(E1198,Sales_Reps!$A$2:$E$31,3,FALSE),"")</f>
        <v>South</v>
      </c>
      <c r="O1198" t="str">
        <f>IFERROR(VLOOKUP(C1198,Customers!$A$2:$F$301,5,FALSE),"")</f>
        <v>Retail</v>
      </c>
      <c r="P1198">
        <f>IFERROR(VLOOKUP(C1198,Customers!$A$2:$F$301,3,FALSE),"")</f>
        <v>29</v>
      </c>
      <c r="Q1198" s="41">
        <f t="shared" si="27"/>
        <v>0.52701612903225803</v>
      </c>
      <c r="R1198" t="str">
        <f>IFERROR(VLOOKUP(C1198,Customers!$A$2:$F$301,1,FALSE),"")</f>
        <v>CUST-0270</v>
      </c>
      <c r="S1198" s="27" t="b">
        <f>IFERROR(VLOOKUP(D1198,Products!$A$2:$F$61,6,FALSE),"")</f>
        <v>1</v>
      </c>
      <c r="BL1198">
        <v>0</v>
      </c>
      <c r="BO1198">
        <v>0</v>
      </c>
      <c r="BP1198">
        <v>0</v>
      </c>
    </row>
    <row r="1199" spans="1:68" x14ac:dyDescent="0.35">
      <c r="A1199" s="26" t="str">
        <f>Orders!A1199</f>
        <v>ORD-01198</v>
      </c>
      <c r="B1199" s="33">
        <f>Orders!B1199</f>
        <v>45334</v>
      </c>
      <c r="C1199" t="str">
        <f>Orders!C1199</f>
        <v>CUST-0175</v>
      </c>
      <c r="D1199" t="str">
        <f>Orders!D1199</f>
        <v>PROD-060</v>
      </c>
      <c r="E1199" t="str">
        <f>Orders!E1199</f>
        <v>R010</v>
      </c>
      <c r="F1199">
        <f>Orders!F1199</f>
        <v>4</v>
      </c>
      <c r="G1199" s="35">
        <f>Orders!G1199</f>
        <v>190</v>
      </c>
      <c r="H1199" s="37">
        <f>Orders!H1199</f>
        <v>2.6</v>
      </c>
      <c r="I1199" s="39">
        <f>Orders!I1199</f>
        <v>740.24</v>
      </c>
      <c r="J1199" t="str">
        <f>Orders!J1199</f>
        <v>Completed</v>
      </c>
      <c r="K1199" t="str">
        <f>Orders!K1199</f>
        <v>Delhi</v>
      </c>
      <c r="L1199" t="str">
        <f>IFERROR(VLOOKUP(D1199,Products!$A$2:$F$61,3,FALSE),"")</f>
        <v>Sports</v>
      </c>
      <c r="M1199">
        <f>IFERROR(VLOOKUP(D1199,Products!$A$2:$F$61,4,FALSE),"")</f>
        <v>147</v>
      </c>
      <c r="N1199" t="str">
        <f>IFERROR(VLOOKUP(E1199,Sales_Reps!$A$2:$E$31,3,FALSE),"")</f>
        <v>South</v>
      </c>
      <c r="O1199" t="str">
        <f>IFERROR(VLOOKUP(C1199,Customers!$A$2:$F$301,5,FALSE),"")</f>
        <v>Corporate</v>
      </c>
      <c r="P1199">
        <f>IFERROR(VLOOKUP(C1199,Customers!$A$2:$F$301,3,FALSE),"")</f>
        <v>55</v>
      </c>
      <c r="Q1199" s="41">
        <f t="shared" si="27"/>
        <v>0.22631578947368422</v>
      </c>
      <c r="R1199" t="str">
        <f>IFERROR(VLOOKUP(C1199,Customers!$A$2:$F$301,1,FALSE),"")</f>
        <v>CUST-0175</v>
      </c>
      <c r="S1199" s="27" t="b">
        <f>IFERROR(VLOOKUP(D1199,Products!$A$2:$F$61,6,FALSE),"")</f>
        <v>1</v>
      </c>
      <c r="BL1199">
        <v>0</v>
      </c>
      <c r="BO1199">
        <v>0</v>
      </c>
      <c r="BP1199">
        <v>0</v>
      </c>
    </row>
    <row r="1200" spans="1:68" x14ac:dyDescent="0.35">
      <c r="A1200" s="26" t="str">
        <f>Orders!A1200</f>
        <v>ORD-01199</v>
      </c>
      <c r="B1200" s="33">
        <f>Orders!B1200</f>
        <v>45300</v>
      </c>
      <c r="C1200" t="str">
        <f>Orders!C1200</f>
        <v>CUST-0227</v>
      </c>
      <c r="D1200" t="str">
        <f>Orders!D1200</f>
        <v>PROD-022</v>
      </c>
      <c r="E1200" t="str">
        <f>Orders!E1200</f>
        <v>R020</v>
      </c>
      <c r="F1200">
        <f>Orders!F1200</f>
        <v>4</v>
      </c>
      <c r="G1200" s="35">
        <f>Orders!G1200</f>
        <v>2270</v>
      </c>
      <c r="H1200" s="37">
        <f>Orders!H1200</f>
        <v>8.1</v>
      </c>
      <c r="I1200" s="39">
        <f>Orders!I1200</f>
        <v>8344.52</v>
      </c>
      <c r="J1200" t="str">
        <f>Orders!J1200</f>
        <v>Pending</v>
      </c>
      <c r="K1200" t="str">
        <f>Orders!K1200</f>
        <v>Bengaluru</v>
      </c>
      <c r="L1200" t="str">
        <f>IFERROR(VLOOKUP(D1200,Products!$A$2:$F$61,3,FALSE),"")</f>
        <v>Grocery</v>
      </c>
      <c r="M1200">
        <f>IFERROR(VLOOKUP(D1200,Products!$A$2:$F$61,4,FALSE),"")</f>
        <v>1412</v>
      </c>
      <c r="N1200" t="str">
        <f>IFERROR(VLOOKUP(E1200,Sales_Reps!$A$2:$E$31,3,FALSE),"")</f>
        <v>East</v>
      </c>
      <c r="O1200" t="str">
        <f>IFERROR(VLOOKUP(C1200,Customers!$A$2:$F$301,5,FALSE),"")</f>
        <v>SMB</v>
      </c>
      <c r="P1200">
        <f>IFERROR(VLOOKUP(C1200,Customers!$A$2:$F$301,3,FALSE),"")</f>
        <v>44</v>
      </c>
      <c r="Q1200" s="41">
        <f t="shared" si="27"/>
        <v>0.37797356828193834</v>
      </c>
      <c r="R1200" t="str">
        <f>IFERROR(VLOOKUP(C1200,Customers!$A$2:$F$301,1,FALSE),"")</f>
        <v>CUST-0227</v>
      </c>
      <c r="S1200" s="27" t="b">
        <f>IFERROR(VLOOKUP(D1200,Products!$A$2:$F$61,6,FALSE),"")</f>
        <v>1</v>
      </c>
      <c r="BL1200">
        <v>0</v>
      </c>
      <c r="BO1200">
        <v>0</v>
      </c>
      <c r="BP1200">
        <v>0</v>
      </c>
    </row>
    <row r="1201" spans="1:68" x14ac:dyDescent="0.35">
      <c r="A1201" s="26" t="str">
        <f>Orders!A1201</f>
        <v>ORD-01200</v>
      </c>
      <c r="B1201" s="33">
        <f>Orders!B1201</f>
        <v>45400</v>
      </c>
      <c r="C1201" t="str">
        <f>Orders!C1201</f>
        <v>CUST-0041</v>
      </c>
      <c r="D1201" t="str">
        <f>Orders!D1201</f>
        <v>PROD-017</v>
      </c>
      <c r="E1201" t="str">
        <f>Orders!E1201</f>
        <v>R028</v>
      </c>
      <c r="F1201">
        <f>Orders!F1201</f>
        <v>7</v>
      </c>
      <c r="G1201" s="35">
        <f>Orders!G1201</f>
        <v>2510</v>
      </c>
      <c r="H1201" s="37">
        <f>Orders!H1201</f>
        <v>25.5</v>
      </c>
      <c r="I1201" s="39">
        <f>Orders!I1201</f>
        <v>13089.65</v>
      </c>
      <c r="J1201" t="str">
        <f>Orders!J1201</f>
        <v>Completed</v>
      </c>
      <c r="K1201" t="str">
        <f>Orders!K1201</f>
        <v>Bengaluru</v>
      </c>
      <c r="L1201" t="str">
        <f>IFERROR(VLOOKUP(D1201,Products!$A$2:$F$61,3,FALSE),"")</f>
        <v>Apparel</v>
      </c>
      <c r="M1201">
        <f>IFERROR(VLOOKUP(D1201,Products!$A$2:$F$61,4,FALSE),"")</f>
        <v>1075</v>
      </c>
      <c r="N1201" t="str">
        <f>IFERROR(VLOOKUP(E1201,Sales_Reps!$A$2:$E$31,3,FALSE),"")</f>
        <v>West</v>
      </c>
      <c r="O1201" t="str">
        <f>IFERROR(VLOOKUP(C1201,Customers!$A$2:$F$301,5,FALSE),"")</f>
        <v>SMB</v>
      </c>
      <c r="P1201">
        <f>IFERROR(VLOOKUP(C1201,Customers!$A$2:$F$301,3,FALSE),"")</f>
        <v>26</v>
      </c>
      <c r="Q1201" s="41">
        <f t="shared" si="27"/>
        <v>0.57171314741035861</v>
      </c>
      <c r="R1201" t="str">
        <f>IFERROR(VLOOKUP(C1201,Customers!$A$2:$F$301,1,FALSE),"")</f>
        <v>CUST-0041</v>
      </c>
      <c r="S1201" s="27" t="b">
        <f>IFERROR(VLOOKUP(D1201,Products!$A$2:$F$61,6,FALSE),"")</f>
        <v>0</v>
      </c>
      <c r="BL1201">
        <v>0</v>
      </c>
      <c r="BO1201">
        <v>0</v>
      </c>
      <c r="BP1201">
        <v>1</v>
      </c>
    </row>
    <row r="1202" spans="1:68" x14ac:dyDescent="0.35">
      <c r="A1202" s="26" t="str">
        <f>Orders!A1202</f>
        <v>ORD-01201</v>
      </c>
      <c r="B1202" s="33">
        <f>Orders!B1202</f>
        <v>45423</v>
      </c>
      <c r="C1202" t="str">
        <f>Orders!C1202</f>
        <v>CUST-0147</v>
      </c>
      <c r="D1202" t="str">
        <f>Orders!D1202</f>
        <v>PROD-059</v>
      </c>
      <c r="E1202" t="str">
        <f>Orders!E1202</f>
        <v>R004</v>
      </c>
      <c r="F1202">
        <f>Orders!F1202</f>
        <v>3</v>
      </c>
      <c r="G1202" s="35">
        <f>Orders!G1202</f>
        <v>3780</v>
      </c>
      <c r="H1202" s="37">
        <f>Orders!H1202</f>
        <v>16.8</v>
      </c>
      <c r="I1202" s="39">
        <f>Orders!I1202</f>
        <v>9434.8799999999992</v>
      </c>
      <c r="J1202" t="str">
        <f>Orders!J1202</f>
        <v>Completed</v>
      </c>
      <c r="K1202" t="str">
        <f>Orders!K1202</f>
        <v>Pune</v>
      </c>
      <c r="L1202" t="str">
        <f>IFERROR(VLOOKUP(D1202,Products!$A$2:$F$61,3,FALSE),"")</f>
        <v>Sports</v>
      </c>
      <c r="M1202">
        <f>IFERROR(VLOOKUP(D1202,Products!$A$2:$F$61,4,FALSE),"")</f>
        <v>1860</v>
      </c>
      <c r="N1202" t="str">
        <f>IFERROR(VLOOKUP(E1202,Sales_Reps!$A$2:$E$31,3,FALSE),"")</f>
        <v>North</v>
      </c>
      <c r="O1202" t="str">
        <f>IFERROR(VLOOKUP(C1202,Customers!$A$2:$F$301,5,FALSE),"")</f>
        <v>Retail</v>
      </c>
      <c r="P1202">
        <f>IFERROR(VLOOKUP(C1202,Customers!$A$2:$F$301,3,FALSE),"")</f>
        <v>56</v>
      </c>
      <c r="Q1202" s="41">
        <f t="shared" si="27"/>
        <v>0.50793650793650791</v>
      </c>
      <c r="R1202" t="str">
        <f>IFERROR(VLOOKUP(C1202,Customers!$A$2:$F$301,1,FALSE),"")</f>
        <v>CUST-0147</v>
      </c>
      <c r="S1202" s="27" t="b">
        <f>IFERROR(VLOOKUP(D1202,Products!$A$2:$F$61,6,FALSE),"")</f>
        <v>1</v>
      </c>
      <c r="BL1202">
        <v>0</v>
      </c>
      <c r="BO1202">
        <v>0</v>
      </c>
      <c r="BP1202">
        <v>0</v>
      </c>
    </row>
    <row r="1203" spans="1:68" x14ac:dyDescent="0.35">
      <c r="A1203" s="26" t="str">
        <f>Orders!A1203</f>
        <v>ORD-01202</v>
      </c>
      <c r="B1203" s="33">
        <f>Orders!B1203</f>
        <v>45518</v>
      </c>
      <c r="C1203" t="str">
        <f>Orders!C1203</f>
        <v>CUST-0185</v>
      </c>
      <c r="D1203" t="str">
        <f>Orders!D1203</f>
        <v>PROD-003</v>
      </c>
      <c r="E1203" t="str">
        <f>Orders!E1203</f>
        <v>R010</v>
      </c>
      <c r="F1203">
        <f>Orders!F1203</f>
        <v>7</v>
      </c>
      <c r="G1203" s="35">
        <f>Orders!G1203</f>
        <v>3570</v>
      </c>
      <c r="H1203" s="37">
        <f>Orders!H1203</f>
        <v>23.7</v>
      </c>
      <c r="I1203" s="39">
        <f>Orders!I1203</f>
        <v>19067.37</v>
      </c>
      <c r="J1203" t="str">
        <f>Orders!J1203</f>
        <v>Completed</v>
      </c>
      <c r="K1203" t="str">
        <f>Orders!K1203</f>
        <v>Hyderabad</v>
      </c>
      <c r="L1203" t="str">
        <f>IFERROR(VLOOKUP(D1203,Products!$A$2:$F$61,3,FALSE),"")</f>
        <v>Electronics</v>
      </c>
      <c r="M1203">
        <f>IFERROR(VLOOKUP(D1203,Products!$A$2:$F$61,4,FALSE),"")</f>
        <v>1665</v>
      </c>
      <c r="N1203" t="str">
        <f>IFERROR(VLOOKUP(E1203,Sales_Reps!$A$2:$E$31,3,FALSE),"")</f>
        <v>South</v>
      </c>
      <c r="O1203" t="str">
        <f>IFERROR(VLOOKUP(C1203,Customers!$A$2:$F$301,5,FALSE),"")</f>
        <v>SMB</v>
      </c>
      <c r="P1203">
        <f>IFERROR(VLOOKUP(C1203,Customers!$A$2:$F$301,3,FALSE),"")</f>
        <v>43</v>
      </c>
      <c r="Q1203" s="41">
        <f t="shared" si="27"/>
        <v>0.53361344537815125</v>
      </c>
      <c r="R1203" t="str">
        <f>IFERROR(VLOOKUP(C1203,Customers!$A$2:$F$301,1,FALSE),"")</f>
        <v>CUST-0185</v>
      </c>
      <c r="S1203" s="27" t="b">
        <f>IFERROR(VLOOKUP(D1203,Products!$A$2:$F$61,6,FALSE),"")</f>
        <v>1</v>
      </c>
      <c r="BL1203">
        <v>0</v>
      </c>
      <c r="BO1203">
        <v>0</v>
      </c>
      <c r="BP1203">
        <v>0</v>
      </c>
    </row>
    <row r="1204" spans="1:68" x14ac:dyDescent="0.35">
      <c r="A1204" s="26" t="str">
        <f>Orders!A1204</f>
        <v>ORD-01203</v>
      </c>
      <c r="B1204" s="33">
        <f>Orders!B1204</f>
        <v>45559</v>
      </c>
      <c r="C1204" t="str">
        <f>Orders!C1204</f>
        <v>CUST-0210</v>
      </c>
      <c r="D1204" t="str">
        <f>Orders!D1204</f>
        <v>PROD-037</v>
      </c>
      <c r="E1204" t="str">
        <f>Orders!E1204</f>
        <v>R011</v>
      </c>
      <c r="F1204">
        <f>Orders!F1204</f>
        <v>4</v>
      </c>
      <c r="G1204" s="35">
        <f>Orders!G1204</f>
        <v>660</v>
      </c>
      <c r="H1204" s="37">
        <f>Orders!H1204</f>
        <v>3.6</v>
      </c>
      <c r="I1204" s="39">
        <f>Orders!I1204</f>
        <v>2544.96</v>
      </c>
      <c r="J1204" t="str">
        <f>Orders!J1204</f>
        <v>Completed</v>
      </c>
      <c r="K1204" t="str">
        <f>Orders!K1204</f>
        <v>Pune</v>
      </c>
      <c r="L1204" t="str">
        <f>IFERROR(VLOOKUP(D1204,Products!$A$2:$F$61,3,FALSE),"")</f>
        <v>Home</v>
      </c>
      <c r="M1204">
        <f>IFERROR(VLOOKUP(D1204,Products!$A$2:$F$61,4,FALSE),"")</f>
        <v>329</v>
      </c>
      <c r="N1204" t="str">
        <f>IFERROR(VLOOKUP(E1204,Sales_Reps!$A$2:$E$31,3,FALSE),"")</f>
        <v>South</v>
      </c>
      <c r="O1204" t="str">
        <f>IFERROR(VLOOKUP(C1204,Customers!$A$2:$F$301,5,FALSE),"")</f>
        <v>Corporate</v>
      </c>
      <c r="P1204">
        <f>IFERROR(VLOOKUP(C1204,Customers!$A$2:$F$301,3,FALSE),"")</f>
        <v>48</v>
      </c>
      <c r="Q1204" s="41">
        <f t="shared" si="27"/>
        <v>0.50151515151515147</v>
      </c>
      <c r="R1204" t="str">
        <f>IFERROR(VLOOKUP(C1204,Customers!$A$2:$F$301,1,FALSE),"")</f>
        <v>CUST-0210</v>
      </c>
      <c r="S1204" s="27" t="b">
        <f>IFERROR(VLOOKUP(D1204,Products!$A$2:$F$61,6,FALSE),"")</f>
        <v>1</v>
      </c>
      <c r="BL1204">
        <v>0</v>
      </c>
      <c r="BO1204">
        <v>0</v>
      </c>
      <c r="BP1204">
        <v>0</v>
      </c>
    </row>
    <row r="1205" spans="1:68" x14ac:dyDescent="0.35">
      <c r="A1205" s="26" t="str">
        <f>Orders!A1205</f>
        <v>ORD-01204</v>
      </c>
      <c r="B1205" s="33">
        <f>Orders!B1205</f>
        <v>45501</v>
      </c>
      <c r="C1205" t="str">
        <f>Orders!C1205</f>
        <v>CUST-0289</v>
      </c>
      <c r="D1205" t="str">
        <f>Orders!D1205</f>
        <v>PROD-030</v>
      </c>
      <c r="E1205" t="str">
        <f>Orders!E1205</f>
        <v>R010</v>
      </c>
      <c r="F1205">
        <f>Orders!F1205</f>
        <v>7</v>
      </c>
      <c r="G1205" s="35">
        <f>Orders!G1205</f>
        <v>970</v>
      </c>
      <c r="H1205" s="37">
        <f>Orders!H1205</f>
        <v>23.7</v>
      </c>
      <c r="I1205" s="39">
        <f>Orders!I1205</f>
        <v>5180.7700000000004</v>
      </c>
      <c r="J1205" t="str">
        <f>Orders!J1205</f>
        <v>Completed</v>
      </c>
      <c r="K1205" t="str">
        <f>Orders!K1205</f>
        <v>Mumbai</v>
      </c>
      <c r="L1205" t="str">
        <f>IFERROR(VLOOKUP(D1205,Products!$A$2:$F$61,3,FALSE),"")</f>
        <v>Grocery</v>
      </c>
      <c r="M1205">
        <f>IFERROR(VLOOKUP(D1205,Products!$A$2:$F$61,4,FALSE),"")</f>
        <v>434</v>
      </c>
      <c r="N1205" t="str">
        <f>IFERROR(VLOOKUP(E1205,Sales_Reps!$A$2:$E$31,3,FALSE),"")</f>
        <v>South</v>
      </c>
      <c r="O1205" t="str">
        <f>IFERROR(VLOOKUP(C1205,Customers!$A$2:$F$301,5,FALSE),"")</f>
        <v>Retail</v>
      </c>
      <c r="P1205">
        <f>IFERROR(VLOOKUP(C1205,Customers!$A$2:$F$301,3,FALSE),"")</f>
        <v>54</v>
      </c>
      <c r="Q1205" s="41">
        <f t="shared" si="27"/>
        <v>0.5525773195876289</v>
      </c>
      <c r="R1205" t="str">
        <f>IFERROR(VLOOKUP(C1205,Customers!$A$2:$F$301,1,FALSE),"")</f>
        <v>CUST-0289</v>
      </c>
      <c r="S1205" s="27" t="b">
        <f>IFERROR(VLOOKUP(D1205,Products!$A$2:$F$61,6,FALSE),"")</f>
        <v>1</v>
      </c>
      <c r="BL1205">
        <v>0</v>
      </c>
      <c r="BO1205">
        <v>0</v>
      </c>
      <c r="BP1205">
        <v>0</v>
      </c>
    </row>
    <row r="1206" spans="1:68" x14ac:dyDescent="0.35">
      <c r="A1206" s="26" t="str">
        <f>Orders!A1206</f>
        <v>ORD-01205</v>
      </c>
      <c r="B1206" s="33">
        <f>Orders!B1206</f>
        <v>45338</v>
      </c>
      <c r="C1206" t="str">
        <f>Orders!C1206</f>
        <v>CUST-0017</v>
      </c>
      <c r="D1206" t="str">
        <f>Orders!D1206</f>
        <v>PROD-024</v>
      </c>
      <c r="E1206" t="str">
        <f>Orders!E1206</f>
        <v>R006</v>
      </c>
      <c r="F1206">
        <f>Orders!F1206</f>
        <v>8</v>
      </c>
      <c r="G1206" s="35">
        <f>Orders!G1206</f>
        <v>2270</v>
      </c>
      <c r="H1206" s="37">
        <f>Orders!H1206</f>
        <v>6.8</v>
      </c>
      <c r="I1206" s="39">
        <f>Orders!I1206</f>
        <v>16925.12</v>
      </c>
      <c r="J1206" t="str">
        <f>Orders!J1206</f>
        <v>Completed</v>
      </c>
      <c r="K1206" t="str">
        <f>Orders!K1206</f>
        <v>Delhi</v>
      </c>
      <c r="L1206" t="str">
        <f>IFERROR(VLOOKUP(D1206,Products!$A$2:$F$61,3,FALSE),"")</f>
        <v>Grocery</v>
      </c>
      <c r="M1206">
        <f>IFERROR(VLOOKUP(D1206,Products!$A$2:$F$61,4,FALSE),"")</f>
        <v>1203</v>
      </c>
      <c r="N1206" t="str">
        <f>IFERROR(VLOOKUP(E1206,Sales_Reps!$A$2:$E$31,3,FALSE),"")</f>
        <v>North</v>
      </c>
      <c r="O1206" t="str">
        <f>IFERROR(VLOOKUP(C1206,Customers!$A$2:$F$301,5,FALSE),"")</f>
        <v>SMB</v>
      </c>
      <c r="P1206">
        <f>IFERROR(VLOOKUP(C1206,Customers!$A$2:$F$301,3,FALSE),"")</f>
        <v>38</v>
      </c>
      <c r="Q1206" s="41">
        <f t="shared" si="27"/>
        <v>0.47004405286343615</v>
      </c>
      <c r="R1206" t="str">
        <f>IFERROR(VLOOKUP(C1206,Customers!$A$2:$F$301,1,FALSE),"")</f>
        <v>CUST-0017</v>
      </c>
      <c r="S1206" s="27" t="b">
        <f>IFERROR(VLOOKUP(D1206,Products!$A$2:$F$61,6,FALSE),"")</f>
        <v>1</v>
      </c>
      <c r="BL1206">
        <v>0</v>
      </c>
      <c r="BO1206">
        <v>0</v>
      </c>
      <c r="BP1206">
        <v>0</v>
      </c>
    </row>
    <row r="1207" spans="1:68" x14ac:dyDescent="0.35">
      <c r="A1207" s="26" t="str">
        <f>Orders!A1207</f>
        <v>ORD-01206</v>
      </c>
      <c r="B1207" s="33">
        <f>Orders!B1207</f>
        <v>45585</v>
      </c>
      <c r="C1207" t="str">
        <f>Orders!C1207</f>
        <v>CUST-0115</v>
      </c>
      <c r="D1207" t="str">
        <f>Orders!D1207</f>
        <v>PROD-058</v>
      </c>
      <c r="E1207" t="str">
        <f>Orders!E1207</f>
        <v>R012</v>
      </c>
      <c r="F1207">
        <f>Orders!F1207</f>
        <v>1</v>
      </c>
      <c r="G1207" s="35">
        <f>Orders!G1207</f>
        <v>2400</v>
      </c>
      <c r="H1207" s="37">
        <f>Orders!H1207</f>
        <v>26.5</v>
      </c>
      <c r="I1207" s="39">
        <f>Orders!I1207</f>
        <v>1764</v>
      </c>
      <c r="J1207" t="str">
        <f>Orders!J1207</f>
        <v>Completed</v>
      </c>
      <c r="K1207" t="str">
        <f>Orders!K1207</f>
        <v>Mumbai</v>
      </c>
      <c r="L1207" t="str">
        <f>IFERROR(VLOOKUP(D1207,Products!$A$2:$F$61,3,FALSE),"")</f>
        <v>Sports</v>
      </c>
      <c r="M1207">
        <f>IFERROR(VLOOKUP(D1207,Products!$A$2:$F$61,4,FALSE),"")</f>
        <v>974</v>
      </c>
      <c r="N1207" t="str">
        <f>IFERROR(VLOOKUP(E1207,Sales_Reps!$A$2:$E$31,3,FALSE),"")</f>
        <v>South</v>
      </c>
      <c r="O1207" t="str">
        <f>IFERROR(VLOOKUP(C1207,Customers!$A$2:$F$301,5,FALSE),"")</f>
        <v>SMB</v>
      </c>
      <c r="P1207">
        <f>IFERROR(VLOOKUP(C1207,Customers!$A$2:$F$301,3,FALSE),"")</f>
        <v>65</v>
      </c>
      <c r="Q1207" s="41">
        <f t="shared" si="27"/>
        <v>0.59416666666666662</v>
      </c>
      <c r="R1207" t="str">
        <f>IFERROR(VLOOKUP(C1207,Customers!$A$2:$F$301,1,FALSE),"")</f>
        <v>CUST-0115</v>
      </c>
      <c r="S1207" s="27" t="b">
        <f>IFERROR(VLOOKUP(D1207,Products!$A$2:$F$61,6,FALSE),"")</f>
        <v>1</v>
      </c>
      <c r="BL1207">
        <v>0</v>
      </c>
      <c r="BO1207">
        <v>0</v>
      </c>
      <c r="BP1207">
        <v>0</v>
      </c>
    </row>
    <row r="1208" spans="1:68" x14ac:dyDescent="0.35">
      <c r="A1208" s="26" t="str">
        <f>Orders!A1208</f>
        <v>ORD-01207</v>
      </c>
      <c r="B1208" s="33">
        <f>Orders!B1208</f>
        <v>45525</v>
      </c>
      <c r="C1208" t="str">
        <f>Orders!C1208</f>
        <v>CUST-0183</v>
      </c>
      <c r="D1208" t="str">
        <f>Orders!D1208</f>
        <v>PROD-034</v>
      </c>
      <c r="E1208" t="str">
        <f>Orders!E1208</f>
        <v>R010</v>
      </c>
      <c r="F1208">
        <f>Orders!F1208</f>
        <v>5</v>
      </c>
      <c r="G1208" s="35">
        <f>Orders!G1208</f>
        <v>5080</v>
      </c>
      <c r="H1208" s="37">
        <f>Orders!H1208</f>
        <v>29.6</v>
      </c>
      <c r="I1208" s="39">
        <f>Orders!I1208</f>
        <v>17881.599999999999</v>
      </c>
      <c r="J1208" t="str">
        <f>Orders!J1208</f>
        <v>Completed</v>
      </c>
      <c r="K1208" t="str">
        <f>Orders!K1208</f>
        <v>Mumbai</v>
      </c>
      <c r="L1208" t="str">
        <f>IFERROR(VLOOKUP(D1208,Products!$A$2:$F$61,3,FALSE),"")</f>
        <v>Home</v>
      </c>
      <c r="M1208">
        <f>IFERROR(VLOOKUP(D1208,Products!$A$2:$F$61,4,FALSE),"")</f>
        <v>2459</v>
      </c>
      <c r="N1208" t="str">
        <f>IFERROR(VLOOKUP(E1208,Sales_Reps!$A$2:$E$31,3,FALSE),"")</f>
        <v>South</v>
      </c>
      <c r="O1208" t="str">
        <f>IFERROR(VLOOKUP(C1208,Customers!$A$2:$F$301,5,FALSE),"")</f>
        <v>SMB</v>
      </c>
      <c r="P1208">
        <f>IFERROR(VLOOKUP(C1208,Customers!$A$2:$F$301,3,FALSE),"")</f>
        <v>27</v>
      </c>
      <c r="Q1208" s="41">
        <f t="shared" si="27"/>
        <v>0.51594488188976373</v>
      </c>
      <c r="R1208" t="str">
        <f>IFERROR(VLOOKUP(C1208,Customers!$A$2:$F$301,1,FALSE),"")</f>
        <v>CUST-0183</v>
      </c>
      <c r="S1208" s="27" t="b">
        <f>IFERROR(VLOOKUP(D1208,Products!$A$2:$F$61,6,FALSE),"")</f>
        <v>1</v>
      </c>
      <c r="BL1208">
        <v>0</v>
      </c>
      <c r="BO1208">
        <v>0</v>
      </c>
      <c r="BP1208">
        <v>0</v>
      </c>
    </row>
    <row r="1209" spans="1:68" x14ac:dyDescent="0.35">
      <c r="A1209" s="26" t="str">
        <f>Orders!A1209</f>
        <v>ORD-01208</v>
      </c>
      <c r="B1209" s="33">
        <f>Orders!B1209</f>
        <v>45351</v>
      </c>
      <c r="C1209" t="str">
        <f>Orders!C1209</f>
        <v>CUST-0193</v>
      </c>
      <c r="D1209" t="str">
        <f>Orders!D1209</f>
        <v>PROD-043</v>
      </c>
      <c r="E1209" t="str">
        <f>Orders!E1209</f>
        <v>R014</v>
      </c>
      <c r="F1209">
        <f>Orders!F1209</f>
        <v>9</v>
      </c>
      <c r="G1209" s="35">
        <f>Orders!G1209</f>
        <v>3350</v>
      </c>
      <c r="H1209" s="37">
        <f>Orders!H1209</f>
        <v>6.2</v>
      </c>
      <c r="I1209" s="39">
        <f>Orders!I1209</f>
        <v>28280.7</v>
      </c>
      <c r="J1209" t="str">
        <f>Orders!J1209</f>
        <v>Completed</v>
      </c>
      <c r="K1209" t="str">
        <f>Orders!K1209</f>
        <v>Bengaluru</v>
      </c>
      <c r="L1209" t="str">
        <f>IFERROR(VLOOKUP(D1209,Products!$A$2:$F$61,3,FALSE),"")</f>
        <v>Beauty</v>
      </c>
      <c r="M1209">
        <f>IFERROR(VLOOKUP(D1209,Products!$A$2:$F$61,4,FALSE),"")</f>
        <v>1728</v>
      </c>
      <c r="N1209" t="str">
        <f>IFERROR(VLOOKUP(E1209,Sales_Reps!$A$2:$E$31,3,FALSE),"")</f>
        <v>South</v>
      </c>
      <c r="O1209" t="str">
        <f>IFERROR(VLOOKUP(C1209,Customers!$A$2:$F$301,5,FALSE),"")</f>
        <v>Retail</v>
      </c>
      <c r="P1209">
        <f>IFERROR(VLOOKUP(C1209,Customers!$A$2:$F$301,3,FALSE),"")</f>
        <v>42</v>
      </c>
      <c r="Q1209" s="41">
        <f t="shared" si="27"/>
        <v>0.48417910447761192</v>
      </c>
      <c r="R1209" t="str">
        <f>IFERROR(VLOOKUP(C1209,Customers!$A$2:$F$301,1,FALSE),"")</f>
        <v>CUST-0193</v>
      </c>
      <c r="S1209" s="27" t="b">
        <f>IFERROR(VLOOKUP(D1209,Products!$A$2:$F$61,6,FALSE),"")</f>
        <v>1</v>
      </c>
      <c r="BL1209">
        <v>0</v>
      </c>
      <c r="BO1209">
        <v>0</v>
      </c>
      <c r="BP1209">
        <v>0</v>
      </c>
    </row>
    <row r="1210" spans="1:68" x14ac:dyDescent="0.35">
      <c r="A1210" s="26" t="str">
        <f>Orders!A1210</f>
        <v>ORD-01209</v>
      </c>
      <c r="B1210" s="33">
        <f>Orders!B1210</f>
        <v>45560</v>
      </c>
      <c r="C1210" t="str">
        <f>Orders!C1210</f>
        <v>CUST-0019</v>
      </c>
      <c r="D1210" t="str">
        <f>Orders!D1210</f>
        <v>PROD-041</v>
      </c>
      <c r="E1210" t="str">
        <f>Orders!E1210</f>
        <v>R001</v>
      </c>
      <c r="F1210">
        <f>Orders!F1210</f>
        <v>4</v>
      </c>
      <c r="G1210" s="35">
        <f>Orders!G1210</f>
        <v>1540</v>
      </c>
      <c r="H1210" s="37">
        <f>Orders!H1210</f>
        <v>22.2</v>
      </c>
      <c r="I1210" s="39">
        <f>Orders!I1210</f>
        <v>4792.4799999999996</v>
      </c>
      <c r="J1210" t="str">
        <f>Orders!J1210</f>
        <v>Completed</v>
      </c>
      <c r="K1210" t="str">
        <f>Orders!K1210</f>
        <v>Chennai</v>
      </c>
      <c r="L1210" t="str">
        <f>IFERROR(VLOOKUP(D1210,Products!$A$2:$F$61,3,FALSE),"")</f>
        <v>Beauty</v>
      </c>
      <c r="M1210">
        <f>IFERROR(VLOOKUP(D1210,Products!$A$2:$F$61,4,FALSE),"")</f>
        <v>647</v>
      </c>
      <c r="N1210" t="str">
        <f>IFERROR(VLOOKUP(E1210,Sales_Reps!$A$2:$E$31,3,FALSE),"")</f>
        <v>North</v>
      </c>
      <c r="O1210" t="str">
        <f>IFERROR(VLOOKUP(C1210,Customers!$A$2:$F$301,5,FALSE),"")</f>
        <v>Retail</v>
      </c>
      <c r="P1210">
        <f>IFERROR(VLOOKUP(C1210,Customers!$A$2:$F$301,3,FALSE),"")</f>
        <v>22</v>
      </c>
      <c r="Q1210" s="41">
        <f t="shared" si="27"/>
        <v>0.57987012987012987</v>
      </c>
      <c r="R1210" t="str">
        <f>IFERROR(VLOOKUP(C1210,Customers!$A$2:$F$301,1,FALSE),"")</f>
        <v>CUST-0019</v>
      </c>
      <c r="S1210" s="27" t="b">
        <f>IFERROR(VLOOKUP(D1210,Products!$A$2:$F$61,6,FALSE),"")</f>
        <v>0</v>
      </c>
      <c r="BL1210">
        <v>0</v>
      </c>
      <c r="BO1210">
        <v>0</v>
      </c>
      <c r="BP1210">
        <v>1</v>
      </c>
    </row>
    <row r="1211" spans="1:68" x14ac:dyDescent="0.35">
      <c r="A1211" s="26" t="str">
        <f>Orders!A1211</f>
        <v>ORD-01210</v>
      </c>
      <c r="B1211" s="33">
        <f>Orders!B1211</f>
        <v>45431</v>
      </c>
      <c r="C1211" t="str">
        <f>Orders!C1211</f>
        <v>CUST-0097</v>
      </c>
      <c r="D1211" t="str">
        <f>Orders!D1211</f>
        <v>PROD-034</v>
      </c>
      <c r="E1211" t="str">
        <f>Orders!E1211</f>
        <v>R002</v>
      </c>
      <c r="F1211">
        <f>Orders!F1211</f>
        <v>10</v>
      </c>
      <c r="G1211" s="35">
        <f>Orders!G1211</f>
        <v>5080</v>
      </c>
      <c r="H1211" s="37">
        <f>Orders!H1211</f>
        <v>11.8</v>
      </c>
      <c r="I1211" s="39">
        <f>Orders!I1211</f>
        <v>44805.599999999999</v>
      </c>
      <c r="J1211" t="str">
        <f>Orders!J1211</f>
        <v>Completed</v>
      </c>
      <c r="K1211" t="str">
        <f>Orders!K1211</f>
        <v>Mumbai</v>
      </c>
      <c r="L1211" t="str">
        <f>IFERROR(VLOOKUP(D1211,Products!$A$2:$F$61,3,FALSE),"")</f>
        <v>Home</v>
      </c>
      <c r="M1211">
        <f>IFERROR(VLOOKUP(D1211,Products!$A$2:$F$61,4,FALSE),"")</f>
        <v>2459</v>
      </c>
      <c r="N1211" t="str">
        <f>IFERROR(VLOOKUP(E1211,Sales_Reps!$A$2:$E$31,3,FALSE),"")</f>
        <v>North</v>
      </c>
      <c r="O1211" t="str">
        <f>IFERROR(VLOOKUP(C1211,Customers!$A$2:$F$301,5,FALSE),"")</f>
        <v>Retail</v>
      </c>
      <c r="P1211">
        <f>IFERROR(VLOOKUP(C1211,Customers!$A$2:$F$301,3,FALSE),"")</f>
        <v>65</v>
      </c>
      <c r="Q1211" s="41">
        <f t="shared" si="27"/>
        <v>0.51594488188976373</v>
      </c>
      <c r="R1211" t="str">
        <f>IFERROR(VLOOKUP(C1211,Customers!$A$2:$F$301,1,FALSE),"")</f>
        <v>CUST-0097</v>
      </c>
      <c r="S1211" s="27" t="b">
        <f>IFERROR(VLOOKUP(D1211,Products!$A$2:$F$61,6,FALSE),"")</f>
        <v>1</v>
      </c>
      <c r="BL1211">
        <v>0</v>
      </c>
      <c r="BO1211">
        <v>0</v>
      </c>
      <c r="BP1211">
        <v>0</v>
      </c>
    </row>
    <row r="1212" spans="1:68" x14ac:dyDescent="0.35">
      <c r="A1212" s="26" t="str">
        <f>Orders!A1212</f>
        <v>ORD-01211</v>
      </c>
      <c r="B1212" s="33">
        <f>Orders!B1212</f>
        <v>45296</v>
      </c>
      <c r="C1212" t="str">
        <f>Orders!C1212</f>
        <v>CUST-0237</v>
      </c>
      <c r="D1212" t="str">
        <f>Orders!D1212</f>
        <v>PROD-018</v>
      </c>
      <c r="E1212" t="str">
        <f>Orders!E1212</f>
        <v>R012</v>
      </c>
      <c r="F1212">
        <f>Orders!F1212</f>
        <v>9</v>
      </c>
      <c r="G1212" s="35">
        <f>Orders!G1212</f>
        <v>3560</v>
      </c>
      <c r="H1212" s="37">
        <f>Orders!H1212</f>
        <v>15.9</v>
      </c>
      <c r="I1212" s="39">
        <f>Orders!I1212</f>
        <v>26945.64</v>
      </c>
      <c r="J1212" t="str">
        <f>Orders!J1212</f>
        <v>Completed</v>
      </c>
      <c r="K1212" t="str">
        <f>Orders!K1212</f>
        <v>Mumbai</v>
      </c>
      <c r="L1212" t="str">
        <f>IFERROR(VLOOKUP(D1212,Products!$A$2:$F$61,3,FALSE),"")</f>
        <v>Apparel</v>
      </c>
      <c r="M1212">
        <f>IFERROR(VLOOKUP(D1212,Products!$A$2:$F$61,4,FALSE),"")</f>
        <v>2629</v>
      </c>
      <c r="N1212" t="str">
        <f>IFERROR(VLOOKUP(E1212,Sales_Reps!$A$2:$E$31,3,FALSE),"")</f>
        <v>South</v>
      </c>
      <c r="O1212" t="str">
        <f>IFERROR(VLOOKUP(C1212,Customers!$A$2:$F$301,5,FALSE),"")</f>
        <v>Retail</v>
      </c>
      <c r="P1212">
        <f>IFERROR(VLOOKUP(C1212,Customers!$A$2:$F$301,3,FALSE),"")</f>
        <v>49</v>
      </c>
      <c r="Q1212" s="41">
        <f t="shared" si="27"/>
        <v>0.26151685393258428</v>
      </c>
      <c r="R1212" t="str">
        <f>IFERROR(VLOOKUP(C1212,Customers!$A$2:$F$301,1,FALSE),"")</f>
        <v>CUST-0237</v>
      </c>
      <c r="S1212" s="27" t="b">
        <f>IFERROR(VLOOKUP(D1212,Products!$A$2:$F$61,6,FALSE),"")</f>
        <v>1</v>
      </c>
      <c r="BL1212">
        <v>0</v>
      </c>
      <c r="BO1212">
        <v>0</v>
      </c>
      <c r="BP1212">
        <v>0</v>
      </c>
    </row>
    <row r="1213" spans="1:68" x14ac:dyDescent="0.35">
      <c r="A1213" s="26" t="str">
        <f>Orders!A1213</f>
        <v>ORD-01212</v>
      </c>
      <c r="B1213" s="33">
        <f>Orders!B1213</f>
        <v>45629</v>
      </c>
      <c r="C1213" t="str">
        <f>Orders!C1213</f>
        <v>CUST-0252</v>
      </c>
      <c r="D1213" t="str">
        <f>Orders!D1213</f>
        <v>PROD-040</v>
      </c>
      <c r="E1213" t="str">
        <f>Orders!E1213</f>
        <v>R009</v>
      </c>
      <c r="F1213">
        <f>Orders!F1213</f>
        <v>2</v>
      </c>
      <c r="G1213" s="35">
        <f>Orders!G1213</f>
        <v>1080</v>
      </c>
      <c r="H1213" s="37">
        <f>Orders!H1213</f>
        <v>21.1</v>
      </c>
      <c r="I1213" s="39">
        <f>Orders!I1213</f>
        <v>1704.24</v>
      </c>
      <c r="J1213" t="str">
        <f>Orders!J1213</f>
        <v>Completed</v>
      </c>
      <c r="K1213" t="str">
        <f>Orders!K1213</f>
        <v>Bengaluru</v>
      </c>
      <c r="L1213" t="str">
        <f>IFERROR(VLOOKUP(D1213,Products!$A$2:$F$61,3,FALSE),"")</f>
        <v>Home</v>
      </c>
      <c r="M1213">
        <f>IFERROR(VLOOKUP(D1213,Products!$A$2:$F$61,4,FALSE),"")</f>
        <v>519</v>
      </c>
      <c r="N1213" t="str">
        <f>IFERROR(VLOOKUP(E1213,Sales_Reps!$A$2:$E$31,3,FALSE),"")</f>
        <v>South</v>
      </c>
      <c r="O1213" t="str">
        <f>IFERROR(VLOOKUP(C1213,Customers!$A$2:$F$301,5,FALSE),"")</f>
        <v>Retail</v>
      </c>
      <c r="P1213">
        <f>IFERROR(VLOOKUP(C1213,Customers!$A$2:$F$301,3,FALSE),"")</f>
        <v>27</v>
      </c>
      <c r="Q1213" s="41">
        <f t="shared" si="27"/>
        <v>0.51944444444444449</v>
      </c>
      <c r="R1213" t="str">
        <f>IFERROR(VLOOKUP(C1213,Customers!$A$2:$F$301,1,FALSE),"")</f>
        <v>CUST-0252</v>
      </c>
      <c r="S1213" s="27" t="b">
        <f>IFERROR(VLOOKUP(D1213,Products!$A$2:$F$61,6,FALSE),"")</f>
        <v>1</v>
      </c>
      <c r="BL1213">
        <v>0</v>
      </c>
      <c r="BO1213">
        <v>0</v>
      </c>
      <c r="BP1213">
        <v>0</v>
      </c>
    </row>
    <row r="1214" spans="1:68" x14ac:dyDescent="0.35">
      <c r="A1214" s="26" t="str">
        <f>Orders!A1214</f>
        <v>ORD-01213</v>
      </c>
      <c r="B1214" s="33">
        <f>Orders!B1214</f>
        <v>45310</v>
      </c>
      <c r="C1214" t="str">
        <f>Orders!C1214</f>
        <v>CUST-0216</v>
      </c>
      <c r="D1214" t="str">
        <f>Orders!D1214</f>
        <v>PROD-023</v>
      </c>
      <c r="E1214" t="str">
        <f>Orders!E1214</f>
        <v>R018</v>
      </c>
      <c r="F1214">
        <f>Orders!F1214</f>
        <v>5</v>
      </c>
      <c r="G1214" s="35">
        <f>Orders!G1214</f>
        <v>2380</v>
      </c>
      <c r="H1214" s="37">
        <f>Orders!H1214</f>
        <v>20.5</v>
      </c>
      <c r="I1214" s="39">
        <f>Orders!I1214</f>
        <v>9460.5</v>
      </c>
      <c r="J1214" t="str">
        <f>Orders!J1214</f>
        <v>Completed</v>
      </c>
      <c r="K1214" t="str">
        <f>Orders!K1214</f>
        <v>Mumbai</v>
      </c>
      <c r="L1214" t="str">
        <f>IFERROR(VLOOKUP(D1214,Products!$A$2:$F$61,3,FALSE),"")</f>
        <v>Grocery</v>
      </c>
      <c r="M1214">
        <f>IFERROR(VLOOKUP(D1214,Products!$A$2:$F$61,4,FALSE),"")</f>
        <v>1182</v>
      </c>
      <c r="N1214" t="str">
        <f>IFERROR(VLOOKUP(E1214,Sales_Reps!$A$2:$E$31,3,FALSE),"")</f>
        <v>East</v>
      </c>
      <c r="O1214" t="str">
        <f>IFERROR(VLOOKUP(C1214,Customers!$A$2:$F$301,5,FALSE),"")</f>
        <v>Retail</v>
      </c>
      <c r="P1214">
        <f>IFERROR(VLOOKUP(C1214,Customers!$A$2:$F$301,3,FALSE),"")</f>
        <v>50</v>
      </c>
      <c r="Q1214" s="41">
        <f t="shared" si="27"/>
        <v>0.50336134453781511</v>
      </c>
      <c r="R1214" t="str">
        <f>IFERROR(VLOOKUP(C1214,Customers!$A$2:$F$301,1,FALSE),"")</f>
        <v>CUST-0216</v>
      </c>
      <c r="S1214" s="27" t="b">
        <f>IFERROR(VLOOKUP(D1214,Products!$A$2:$F$61,6,FALSE),"")</f>
        <v>1</v>
      </c>
      <c r="BL1214">
        <v>0</v>
      </c>
      <c r="BO1214">
        <v>0</v>
      </c>
      <c r="BP1214">
        <v>0</v>
      </c>
    </row>
    <row r="1215" spans="1:68" x14ac:dyDescent="0.35">
      <c r="A1215" s="26" t="str">
        <f>Orders!A1215</f>
        <v>ORD-01214</v>
      </c>
      <c r="B1215" s="33">
        <f>Orders!B1215</f>
        <v>45498</v>
      </c>
      <c r="C1215" t="str">
        <f>Orders!C1215</f>
        <v>CUST-0248</v>
      </c>
      <c r="D1215" t="str">
        <f>Orders!D1215</f>
        <v>PROD-019</v>
      </c>
      <c r="E1215" t="str">
        <f>Orders!E1215</f>
        <v>R025</v>
      </c>
      <c r="F1215">
        <f>Orders!F1215</f>
        <v>9</v>
      </c>
      <c r="G1215" s="35">
        <f>Orders!G1215</f>
        <v>2480</v>
      </c>
      <c r="H1215" s="37">
        <f>Orders!H1215</f>
        <v>1.2</v>
      </c>
      <c r="I1215" s="39">
        <f>Orders!I1215</f>
        <v>22052.16</v>
      </c>
      <c r="J1215" t="str">
        <f>Orders!J1215</f>
        <v>Completed</v>
      </c>
      <c r="K1215" t="str">
        <f>Orders!K1215</f>
        <v>Chennai</v>
      </c>
      <c r="L1215" t="str">
        <f>IFERROR(VLOOKUP(D1215,Products!$A$2:$F$61,3,FALSE),"")</f>
        <v>Apparel</v>
      </c>
      <c r="M1215">
        <f>IFERROR(VLOOKUP(D1215,Products!$A$2:$F$61,4,FALSE),"")</f>
        <v>1173</v>
      </c>
      <c r="N1215" t="str">
        <f>IFERROR(VLOOKUP(E1215,Sales_Reps!$A$2:$E$31,3,FALSE),"")</f>
        <v>West</v>
      </c>
      <c r="O1215" t="str">
        <f>IFERROR(VLOOKUP(C1215,Customers!$A$2:$F$301,5,FALSE),"")</f>
        <v>SMB</v>
      </c>
      <c r="P1215">
        <f>IFERROR(VLOOKUP(C1215,Customers!$A$2:$F$301,3,FALSE),"")</f>
        <v>57</v>
      </c>
      <c r="Q1215" s="41">
        <f t="shared" si="27"/>
        <v>0.52701612903225803</v>
      </c>
      <c r="R1215" t="str">
        <f>IFERROR(VLOOKUP(C1215,Customers!$A$2:$F$301,1,FALSE),"")</f>
        <v>CUST-0248</v>
      </c>
      <c r="S1215" s="27" t="b">
        <f>IFERROR(VLOOKUP(D1215,Products!$A$2:$F$61,6,FALSE),"")</f>
        <v>1</v>
      </c>
      <c r="BL1215">
        <v>0</v>
      </c>
      <c r="BO1215">
        <v>0</v>
      </c>
      <c r="BP1215">
        <v>0</v>
      </c>
    </row>
    <row r="1216" spans="1:68" x14ac:dyDescent="0.35">
      <c r="A1216" s="26" t="str">
        <f>Orders!A1216</f>
        <v>ORD-01215</v>
      </c>
      <c r="B1216" s="33">
        <f>Orders!B1216</f>
        <v>45348</v>
      </c>
      <c r="C1216" t="str">
        <f>Orders!C1216</f>
        <v>CUST-0044</v>
      </c>
      <c r="D1216" t="str">
        <f>Orders!D1216</f>
        <v>PROD-042</v>
      </c>
      <c r="E1216" t="str">
        <f>Orders!E1216</f>
        <v>R012</v>
      </c>
      <c r="F1216">
        <f>Orders!F1216</f>
        <v>9</v>
      </c>
      <c r="G1216" s="35">
        <f>Orders!G1216</f>
        <v>2290</v>
      </c>
      <c r="H1216" s="37">
        <f>Orders!H1216</f>
        <v>0.9</v>
      </c>
      <c r="I1216" s="39">
        <f>Orders!I1216</f>
        <v>20424.509999999998</v>
      </c>
      <c r="J1216" t="str">
        <f>Orders!J1216</f>
        <v>Completed</v>
      </c>
      <c r="K1216" t="str">
        <f>Orders!K1216</f>
        <v>Hyderabad</v>
      </c>
      <c r="L1216" t="str">
        <f>IFERROR(VLOOKUP(D1216,Products!$A$2:$F$61,3,FALSE),"")</f>
        <v>Beauty</v>
      </c>
      <c r="M1216">
        <f>IFERROR(VLOOKUP(D1216,Products!$A$2:$F$61,4,FALSE),"")</f>
        <v>1219</v>
      </c>
      <c r="N1216" t="str">
        <f>IFERROR(VLOOKUP(E1216,Sales_Reps!$A$2:$E$31,3,FALSE),"")</f>
        <v>South</v>
      </c>
      <c r="O1216" t="str">
        <f>IFERROR(VLOOKUP(C1216,Customers!$A$2:$F$301,5,FALSE),"")</f>
        <v>SMB</v>
      </c>
      <c r="P1216">
        <f>IFERROR(VLOOKUP(C1216,Customers!$A$2:$F$301,3,FALSE),"")</f>
        <v>29</v>
      </c>
      <c r="Q1216" s="41">
        <f t="shared" si="27"/>
        <v>0.46768558951965067</v>
      </c>
      <c r="R1216" t="str">
        <f>IFERROR(VLOOKUP(C1216,Customers!$A$2:$F$301,1,FALSE),"")</f>
        <v>CUST-0044</v>
      </c>
      <c r="S1216" s="27" t="b">
        <f>IFERROR(VLOOKUP(D1216,Products!$A$2:$F$61,6,FALSE),"")</f>
        <v>1</v>
      </c>
      <c r="BL1216">
        <v>0</v>
      </c>
      <c r="BO1216">
        <v>0</v>
      </c>
      <c r="BP1216">
        <v>0</v>
      </c>
    </row>
    <row r="1217" spans="1:68" x14ac:dyDescent="0.35">
      <c r="A1217" s="26" t="str">
        <f>Orders!A1217</f>
        <v>ORD-01216</v>
      </c>
      <c r="B1217" s="33">
        <f>Orders!B1217</f>
        <v>45382</v>
      </c>
      <c r="C1217" t="str">
        <f>Orders!C1217</f>
        <v>CUST-0251</v>
      </c>
      <c r="D1217" t="str">
        <f>Orders!D1217</f>
        <v>PROD-011</v>
      </c>
      <c r="E1217" t="str">
        <f>Orders!E1217</f>
        <v>R011</v>
      </c>
      <c r="F1217">
        <f>Orders!F1217</f>
        <v>3</v>
      </c>
      <c r="G1217" s="35">
        <f>Orders!G1217</f>
        <v>3450</v>
      </c>
      <c r="H1217" s="37">
        <f>Orders!H1217</f>
        <v>29.5</v>
      </c>
      <c r="I1217" s="39">
        <f>Orders!I1217</f>
        <v>7296.75</v>
      </c>
      <c r="J1217" t="str">
        <f>Orders!J1217</f>
        <v>Completed</v>
      </c>
      <c r="K1217" t="str">
        <f>Orders!K1217</f>
        <v>Mumbai</v>
      </c>
      <c r="L1217" t="str">
        <f>IFERROR(VLOOKUP(D1217,Products!$A$2:$F$61,3,FALSE),"")</f>
        <v>Apparel</v>
      </c>
      <c r="M1217">
        <f>IFERROR(VLOOKUP(D1217,Products!$A$2:$F$61,4,FALSE),"")</f>
        <v>1748</v>
      </c>
      <c r="N1217" t="str">
        <f>IFERROR(VLOOKUP(E1217,Sales_Reps!$A$2:$E$31,3,FALSE),"")</f>
        <v>South</v>
      </c>
      <c r="O1217" t="str">
        <f>IFERROR(VLOOKUP(C1217,Customers!$A$2:$F$301,5,FALSE),"")</f>
        <v>Retail</v>
      </c>
      <c r="P1217">
        <f>IFERROR(VLOOKUP(C1217,Customers!$A$2:$F$301,3,FALSE),"")</f>
        <v>44</v>
      </c>
      <c r="Q1217" s="41">
        <f t="shared" si="27"/>
        <v>0.49333333333333335</v>
      </c>
      <c r="R1217" t="str">
        <f>IFERROR(VLOOKUP(C1217,Customers!$A$2:$F$301,1,FALSE),"")</f>
        <v>CUST-0251</v>
      </c>
      <c r="S1217" s="27" t="b">
        <f>IFERROR(VLOOKUP(D1217,Products!$A$2:$F$61,6,FALSE),"")</f>
        <v>1</v>
      </c>
      <c r="BL1217">
        <v>0</v>
      </c>
      <c r="BO1217">
        <v>0</v>
      </c>
      <c r="BP1217">
        <v>0</v>
      </c>
    </row>
    <row r="1218" spans="1:68" x14ac:dyDescent="0.35">
      <c r="A1218" s="26" t="str">
        <f>Orders!A1218</f>
        <v>ORD-01217</v>
      </c>
      <c r="B1218" s="33">
        <f>Orders!B1218</f>
        <v>45569</v>
      </c>
      <c r="C1218" t="str">
        <f>Orders!C1218</f>
        <v>CUST-0280</v>
      </c>
      <c r="D1218" t="str">
        <f>Orders!D1218</f>
        <v>PROD-047</v>
      </c>
      <c r="E1218" t="str">
        <f>Orders!E1218</f>
        <v>R024</v>
      </c>
      <c r="F1218">
        <f>Orders!F1218</f>
        <v>9</v>
      </c>
      <c r="G1218" s="35">
        <f>Orders!G1218</f>
        <v>3450</v>
      </c>
      <c r="H1218" s="37">
        <f>Orders!H1218</f>
        <v>19.399999999999999</v>
      </c>
      <c r="I1218" s="39">
        <f>Orders!I1218</f>
        <v>25026.3</v>
      </c>
      <c r="J1218" t="str">
        <f>Orders!J1218</f>
        <v>Completed</v>
      </c>
      <c r="K1218" t="str">
        <f>Orders!K1218</f>
        <v>Delhi</v>
      </c>
      <c r="L1218" t="str">
        <f>IFERROR(VLOOKUP(D1218,Products!$A$2:$F$61,3,FALSE),"")</f>
        <v>Beauty</v>
      </c>
      <c r="M1218">
        <f>IFERROR(VLOOKUP(D1218,Products!$A$2:$F$61,4,FALSE),"")</f>
        <v>2420</v>
      </c>
      <c r="N1218" t="str">
        <f>IFERROR(VLOOKUP(E1218,Sales_Reps!$A$2:$E$31,3,FALSE),"")</f>
        <v>West</v>
      </c>
      <c r="O1218" t="str">
        <f>IFERROR(VLOOKUP(C1218,Customers!$A$2:$F$301,5,FALSE),"")</f>
        <v>SMB</v>
      </c>
      <c r="P1218">
        <f>IFERROR(VLOOKUP(C1218,Customers!$A$2:$F$301,3,FALSE),"")</f>
        <v>27</v>
      </c>
      <c r="Q1218" s="41">
        <f t="shared" ref="Q1218:Q1281" si="28">IFERROR((G1218-M1218)/G1218,0)</f>
        <v>0.29855072463768118</v>
      </c>
      <c r="R1218" t="str">
        <f>IFERROR(VLOOKUP(C1218,Customers!$A$2:$F$301,1,FALSE),"")</f>
        <v>CUST-0280</v>
      </c>
      <c r="S1218" s="27" t="b">
        <f>IFERROR(VLOOKUP(D1218,Products!$A$2:$F$61,6,FALSE),"")</f>
        <v>1</v>
      </c>
      <c r="BL1218">
        <v>0</v>
      </c>
      <c r="BO1218">
        <v>0</v>
      </c>
      <c r="BP1218">
        <v>0</v>
      </c>
    </row>
    <row r="1219" spans="1:68" x14ac:dyDescent="0.35">
      <c r="A1219" s="26" t="str">
        <f>Orders!A1219</f>
        <v>ORD-01218</v>
      </c>
      <c r="B1219" s="33">
        <f>Orders!B1219</f>
        <v>45516</v>
      </c>
      <c r="C1219" t="str">
        <f>Orders!C1219</f>
        <v>CUST-0108</v>
      </c>
      <c r="D1219" t="str">
        <f>Orders!D1219</f>
        <v>PROD-002</v>
      </c>
      <c r="E1219" t="str">
        <f>Orders!E1219</f>
        <v>R030</v>
      </c>
      <c r="F1219">
        <f>Orders!F1219</f>
        <v>2</v>
      </c>
      <c r="G1219" s="35">
        <f>Orders!G1219</f>
        <v>2600</v>
      </c>
      <c r="H1219" s="37">
        <f>Orders!H1219</f>
        <v>20.2</v>
      </c>
      <c r="I1219" s="39">
        <f>Orders!I1219</f>
        <v>4149.6000000000004</v>
      </c>
      <c r="J1219" t="str">
        <f>Orders!J1219</f>
        <v>Cancelled</v>
      </c>
      <c r="K1219" t="str">
        <f>Orders!K1219</f>
        <v>Bengaluru</v>
      </c>
      <c r="L1219" t="str">
        <f>IFERROR(VLOOKUP(D1219,Products!$A$2:$F$61,3,FALSE),"")</f>
        <v>Electronics</v>
      </c>
      <c r="M1219">
        <f>IFERROR(VLOOKUP(D1219,Products!$A$2:$F$61,4,FALSE),"")</f>
        <v>1052</v>
      </c>
      <c r="N1219" t="str">
        <f>IFERROR(VLOOKUP(E1219,Sales_Reps!$A$2:$E$31,3,FALSE),"")</f>
        <v>West</v>
      </c>
      <c r="O1219" t="str">
        <f>IFERROR(VLOOKUP(C1219,Customers!$A$2:$F$301,5,FALSE),"")</f>
        <v>Corporate</v>
      </c>
      <c r="P1219">
        <f>IFERROR(VLOOKUP(C1219,Customers!$A$2:$F$301,3,FALSE),"")</f>
        <v>59</v>
      </c>
      <c r="Q1219" s="41">
        <f t="shared" si="28"/>
        <v>0.5953846153846154</v>
      </c>
      <c r="R1219" t="str">
        <f>IFERROR(VLOOKUP(C1219,Customers!$A$2:$F$301,1,FALSE),"")</f>
        <v>CUST-0108</v>
      </c>
      <c r="S1219" s="27" t="b">
        <f>IFERROR(VLOOKUP(D1219,Products!$A$2:$F$61,6,FALSE),"")</f>
        <v>1</v>
      </c>
      <c r="BL1219">
        <v>0</v>
      </c>
      <c r="BO1219">
        <v>0</v>
      </c>
      <c r="BP1219">
        <v>0</v>
      </c>
    </row>
    <row r="1220" spans="1:68" x14ac:dyDescent="0.35">
      <c r="A1220" s="26" t="str">
        <f>Orders!A1220</f>
        <v>ORD-01219</v>
      </c>
      <c r="B1220" s="33">
        <f>Orders!B1220</f>
        <v>45519</v>
      </c>
      <c r="C1220" t="str">
        <f>Orders!C1220</f>
        <v>CUST-0058</v>
      </c>
      <c r="D1220" t="str">
        <f>Orders!D1220</f>
        <v>PROD-021</v>
      </c>
      <c r="E1220" t="str">
        <f>Orders!E1220</f>
        <v>R025</v>
      </c>
      <c r="F1220">
        <f>Orders!F1220</f>
        <v>1</v>
      </c>
      <c r="G1220" s="35">
        <f>Orders!G1220</f>
        <v>2760</v>
      </c>
      <c r="H1220" s="37">
        <f>Orders!H1220</f>
        <v>9.5</v>
      </c>
      <c r="I1220" s="39">
        <f>Orders!I1220</f>
        <v>2497.8000000000002</v>
      </c>
      <c r="J1220" t="str">
        <f>Orders!J1220</f>
        <v>Completed</v>
      </c>
      <c r="K1220" t="str">
        <f>Orders!K1220</f>
        <v>Bengaluru</v>
      </c>
      <c r="L1220" t="str">
        <f>IFERROR(VLOOKUP(D1220,Products!$A$2:$F$61,3,FALSE),"")</f>
        <v>Grocery</v>
      </c>
      <c r="M1220">
        <f>IFERROR(VLOOKUP(D1220,Products!$A$2:$F$61,4,FALSE),"")</f>
        <v>1435</v>
      </c>
      <c r="N1220" t="str">
        <f>IFERROR(VLOOKUP(E1220,Sales_Reps!$A$2:$E$31,3,FALSE),"")</f>
        <v>West</v>
      </c>
      <c r="O1220" t="str">
        <f>IFERROR(VLOOKUP(C1220,Customers!$A$2:$F$301,5,FALSE),"")</f>
        <v>SMB</v>
      </c>
      <c r="P1220">
        <f>IFERROR(VLOOKUP(C1220,Customers!$A$2:$F$301,3,FALSE),"")</f>
        <v>49</v>
      </c>
      <c r="Q1220" s="41">
        <f t="shared" si="28"/>
        <v>0.48007246376811596</v>
      </c>
      <c r="R1220" t="str">
        <f>IFERROR(VLOOKUP(C1220,Customers!$A$2:$F$301,1,FALSE),"")</f>
        <v>CUST-0058</v>
      </c>
      <c r="S1220" s="27" t="b">
        <f>IFERROR(VLOOKUP(D1220,Products!$A$2:$F$61,6,FALSE),"")</f>
        <v>1</v>
      </c>
      <c r="BL1220">
        <v>0</v>
      </c>
      <c r="BO1220">
        <v>0</v>
      </c>
      <c r="BP1220">
        <v>0</v>
      </c>
    </row>
    <row r="1221" spans="1:68" x14ac:dyDescent="0.35">
      <c r="A1221" s="26" t="str">
        <f>Orders!A1221</f>
        <v>ORD-01220</v>
      </c>
      <c r="B1221" s="33">
        <f>Orders!B1221</f>
        <v>45593</v>
      </c>
      <c r="C1221" t="str">
        <f>Orders!C1221</f>
        <v>CUST-0090</v>
      </c>
      <c r="D1221" t="str">
        <f>Orders!D1221</f>
        <v>PROD-039</v>
      </c>
      <c r="E1221" t="str">
        <f>Orders!E1221</f>
        <v>R003</v>
      </c>
      <c r="F1221">
        <f>Orders!F1221</f>
        <v>4</v>
      </c>
      <c r="G1221" s="35">
        <f>Orders!G1221</f>
        <v>4610</v>
      </c>
      <c r="H1221" s="37">
        <f>Orders!H1221</f>
        <v>14.8</v>
      </c>
      <c r="I1221" s="39">
        <f>Orders!I1221</f>
        <v>15710.88</v>
      </c>
      <c r="J1221" t="str">
        <f>Orders!J1221</f>
        <v>Completed</v>
      </c>
      <c r="K1221" t="str">
        <f>Orders!K1221</f>
        <v>Bengaluru</v>
      </c>
      <c r="L1221" t="str">
        <f>IFERROR(VLOOKUP(D1221,Products!$A$2:$F$61,3,FALSE),"")</f>
        <v>Home</v>
      </c>
      <c r="M1221">
        <f>IFERROR(VLOOKUP(D1221,Products!$A$2:$F$61,4,FALSE),"")</f>
        <v>1850</v>
      </c>
      <c r="N1221" t="str">
        <f>IFERROR(VLOOKUP(E1221,Sales_Reps!$A$2:$E$31,3,FALSE),"")</f>
        <v>North</v>
      </c>
      <c r="O1221" t="str">
        <f>IFERROR(VLOOKUP(C1221,Customers!$A$2:$F$301,5,FALSE),"")</f>
        <v>Corporate</v>
      </c>
      <c r="P1221">
        <f>IFERROR(VLOOKUP(C1221,Customers!$A$2:$F$301,3,FALSE),"")</f>
        <v>26</v>
      </c>
      <c r="Q1221" s="41">
        <f t="shared" si="28"/>
        <v>0.59869848156182215</v>
      </c>
      <c r="R1221" t="str">
        <f>IFERROR(VLOOKUP(C1221,Customers!$A$2:$F$301,1,FALSE),"")</f>
        <v>CUST-0090</v>
      </c>
      <c r="S1221" s="27" t="b">
        <f>IFERROR(VLOOKUP(D1221,Products!$A$2:$F$61,6,FALSE),"")</f>
        <v>1</v>
      </c>
      <c r="BL1221">
        <v>0</v>
      </c>
      <c r="BO1221">
        <v>0</v>
      </c>
      <c r="BP1221">
        <v>0</v>
      </c>
    </row>
    <row r="1222" spans="1:68" x14ac:dyDescent="0.35">
      <c r="A1222" s="26" t="str">
        <f>Orders!A1222</f>
        <v>ORD-01221</v>
      </c>
      <c r="B1222" s="33">
        <f>Orders!B1222</f>
        <v>45532</v>
      </c>
      <c r="C1222" t="str">
        <f>Orders!C1222</f>
        <v>CUST-0204</v>
      </c>
      <c r="D1222" t="str">
        <f>Orders!D1222</f>
        <v>PROD-019</v>
      </c>
      <c r="E1222" t="str">
        <f>Orders!E1222</f>
        <v>R024</v>
      </c>
      <c r="F1222">
        <f>Orders!F1222</f>
        <v>3</v>
      </c>
      <c r="G1222" s="35">
        <f>Orders!G1222</f>
        <v>2480</v>
      </c>
      <c r="H1222" s="37">
        <f>Orders!H1222</f>
        <v>3.7</v>
      </c>
      <c r="I1222" s="39">
        <f>Orders!I1222</f>
        <v>7164.72</v>
      </c>
      <c r="J1222" t="str">
        <f>Orders!J1222</f>
        <v>Completed</v>
      </c>
      <c r="K1222" t="str">
        <f>Orders!K1222</f>
        <v>Hyderabad</v>
      </c>
      <c r="L1222" t="str">
        <f>IFERROR(VLOOKUP(D1222,Products!$A$2:$F$61,3,FALSE),"")</f>
        <v>Apparel</v>
      </c>
      <c r="M1222">
        <f>IFERROR(VLOOKUP(D1222,Products!$A$2:$F$61,4,FALSE),"")</f>
        <v>1173</v>
      </c>
      <c r="N1222" t="str">
        <f>IFERROR(VLOOKUP(E1222,Sales_Reps!$A$2:$E$31,3,FALSE),"")</f>
        <v>West</v>
      </c>
      <c r="O1222" t="str">
        <f>IFERROR(VLOOKUP(C1222,Customers!$A$2:$F$301,5,FALSE),"")</f>
        <v>Retail</v>
      </c>
      <c r="P1222">
        <f>IFERROR(VLOOKUP(C1222,Customers!$A$2:$F$301,3,FALSE),"")</f>
        <v>60</v>
      </c>
      <c r="Q1222" s="41">
        <f t="shared" si="28"/>
        <v>0.52701612903225803</v>
      </c>
      <c r="R1222" t="str">
        <f>IFERROR(VLOOKUP(C1222,Customers!$A$2:$F$301,1,FALSE),"")</f>
        <v>CUST-0204</v>
      </c>
      <c r="S1222" s="27" t="b">
        <f>IFERROR(VLOOKUP(D1222,Products!$A$2:$F$61,6,FALSE),"")</f>
        <v>1</v>
      </c>
      <c r="BL1222">
        <v>0</v>
      </c>
      <c r="BO1222">
        <v>0</v>
      </c>
      <c r="BP1222">
        <v>0</v>
      </c>
    </row>
    <row r="1223" spans="1:68" x14ac:dyDescent="0.35">
      <c r="A1223" s="26" t="str">
        <f>Orders!A1223</f>
        <v>ORD-01222</v>
      </c>
      <c r="B1223" s="33">
        <f>Orders!B1223</f>
        <v>45610</v>
      </c>
      <c r="C1223" t="str">
        <f>Orders!C1223</f>
        <v>CUST-0044</v>
      </c>
      <c r="D1223" t="str">
        <f>Orders!D1223</f>
        <v>PROD-056</v>
      </c>
      <c r="E1223" t="str">
        <f>Orders!E1223</f>
        <v>R011</v>
      </c>
      <c r="F1223">
        <f>Orders!F1223</f>
        <v>5</v>
      </c>
      <c r="G1223" s="35">
        <f>Orders!G1223</f>
        <v>6940</v>
      </c>
      <c r="H1223" s="37">
        <f>Orders!H1223</f>
        <v>0.3</v>
      </c>
      <c r="I1223" s="39">
        <f>Orders!I1223</f>
        <v>34595.9</v>
      </c>
      <c r="J1223" t="str">
        <f>Orders!J1223</f>
        <v>Completed</v>
      </c>
      <c r="K1223" t="str">
        <f>Orders!K1223</f>
        <v>Hyderabad</v>
      </c>
      <c r="L1223" t="str">
        <f>IFERROR(VLOOKUP(D1223,Products!$A$2:$F$61,3,FALSE),"")</f>
        <v>Sports</v>
      </c>
      <c r="M1223">
        <f>IFERROR(VLOOKUP(D1223,Products!$A$2:$F$61,4,FALSE),"")</f>
        <v>2827</v>
      </c>
      <c r="N1223" t="str">
        <f>IFERROR(VLOOKUP(E1223,Sales_Reps!$A$2:$E$31,3,FALSE),"")</f>
        <v>South</v>
      </c>
      <c r="O1223" t="str">
        <f>IFERROR(VLOOKUP(C1223,Customers!$A$2:$F$301,5,FALSE),"")</f>
        <v>SMB</v>
      </c>
      <c r="P1223">
        <f>IFERROR(VLOOKUP(C1223,Customers!$A$2:$F$301,3,FALSE),"")</f>
        <v>29</v>
      </c>
      <c r="Q1223" s="41">
        <f t="shared" si="28"/>
        <v>0.5926512968299712</v>
      </c>
      <c r="R1223" t="str">
        <f>IFERROR(VLOOKUP(C1223,Customers!$A$2:$F$301,1,FALSE),"")</f>
        <v>CUST-0044</v>
      </c>
      <c r="S1223" s="27" t="b">
        <f>IFERROR(VLOOKUP(D1223,Products!$A$2:$F$61,6,FALSE),"")</f>
        <v>1</v>
      </c>
      <c r="BL1223">
        <v>0</v>
      </c>
      <c r="BO1223">
        <v>0</v>
      </c>
      <c r="BP1223">
        <v>0</v>
      </c>
    </row>
    <row r="1224" spans="1:68" x14ac:dyDescent="0.35">
      <c r="A1224" s="26" t="str">
        <f>Orders!A1224</f>
        <v>ORD-01223</v>
      </c>
      <c r="B1224" s="33">
        <f>Orders!B1224</f>
        <v>45560</v>
      </c>
      <c r="C1224" t="str">
        <f>Orders!C1224</f>
        <v>CUST-0068</v>
      </c>
      <c r="D1224" t="str">
        <f>Orders!D1224</f>
        <v>PROD-022</v>
      </c>
      <c r="E1224" t="str">
        <f>Orders!E1224</f>
        <v>R023</v>
      </c>
      <c r="F1224">
        <f>Orders!F1224</f>
        <v>8</v>
      </c>
      <c r="G1224" s="35">
        <f>Orders!G1224</f>
        <v>2270</v>
      </c>
      <c r="H1224" s="37">
        <f>Orders!H1224</f>
        <v>15.6</v>
      </c>
      <c r="I1224" s="39">
        <f>Orders!I1224</f>
        <v>15327.04</v>
      </c>
      <c r="J1224" t="str">
        <f>Orders!J1224</f>
        <v>Pending</v>
      </c>
      <c r="K1224" t="str">
        <f>Orders!K1224</f>
        <v>Delhi</v>
      </c>
      <c r="L1224" t="str">
        <f>IFERROR(VLOOKUP(D1224,Products!$A$2:$F$61,3,FALSE),"")</f>
        <v>Grocery</v>
      </c>
      <c r="M1224">
        <f>IFERROR(VLOOKUP(D1224,Products!$A$2:$F$61,4,FALSE),"")</f>
        <v>1412</v>
      </c>
      <c r="N1224" t="str">
        <f>IFERROR(VLOOKUP(E1224,Sales_Reps!$A$2:$E$31,3,FALSE),"")</f>
        <v>East</v>
      </c>
      <c r="O1224" t="str">
        <f>IFERROR(VLOOKUP(C1224,Customers!$A$2:$F$301,5,FALSE),"")</f>
        <v>SMB</v>
      </c>
      <c r="P1224">
        <f>IFERROR(VLOOKUP(C1224,Customers!$A$2:$F$301,3,FALSE),"")</f>
        <v>48</v>
      </c>
      <c r="Q1224" s="41">
        <f t="shared" si="28"/>
        <v>0.37797356828193834</v>
      </c>
      <c r="R1224" t="str">
        <f>IFERROR(VLOOKUP(C1224,Customers!$A$2:$F$301,1,FALSE),"")</f>
        <v>CUST-0068</v>
      </c>
      <c r="S1224" s="27" t="b">
        <f>IFERROR(VLOOKUP(D1224,Products!$A$2:$F$61,6,FALSE),"")</f>
        <v>1</v>
      </c>
      <c r="BL1224">
        <v>0</v>
      </c>
      <c r="BO1224">
        <v>0</v>
      </c>
      <c r="BP1224">
        <v>0</v>
      </c>
    </row>
    <row r="1225" spans="1:68" x14ac:dyDescent="0.35">
      <c r="A1225" s="26" t="str">
        <f>Orders!A1225</f>
        <v>ORD-01224</v>
      </c>
      <c r="B1225" s="33">
        <f>Orders!B1225</f>
        <v>45431</v>
      </c>
      <c r="C1225" t="str">
        <f>Orders!C1225</f>
        <v>CUST-0127</v>
      </c>
      <c r="D1225" t="str">
        <f>Orders!D1225</f>
        <v>PROD-048</v>
      </c>
      <c r="E1225" t="str">
        <f>Orders!E1225</f>
        <v>R030</v>
      </c>
      <c r="F1225">
        <f>Orders!F1225</f>
        <v>5</v>
      </c>
      <c r="G1225" s="35">
        <f>Orders!G1225</f>
        <v>5100</v>
      </c>
      <c r="H1225" s="37">
        <f>Orders!H1225</f>
        <v>9.5</v>
      </c>
      <c r="I1225" s="39">
        <f>Orders!I1225</f>
        <v>23077.5</v>
      </c>
      <c r="J1225" t="str">
        <f>Orders!J1225</f>
        <v>Completed</v>
      </c>
      <c r="K1225" t="str">
        <f>Orders!K1225</f>
        <v>Bengaluru</v>
      </c>
      <c r="L1225" t="str">
        <f>IFERROR(VLOOKUP(D1225,Products!$A$2:$F$61,3,FALSE),"")</f>
        <v>Beauty</v>
      </c>
      <c r="M1225">
        <f>IFERROR(VLOOKUP(D1225,Products!$A$2:$F$61,4,FALSE),"")</f>
        <v>2237</v>
      </c>
      <c r="N1225" t="str">
        <f>IFERROR(VLOOKUP(E1225,Sales_Reps!$A$2:$E$31,3,FALSE),"")</f>
        <v>West</v>
      </c>
      <c r="O1225" t="str">
        <f>IFERROR(VLOOKUP(C1225,Customers!$A$2:$F$301,5,FALSE),"")</f>
        <v>SMB</v>
      </c>
      <c r="P1225">
        <f>IFERROR(VLOOKUP(C1225,Customers!$A$2:$F$301,3,FALSE),"")</f>
        <v>36</v>
      </c>
      <c r="Q1225" s="41">
        <f t="shared" si="28"/>
        <v>0.56137254901960787</v>
      </c>
      <c r="R1225" t="str">
        <f>IFERROR(VLOOKUP(C1225,Customers!$A$2:$F$301,1,FALSE),"")</f>
        <v>CUST-0127</v>
      </c>
      <c r="S1225" s="27" t="b">
        <f>IFERROR(VLOOKUP(D1225,Products!$A$2:$F$61,6,FALSE),"")</f>
        <v>1</v>
      </c>
      <c r="BL1225">
        <v>0</v>
      </c>
      <c r="BO1225">
        <v>0</v>
      </c>
      <c r="BP1225">
        <v>0</v>
      </c>
    </row>
    <row r="1226" spans="1:68" x14ac:dyDescent="0.35">
      <c r="A1226" s="26" t="str">
        <f>Orders!A1226</f>
        <v>ORD-01225</v>
      </c>
      <c r="B1226" s="33">
        <f>Orders!B1226</f>
        <v>45594</v>
      </c>
      <c r="C1226" t="str">
        <f>Orders!C1226</f>
        <v>CUST-0191</v>
      </c>
      <c r="D1226" t="str">
        <f>Orders!D1226</f>
        <v>PROD-036</v>
      </c>
      <c r="E1226" t="str">
        <f>Orders!E1226</f>
        <v>R011</v>
      </c>
      <c r="F1226">
        <f>Orders!F1226</f>
        <v>5</v>
      </c>
      <c r="G1226" s="35">
        <f>Orders!G1226</f>
        <v>3250</v>
      </c>
      <c r="H1226" s="37">
        <f>Orders!H1226</f>
        <v>8.1</v>
      </c>
      <c r="I1226" s="39">
        <f>Orders!I1226</f>
        <v>14933.75</v>
      </c>
      <c r="J1226" t="str">
        <f>Orders!J1226</f>
        <v>Completed</v>
      </c>
      <c r="K1226" t="str">
        <f>Orders!K1226</f>
        <v>Hyderabad</v>
      </c>
      <c r="L1226" t="str">
        <f>IFERROR(VLOOKUP(D1226,Products!$A$2:$F$61,3,FALSE),"")</f>
        <v>Home</v>
      </c>
      <c r="M1226">
        <f>IFERROR(VLOOKUP(D1226,Products!$A$2:$F$61,4,FALSE),"")</f>
        <v>1556</v>
      </c>
      <c r="N1226" t="str">
        <f>IFERROR(VLOOKUP(E1226,Sales_Reps!$A$2:$E$31,3,FALSE),"")</f>
        <v>South</v>
      </c>
      <c r="O1226" t="str">
        <f>IFERROR(VLOOKUP(C1226,Customers!$A$2:$F$301,5,FALSE),"")</f>
        <v>SMB</v>
      </c>
      <c r="P1226">
        <f>IFERROR(VLOOKUP(C1226,Customers!$A$2:$F$301,3,FALSE),"")</f>
        <v>43</v>
      </c>
      <c r="Q1226" s="41">
        <f t="shared" si="28"/>
        <v>0.52123076923076928</v>
      </c>
      <c r="R1226" t="str">
        <f>IFERROR(VLOOKUP(C1226,Customers!$A$2:$F$301,1,FALSE),"")</f>
        <v>CUST-0191</v>
      </c>
      <c r="S1226" s="27" t="b">
        <f>IFERROR(VLOOKUP(D1226,Products!$A$2:$F$61,6,FALSE),"")</f>
        <v>1</v>
      </c>
      <c r="BL1226">
        <v>0</v>
      </c>
      <c r="BO1226">
        <v>0</v>
      </c>
      <c r="BP1226">
        <v>0</v>
      </c>
    </row>
    <row r="1227" spans="1:68" x14ac:dyDescent="0.35">
      <c r="A1227" s="26" t="str">
        <f>Orders!A1227</f>
        <v>ORD-01226</v>
      </c>
      <c r="B1227" s="33">
        <f>Orders!B1227</f>
        <v>45609</v>
      </c>
      <c r="C1227" t="str">
        <f>Orders!C1227</f>
        <v>CUST-0028</v>
      </c>
      <c r="D1227" t="str">
        <f>Orders!D1227</f>
        <v>PROD-006</v>
      </c>
      <c r="E1227" t="str">
        <f>Orders!E1227</f>
        <v>R003</v>
      </c>
      <c r="F1227">
        <f>Orders!F1227</f>
        <v>6</v>
      </c>
      <c r="G1227" s="35">
        <f>Orders!G1227</f>
        <v>3970</v>
      </c>
      <c r="H1227" s="37">
        <f>Orders!H1227</f>
        <v>18.8</v>
      </c>
      <c r="I1227" s="39">
        <f>Orders!I1227</f>
        <v>19341.84</v>
      </c>
      <c r="J1227" t="str">
        <f>Orders!J1227</f>
        <v>Pending</v>
      </c>
      <c r="K1227" t="str">
        <f>Orders!K1227</f>
        <v>Bengaluru</v>
      </c>
      <c r="L1227" t="str">
        <f>IFERROR(VLOOKUP(D1227,Products!$A$2:$F$61,3,FALSE),"")</f>
        <v>Electronics</v>
      </c>
      <c r="M1227">
        <f>IFERROR(VLOOKUP(D1227,Products!$A$2:$F$61,4,FALSE),"")</f>
        <v>2865</v>
      </c>
      <c r="N1227" t="str">
        <f>IFERROR(VLOOKUP(E1227,Sales_Reps!$A$2:$E$31,3,FALSE),"")</f>
        <v>North</v>
      </c>
      <c r="O1227" t="str">
        <f>IFERROR(VLOOKUP(C1227,Customers!$A$2:$F$301,5,FALSE),"")</f>
        <v>Retail</v>
      </c>
      <c r="P1227">
        <f>IFERROR(VLOOKUP(C1227,Customers!$A$2:$F$301,3,FALSE),"")</f>
        <v>59</v>
      </c>
      <c r="Q1227" s="41">
        <f t="shared" si="28"/>
        <v>0.27833753148614609</v>
      </c>
      <c r="R1227" t="str">
        <f>IFERROR(VLOOKUP(C1227,Customers!$A$2:$F$301,1,FALSE),"")</f>
        <v>CUST-0028</v>
      </c>
      <c r="S1227" s="27" t="b">
        <f>IFERROR(VLOOKUP(D1227,Products!$A$2:$F$61,6,FALSE),"")</f>
        <v>1</v>
      </c>
      <c r="BL1227">
        <v>0</v>
      </c>
      <c r="BO1227">
        <v>0</v>
      </c>
      <c r="BP1227">
        <v>0</v>
      </c>
    </row>
    <row r="1228" spans="1:68" x14ac:dyDescent="0.35">
      <c r="A1228" s="26" t="str">
        <f>Orders!A1228</f>
        <v>ORD-01227</v>
      </c>
      <c r="B1228" s="33">
        <f>Orders!B1228</f>
        <v>45546</v>
      </c>
      <c r="C1228" t="str">
        <f>Orders!C1228</f>
        <v>CUST-0027</v>
      </c>
      <c r="D1228" t="str">
        <f>Orders!D1228</f>
        <v>PROD-001</v>
      </c>
      <c r="E1228" t="str">
        <f>Orders!E1228</f>
        <v>R025</v>
      </c>
      <c r="F1228">
        <f>Orders!F1228</f>
        <v>4</v>
      </c>
      <c r="G1228" s="35">
        <f>Orders!G1228</f>
        <v>5330</v>
      </c>
      <c r="H1228" s="37">
        <f>Orders!H1228</f>
        <v>19.7</v>
      </c>
      <c r="I1228" s="39">
        <f>Orders!I1228</f>
        <v>17119.96</v>
      </c>
      <c r="J1228" t="str">
        <f>Orders!J1228</f>
        <v>Completed</v>
      </c>
      <c r="K1228" t="str">
        <f>Orders!K1228</f>
        <v>Hyderabad</v>
      </c>
      <c r="L1228" t="str">
        <f>IFERROR(VLOOKUP(D1228,Products!$A$2:$F$61,3,FALSE),"")</f>
        <v>Electronics</v>
      </c>
      <c r="M1228">
        <f>IFERROR(VLOOKUP(D1228,Products!$A$2:$F$61,4,FALSE),"")</f>
        <v>2405</v>
      </c>
      <c r="N1228" t="str">
        <f>IFERROR(VLOOKUP(E1228,Sales_Reps!$A$2:$E$31,3,FALSE),"")</f>
        <v>West</v>
      </c>
      <c r="O1228" t="str">
        <f>IFERROR(VLOOKUP(C1228,Customers!$A$2:$F$301,5,FALSE),"")</f>
        <v>Corporate</v>
      </c>
      <c r="P1228">
        <f>IFERROR(VLOOKUP(C1228,Customers!$A$2:$F$301,3,FALSE),"")</f>
        <v>52</v>
      </c>
      <c r="Q1228" s="41">
        <f t="shared" si="28"/>
        <v>0.54878048780487809</v>
      </c>
      <c r="R1228" t="str">
        <f>IFERROR(VLOOKUP(C1228,Customers!$A$2:$F$301,1,FALSE),"")</f>
        <v>CUST-0027</v>
      </c>
      <c r="S1228" s="27" t="b">
        <f>IFERROR(VLOOKUP(D1228,Products!$A$2:$F$61,6,FALSE),"")</f>
        <v>1</v>
      </c>
      <c r="BL1228">
        <v>0</v>
      </c>
      <c r="BO1228">
        <v>0</v>
      </c>
      <c r="BP1228">
        <v>0</v>
      </c>
    </row>
    <row r="1229" spans="1:68" x14ac:dyDescent="0.35">
      <c r="A1229" s="26" t="str">
        <f>Orders!A1229</f>
        <v>ORD-01228</v>
      </c>
      <c r="B1229" s="33">
        <f>Orders!B1229</f>
        <v>45607</v>
      </c>
      <c r="C1229" t="str">
        <f>Orders!C1229</f>
        <v>CUST-0193</v>
      </c>
      <c r="D1229" t="str">
        <f>Orders!D1229</f>
        <v>PROD-008</v>
      </c>
      <c r="E1229" t="str">
        <f>Orders!E1229</f>
        <v>R004</v>
      </c>
      <c r="F1229">
        <f>Orders!F1229</f>
        <v>7</v>
      </c>
      <c r="G1229" s="35">
        <f>Orders!G1229</f>
        <v>2660</v>
      </c>
      <c r="H1229" s="37">
        <f>Orders!H1229</f>
        <v>8.5</v>
      </c>
      <c r="I1229" s="39">
        <f>Orders!I1229</f>
        <v>17037.3</v>
      </c>
      <c r="J1229" t="str">
        <f>Orders!J1229</f>
        <v>Completed</v>
      </c>
      <c r="K1229" t="str">
        <f>Orders!K1229</f>
        <v>Bengaluru</v>
      </c>
      <c r="L1229" t="str">
        <f>IFERROR(VLOOKUP(D1229,Products!$A$2:$F$61,3,FALSE),"")</f>
        <v>Electronics</v>
      </c>
      <c r="M1229">
        <f>IFERROR(VLOOKUP(D1229,Products!$A$2:$F$61,4,FALSE),"")</f>
        <v>1259</v>
      </c>
      <c r="N1229" t="str">
        <f>IFERROR(VLOOKUP(E1229,Sales_Reps!$A$2:$E$31,3,FALSE),"")</f>
        <v>North</v>
      </c>
      <c r="O1229" t="str">
        <f>IFERROR(VLOOKUP(C1229,Customers!$A$2:$F$301,5,FALSE),"")</f>
        <v>Retail</v>
      </c>
      <c r="P1229">
        <f>IFERROR(VLOOKUP(C1229,Customers!$A$2:$F$301,3,FALSE),"")</f>
        <v>42</v>
      </c>
      <c r="Q1229" s="41">
        <f t="shared" si="28"/>
        <v>0.52669172932330832</v>
      </c>
      <c r="R1229" t="str">
        <f>IFERROR(VLOOKUP(C1229,Customers!$A$2:$F$301,1,FALSE),"")</f>
        <v>CUST-0193</v>
      </c>
      <c r="S1229" s="27" t="b">
        <f>IFERROR(VLOOKUP(D1229,Products!$A$2:$F$61,6,FALSE),"")</f>
        <v>0</v>
      </c>
      <c r="BL1229">
        <v>0</v>
      </c>
      <c r="BO1229">
        <v>0</v>
      </c>
      <c r="BP1229">
        <v>1</v>
      </c>
    </row>
    <row r="1230" spans="1:68" x14ac:dyDescent="0.35">
      <c r="A1230" s="26" t="str">
        <f>Orders!A1230</f>
        <v>ORD-01229</v>
      </c>
      <c r="B1230" s="33">
        <f>Orders!B1230</f>
        <v>45422</v>
      </c>
      <c r="C1230" t="str">
        <f>Orders!C1230</f>
        <v>CUST-0202</v>
      </c>
      <c r="D1230" t="str">
        <f>Orders!D1230</f>
        <v>PROD-012</v>
      </c>
      <c r="E1230" t="str">
        <f>Orders!E1230</f>
        <v>R029</v>
      </c>
      <c r="F1230">
        <f>Orders!F1230</f>
        <v>5</v>
      </c>
      <c r="G1230" s="35">
        <f>Orders!G1230</f>
        <v>3160</v>
      </c>
      <c r="H1230" s="37">
        <f>Orders!H1230</f>
        <v>13.4</v>
      </c>
      <c r="I1230" s="39">
        <f>Orders!I1230</f>
        <v>13682.8</v>
      </c>
      <c r="J1230" t="str">
        <f>Orders!J1230</f>
        <v>Pending</v>
      </c>
      <c r="K1230" t="str">
        <f>Orders!K1230</f>
        <v>Chennai</v>
      </c>
      <c r="L1230" t="str">
        <f>IFERROR(VLOOKUP(D1230,Products!$A$2:$F$61,3,FALSE),"")</f>
        <v>Apparel</v>
      </c>
      <c r="M1230">
        <f>IFERROR(VLOOKUP(D1230,Products!$A$2:$F$61,4,FALSE),"")</f>
        <v>1886</v>
      </c>
      <c r="N1230" t="str">
        <f>IFERROR(VLOOKUP(E1230,Sales_Reps!$A$2:$E$31,3,FALSE),"")</f>
        <v>West</v>
      </c>
      <c r="O1230" t="str">
        <f>IFERROR(VLOOKUP(C1230,Customers!$A$2:$F$301,5,FALSE),"")</f>
        <v>Retail</v>
      </c>
      <c r="P1230">
        <f>IFERROR(VLOOKUP(C1230,Customers!$A$2:$F$301,3,FALSE),"")</f>
        <v>39</v>
      </c>
      <c r="Q1230" s="41">
        <f t="shared" si="28"/>
        <v>0.4031645569620253</v>
      </c>
      <c r="R1230" t="str">
        <f>IFERROR(VLOOKUP(C1230,Customers!$A$2:$F$301,1,FALSE),"")</f>
        <v>CUST-0202</v>
      </c>
      <c r="S1230" s="27" t="b">
        <f>IFERROR(VLOOKUP(D1230,Products!$A$2:$F$61,6,FALSE),"")</f>
        <v>1</v>
      </c>
      <c r="BL1230">
        <v>0</v>
      </c>
      <c r="BO1230">
        <v>0</v>
      </c>
      <c r="BP1230">
        <v>0</v>
      </c>
    </row>
    <row r="1231" spans="1:68" x14ac:dyDescent="0.35">
      <c r="A1231" s="26" t="str">
        <f>Orders!A1231</f>
        <v>ORD-01230</v>
      </c>
      <c r="B1231" s="33">
        <f>Orders!B1231</f>
        <v>45634</v>
      </c>
      <c r="C1231" t="str">
        <f>Orders!C1231</f>
        <v>CUST-0230</v>
      </c>
      <c r="D1231" t="str">
        <f>Orders!D1231</f>
        <v>PROD-054</v>
      </c>
      <c r="E1231" t="str">
        <f>Orders!E1231</f>
        <v>R019</v>
      </c>
      <c r="F1231">
        <f>Orders!F1231</f>
        <v>10</v>
      </c>
      <c r="G1231" s="35">
        <f>Orders!G1231</f>
        <v>1010</v>
      </c>
      <c r="H1231" s="37">
        <f>Orders!H1231</f>
        <v>14</v>
      </c>
      <c r="I1231" s="39">
        <f>Orders!I1231</f>
        <v>8686</v>
      </c>
      <c r="J1231" t="str">
        <f>Orders!J1231</f>
        <v>Completed</v>
      </c>
      <c r="K1231" t="str">
        <f>Orders!K1231</f>
        <v>Pune</v>
      </c>
      <c r="L1231" t="str">
        <f>IFERROR(VLOOKUP(D1231,Products!$A$2:$F$61,3,FALSE),"")</f>
        <v>Sports</v>
      </c>
      <c r="M1231">
        <f>IFERROR(VLOOKUP(D1231,Products!$A$2:$F$61,4,FALSE),"")</f>
        <v>516</v>
      </c>
      <c r="N1231" t="str">
        <f>IFERROR(VLOOKUP(E1231,Sales_Reps!$A$2:$E$31,3,FALSE),"")</f>
        <v>East</v>
      </c>
      <c r="O1231" t="str">
        <f>IFERROR(VLOOKUP(C1231,Customers!$A$2:$F$301,5,FALSE),"")</f>
        <v>Corporate</v>
      </c>
      <c r="P1231">
        <f>IFERROR(VLOOKUP(C1231,Customers!$A$2:$F$301,3,FALSE),"")</f>
        <v>33</v>
      </c>
      <c r="Q1231" s="41">
        <f t="shared" si="28"/>
        <v>0.4891089108910891</v>
      </c>
      <c r="R1231" t="str">
        <f>IFERROR(VLOOKUP(C1231,Customers!$A$2:$F$301,1,FALSE),"")</f>
        <v>CUST-0230</v>
      </c>
      <c r="S1231" s="27" t="b">
        <f>IFERROR(VLOOKUP(D1231,Products!$A$2:$F$61,6,FALSE),"")</f>
        <v>1</v>
      </c>
      <c r="BL1231">
        <v>0</v>
      </c>
      <c r="BO1231">
        <v>0</v>
      </c>
      <c r="BP1231">
        <v>0</v>
      </c>
    </row>
    <row r="1232" spans="1:68" x14ac:dyDescent="0.35">
      <c r="A1232" s="26" t="str">
        <f>Orders!A1232</f>
        <v>ORD-01231</v>
      </c>
      <c r="B1232" s="33">
        <f>Orders!B1232</f>
        <v>45376</v>
      </c>
      <c r="C1232" t="str">
        <f>Orders!C1232</f>
        <v>CUST-0280</v>
      </c>
      <c r="D1232" t="str">
        <f>Orders!D1232</f>
        <v>PROD-041</v>
      </c>
      <c r="E1232" t="str">
        <f>Orders!E1232</f>
        <v>R003</v>
      </c>
      <c r="F1232">
        <f>Orders!F1232</f>
        <v>3</v>
      </c>
      <c r="G1232" s="35">
        <f>Orders!G1232</f>
        <v>1540</v>
      </c>
      <c r="H1232" s="37">
        <f>Orders!H1232</f>
        <v>13.7</v>
      </c>
      <c r="I1232" s="39">
        <f>Orders!I1232</f>
        <v>3987.06</v>
      </c>
      <c r="J1232" t="str">
        <f>Orders!J1232</f>
        <v>Pending</v>
      </c>
      <c r="K1232" t="str">
        <f>Orders!K1232</f>
        <v>Delhi</v>
      </c>
      <c r="L1232" t="str">
        <f>IFERROR(VLOOKUP(D1232,Products!$A$2:$F$61,3,FALSE),"")</f>
        <v>Beauty</v>
      </c>
      <c r="M1232">
        <f>IFERROR(VLOOKUP(D1232,Products!$A$2:$F$61,4,FALSE),"")</f>
        <v>647</v>
      </c>
      <c r="N1232" t="str">
        <f>IFERROR(VLOOKUP(E1232,Sales_Reps!$A$2:$E$31,3,FALSE),"")</f>
        <v>North</v>
      </c>
      <c r="O1232" t="str">
        <f>IFERROR(VLOOKUP(C1232,Customers!$A$2:$F$301,5,FALSE),"")</f>
        <v>SMB</v>
      </c>
      <c r="P1232">
        <f>IFERROR(VLOOKUP(C1232,Customers!$A$2:$F$301,3,FALSE),"")</f>
        <v>27</v>
      </c>
      <c r="Q1232" s="41">
        <f t="shared" si="28"/>
        <v>0.57987012987012987</v>
      </c>
      <c r="R1232" t="str">
        <f>IFERROR(VLOOKUP(C1232,Customers!$A$2:$F$301,1,FALSE),"")</f>
        <v>CUST-0280</v>
      </c>
      <c r="S1232" s="27" t="b">
        <f>IFERROR(VLOOKUP(D1232,Products!$A$2:$F$61,6,FALSE),"")</f>
        <v>0</v>
      </c>
      <c r="BL1232">
        <v>0</v>
      </c>
      <c r="BO1232">
        <v>0</v>
      </c>
      <c r="BP1232">
        <v>1</v>
      </c>
    </row>
    <row r="1233" spans="1:68" x14ac:dyDescent="0.35">
      <c r="A1233" s="26" t="str">
        <f>Orders!A1233</f>
        <v>ORD-01232</v>
      </c>
      <c r="B1233" s="33">
        <f>Orders!B1233</f>
        <v>45313</v>
      </c>
      <c r="C1233" t="str">
        <f>Orders!C1233</f>
        <v>CUST-0196</v>
      </c>
      <c r="D1233" t="str">
        <f>Orders!D1233</f>
        <v>PROD-048</v>
      </c>
      <c r="E1233" t="str">
        <f>Orders!E1233</f>
        <v>R009</v>
      </c>
      <c r="F1233">
        <f>Orders!F1233</f>
        <v>10</v>
      </c>
      <c r="G1233" s="35">
        <f>Orders!G1233</f>
        <v>5100</v>
      </c>
      <c r="H1233" s="37">
        <f>Orders!H1233</f>
        <v>13.8</v>
      </c>
      <c r="I1233" s="39">
        <f>Orders!I1233</f>
        <v>43962</v>
      </c>
      <c r="J1233" t="str">
        <f>Orders!J1233</f>
        <v>Completed</v>
      </c>
      <c r="K1233" t="str">
        <f>Orders!K1233</f>
        <v>Chennai</v>
      </c>
      <c r="L1233" t="str">
        <f>IFERROR(VLOOKUP(D1233,Products!$A$2:$F$61,3,FALSE),"")</f>
        <v>Beauty</v>
      </c>
      <c r="M1233">
        <f>IFERROR(VLOOKUP(D1233,Products!$A$2:$F$61,4,FALSE),"")</f>
        <v>2237</v>
      </c>
      <c r="N1233" t="str">
        <f>IFERROR(VLOOKUP(E1233,Sales_Reps!$A$2:$E$31,3,FALSE),"")</f>
        <v>South</v>
      </c>
      <c r="O1233" t="str">
        <f>IFERROR(VLOOKUP(C1233,Customers!$A$2:$F$301,5,FALSE),"")</f>
        <v>Retail</v>
      </c>
      <c r="P1233">
        <f>IFERROR(VLOOKUP(C1233,Customers!$A$2:$F$301,3,FALSE),"")</f>
        <v>26</v>
      </c>
      <c r="Q1233" s="41">
        <f t="shared" si="28"/>
        <v>0.56137254901960787</v>
      </c>
      <c r="R1233" t="str">
        <f>IFERROR(VLOOKUP(C1233,Customers!$A$2:$F$301,1,FALSE),"")</f>
        <v>CUST-0196</v>
      </c>
      <c r="S1233" s="27" t="b">
        <f>IFERROR(VLOOKUP(D1233,Products!$A$2:$F$61,6,FALSE),"")</f>
        <v>1</v>
      </c>
      <c r="BL1233">
        <v>0</v>
      </c>
      <c r="BO1233">
        <v>0</v>
      </c>
      <c r="BP1233">
        <v>0</v>
      </c>
    </row>
    <row r="1234" spans="1:68" x14ac:dyDescent="0.35">
      <c r="A1234" s="26" t="str">
        <f>Orders!A1234</f>
        <v>ORD-01233</v>
      </c>
      <c r="B1234" s="33">
        <f>Orders!B1234</f>
        <v>45457</v>
      </c>
      <c r="C1234" t="str">
        <f>Orders!C1234</f>
        <v>CUST-0019</v>
      </c>
      <c r="D1234" t="str">
        <f>Orders!D1234</f>
        <v>PROD-007</v>
      </c>
      <c r="E1234" t="str">
        <f>Orders!E1234</f>
        <v>R030</v>
      </c>
      <c r="F1234">
        <f>Orders!F1234</f>
        <v>3</v>
      </c>
      <c r="G1234" s="35">
        <f>Orders!G1234</f>
        <v>1430</v>
      </c>
      <c r="H1234" s="37">
        <f>Orders!H1234</f>
        <v>1.5</v>
      </c>
      <c r="I1234" s="39">
        <f>Orders!I1234</f>
        <v>4225.6499999999996</v>
      </c>
      <c r="J1234" t="str">
        <f>Orders!J1234</f>
        <v>Completed</v>
      </c>
      <c r="K1234" t="str">
        <f>Orders!K1234</f>
        <v>Chennai</v>
      </c>
      <c r="L1234" t="str">
        <f>IFERROR(VLOOKUP(D1234,Products!$A$2:$F$61,3,FALSE),"")</f>
        <v>Electronics</v>
      </c>
      <c r="M1234">
        <f>IFERROR(VLOOKUP(D1234,Products!$A$2:$F$61,4,FALSE),"")</f>
        <v>861</v>
      </c>
      <c r="N1234" t="str">
        <f>IFERROR(VLOOKUP(E1234,Sales_Reps!$A$2:$E$31,3,FALSE),"")</f>
        <v>West</v>
      </c>
      <c r="O1234" t="str">
        <f>IFERROR(VLOOKUP(C1234,Customers!$A$2:$F$301,5,FALSE),"")</f>
        <v>Retail</v>
      </c>
      <c r="P1234">
        <f>IFERROR(VLOOKUP(C1234,Customers!$A$2:$F$301,3,FALSE),"")</f>
        <v>22</v>
      </c>
      <c r="Q1234" s="41">
        <f t="shared" si="28"/>
        <v>0.39790209790209791</v>
      </c>
      <c r="R1234" t="str">
        <f>IFERROR(VLOOKUP(C1234,Customers!$A$2:$F$301,1,FALSE),"")</f>
        <v>CUST-0019</v>
      </c>
      <c r="S1234" s="27" t="b">
        <f>IFERROR(VLOOKUP(D1234,Products!$A$2:$F$61,6,FALSE),"")</f>
        <v>1</v>
      </c>
      <c r="BL1234">
        <v>0</v>
      </c>
      <c r="BO1234">
        <v>0</v>
      </c>
      <c r="BP1234">
        <v>0</v>
      </c>
    </row>
    <row r="1235" spans="1:68" x14ac:dyDescent="0.35">
      <c r="A1235" s="26" t="str">
        <f>Orders!A1235</f>
        <v>ORD-01234</v>
      </c>
      <c r="B1235" s="33">
        <f>Orders!B1235</f>
        <v>45620</v>
      </c>
      <c r="C1235" t="str">
        <f>Orders!C1235</f>
        <v>CUST-0201</v>
      </c>
      <c r="D1235" t="str">
        <f>Orders!D1235</f>
        <v>PROD-038</v>
      </c>
      <c r="E1235" t="str">
        <f>Orders!E1235</f>
        <v>R013</v>
      </c>
      <c r="F1235">
        <f>Orders!F1235</f>
        <v>8</v>
      </c>
      <c r="G1235" s="35">
        <f>Orders!G1235</f>
        <v>5490</v>
      </c>
      <c r="H1235" s="37">
        <f>Orders!H1235</f>
        <v>23.2</v>
      </c>
      <c r="I1235" s="39">
        <f>Orders!I1235</f>
        <v>33730.559999999998</v>
      </c>
      <c r="J1235" t="str">
        <f>Orders!J1235</f>
        <v>Completed</v>
      </c>
      <c r="K1235" t="str">
        <f>Orders!K1235</f>
        <v>Hyderabad</v>
      </c>
      <c r="L1235" t="str">
        <f>IFERROR(VLOOKUP(D1235,Products!$A$2:$F$61,3,FALSE),"")</f>
        <v>Home</v>
      </c>
      <c r="M1235">
        <f>IFERROR(VLOOKUP(D1235,Products!$A$2:$F$61,4,FALSE),"")</f>
        <v>2549</v>
      </c>
      <c r="N1235" t="str">
        <f>IFERROR(VLOOKUP(E1235,Sales_Reps!$A$2:$E$31,3,FALSE),"")</f>
        <v>South</v>
      </c>
      <c r="O1235" t="str">
        <f>IFERROR(VLOOKUP(C1235,Customers!$A$2:$F$301,5,FALSE),"")</f>
        <v>Retail</v>
      </c>
      <c r="P1235">
        <f>IFERROR(VLOOKUP(C1235,Customers!$A$2:$F$301,3,FALSE),"")</f>
        <v>31</v>
      </c>
      <c r="Q1235" s="41">
        <f t="shared" si="28"/>
        <v>0.53570127504553733</v>
      </c>
      <c r="R1235" t="str">
        <f>IFERROR(VLOOKUP(C1235,Customers!$A$2:$F$301,1,FALSE),"")</f>
        <v>CUST-0201</v>
      </c>
      <c r="S1235" s="27" t="b">
        <f>IFERROR(VLOOKUP(D1235,Products!$A$2:$F$61,6,FALSE),"")</f>
        <v>1</v>
      </c>
      <c r="BL1235">
        <v>0</v>
      </c>
      <c r="BO1235">
        <v>0</v>
      </c>
      <c r="BP1235">
        <v>0</v>
      </c>
    </row>
    <row r="1236" spans="1:68" x14ac:dyDescent="0.35">
      <c r="A1236" s="26" t="str">
        <f>Orders!A1236</f>
        <v>ORD-01235</v>
      </c>
      <c r="B1236" s="33">
        <f>Orders!B1236</f>
        <v>45495</v>
      </c>
      <c r="C1236" t="str">
        <f>Orders!C1236</f>
        <v>CUST-0146</v>
      </c>
      <c r="D1236" t="str">
        <f>Orders!D1236</f>
        <v>PROD-044</v>
      </c>
      <c r="E1236" t="str">
        <f>Orders!E1236</f>
        <v>R008</v>
      </c>
      <c r="F1236">
        <f>Orders!F1236</f>
        <v>6</v>
      </c>
      <c r="G1236" s="35">
        <f>Orders!G1236</f>
        <v>1650</v>
      </c>
      <c r="H1236" s="37">
        <f>Orders!H1236</f>
        <v>16.8</v>
      </c>
      <c r="I1236" s="39">
        <f>Orders!I1236</f>
        <v>8236.7999999999993</v>
      </c>
      <c r="J1236" t="str">
        <f>Orders!J1236</f>
        <v>Completed</v>
      </c>
      <c r="K1236" t="str">
        <f>Orders!K1236</f>
        <v>Hyderabad</v>
      </c>
      <c r="L1236" t="str">
        <f>IFERROR(VLOOKUP(D1236,Products!$A$2:$F$61,3,FALSE),"")</f>
        <v>Beauty</v>
      </c>
      <c r="M1236">
        <f>IFERROR(VLOOKUP(D1236,Products!$A$2:$F$61,4,FALSE),"")</f>
        <v>1222</v>
      </c>
      <c r="N1236" t="str">
        <f>IFERROR(VLOOKUP(E1236,Sales_Reps!$A$2:$E$31,3,FALSE),"")</f>
        <v>North</v>
      </c>
      <c r="O1236" t="str">
        <f>IFERROR(VLOOKUP(C1236,Customers!$A$2:$F$301,5,FALSE),"")</f>
        <v>Retail</v>
      </c>
      <c r="P1236">
        <f>IFERROR(VLOOKUP(C1236,Customers!$A$2:$F$301,3,FALSE),"")</f>
        <v>22</v>
      </c>
      <c r="Q1236" s="41">
        <f t="shared" si="28"/>
        <v>0.2593939393939394</v>
      </c>
      <c r="R1236" t="str">
        <f>IFERROR(VLOOKUP(C1236,Customers!$A$2:$F$301,1,FALSE),"")</f>
        <v>CUST-0146</v>
      </c>
      <c r="S1236" s="27" t="b">
        <f>IFERROR(VLOOKUP(D1236,Products!$A$2:$F$61,6,FALSE),"")</f>
        <v>1</v>
      </c>
      <c r="BL1236">
        <v>0</v>
      </c>
      <c r="BO1236">
        <v>0</v>
      </c>
      <c r="BP1236">
        <v>0</v>
      </c>
    </row>
    <row r="1237" spans="1:68" x14ac:dyDescent="0.35">
      <c r="A1237" s="26" t="str">
        <f>Orders!A1237</f>
        <v>ORD-01236</v>
      </c>
      <c r="B1237" s="33">
        <f>Orders!B1237</f>
        <v>45460</v>
      </c>
      <c r="C1237" t="str">
        <f>Orders!C1237</f>
        <v>CUST-0199</v>
      </c>
      <c r="D1237" t="str">
        <f>Orders!D1237</f>
        <v>PROD-045</v>
      </c>
      <c r="E1237" t="str">
        <f>Orders!E1237</f>
        <v>R018</v>
      </c>
      <c r="F1237">
        <f>Orders!F1237</f>
        <v>3</v>
      </c>
      <c r="G1237" s="35">
        <f>Orders!G1237</f>
        <v>3020</v>
      </c>
      <c r="H1237" s="37">
        <f>Orders!H1237</f>
        <v>14.5</v>
      </c>
      <c r="I1237" s="39">
        <f>Orders!I1237</f>
        <v>7746.3</v>
      </c>
      <c r="J1237" t="str">
        <f>Orders!J1237</f>
        <v>Completed</v>
      </c>
      <c r="K1237" t="str">
        <f>Orders!K1237</f>
        <v>Hyderabad</v>
      </c>
      <c r="L1237" t="str">
        <f>IFERROR(VLOOKUP(D1237,Products!$A$2:$F$61,3,FALSE),"")</f>
        <v>Beauty</v>
      </c>
      <c r="M1237">
        <f>IFERROR(VLOOKUP(D1237,Products!$A$2:$F$61,4,FALSE),"")</f>
        <v>1626</v>
      </c>
      <c r="N1237" t="str">
        <f>IFERROR(VLOOKUP(E1237,Sales_Reps!$A$2:$E$31,3,FALSE),"")</f>
        <v>East</v>
      </c>
      <c r="O1237" t="str">
        <f>IFERROR(VLOOKUP(C1237,Customers!$A$2:$F$301,5,FALSE),"")</f>
        <v>SMB</v>
      </c>
      <c r="P1237">
        <f>IFERROR(VLOOKUP(C1237,Customers!$A$2:$F$301,3,FALSE),"")</f>
        <v>31</v>
      </c>
      <c r="Q1237" s="41">
        <f t="shared" si="28"/>
        <v>0.46158940397350995</v>
      </c>
      <c r="R1237" t="str">
        <f>IFERROR(VLOOKUP(C1237,Customers!$A$2:$F$301,1,FALSE),"")</f>
        <v>CUST-0199</v>
      </c>
      <c r="S1237" s="27" t="b">
        <f>IFERROR(VLOOKUP(D1237,Products!$A$2:$F$61,6,FALSE),"")</f>
        <v>1</v>
      </c>
      <c r="BL1237">
        <v>0</v>
      </c>
      <c r="BO1237">
        <v>0</v>
      </c>
      <c r="BP1237">
        <v>0</v>
      </c>
    </row>
    <row r="1238" spans="1:68" x14ac:dyDescent="0.35">
      <c r="A1238" s="26" t="str">
        <f>Orders!A1238</f>
        <v>ORD-01237</v>
      </c>
      <c r="B1238" s="33">
        <f>Orders!B1238</f>
        <v>45438</v>
      </c>
      <c r="C1238" t="str">
        <f>Orders!C1238</f>
        <v>CUST-0099</v>
      </c>
      <c r="D1238" t="str">
        <f>Orders!D1238</f>
        <v>PROD-041</v>
      </c>
      <c r="E1238" t="str">
        <f>Orders!E1238</f>
        <v>R003</v>
      </c>
      <c r="F1238">
        <f>Orders!F1238</f>
        <v>5</v>
      </c>
      <c r="G1238" s="35">
        <f>Orders!G1238</f>
        <v>1540</v>
      </c>
      <c r="H1238" s="37">
        <f>Orders!H1238</f>
        <v>27.2</v>
      </c>
      <c r="I1238" s="39">
        <f>Orders!I1238</f>
        <v>5605.6</v>
      </c>
      <c r="J1238" t="str">
        <f>Orders!J1238</f>
        <v>Completed</v>
      </c>
      <c r="K1238" t="str">
        <f>Orders!K1238</f>
        <v>Bengaluru</v>
      </c>
      <c r="L1238" t="str">
        <f>IFERROR(VLOOKUP(D1238,Products!$A$2:$F$61,3,FALSE),"")</f>
        <v>Beauty</v>
      </c>
      <c r="M1238">
        <f>IFERROR(VLOOKUP(D1238,Products!$A$2:$F$61,4,FALSE),"")</f>
        <v>647</v>
      </c>
      <c r="N1238" t="str">
        <f>IFERROR(VLOOKUP(E1238,Sales_Reps!$A$2:$E$31,3,FALSE),"")</f>
        <v>North</v>
      </c>
      <c r="O1238" t="str">
        <f>IFERROR(VLOOKUP(C1238,Customers!$A$2:$F$301,5,FALSE),"")</f>
        <v>SMB</v>
      </c>
      <c r="P1238">
        <f>IFERROR(VLOOKUP(C1238,Customers!$A$2:$F$301,3,FALSE),"")</f>
        <v>54</v>
      </c>
      <c r="Q1238" s="41">
        <f t="shared" si="28"/>
        <v>0.57987012987012987</v>
      </c>
      <c r="R1238" t="str">
        <f>IFERROR(VLOOKUP(C1238,Customers!$A$2:$F$301,1,FALSE),"")</f>
        <v>CUST-0099</v>
      </c>
      <c r="S1238" s="27" t="b">
        <f>IFERROR(VLOOKUP(D1238,Products!$A$2:$F$61,6,FALSE),"")</f>
        <v>0</v>
      </c>
      <c r="BL1238">
        <v>0</v>
      </c>
      <c r="BO1238">
        <v>0</v>
      </c>
      <c r="BP1238">
        <v>1</v>
      </c>
    </row>
    <row r="1239" spans="1:68" x14ac:dyDescent="0.35">
      <c r="A1239" s="26" t="str">
        <f>Orders!A1239</f>
        <v>ORD-00372</v>
      </c>
      <c r="B1239" s="33">
        <f>Orders!B1239</f>
        <v>45307</v>
      </c>
      <c r="C1239" t="str">
        <f>Orders!C1239</f>
        <v>CUST-0094</v>
      </c>
      <c r="D1239" t="str">
        <f>Orders!D1239</f>
        <v>PROD-056</v>
      </c>
      <c r="E1239" t="str">
        <f>Orders!E1239</f>
        <v>R023</v>
      </c>
      <c r="F1239">
        <f>Orders!F1239</f>
        <v>4</v>
      </c>
      <c r="G1239" s="35">
        <f>Orders!G1239</f>
        <v>6940</v>
      </c>
      <c r="H1239" s="37">
        <f>Orders!H1239</f>
        <v>3.2</v>
      </c>
      <c r="I1239" s="39">
        <f>Orders!I1239</f>
        <v>26871.68</v>
      </c>
      <c r="J1239" t="str">
        <f>Orders!J1239</f>
        <v>Completed</v>
      </c>
      <c r="K1239" t="str">
        <f>Orders!K1239</f>
        <v>Pune</v>
      </c>
      <c r="L1239" t="str">
        <f>IFERROR(VLOOKUP(D1239,Products!$A$2:$F$61,3,FALSE),"")</f>
        <v>Sports</v>
      </c>
      <c r="M1239">
        <f>IFERROR(VLOOKUP(D1239,Products!$A$2:$F$61,4,FALSE),"")</f>
        <v>2827</v>
      </c>
      <c r="N1239" t="str">
        <f>IFERROR(VLOOKUP(E1239,Sales_Reps!$A$2:$E$31,3,FALSE),"")</f>
        <v>East</v>
      </c>
      <c r="O1239" t="str">
        <f>IFERROR(VLOOKUP(C1239,Customers!$A$2:$F$301,5,FALSE),"")</f>
        <v>SMB</v>
      </c>
      <c r="P1239">
        <f>IFERROR(VLOOKUP(C1239,Customers!$A$2:$F$301,3,FALSE),"")</f>
        <v>60</v>
      </c>
      <c r="Q1239" s="41">
        <f t="shared" si="28"/>
        <v>0.5926512968299712</v>
      </c>
      <c r="R1239" t="str">
        <f>IFERROR(VLOOKUP(C1239,Customers!$A$2:$F$301,1,FALSE),"")</f>
        <v>CUST-0094</v>
      </c>
      <c r="S1239" s="27" t="b">
        <f>IFERROR(VLOOKUP(D1239,Products!$A$2:$F$61,6,FALSE),"")</f>
        <v>1</v>
      </c>
      <c r="BL1239">
        <v>0.5</v>
      </c>
      <c r="BO1239">
        <v>0</v>
      </c>
      <c r="BP1239">
        <v>0</v>
      </c>
    </row>
    <row r="1240" spans="1:68" x14ac:dyDescent="0.35">
      <c r="A1240" s="26" t="str">
        <f>Orders!A1240</f>
        <v>ORD-01239</v>
      </c>
      <c r="B1240" s="33">
        <f>Orders!B1240</f>
        <v>45517</v>
      </c>
      <c r="C1240" t="str">
        <f>Orders!C1240</f>
        <v>CUST-0275</v>
      </c>
      <c r="D1240" t="str">
        <f>Orders!D1240</f>
        <v>PROD-048</v>
      </c>
      <c r="E1240" t="str">
        <f>Orders!E1240</f>
        <v>R017</v>
      </c>
      <c r="F1240">
        <f>Orders!F1240</f>
        <v>2</v>
      </c>
      <c r="G1240" s="35">
        <f>Orders!G1240</f>
        <v>5100</v>
      </c>
      <c r="H1240" s="37">
        <f>Orders!H1240</f>
        <v>18.100000000000001</v>
      </c>
      <c r="I1240" s="39">
        <f>Orders!I1240</f>
        <v>8353.7999999999993</v>
      </c>
      <c r="J1240" t="str">
        <f>Orders!J1240</f>
        <v>Completed</v>
      </c>
      <c r="K1240" t="str">
        <f>Orders!K1240</f>
        <v>Mumbai</v>
      </c>
      <c r="L1240" t="str">
        <f>IFERROR(VLOOKUP(D1240,Products!$A$2:$F$61,3,FALSE),"")</f>
        <v>Beauty</v>
      </c>
      <c r="M1240">
        <f>IFERROR(VLOOKUP(D1240,Products!$A$2:$F$61,4,FALSE),"")</f>
        <v>2237</v>
      </c>
      <c r="N1240" t="str">
        <f>IFERROR(VLOOKUP(E1240,Sales_Reps!$A$2:$E$31,3,FALSE),"")</f>
        <v>East</v>
      </c>
      <c r="O1240" t="str">
        <f>IFERROR(VLOOKUP(C1240,Customers!$A$2:$F$301,5,FALSE),"")</f>
        <v>Retail</v>
      </c>
      <c r="P1240">
        <f>IFERROR(VLOOKUP(C1240,Customers!$A$2:$F$301,3,FALSE),"")</f>
        <v>36</v>
      </c>
      <c r="Q1240" s="41">
        <f t="shared" si="28"/>
        <v>0.56137254901960787</v>
      </c>
      <c r="R1240" t="str">
        <f>IFERROR(VLOOKUP(C1240,Customers!$A$2:$F$301,1,FALSE),"")</f>
        <v>CUST-0275</v>
      </c>
      <c r="S1240" s="27" t="b">
        <f>IFERROR(VLOOKUP(D1240,Products!$A$2:$F$61,6,FALSE),"")</f>
        <v>1</v>
      </c>
      <c r="BL1240">
        <v>0</v>
      </c>
      <c r="BO1240">
        <v>0</v>
      </c>
      <c r="BP1240">
        <v>0</v>
      </c>
    </row>
    <row r="1241" spans="1:68" x14ac:dyDescent="0.35">
      <c r="A1241" s="26" t="str">
        <f>Orders!A1241</f>
        <v>ORD-01240</v>
      </c>
      <c r="B1241" s="33">
        <f>Orders!B1241</f>
        <v>45575</v>
      </c>
      <c r="C1241" t="str">
        <f>Orders!C1241</f>
        <v>CUST-0230</v>
      </c>
      <c r="D1241" t="str">
        <f>Orders!D1241</f>
        <v>PROD-001</v>
      </c>
      <c r="E1241" t="str">
        <f>Orders!E1241</f>
        <v>R016</v>
      </c>
      <c r="F1241">
        <f>Orders!F1241</f>
        <v>6</v>
      </c>
      <c r="G1241" s="35">
        <f>Orders!G1241</f>
        <v>5330</v>
      </c>
      <c r="H1241" s="37">
        <f>Orders!H1241</f>
        <v>0.3</v>
      </c>
      <c r="I1241" s="39">
        <f>Orders!I1241</f>
        <v>31884.06</v>
      </c>
      <c r="J1241" t="str">
        <f>Orders!J1241</f>
        <v>Pending</v>
      </c>
      <c r="K1241" t="str">
        <f>Orders!K1241</f>
        <v>Pune</v>
      </c>
      <c r="L1241" t="str">
        <f>IFERROR(VLOOKUP(D1241,Products!$A$2:$F$61,3,FALSE),"")</f>
        <v>Electronics</v>
      </c>
      <c r="M1241">
        <f>IFERROR(VLOOKUP(D1241,Products!$A$2:$F$61,4,FALSE),"")</f>
        <v>2405</v>
      </c>
      <c r="N1241" t="str">
        <f>IFERROR(VLOOKUP(E1241,Sales_Reps!$A$2:$E$31,3,FALSE),"")</f>
        <v>South</v>
      </c>
      <c r="O1241" t="str">
        <f>IFERROR(VLOOKUP(C1241,Customers!$A$2:$F$301,5,FALSE),"")</f>
        <v>Corporate</v>
      </c>
      <c r="P1241">
        <f>IFERROR(VLOOKUP(C1241,Customers!$A$2:$F$301,3,FALSE),"")</f>
        <v>33</v>
      </c>
      <c r="Q1241" s="41">
        <f t="shared" si="28"/>
        <v>0.54878048780487809</v>
      </c>
      <c r="R1241" t="str">
        <f>IFERROR(VLOOKUP(C1241,Customers!$A$2:$F$301,1,FALSE),"")</f>
        <v>CUST-0230</v>
      </c>
      <c r="S1241" s="27" t="b">
        <f>IFERROR(VLOOKUP(D1241,Products!$A$2:$F$61,6,FALSE),"")</f>
        <v>1</v>
      </c>
      <c r="BL1241">
        <v>0</v>
      </c>
      <c r="BO1241">
        <v>0</v>
      </c>
      <c r="BP1241">
        <v>0</v>
      </c>
    </row>
    <row r="1242" spans="1:68" x14ac:dyDescent="0.35">
      <c r="A1242" s="26" t="str">
        <f>Orders!A1242</f>
        <v>ORD-01241</v>
      </c>
      <c r="B1242" s="33">
        <f>Orders!B1242</f>
        <v>45449</v>
      </c>
      <c r="C1242" t="str">
        <f>Orders!C1242</f>
        <v>CUST-0227</v>
      </c>
      <c r="D1242" t="str">
        <f>Orders!D1242</f>
        <v>PROD-057</v>
      </c>
      <c r="E1242" t="str">
        <f>Orders!E1242</f>
        <v>R029</v>
      </c>
      <c r="F1242">
        <f>Orders!F1242</f>
        <v>5</v>
      </c>
      <c r="G1242" s="35">
        <f>Orders!G1242</f>
        <v>960</v>
      </c>
      <c r="H1242" s="37">
        <f>Orders!H1242</f>
        <v>16.600000000000001</v>
      </c>
      <c r="I1242" s="39">
        <f>Orders!I1242</f>
        <v>4003.2</v>
      </c>
      <c r="J1242" t="str">
        <f>Orders!J1242</f>
        <v>Completed</v>
      </c>
      <c r="K1242" t="str">
        <f>Orders!K1242</f>
        <v>Bengaluru</v>
      </c>
      <c r="L1242" t="str">
        <f>IFERROR(VLOOKUP(D1242,Products!$A$2:$F$61,3,FALSE),"")</f>
        <v>Sports</v>
      </c>
      <c r="M1242">
        <f>IFERROR(VLOOKUP(D1242,Products!$A$2:$F$61,4,FALSE),"")</f>
        <v>705</v>
      </c>
      <c r="N1242" t="str">
        <f>IFERROR(VLOOKUP(E1242,Sales_Reps!$A$2:$E$31,3,FALSE),"")</f>
        <v>West</v>
      </c>
      <c r="O1242" t="str">
        <f>IFERROR(VLOOKUP(C1242,Customers!$A$2:$F$301,5,FALSE),"")</f>
        <v>SMB</v>
      </c>
      <c r="P1242">
        <f>IFERROR(VLOOKUP(C1242,Customers!$A$2:$F$301,3,FALSE),"")</f>
        <v>44</v>
      </c>
      <c r="Q1242" s="41">
        <f t="shared" si="28"/>
        <v>0.265625</v>
      </c>
      <c r="R1242" t="str">
        <f>IFERROR(VLOOKUP(C1242,Customers!$A$2:$F$301,1,FALSE),"")</f>
        <v>CUST-0227</v>
      </c>
      <c r="S1242" s="27" t="b">
        <f>IFERROR(VLOOKUP(D1242,Products!$A$2:$F$61,6,FALSE),"")</f>
        <v>1</v>
      </c>
      <c r="BL1242">
        <v>0</v>
      </c>
      <c r="BO1242">
        <v>0</v>
      </c>
      <c r="BP1242">
        <v>0</v>
      </c>
    </row>
    <row r="1243" spans="1:68" x14ac:dyDescent="0.35">
      <c r="A1243" s="26" t="str">
        <f>Orders!A1243</f>
        <v>ORD-01365</v>
      </c>
      <c r="B1243" s="33">
        <f>Orders!B1243</f>
        <v>45481</v>
      </c>
      <c r="C1243" t="str">
        <f>Orders!C1243</f>
        <v>CUST-0200</v>
      </c>
      <c r="D1243" t="str">
        <f>Orders!D1243</f>
        <v>PROD-014</v>
      </c>
      <c r="E1243" t="str">
        <f>Orders!E1243</f>
        <v>R022</v>
      </c>
      <c r="F1243">
        <f>Orders!F1243</f>
        <v>7</v>
      </c>
      <c r="G1243" s="35">
        <f>Orders!G1243</f>
        <v>3620</v>
      </c>
      <c r="H1243" s="37">
        <f>Orders!H1243</f>
        <v>5.4</v>
      </c>
      <c r="I1243" s="39">
        <f>Orders!I1243</f>
        <v>23971.64</v>
      </c>
      <c r="J1243" t="str">
        <f>Orders!J1243</f>
        <v>Completed</v>
      </c>
      <c r="K1243" t="str">
        <f>Orders!K1243</f>
        <v>Hyderabad</v>
      </c>
      <c r="L1243" t="str">
        <f>IFERROR(VLOOKUP(D1243,Products!$A$2:$F$61,3,FALSE),"")</f>
        <v>Apparel</v>
      </c>
      <c r="M1243">
        <f>IFERROR(VLOOKUP(D1243,Products!$A$2:$F$61,4,FALSE),"")</f>
        <v>2509</v>
      </c>
      <c r="N1243" t="str">
        <f>IFERROR(VLOOKUP(E1243,Sales_Reps!$A$2:$E$31,3,FALSE),"")</f>
        <v>East</v>
      </c>
      <c r="O1243" t="str">
        <f>IFERROR(VLOOKUP(C1243,Customers!$A$2:$F$301,5,FALSE),"")</f>
        <v>Corporate</v>
      </c>
      <c r="P1243">
        <f>IFERROR(VLOOKUP(C1243,Customers!$A$2:$F$301,3,FALSE),"")</f>
        <v>46</v>
      </c>
      <c r="Q1243" s="41">
        <f t="shared" si="28"/>
        <v>0.3069060773480663</v>
      </c>
      <c r="R1243" t="str">
        <f>IFERROR(VLOOKUP(C1243,Customers!$A$2:$F$301,1,FALSE),"")</f>
        <v>CUST-0200</v>
      </c>
      <c r="S1243" s="27" t="b">
        <f>IFERROR(VLOOKUP(D1243,Products!$A$2:$F$61,6,FALSE),"")</f>
        <v>1</v>
      </c>
      <c r="BL1243">
        <v>0.5</v>
      </c>
      <c r="BO1243">
        <v>0</v>
      </c>
      <c r="BP1243">
        <v>0</v>
      </c>
    </row>
    <row r="1244" spans="1:68" x14ac:dyDescent="0.35">
      <c r="A1244" s="26" t="str">
        <f>Orders!A1244</f>
        <v>ORD-01243</v>
      </c>
      <c r="B1244" s="33">
        <f>Orders!B1244</f>
        <v>45368</v>
      </c>
      <c r="C1244" t="str">
        <f>Orders!C1244</f>
        <v>CUST-0268</v>
      </c>
      <c r="D1244" t="str">
        <f>Orders!D1244</f>
        <v>PROD-002</v>
      </c>
      <c r="E1244" t="str">
        <f>Orders!E1244</f>
        <v>R006</v>
      </c>
      <c r="F1244">
        <f>Orders!F1244</f>
        <v>6</v>
      </c>
      <c r="G1244" s="35">
        <f>Orders!G1244</f>
        <v>2600</v>
      </c>
      <c r="H1244" s="37">
        <f>Orders!H1244</f>
        <v>25.9</v>
      </c>
      <c r="I1244" s="39">
        <f>Orders!I1244</f>
        <v>11559.6</v>
      </c>
      <c r="J1244" t="str">
        <f>Orders!J1244</f>
        <v>Completed</v>
      </c>
      <c r="K1244" t="str">
        <f>Orders!K1244</f>
        <v>Chennai</v>
      </c>
      <c r="L1244" t="str">
        <f>IFERROR(VLOOKUP(D1244,Products!$A$2:$F$61,3,FALSE),"")</f>
        <v>Electronics</v>
      </c>
      <c r="M1244">
        <f>IFERROR(VLOOKUP(D1244,Products!$A$2:$F$61,4,FALSE),"")</f>
        <v>1052</v>
      </c>
      <c r="N1244" t="str">
        <f>IFERROR(VLOOKUP(E1244,Sales_Reps!$A$2:$E$31,3,FALSE),"")</f>
        <v>North</v>
      </c>
      <c r="O1244" t="str">
        <f>IFERROR(VLOOKUP(C1244,Customers!$A$2:$F$301,5,FALSE),"")</f>
        <v>Retail</v>
      </c>
      <c r="P1244">
        <f>IFERROR(VLOOKUP(C1244,Customers!$A$2:$F$301,3,FALSE),"")</f>
        <v>35</v>
      </c>
      <c r="Q1244" s="41">
        <f t="shared" si="28"/>
        <v>0.5953846153846154</v>
      </c>
      <c r="R1244" t="str">
        <f>IFERROR(VLOOKUP(C1244,Customers!$A$2:$F$301,1,FALSE),"")</f>
        <v>CUST-0268</v>
      </c>
      <c r="S1244" s="27" t="b">
        <f>IFERROR(VLOOKUP(D1244,Products!$A$2:$F$61,6,FALSE),"")</f>
        <v>1</v>
      </c>
      <c r="BL1244">
        <v>0</v>
      </c>
      <c r="BO1244">
        <v>0</v>
      </c>
      <c r="BP1244">
        <v>0</v>
      </c>
    </row>
    <row r="1245" spans="1:68" x14ac:dyDescent="0.35">
      <c r="A1245" s="26" t="str">
        <f>Orders!A1245</f>
        <v>ORD-01244</v>
      </c>
      <c r="B1245" s="33">
        <f>Orders!B1245</f>
        <v>45298</v>
      </c>
      <c r="C1245" t="str">
        <f>Orders!C1245</f>
        <v>CUST-0163</v>
      </c>
      <c r="D1245" t="str">
        <f>Orders!D1245</f>
        <v>PROD-008</v>
      </c>
      <c r="E1245" t="str">
        <f>Orders!E1245</f>
        <v>R013</v>
      </c>
      <c r="F1245">
        <f>Orders!F1245</f>
        <v>7</v>
      </c>
      <c r="G1245" s="35">
        <f>Orders!G1245</f>
        <v>2660</v>
      </c>
      <c r="H1245" s="37">
        <f>Orders!H1245</f>
        <v>20.2</v>
      </c>
      <c r="I1245" s="39">
        <f>Orders!I1245</f>
        <v>14858.76</v>
      </c>
      <c r="J1245" t="str">
        <f>Orders!J1245</f>
        <v>Completed</v>
      </c>
      <c r="K1245" t="str">
        <f>Orders!K1245</f>
        <v>Pune</v>
      </c>
      <c r="L1245" t="str">
        <f>IFERROR(VLOOKUP(D1245,Products!$A$2:$F$61,3,FALSE),"")</f>
        <v>Electronics</v>
      </c>
      <c r="M1245">
        <f>IFERROR(VLOOKUP(D1245,Products!$A$2:$F$61,4,FALSE),"")</f>
        <v>1259</v>
      </c>
      <c r="N1245" t="str">
        <f>IFERROR(VLOOKUP(E1245,Sales_Reps!$A$2:$E$31,3,FALSE),"")</f>
        <v>South</v>
      </c>
      <c r="O1245" t="str">
        <f>IFERROR(VLOOKUP(C1245,Customers!$A$2:$F$301,5,FALSE),"")</f>
        <v>Retail</v>
      </c>
      <c r="P1245">
        <f>IFERROR(VLOOKUP(C1245,Customers!$A$2:$F$301,3,FALSE),"")</f>
        <v>49</v>
      </c>
      <c r="Q1245" s="41">
        <f t="shared" si="28"/>
        <v>0.52669172932330832</v>
      </c>
      <c r="R1245" t="str">
        <f>IFERROR(VLOOKUP(C1245,Customers!$A$2:$F$301,1,FALSE),"")</f>
        <v>CUST-0163</v>
      </c>
      <c r="S1245" s="27" t="b">
        <f>IFERROR(VLOOKUP(D1245,Products!$A$2:$F$61,6,FALSE),"")</f>
        <v>0</v>
      </c>
      <c r="BL1245">
        <v>0</v>
      </c>
      <c r="BO1245">
        <v>0</v>
      </c>
      <c r="BP1245">
        <v>1</v>
      </c>
    </row>
    <row r="1246" spans="1:68" x14ac:dyDescent="0.35">
      <c r="A1246" s="26" t="str">
        <f>Orders!A1246</f>
        <v>ORD-01245</v>
      </c>
      <c r="B1246" s="33">
        <f>Orders!B1246</f>
        <v>45472</v>
      </c>
      <c r="C1246" t="str">
        <f>Orders!C1246</f>
        <v>CUST-0233</v>
      </c>
      <c r="D1246" t="str">
        <f>Orders!D1246</f>
        <v>PROD-019</v>
      </c>
      <c r="E1246" t="str">
        <f>Orders!E1246</f>
        <v>R022</v>
      </c>
      <c r="F1246">
        <f>Orders!F1246</f>
        <v>9</v>
      </c>
      <c r="G1246" s="35">
        <f>Orders!G1246</f>
        <v>2480</v>
      </c>
      <c r="H1246" s="37">
        <f>Orders!H1246</f>
        <v>14.7</v>
      </c>
      <c r="I1246" s="39">
        <f>Orders!I1246</f>
        <v>19038.96</v>
      </c>
      <c r="J1246" t="str">
        <f>Orders!J1246</f>
        <v>Completed</v>
      </c>
      <c r="K1246" t="str">
        <f>Orders!K1246</f>
        <v>Mumbai</v>
      </c>
      <c r="L1246" t="str">
        <f>IFERROR(VLOOKUP(D1246,Products!$A$2:$F$61,3,FALSE),"")</f>
        <v>Apparel</v>
      </c>
      <c r="M1246">
        <f>IFERROR(VLOOKUP(D1246,Products!$A$2:$F$61,4,FALSE),"")</f>
        <v>1173</v>
      </c>
      <c r="N1246" t="str">
        <f>IFERROR(VLOOKUP(E1246,Sales_Reps!$A$2:$E$31,3,FALSE),"")</f>
        <v>East</v>
      </c>
      <c r="O1246" t="str">
        <f>IFERROR(VLOOKUP(C1246,Customers!$A$2:$F$301,5,FALSE),"")</f>
        <v>SMB</v>
      </c>
      <c r="P1246">
        <f>IFERROR(VLOOKUP(C1246,Customers!$A$2:$F$301,3,FALSE),"")</f>
        <v>65</v>
      </c>
      <c r="Q1246" s="41">
        <f t="shared" si="28"/>
        <v>0.52701612903225803</v>
      </c>
      <c r="R1246" t="str">
        <f>IFERROR(VLOOKUP(C1246,Customers!$A$2:$F$301,1,FALSE),"")</f>
        <v>CUST-0233</v>
      </c>
      <c r="S1246" s="27" t="b">
        <f>IFERROR(VLOOKUP(D1246,Products!$A$2:$F$61,6,FALSE),"")</f>
        <v>1</v>
      </c>
      <c r="BL1246">
        <v>0</v>
      </c>
      <c r="BO1246">
        <v>0</v>
      </c>
      <c r="BP1246">
        <v>0</v>
      </c>
    </row>
    <row r="1247" spans="1:68" x14ac:dyDescent="0.35">
      <c r="A1247" s="26" t="str">
        <f>Orders!A1247</f>
        <v>ORD-01246</v>
      </c>
      <c r="B1247" s="33">
        <f>Orders!B1247</f>
        <v>45568</v>
      </c>
      <c r="C1247" t="str">
        <f>Orders!C1247</f>
        <v>CUST-0181</v>
      </c>
      <c r="D1247" t="str">
        <f>Orders!D1247</f>
        <v>PROD-008</v>
      </c>
      <c r="E1247" t="str">
        <f>Orders!E1247</f>
        <v>R015</v>
      </c>
      <c r="F1247">
        <f>Orders!F1247</f>
        <v>4</v>
      </c>
      <c r="G1247" s="35">
        <f>Orders!G1247</f>
        <v>2660</v>
      </c>
      <c r="H1247" s="37">
        <f>Orders!H1247</f>
        <v>8.9</v>
      </c>
      <c r="I1247" s="39">
        <f>Orders!I1247</f>
        <v>9693.0400000000009</v>
      </c>
      <c r="J1247" t="str">
        <f>Orders!J1247</f>
        <v>Completed</v>
      </c>
      <c r="K1247" t="str">
        <f>Orders!K1247</f>
        <v>Delhi</v>
      </c>
      <c r="L1247" t="str">
        <f>IFERROR(VLOOKUP(D1247,Products!$A$2:$F$61,3,FALSE),"")</f>
        <v>Electronics</v>
      </c>
      <c r="M1247">
        <f>IFERROR(VLOOKUP(D1247,Products!$A$2:$F$61,4,FALSE),"")</f>
        <v>1259</v>
      </c>
      <c r="N1247" t="str">
        <f>IFERROR(VLOOKUP(E1247,Sales_Reps!$A$2:$E$31,3,FALSE),"")</f>
        <v>South</v>
      </c>
      <c r="O1247" t="str">
        <f>IFERROR(VLOOKUP(C1247,Customers!$A$2:$F$301,5,FALSE),"")</f>
        <v>SMB</v>
      </c>
      <c r="P1247">
        <f>IFERROR(VLOOKUP(C1247,Customers!$A$2:$F$301,3,FALSE),"")</f>
        <v>38</v>
      </c>
      <c r="Q1247" s="41">
        <f t="shared" si="28"/>
        <v>0.52669172932330832</v>
      </c>
      <c r="R1247" t="str">
        <f>IFERROR(VLOOKUP(C1247,Customers!$A$2:$F$301,1,FALSE),"")</f>
        <v>CUST-0181</v>
      </c>
      <c r="S1247" s="27" t="b">
        <f>IFERROR(VLOOKUP(D1247,Products!$A$2:$F$61,6,FALSE),"")</f>
        <v>0</v>
      </c>
      <c r="BL1247">
        <v>0</v>
      </c>
      <c r="BO1247">
        <v>0</v>
      </c>
      <c r="BP1247">
        <v>1</v>
      </c>
    </row>
    <row r="1248" spans="1:68" x14ac:dyDescent="0.35">
      <c r="A1248" s="26" t="str">
        <f>Orders!A1248</f>
        <v>ORD-01247</v>
      </c>
      <c r="B1248" s="33">
        <f>Orders!B1248</f>
        <v>45540</v>
      </c>
      <c r="C1248" t="str">
        <f>Orders!C1248</f>
        <v>CUST-0254</v>
      </c>
      <c r="D1248" t="str">
        <f>Orders!D1248</f>
        <v>PROD-001</v>
      </c>
      <c r="E1248" t="str">
        <f>Orders!E1248</f>
        <v>R010</v>
      </c>
      <c r="F1248">
        <f>Orders!F1248</f>
        <v>1</v>
      </c>
      <c r="G1248" s="35">
        <f>Orders!G1248</f>
        <v>5330</v>
      </c>
      <c r="H1248" s="37">
        <f>Orders!H1248</f>
        <v>26.8</v>
      </c>
      <c r="I1248" s="39">
        <f>Orders!I1248</f>
        <v>3901.56</v>
      </c>
      <c r="J1248" t="str">
        <f>Orders!J1248</f>
        <v>Completed</v>
      </c>
      <c r="K1248" t="str">
        <f>Orders!K1248</f>
        <v>Bengaluru</v>
      </c>
      <c r="L1248" t="str">
        <f>IFERROR(VLOOKUP(D1248,Products!$A$2:$F$61,3,FALSE),"")</f>
        <v>Electronics</v>
      </c>
      <c r="M1248">
        <f>IFERROR(VLOOKUP(D1248,Products!$A$2:$F$61,4,FALSE),"")</f>
        <v>2405</v>
      </c>
      <c r="N1248" t="str">
        <f>IFERROR(VLOOKUP(E1248,Sales_Reps!$A$2:$E$31,3,FALSE),"")</f>
        <v>South</v>
      </c>
      <c r="O1248" t="str">
        <f>IFERROR(VLOOKUP(C1248,Customers!$A$2:$F$301,5,FALSE),"")</f>
        <v>Retail</v>
      </c>
      <c r="P1248">
        <f>IFERROR(VLOOKUP(C1248,Customers!$A$2:$F$301,3,FALSE),"")</f>
        <v>35</v>
      </c>
      <c r="Q1248" s="41">
        <f t="shared" si="28"/>
        <v>0.54878048780487809</v>
      </c>
      <c r="R1248" t="str">
        <f>IFERROR(VLOOKUP(C1248,Customers!$A$2:$F$301,1,FALSE),"")</f>
        <v>CUST-0254</v>
      </c>
      <c r="S1248" s="27" t="b">
        <f>IFERROR(VLOOKUP(D1248,Products!$A$2:$F$61,6,FALSE),"")</f>
        <v>1</v>
      </c>
      <c r="BL1248">
        <v>0</v>
      </c>
      <c r="BO1248">
        <v>0</v>
      </c>
      <c r="BP1248">
        <v>0</v>
      </c>
    </row>
    <row r="1249" spans="1:68" x14ac:dyDescent="0.35">
      <c r="A1249" s="26" t="str">
        <f>Orders!A1249</f>
        <v>ORD-01248</v>
      </c>
      <c r="B1249" s="33">
        <f>Orders!B1249</f>
        <v>45544</v>
      </c>
      <c r="C1249" t="str">
        <f>Orders!C1249</f>
        <v>CUST-0116</v>
      </c>
      <c r="D1249" t="str">
        <f>Orders!D1249</f>
        <v>PROD-051</v>
      </c>
      <c r="E1249" t="str">
        <f>Orders!E1249</f>
        <v>R027</v>
      </c>
      <c r="F1249">
        <f>Orders!F1249</f>
        <v>6</v>
      </c>
      <c r="G1249" s="35">
        <f>Orders!G1249</f>
        <v>3450</v>
      </c>
      <c r="H1249" s="37">
        <f>Orders!H1249</f>
        <v>19.2</v>
      </c>
      <c r="I1249" s="39">
        <f>Orders!I1249</f>
        <v>16725.599999999999</v>
      </c>
      <c r="J1249" t="str">
        <f>Orders!J1249</f>
        <v>Pending</v>
      </c>
      <c r="K1249" t="str">
        <f>Orders!K1249</f>
        <v>Bengaluru</v>
      </c>
      <c r="L1249" t="str">
        <f>IFERROR(VLOOKUP(D1249,Products!$A$2:$F$61,3,FALSE),"")</f>
        <v>Sports</v>
      </c>
      <c r="M1249">
        <f>IFERROR(VLOOKUP(D1249,Products!$A$2:$F$61,4,FALSE),"")</f>
        <v>2467</v>
      </c>
      <c r="N1249" t="str">
        <f>IFERROR(VLOOKUP(E1249,Sales_Reps!$A$2:$E$31,3,FALSE),"")</f>
        <v>West</v>
      </c>
      <c r="O1249" t="str">
        <f>IFERROR(VLOOKUP(C1249,Customers!$A$2:$F$301,5,FALSE),"")</f>
        <v>Retail</v>
      </c>
      <c r="P1249">
        <f>IFERROR(VLOOKUP(C1249,Customers!$A$2:$F$301,3,FALSE),"")</f>
        <v>53</v>
      </c>
      <c r="Q1249" s="41">
        <f t="shared" si="28"/>
        <v>0.28492753623188405</v>
      </c>
      <c r="R1249" t="str">
        <f>IFERROR(VLOOKUP(C1249,Customers!$A$2:$F$301,1,FALSE),"")</f>
        <v>CUST-0116</v>
      </c>
      <c r="S1249" s="27" t="b">
        <f>IFERROR(VLOOKUP(D1249,Products!$A$2:$F$61,6,FALSE),"")</f>
        <v>1</v>
      </c>
      <c r="BL1249">
        <v>0</v>
      </c>
      <c r="BO1249">
        <v>0</v>
      </c>
      <c r="BP1249">
        <v>0</v>
      </c>
    </row>
    <row r="1250" spans="1:68" x14ac:dyDescent="0.35">
      <c r="A1250" s="26" t="str">
        <f>Orders!A1250</f>
        <v>ORD-01249</v>
      </c>
      <c r="B1250" s="33">
        <f>Orders!B1250</f>
        <v>45334</v>
      </c>
      <c r="C1250" t="str">
        <f>Orders!C1250</f>
        <v>CUST-0259</v>
      </c>
      <c r="D1250" t="str">
        <f>Orders!D1250</f>
        <v>PROD-060</v>
      </c>
      <c r="E1250" t="str">
        <f>Orders!E1250</f>
        <v>R025</v>
      </c>
      <c r="F1250">
        <f>Orders!F1250</f>
        <v>10</v>
      </c>
      <c r="G1250" s="35">
        <f>Orders!G1250</f>
        <v>190</v>
      </c>
      <c r="H1250" s="37">
        <f>Orders!H1250</f>
        <v>18.100000000000001</v>
      </c>
      <c r="I1250" s="39">
        <f>Orders!I1250</f>
        <v>1556.1</v>
      </c>
      <c r="J1250" t="str">
        <f>Orders!J1250</f>
        <v>Completed</v>
      </c>
      <c r="K1250" t="str">
        <f>Orders!K1250</f>
        <v>Mumbai</v>
      </c>
      <c r="L1250" t="str">
        <f>IFERROR(VLOOKUP(D1250,Products!$A$2:$F$61,3,FALSE),"")</f>
        <v>Sports</v>
      </c>
      <c r="M1250">
        <f>IFERROR(VLOOKUP(D1250,Products!$A$2:$F$61,4,FALSE),"")</f>
        <v>147</v>
      </c>
      <c r="N1250" t="str">
        <f>IFERROR(VLOOKUP(E1250,Sales_Reps!$A$2:$E$31,3,FALSE),"")</f>
        <v>West</v>
      </c>
      <c r="O1250" t="str">
        <f>IFERROR(VLOOKUP(C1250,Customers!$A$2:$F$301,5,FALSE),"")</f>
        <v>Retail</v>
      </c>
      <c r="P1250">
        <f>IFERROR(VLOOKUP(C1250,Customers!$A$2:$F$301,3,FALSE),"")</f>
        <v>34</v>
      </c>
      <c r="Q1250" s="41">
        <f t="shared" si="28"/>
        <v>0.22631578947368422</v>
      </c>
      <c r="R1250" t="str">
        <f>IFERROR(VLOOKUP(C1250,Customers!$A$2:$F$301,1,FALSE),"")</f>
        <v>CUST-0259</v>
      </c>
      <c r="S1250" s="27" t="b">
        <f>IFERROR(VLOOKUP(D1250,Products!$A$2:$F$61,6,FALSE),"")</f>
        <v>1</v>
      </c>
      <c r="BL1250">
        <v>0</v>
      </c>
      <c r="BO1250">
        <v>0</v>
      </c>
      <c r="BP1250">
        <v>0</v>
      </c>
    </row>
    <row r="1251" spans="1:68" x14ac:dyDescent="0.35">
      <c r="A1251" s="26" t="str">
        <f>Orders!A1251</f>
        <v>ORD-01250</v>
      </c>
      <c r="B1251" s="33">
        <f>Orders!B1251</f>
        <v>45584</v>
      </c>
      <c r="C1251" t="str">
        <f>Orders!C1251</f>
        <v>CUST-0198</v>
      </c>
      <c r="D1251" t="str">
        <f>Orders!D1251</f>
        <v>PROD-006</v>
      </c>
      <c r="E1251" t="str">
        <f>Orders!E1251</f>
        <v>R009</v>
      </c>
      <c r="F1251">
        <f>Orders!F1251</f>
        <v>9</v>
      </c>
      <c r="G1251" s="35">
        <f>Orders!G1251</f>
        <v>3970</v>
      </c>
      <c r="H1251" s="37">
        <f>Orders!H1251</f>
        <v>18.2</v>
      </c>
      <c r="I1251" s="39">
        <f>Orders!I1251</f>
        <v>29227.14</v>
      </c>
      <c r="J1251" t="str">
        <f>Orders!J1251</f>
        <v>Pending</v>
      </c>
      <c r="K1251" t="str">
        <f>Orders!K1251</f>
        <v>Chennai</v>
      </c>
      <c r="L1251" t="str">
        <f>IFERROR(VLOOKUP(D1251,Products!$A$2:$F$61,3,FALSE),"")</f>
        <v>Electronics</v>
      </c>
      <c r="M1251">
        <f>IFERROR(VLOOKUP(D1251,Products!$A$2:$F$61,4,FALSE),"")</f>
        <v>2865</v>
      </c>
      <c r="N1251" t="str">
        <f>IFERROR(VLOOKUP(E1251,Sales_Reps!$A$2:$E$31,3,FALSE),"")</f>
        <v>South</v>
      </c>
      <c r="O1251" t="str">
        <f>IFERROR(VLOOKUP(C1251,Customers!$A$2:$F$301,5,FALSE),"")</f>
        <v>Corporate</v>
      </c>
      <c r="P1251">
        <f>IFERROR(VLOOKUP(C1251,Customers!$A$2:$F$301,3,FALSE),"")</f>
        <v>22</v>
      </c>
      <c r="Q1251" s="41">
        <f t="shared" si="28"/>
        <v>0.27833753148614609</v>
      </c>
      <c r="R1251" t="str">
        <f>IFERROR(VLOOKUP(C1251,Customers!$A$2:$F$301,1,FALSE),"")</f>
        <v>CUST-0198</v>
      </c>
      <c r="S1251" s="27" t="b">
        <f>IFERROR(VLOOKUP(D1251,Products!$A$2:$F$61,6,FALSE),"")</f>
        <v>1</v>
      </c>
      <c r="BL1251">
        <v>0</v>
      </c>
      <c r="BO1251">
        <v>0</v>
      </c>
      <c r="BP1251">
        <v>0</v>
      </c>
    </row>
    <row r="1252" spans="1:68" x14ac:dyDescent="0.35">
      <c r="A1252" s="26" t="str">
        <f>Orders!A1252</f>
        <v>ORD-01251</v>
      </c>
      <c r="B1252" s="33">
        <f>Orders!B1252</f>
        <v>45404</v>
      </c>
      <c r="C1252" t="str">
        <f>Orders!C1252</f>
        <v>CUST-0204</v>
      </c>
      <c r="D1252" t="str">
        <f>Orders!D1252</f>
        <v>PROD-039</v>
      </c>
      <c r="E1252" t="str">
        <f>Orders!E1252</f>
        <v>R002</v>
      </c>
      <c r="F1252">
        <f>Orders!F1252</f>
        <v>4</v>
      </c>
      <c r="G1252" s="35">
        <f>Orders!G1252</f>
        <v>4610</v>
      </c>
      <c r="H1252" s="37">
        <f>Orders!H1252</f>
        <v>15.1</v>
      </c>
      <c r="I1252" s="39">
        <f>Orders!I1252</f>
        <v>15655.56</v>
      </c>
      <c r="J1252" t="str">
        <f>Orders!J1252</f>
        <v>Cancelled</v>
      </c>
      <c r="K1252" t="str">
        <f>Orders!K1252</f>
        <v>Hyderabad</v>
      </c>
      <c r="L1252" t="str">
        <f>IFERROR(VLOOKUP(D1252,Products!$A$2:$F$61,3,FALSE),"")</f>
        <v>Home</v>
      </c>
      <c r="M1252">
        <f>IFERROR(VLOOKUP(D1252,Products!$A$2:$F$61,4,FALSE),"")</f>
        <v>1850</v>
      </c>
      <c r="N1252" t="str">
        <f>IFERROR(VLOOKUP(E1252,Sales_Reps!$A$2:$E$31,3,FALSE),"")</f>
        <v>North</v>
      </c>
      <c r="O1252" t="str">
        <f>IFERROR(VLOOKUP(C1252,Customers!$A$2:$F$301,5,FALSE),"")</f>
        <v>Retail</v>
      </c>
      <c r="P1252">
        <f>IFERROR(VLOOKUP(C1252,Customers!$A$2:$F$301,3,FALSE),"")</f>
        <v>60</v>
      </c>
      <c r="Q1252" s="41">
        <f t="shared" si="28"/>
        <v>0.59869848156182215</v>
      </c>
      <c r="R1252" t="str">
        <f>IFERROR(VLOOKUP(C1252,Customers!$A$2:$F$301,1,FALSE),"")</f>
        <v>CUST-0204</v>
      </c>
      <c r="S1252" s="27" t="b">
        <f>IFERROR(VLOOKUP(D1252,Products!$A$2:$F$61,6,FALSE),"")</f>
        <v>1</v>
      </c>
      <c r="BL1252">
        <v>0</v>
      </c>
      <c r="BO1252">
        <v>0</v>
      </c>
      <c r="BP1252">
        <v>0</v>
      </c>
    </row>
    <row r="1253" spans="1:68" x14ac:dyDescent="0.35">
      <c r="A1253" s="26" t="str">
        <f>Orders!A1253</f>
        <v>ORD-01252</v>
      </c>
      <c r="B1253" s="33">
        <f>Orders!B1253</f>
        <v>45476</v>
      </c>
      <c r="C1253" t="str">
        <f>Orders!C1253</f>
        <v>CUST-0216</v>
      </c>
      <c r="D1253" t="str">
        <f>Orders!D1253</f>
        <v>PROD-016</v>
      </c>
      <c r="E1253" t="str">
        <f>Orders!E1253</f>
        <v>R025</v>
      </c>
      <c r="F1253">
        <f>Orders!F1253</f>
        <v>2</v>
      </c>
      <c r="G1253" s="35">
        <f>Orders!G1253</f>
        <v>620</v>
      </c>
      <c r="H1253" s="37">
        <f>Orders!H1253</f>
        <v>3.3</v>
      </c>
      <c r="I1253" s="39">
        <f>Orders!I1253</f>
        <v>1199.08</v>
      </c>
      <c r="J1253" t="str">
        <f>Orders!J1253</f>
        <v>Completed</v>
      </c>
      <c r="K1253" t="str">
        <f>Orders!K1253</f>
        <v>Mumbai</v>
      </c>
      <c r="L1253" t="str">
        <f>IFERROR(VLOOKUP(D1253,Products!$A$2:$F$61,3,FALSE),"")</f>
        <v>Apparel</v>
      </c>
      <c r="M1253">
        <f>IFERROR(VLOOKUP(D1253,Products!$A$2:$F$61,4,FALSE),"")</f>
        <v>396</v>
      </c>
      <c r="N1253" t="str">
        <f>IFERROR(VLOOKUP(E1253,Sales_Reps!$A$2:$E$31,3,FALSE),"")</f>
        <v>West</v>
      </c>
      <c r="O1253" t="str">
        <f>IFERROR(VLOOKUP(C1253,Customers!$A$2:$F$301,5,FALSE),"")</f>
        <v>Retail</v>
      </c>
      <c r="P1253">
        <f>IFERROR(VLOOKUP(C1253,Customers!$A$2:$F$301,3,FALSE),"")</f>
        <v>50</v>
      </c>
      <c r="Q1253" s="41">
        <f t="shared" si="28"/>
        <v>0.36129032258064514</v>
      </c>
      <c r="R1253" t="str">
        <f>IFERROR(VLOOKUP(C1253,Customers!$A$2:$F$301,1,FALSE),"")</f>
        <v>CUST-0216</v>
      </c>
      <c r="S1253" s="27" t="b">
        <f>IFERROR(VLOOKUP(D1253,Products!$A$2:$F$61,6,FALSE),"")</f>
        <v>1</v>
      </c>
      <c r="BL1253">
        <v>0</v>
      </c>
      <c r="BO1253">
        <v>0</v>
      </c>
      <c r="BP1253">
        <v>0</v>
      </c>
    </row>
    <row r="1254" spans="1:68" x14ac:dyDescent="0.35">
      <c r="A1254" s="26" t="str">
        <f>Orders!A1254</f>
        <v>ORD-01253</v>
      </c>
      <c r="B1254" s="33">
        <f>Orders!B1254</f>
        <v>45481</v>
      </c>
      <c r="C1254" t="str">
        <f>Orders!C1254</f>
        <v>CUST-0030</v>
      </c>
      <c r="D1254" t="str">
        <f>Orders!D1254</f>
        <v>PROD-041</v>
      </c>
      <c r="E1254" t="str">
        <f>Orders!E1254</f>
        <v>R025</v>
      </c>
      <c r="F1254">
        <f>Orders!F1254</f>
        <v>7</v>
      </c>
      <c r="G1254" s="35">
        <f>Orders!G1254</f>
        <v>1540</v>
      </c>
      <c r="H1254" s="37">
        <f>Orders!H1254</f>
        <v>27.5</v>
      </c>
      <c r="I1254" s="39">
        <f>Orders!I1254</f>
        <v>7815.5</v>
      </c>
      <c r="J1254" t="str">
        <f>Orders!J1254</f>
        <v>Completed</v>
      </c>
      <c r="K1254" t="str">
        <f>Orders!K1254</f>
        <v>Bengaluru</v>
      </c>
      <c r="L1254" t="str">
        <f>IFERROR(VLOOKUP(D1254,Products!$A$2:$F$61,3,FALSE),"")</f>
        <v>Beauty</v>
      </c>
      <c r="M1254">
        <f>IFERROR(VLOOKUP(D1254,Products!$A$2:$F$61,4,FALSE),"")</f>
        <v>647</v>
      </c>
      <c r="N1254" t="str">
        <f>IFERROR(VLOOKUP(E1254,Sales_Reps!$A$2:$E$31,3,FALSE),"")</f>
        <v>West</v>
      </c>
      <c r="O1254" t="str">
        <f>IFERROR(VLOOKUP(C1254,Customers!$A$2:$F$301,5,FALSE),"")</f>
        <v>Corporate</v>
      </c>
      <c r="P1254">
        <f>IFERROR(VLOOKUP(C1254,Customers!$A$2:$F$301,3,FALSE),"")</f>
        <v>43</v>
      </c>
      <c r="Q1254" s="41">
        <f t="shared" si="28"/>
        <v>0.57987012987012987</v>
      </c>
      <c r="R1254" t="str">
        <f>IFERROR(VLOOKUP(C1254,Customers!$A$2:$F$301,1,FALSE),"")</f>
        <v>CUST-0030</v>
      </c>
      <c r="S1254" s="27" t="b">
        <f>IFERROR(VLOOKUP(D1254,Products!$A$2:$F$61,6,FALSE),"")</f>
        <v>0</v>
      </c>
      <c r="BL1254">
        <v>0</v>
      </c>
      <c r="BO1254">
        <v>0</v>
      </c>
      <c r="BP1254">
        <v>1</v>
      </c>
    </row>
    <row r="1255" spans="1:68" x14ac:dyDescent="0.35">
      <c r="A1255" s="26" t="str">
        <f>Orders!A1255</f>
        <v>ORD-01254</v>
      </c>
      <c r="B1255" s="33">
        <f>Orders!B1255</f>
        <v>45480</v>
      </c>
      <c r="C1255" t="str">
        <f>Orders!C1255</f>
        <v>CUST-0019</v>
      </c>
      <c r="D1255" t="str">
        <f>Orders!D1255</f>
        <v>PROD-053</v>
      </c>
      <c r="E1255" t="str">
        <f>Orders!E1255</f>
        <v>R017</v>
      </c>
      <c r="F1255">
        <f>Orders!F1255</f>
        <v>10</v>
      </c>
      <c r="G1255" s="35">
        <f>Orders!G1255</f>
        <v>470</v>
      </c>
      <c r="H1255" s="37">
        <f>Orders!H1255</f>
        <v>3.9</v>
      </c>
      <c r="I1255" s="39">
        <f>Orders!I1255</f>
        <v>4516.7</v>
      </c>
      <c r="J1255" t="str">
        <f>Orders!J1255</f>
        <v>Completed</v>
      </c>
      <c r="K1255" t="str">
        <f>Orders!K1255</f>
        <v>Chennai</v>
      </c>
      <c r="L1255" t="str">
        <f>IFERROR(VLOOKUP(D1255,Products!$A$2:$F$61,3,FALSE),"")</f>
        <v>Sports</v>
      </c>
      <c r="M1255">
        <f>IFERROR(VLOOKUP(D1255,Products!$A$2:$F$61,4,FALSE),"")</f>
        <v>302</v>
      </c>
      <c r="N1255" t="str">
        <f>IFERROR(VLOOKUP(E1255,Sales_Reps!$A$2:$E$31,3,FALSE),"")</f>
        <v>East</v>
      </c>
      <c r="O1255" t="str">
        <f>IFERROR(VLOOKUP(C1255,Customers!$A$2:$F$301,5,FALSE),"")</f>
        <v>Retail</v>
      </c>
      <c r="P1255">
        <f>IFERROR(VLOOKUP(C1255,Customers!$A$2:$F$301,3,FALSE),"")</f>
        <v>22</v>
      </c>
      <c r="Q1255" s="41">
        <f t="shared" si="28"/>
        <v>0.35744680851063831</v>
      </c>
      <c r="R1255" t="str">
        <f>IFERROR(VLOOKUP(C1255,Customers!$A$2:$F$301,1,FALSE),"")</f>
        <v>CUST-0019</v>
      </c>
      <c r="S1255" s="27" t="b">
        <f>IFERROR(VLOOKUP(D1255,Products!$A$2:$F$61,6,FALSE),"")</f>
        <v>0</v>
      </c>
      <c r="BL1255">
        <v>0</v>
      </c>
      <c r="BO1255">
        <v>0</v>
      </c>
      <c r="BP1255">
        <v>1</v>
      </c>
    </row>
    <row r="1256" spans="1:68" x14ac:dyDescent="0.35">
      <c r="A1256" s="26" t="str">
        <f>Orders!A1256</f>
        <v>ORD-01255</v>
      </c>
      <c r="B1256" s="33">
        <f>Orders!B1256</f>
        <v>45603</v>
      </c>
      <c r="C1256" t="str">
        <f>Orders!C1256</f>
        <v>CUST-0034</v>
      </c>
      <c r="D1256" t="str">
        <f>Orders!D1256</f>
        <v>PROD-046</v>
      </c>
      <c r="E1256" t="str">
        <f>Orders!E1256</f>
        <v>R002</v>
      </c>
      <c r="F1256">
        <f>Orders!F1256</f>
        <v>5</v>
      </c>
      <c r="G1256" s="35">
        <f>Orders!G1256</f>
        <v>4880</v>
      </c>
      <c r="H1256" s="37">
        <f>Orders!H1256</f>
        <v>27.4</v>
      </c>
      <c r="I1256" s="39">
        <f>Orders!I1256</f>
        <v>17714.400000000001</v>
      </c>
      <c r="J1256" t="str">
        <f>Orders!J1256</f>
        <v>Completed</v>
      </c>
      <c r="K1256" t="str">
        <f>Orders!K1256</f>
        <v>Delhi</v>
      </c>
      <c r="L1256" t="str">
        <f>IFERROR(VLOOKUP(D1256,Products!$A$2:$F$61,3,FALSE),"")</f>
        <v>Beauty</v>
      </c>
      <c r="M1256">
        <f>IFERROR(VLOOKUP(D1256,Products!$A$2:$F$61,4,FALSE),"")</f>
        <v>2768</v>
      </c>
      <c r="N1256" t="str">
        <f>IFERROR(VLOOKUP(E1256,Sales_Reps!$A$2:$E$31,3,FALSE),"")</f>
        <v>North</v>
      </c>
      <c r="O1256" t="str">
        <f>IFERROR(VLOOKUP(C1256,Customers!$A$2:$F$301,5,FALSE),"")</f>
        <v>Retail</v>
      </c>
      <c r="P1256">
        <f>IFERROR(VLOOKUP(C1256,Customers!$A$2:$F$301,3,FALSE),"")</f>
        <v>47</v>
      </c>
      <c r="Q1256" s="41">
        <f t="shared" si="28"/>
        <v>0.43278688524590164</v>
      </c>
      <c r="R1256" t="str">
        <f>IFERROR(VLOOKUP(C1256,Customers!$A$2:$F$301,1,FALSE),"")</f>
        <v>CUST-0034</v>
      </c>
      <c r="S1256" s="27" t="b">
        <f>IFERROR(VLOOKUP(D1256,Products!$A$2:$F$61,6,FALSE),"")</f>
        <v>1</v>
      </c>
      <c r="BL1256">
        <v>0</v>
      </c>
      <c r="BO1256">
        <v>0</v>
      </c>
      <c r="BP1256">
        <v>0</v>
      </c>
    </row>
    <row r="1257" spans="1:68" x14ac:dyDescent="0.35">
      <c r="A1257" s="26" t="str">
        <f>Orders!A1257</f>
        <v>ORD-01256</v>
      </c>
      <c r="B1257" s="33">
        <f>Orders!B1257</f>
        <v>45548</v>
      </c>
      <c r="C1257" t="str">
        <f>Orders!C1257</f>
        <v>CUST-0063</v>
      </c>
      <c r="D1257" t="str">
        <f>Orders!D1257</f>
        <v>PROD-052</v>
      </c>
      <c r="E1257" t="str">
        <f>Orders!E1257</f>
        <v>R029</v>
      </c>
      <c r="F1257">
        <f>Orders!F1257</f>
        <v>1</v>
      </c>
      <c r="G1257" s="35">
        <f>Orders!G1257</f>
        <v>5410</v>
      </c>
      <c r="H1257" s="37">
        <f>Orders!H1257</f>
        <v>8.3000000000000007</v>
      </c>
      <c r="I1257" s="39">
        <f>Orders!I1257</f>
        <v>4960.97</v>
      </c>
      <c r="J1257" t="str">
        <f>Orders!J1257</f>
        <v>Completed</v>
      </c>
      <c r="K1257" t="str">
        <f>Orders!K1257</f>
        <v>Mumbai</v>
      </c>
      <c r="L1257" t="str">
        <f>IFERROR(VLOOKUP(D1257,Products!$A$2:$F$61,3,FALSE),"")</f>
        <v>Sports</v>
      </c>
      <c r="M1257">
        <f>IFERROR(VLOOKUP(D1257,Products!$A$2:$F$61,4,FALSE),"")</f>
        <v>2265</v>
      </c>
      <c r="N1257" t="str">
        <f>IFERROR(VLOOKUP(E1257,Sales_Reps!$A$2:$E$31,3,FALSE),"")</f>
        <v>West</v>
      </c>
      <c r="O1257" t="str">
        <f>IFERROR(VLOOKUP(C1257,Customers!$A$2:$F$301,5,FALSE),"")</f>
        <v>SMB</v>
      </c>
      <c r="P1257">
        <f>IFERROR(VLOOKUP(C1257,Customers!$A$2:$F$301,3,FALSE),"")</f>
        <v>53</v>
      </c>
      <c r="Q1257" s="41">
        <f t="shared" si="28"/>
        <v>0.58133086876155271</v>
      </c>
      <c r="R1257" t="str">
        <f>IFERROR(VLOOKUP(C1257,Customers!$A$2:$F$301,1,FALSE),"")</f>
        <v>CUST-0063</v>
      </c>
      <c r="S1257" s="27" t="b">
        <f>IFERROR(VLOOKUP(D1257,Products!$A$2:$F$61,6,FALSE),"")</f>
        <v>1</v>
      </c>
      <c r="BL1257">
        <v>0</v>
      </c>
      <c r="BO1257">
        <v>0</v>
      </c>
      <c r="BP1257">
        <v>0</v>
      </c>
    </row>
    <row r="1258" spans="1:68" x14ac:dyDescent="0.35">
      <c r="A1258" s="26" t="str">
        <f>Orders!A1258</f>
        <v>ORD-01257</v>
      </c>
      <c r="B1258" s="33">
        <f>Orders!B1258</f>
        <v>45482</v>
      </c>
      <c r="C1258" t="str">
        <f>Orders!C1258</f>
        <v>CUST-0203</v>
      </c>
      <c r="D1258" t="str">
        <f>Orders!D1258</f>
        <v>PROD-004</v>
      </c>
      <c r="E1258" t="str">
        <f>Orders!E1258</f>
        <v>R022</v>
      </c>
      <c r="F1258">
        <f>Orders!F1258</f>
        <v>8</v>
      </c>
      <c r="G1258" s="35">
        <f>Orders!G1258</f>
        <v>3870</v>
      </c>
      <c r="H1258" s="37">
        <f>Orders!H1258</f>
        <v>9.3000000000000007</v>
      </c>
      <c r="I1258" s="39">
        <f>Orders!I1258</f>
        <v>28080.720000000001</v>
      </c>
      <c r="J1258" t="str">
        <f>Orders!J1258</f>
        <v>Pending</v>
      </c>
      <c r="K1258" t="str">
        <f>Orders!K1258</f>
        <v>Chennai</v>
      </c>
      <c r="L1258" t="str">
        <f>IFERROR(VLOOKUP(D1258,Products!$A$2:$F$61,3,FALSE),"")</f>
        <v>Electronics</v>
      </c>
      <c r="M1258">
        <f>IFERROR(VLOOKUP(D1258,Products!$A$2:$F$61,4,FALSE),"")</f>
        <v>1559</v>
      </c>
      <c r="N1258" t="str">
        <f>IFERROR(VLOOKUP(E1258,Sales_Reps!$A$2:$E$31,3,FALSE),"")</f>
        <v>East</v>
      </c>
      <c r="O1258" t="str">
        <f>IFERROR(VLOOKUP(C1258,Customers!$A$2:$F$301,5,FALSE),"")</f>
        <v>SMB</v>
      </c>
      <c r="P1258">
        <f>IFERROR(VLOOKUP(C1258,Customers!$A$2:$F$301,3,FALSE),"")</f>
        <v>55</v>
      </c>
      <c r="Q1258" s="41">
        <f t="shared" si="28"/>
        <v>0.59715762273901807</v>
      </c>
      <c r="R1258" t="str">
        <f>IFERROR(VLOOKUP(C1258,Customers!$A$2:$F$301,1,FALSE),"")</f>
        <v>CUST-0203</v>
      </c>
      <c r="S1258" s="27" t="b">
        <f>IFERROR(VLOOKUP(D1258,Products!$A$2:$F$61,6,FALSE),"")</f>
        <v>1</v>
      </c>
      <c r="BL1258">
        <v>0</v>
      </c>
      <c r="BO1258">
        <v>0</v>
      </c>
      <c r="BP1258">
        <v>0</v>
      </c>
    </row>
    <row r="1259" spans="1:68" x14ac:dyDescent="0.35">
      <c r="A1259" s="26" t="str">
        <f>Orders!A1259</f>
        <v>ORD-01258</v>
      </c>
      <c r="B1259" s="33">
        <f>Orders!B1259</f>
        <v>45457</v>
      </c>
      <c r="C1259" t="str">
        <f>Orders!C1259</f>
        <v>CUST-0016</v>
      </c>
      <c r="D1259" t="str">
        <f>Orders!D1259</f>
        <v>PROD-010</v>
      </c>
      <c r="E1259" t="str">
        <f>Orders!E1259</f>
        <v>R017</v>
      </c>
      <c r="F1259">
        <f>Orders!F1259</f>
        <v>10</v>
      </c>
      <c r="G1259" s="35">
        <f>Orders!G1259</f>
        <v>2640</v>
      </c>
      <c r="H1259" s="37">
        <f>Orders!H1259</f>
        <v>19.899999999999999</v>
      </c>
      <c r="I1259" s="39">
        <f>Orders!I1259</f>
        <v>21146.400000000001</v>
      </c>
      <c r="J1259" t="str">
        <f>Orders!J1259</f>
        <v>Completed</v>
      </c>
      <c r="K1259" t="str">
        <f>Orders!K1259</f>
        <v>Delhi</v>
      </c>
      <c r="L1259" t="str">
        <f>IFERROR(VLOOKUP(D1259,Products!$A$2:$F$61,3,FALSE),"")</f>
        <v>Electronics</v>
      </c>
      <c r="M1259">
        <f>IFERROR(VLOOKUP(D1259,Products!$A$2:$F$61,4,FALSE),"")</f>
        <v>1149</v>
      </c>
      <c r="N1259" t="str">
        <f>IFERROR(VLOOKUP(E1259,Sales_Reps!$A$2:$E$31,3,FALSE),"")</f>
        <v>East</v>
      </c>
      <c r="O1259" t="str">
        <f>IFERROR(VLOOKUP(C1259,Customers!$A$2:$F$301,5,FALSE),"")</f>
        <v>SMB</v>
      </c>
      <c r="P1259">
        <f>IFERROR(VLOOKUP(C1259,Customers!$A$2:$F$301,3,FALSE),"")</f>
        <v>26</v>
      </c>
      <c r="Q1259" s="41">
        <f t="shared" si="28"/>
        <v>0.56477272727272732</v>
      </c>
      <c r="R1259" t="str">
        <f>IFERROR(VLOOKUP(C1259,Customers!$A$2:$F$301,1,FALSE),"")</f>
        <v>CUST-0016</v>
      </c>
      <c r="S1259" s="27" t="b">
        <f>IFERROR(VLOOKUP(D1259,Products!$A$2:$F$61,6,FALSE),"")</f>
        <v>1</v>
      </c>
      <c r="BL1259">
        <v>0</v>
      </c>
      <c r="BO1259">
        <v>0</v>
      </c>
      <c r="BP1259">
        <v>0</v>
      </c>
    </row>
    <row r="1260" spans="1:68" x14ac:dyDescent="0.35">
      <c r="A1260" s="26" t="str">
        <f>Orders!A1260</f>
        <v>ORD-01259</v>
      </c>
      <c r="B1260" s="33">
        <f>Orders!B1260</f>
        <v>45508</v>
      </c>
      <c r="C1260" t="str">
        <f>Orders!C1260</f>
        <v>CUST-0198</v>
      </c>
      <c r="D1260" t="str">
        <f>Orders!D1260</f>
        <v>PROD-034</v>
      </c>
      <c r="E1260" t="str">
        <f>Orders!E1260</f>
        <v>R007</v>
      </c>
      <c r="F1260">
        <f>Orders!F1260</f>
        <v>1</v>
      </c>
      <c r="G1260" s="35">
        <f>Orders!G1260</f>
        <v>5080</v>
      </c>
      <c r="H1260" s="37">
        <f>Orders!H1260</f>
        <v>8.6</v>
      </c>
      <c r="I1260" s="39">
        <f>Orders!I1260</f>
        <v>4643.12</v>
      </c>
      <c r="J1260" t="str">
        <f>Orders!J1260</f>
        <v>Completed</v>
      </c>
      <c r="K1260" t="str">
        <f>Orders!K1260</f>
        <v>Chennai</v>
      </c>
      <c r="L1260" t="str">
        <f>IFERROR(VLOOKUP(D1260,Products!$A$2:$F$61,3,FALSE),"")</f>
        <v>Home</v>
      </c>
      <c r="M1260">
        <f>IFERROR(VLOOKUP(D1260,Products!$A$2:$F$61,4,FALSE),"")</f>
        <v>2459</v>
      </c>
      <c r="N1260" t="str">
        <f>IFERROR(VLOOKUP(E1260,Sales_Reps!$A$2:$E$31,3,FALSE),"")</f>
        <v>North</v>
      </c>
      <c r="O1260" t="str">
        <f>IFERROR(VLOOKUP(C1260,Customers!$A$2:$F$301,5,FALSE),"")</f>
        <v>Corporate</v>
      </c>
      <c r="P1260">
        <f>IFERROR(VLOOKUP(C1260,Customers!$A$2:$F$301,3,FALSE),"")</f>
        <v>22</v>
      </c>
      <c r="Q1260" s="41">
        <f t="shared" si="28"/>
        <v>0.51594488188976373</v>
      </c>
      <c r="R1260" t="str">
        <f>IFERROR(VLOOKUP(C1260,Customers!$A$2:$F$301,1,FALSE),"")</f>
        <v>CUST-0198</v>
      </c>
      <c r="S1260" s="27" t="b">
        <f>IFERROR(VLOOKUP(D1260,Products!$A$2:$F$61,6,FALSE),"")</f>
        <v>1</v>
      </c>
      <c r="BL1260">
        <v>0</v>
      </c>
      <c r="BO1260">
        <v>0</v>
      </c>
      <c r="BP1260">
        <v>0</v>
      </c>
    </row>
    <row r="1261" spans="1:68" x14ac:dyDescent="0.35">
      <c r="A1261" s="26" t="str">
        <f>Orders!A1261</f>
        <v>ORD-01260</v>
      </c>
      <c r="B1261" s="33">
        <f>Orders!B1261</f>
        <v>45399</v>
      </c>
      <c r="C1261" t="str">
        <f>Orders!C1261</f>
        <v>CUST-0212</v>
      </c>
      <c r="D1261" t="str">
        <f>Orders!D1261</f>
        <v>PROD-036</v>
      </c>
      <c r="E1261" t="str">
        <f>Orders!E1261</f>
        <v>R018</v>
      </c>
      <c r="F1261">
        <f>Orders!F1261</f>
        <v>9</v>
      </c>
      <c r="G1261" s="35">
        <f>Orders!G1261</f>
        <v>3250</v>
      </c>
      <c r="H1261" s="37">
        <f>Orders!H1261</f>
        <v>18.2</v>
      </c>
      <c r="I1261" s="39">
        <f>Orders!I1261</f>
        <v>23926.5</v>
      </c>
      <c r="J1261" t="str">
        <f>Orders!J1261</f>
        <v>Pending</v>
      </c>
      <c r="K1261" t="str">
        <f>Orders!K1261</f>
        <v>Chennai</v>
      </c>
      <c r="L1261" t="str">
        <f>IFERROR(VLOOKUP(D1261,Products!$A$2:$F$61,3,FALSE),"")</f>
        <v>Home</v>
      </c>
      <c r="M1261">
        <f>IFERROR(VLOOKUP(D1261,Products!$A$2:$F$61,4,FALSE),"")</f>
        <v>1556</v>
      </c>
      <c r="N1261" t="str">
        <f>IFERROR(VLOOKUP(E1261,Sales_Reps!$A$2:$E$31,3,FALSE),"")</f>
        <v>East</v>
      </c>
      <c r="O1261" t="str">
        <f>IFERROR(VLOOKUP(C1261,Customers!$A$2:$F$301,5,FALSE),"")</f>
        <v>SMB</v>
      </c>
      <c r="P1261">
        <f>IFERROR(VLOOKUP(C1261,Customers!$A$2:$F$301,3,FALSE),"")</f>
        <v>46</v>
      </c>
      <c r="Q1261" s="41">
        <f t="shared" si="28"/>
        <v>0.52123076923076928</v>
      </c>
      <c r="R1261" t="str">
        <f>IFERROR(VLOOKUP(C1261,Customers!$A$2:$F$301,1,FALSE),"")</f>
        <v>CUST-0212</v>
      </c>
      <c r="S1261" s="27" t="b">
        <f>IFERROR(VLOOKUP(D1261,Products!$A$2:$F$61,6,FALSE),"")</f>
        <v>1</v>
      </c>
      <c r="BL1261">
        <v>0</v>
      </c>
      <c r="BO1261">
        <v>0</v>
      </c>
      <c r="BP1261">
        <v>0</v>
      </c>
    </row>
    <row r="1262" spans="1:68" x14ac:dyDescent="0.35">
      <c r="A1262" s="26" t="str">
        <f>Orders!A1262</f>
        <v>ORD-01261</v>
      </c>
      <c r="B1262" s="33">
        <f>Orders!B1262</f>
        <v>45607</v>
      </c>
      <c r="C1262" t="str">
        <f>Orders!C1262</f>
        <v>CUST-0265</v>
      </c>
      <c r="D1262" t="str">
        <f>Orders!D1262</f>
        <v>PROD-006</v>
      </c>
      <c r="E1262" t="str">
        <f>Orders!E1262</f>
        <v>R002</v>
      </c>
      <c r="F1262">
        <f>Orders!F1262</f>
        <v>8</v>
      </c>
      <c r="G1262" s="35">
        <f>Orders!G1262</f>
        <v>3970</v>
      </c>
      <c r="H1262" s="37">
        <f>Orders!H1262</f>
        <v>22.4</v>
      </c>
      <c r="I1262" s="39">
        <f>Orders!I1262</f>
        <v>24645.759999999998</v>
      </c>
      <c r="J1262" t="str">
        <f>Orders!J1262</f>
        <v>Completed</v>
      </c>
      <c r="K1262" t="str">
        <f>Orders!K1262</f>
        <v>Chennai</v>
      </c>
      <c r="L1262" t="str">
        <f>IFERROR(VLOOKUP(D1262,Products!$A$2:$F$61,3,FALSE),"")</f>
        <v>Electronics</v>
      </c>
      <c r="M1262">
        <f>IFERROR(VLOOKUP(D1262,Products!$A$2:$F$61,4,FALSE),"")</f>
        <v>2865</v>
      </c>
      <c r="N1262" t="str">
        <f>IFERROR(VLOOKUP(E1262,Sales_Reps!$A$2:$E$31,3,FALSE),"")</f>
        <v>North</v>
      </c>
      <c r="O1262" t="str">
        <f>IFERROR(VLOOKUP(C1262,Customers!$A$2:$F$301,5,FALSE),"")</f>
        <v>Retail</v>
      </c>
      <c r="P1262">
        <f>IFERROR(VLOOKUP(C1262,Customers!$A$2:$F$301,3,FALSE),"")</f>
        <v>49</v>
      </c>
      <c r="Q1262" s="41">
        <f t="shared" si="28"/>
        <v>0.27833753148614609</v>
      </c>
      <c r="R1262" t="str">
        <f>IFERROR(VLOOKUP(C1262,Customers!$A$2:$F$301,1,FALSE),"")</f>
        <v>CUST-0265</v>
      </c>
      <c r="S1262" s="27" t="b">
        <f>IFERROR(VLOOKUP(D1262,Products!$A$2:$F$61,6,FALSE),"")</f>
        <v>1</v>
      </c>
      <c r="BL1262">
        <v>0</v>
      </c>
      <c r="BO1262">
        <v>0</v>
      </c>
      <c r="BP1262">
        <v>0</v>
      </c>
    </row>
    <row r="1263" spans="1:68" x14ac:dyDescent="0.35">
      <c r="A1263" s="26" t="str">
        <f>Orders!A1263</f>
        <v>ORD-01262</v>
      </c>
      <c r="B1263" s="33">
        <f>Orders!B1263</f>
        <v>45407</v>
      </c>
      <c r="C1263" t="str">
        <f>Orders!C1263</f>
        <v>CUST-0165</v>
      </c>
      <c r="D1263" t="str">
        <f>Orders!D1263</f>
        <v>PROD-037</v>
      </c>
      <c r="E1263" t="str">
        <f>Orders!E1263</f>
        <v>R017</v>
      </c>
      <c r="F1263">
        <f>Orders!F1263</f>
        <v>3</v>
      </c>
      <c r="G1263" s="35">
        <f>Orders!G1263</f>
        <v>660</v>
      </c>
      <c r="H1263" s="37">
        <f>Orders!H1263</f>
        <v>3.1</v>
      </c>
      <c r="I1263" s="39">
        <f>Orders!I1263</f>
        <v>1918.62</v>
      </c>
      <c r="J1263" t="str">
        <f>Orders!J1263</f>
        <v>Completed</v>
      </c>
      <c r="K1263" t="str">
        <f>Orders!K1263</f>
        <v>Pune</v>
      </c>
      <c r="L1263" t="str">
        <f>IFERROR(VLOOKUP(D1263,Products!$A$2:$F$61,3,FALSE),"")</f>
        <v>Home</v>
      </c>
      <c r="M1263">
        <f>IFERROR(VLOOKUP(D1263,Products!$A$2:$F$61,4,FALSE),"")</f>
        <v>329</v>
      </c>
      <c r="N1263" t="str">
        <f>IFERROR(VLOOKUP(E1263,Sales_Reps!$A$2:$E$31,3,FALSE),"")</f>
        <v>East</v>
      </c>
      <c r="O1263" t="str">
        <f>IFERROR(VLOOKUP(C1263,Customers!$A$2:$F$301,5,FALSE),"")</f>
        <v>Retail</v>
      </c>
      <c r="P1263">
        <f>IFERROR(VLOOKUP(C1263,Customers!$A$2:$F$301,3,FALSE),"")</f>
        <v>29</v>
      </c>
      <c r="Q1263" s="41">
        <f t="shared" si="28"/>
        <v>0.50151515151515147</v>
      </c>
      <c r="R1263" t="str">
        <f>IFERROR(VLOOKUP(C1263,Customers!$A$2:$F$301,1,FALSE),"")</f>
        <v>CUST-0165</v>
      </c>
      <c r="S1263" s="27" t="b">
        <f>IFERROR(VLOOKUP(D1263,Products!$A$2:$F$61,6,FALSE),"")</f>
        <v>1</v>
      </c>
      <c r="BL1263">
        <v>0</v>
      </c>
      <c r="BO1263">
        <v>0</v>
      </c>
      <c r="BP1263">
        <v>0</v>
      </c>
    </row>
    <row r="1264" spans="1:68" x14ac:dyDescent="0.35">
      <c r="A1264" s="26" t="str">
        <f>Orders!A1264</f>
        <v>ORD-01263</v>
      </c>
      <c r="B1264" s="33">
        <f>Orders!B1264</f>
        <v>45357</v>
      </c>
      <c r="C1264" t="str">
        <f>Orders!C1264</f>
        <v>CUST-0109</v>
      </c>
      <c r="D1264" t="str">
        <f>Orders!D1264</f>
        <v>PROD-002</v>
      </c>
      <c r="E1264" t="str">
        <f>Orders!E1264</f>
        <v>R022</v>
      </c>
      <c r="F1264">
        <f>Orders!F1264</f>
        <v>7</v>
      </c>
      <c r="G1264" s="35">
        <f>Orders!G1264</f>
        <v>2600</v>
      </c>
      <c r="H1264" s="37">
        <f>Orders!H1264</f>
        <v>15.4</v>
      </c>
      <c r="I1264" s="39">
        <f>Orders!I1264</f>
        <v>15397.2</v>
      </c>
      <c r="J1264" t="str">
        <f>Orders!J1264</f>
        <v>Completed</v>
      </c>
      <c r="K1264" t="str">
        <f>Orders!K1264</f>
        <v>Pune</v>
      </c>
      <c r="L1264" t="str">
        <f>IFERROR(VLOOKUP(D1264,Products!$A$2:$F$61,3,FALSE),"")</f>
        <v>Electronics</v>
      </c>
      <c r="M1264">
        <f>IFERROR(VLOOKUP(D1264,Products!$A$2:$F$61,4,FALSE),"")</f>
        <v>1052</v>
      </c>
      <c r="N1264" t="str">
        <f>IFERROR(VLOOKUP(E1264,Sales_Reps!$A$2:$E$31,3,FALSE),"")</f>
        <v>East</v>
      </c>
      <c r="O1264" t="str">
        <f>IFERROR(VLOOKUP(C1264,Customers!$A$2:$F$301,5,FALSE),"")</f>
        <v>Retail</v>
      </c>
      <c r="P1264">
        <f>IFERROR(VLOOKUP(C1264,Customers!$A$2:$F$301,3,FALSE),"")</f>
        <v>42</v>
      </c>
      <c r="Q1264" s="41">
        <f t="shared" si="28"/>
        <v>0.5953846153846154</v>
      </c>
      <c r="R1264" t="str">
        <f>IFERROR(VLOOKUP(C1264,Customers!$A$2:$F$301,1,FALSE),"")</f>
        <v>CUST-0109</v>
      </c>
      <c r="S1264" s="27" t="b">
        <f>IFERROR(VLOOKUP(D1264,Products!$A$2:$F$61,6,FALSE),"")</f>
        <v>1</v>
      </c>
      <c r="BL1264">
        <v>0</v>
      </c>
      <c r="BO1264">
        <v>0</v>
      </c>
      <c r="BP1264">
        <v>0</v>
      </c>
    </row>
    <row r="1265" spans="1:68" x14ac:dyDescent="0.35">
      <c r="A1265" s="26" t="str">
        <f>Orders!A1265</f>
        <v>ORD-01264</v>
      </c>
      <c r="B1265" s="33">
        <f>Orders!B1265</f>
        <v>45565</v>
      </c>
      <c r="C1265" t="str">
        <f>Orders!C1265</f>
        <v>CUST-0155</v>
      </c>
      <c r="D1265" t="str">
        <f>Orders!D1265</f>
        <v>PROD-037</v>
      </c>
      <c r="E1265" t="str">
        <f>Orders!E1265</f>
        <v>R015</v>
      </c>
      <c r="F1265">
        <f>Orders!F1265</f>
        <v>9</v>
      </c>
      <c r="G1265" s="35">
        <f>Orders!G1265</f>
        <v>660</v>
      </c>
      <c r="H1265" s="37">
        <f>Orders!H1265</f>
        <v>23.7</v>
      </c>
      <c r="I1265" s="39">
        <f>Orders!I1265</f>
        <v>4532.22</v>
      </c>
      <c r="J1265" t="str">
        <f>Orders!J1265</f>
        <v>Completed</v>
      </c>
      <c r="K1265" t="str">
        <f>Orders!K1265</f>
        <v>Pune</v>
      </c>
      <c r="L1265" t="str">
        <f>IFERROR(VLOOKUP(D1265,Products!$A$2:$F$61,3,FALSE),"")</f>
        <v>Home</v>
      </c>
      <c r="M1265">
        <f>IFERROR(VLOOKUP(D1265,Products!$A$2:$F$61,4,FALSE),"")</f>
        <v>329</v>
      </c>
      <c r="N1265" t="str">
        <f>IFERROR(VLOOKUP(E1265,Sales_Reps!$A$2:$E$31,3,FALSE),"")</f>
        <v>South</v>
      </c>
      <c r="O1265" t="str">
        <f>IFERROR(VLOOKUP(C1265,Customers!$A$2:$F$301,5,FALSE),"")</f>
        <v>Corporate</v>
      </c>
      <c r="P1265">
        <f>IFERROR(VLOOKUP(C1265,Customers!$A$2:$F$301,3,FALSE),"")</f>
        <v>40</v>
      </c>
      <c r="Q1265" s="41">
        <f t="shared" si="28"/>
        <v>0.50151515151515147</v>
      </c>
      <c r="R1265" t="str">
        <f>IFERROR(VLOOKUP(C1265,Customers!$A$2:$F$301,1,FALSE),"")</f>
        <v>CUST-0155</v>
      </c>
      <c r="S1265" s="27" t="b">
        <f>IFERROR(VLOOKUP(D1265,Products!$A$2:$F$61,6,FALSE),"")</f>
        <v>1</v>
      </c>
      <c r="BL1265">
        <v>0</v>
      </c>
      <c r="BO1265">
        <v>0</v>
      </c>
      <c r="BP1265">
        <v>0</v>
      </c>
    </row>
    <row r="1266" spans="1:68" x14ac:dyDescent="0.35">
      <c r="A1266" s="26" t="str">
        <f>Orders!A1266</f>
        <v>ORD-01265</v>
      </c>
      <c r="B1266" s="33">
        <f>Orders!B1266</f>
        <v>45395</v>
      </c>
      <c r="C1266" t="str">
        <f>Orders!C1266</f>
        <v>CUST-0194</v>
      </c>
      <c r="D1266" t="str">
        <f>Orders!D1266</f>
        <v>PROD-023</v>
      </c>
      <c r="E1266" t="str">
        <f>Orders!E1266</f>
        <v>R021</v>
      </c>
      <c r="F1266">
        <f>Orders!F1266</f>
        <v>3</v>
      </c>
      <c r="G1266" s="35">
        <f>Orders!G1266</f>
        <v>2380</v>
      </c>
      <c r="H1266" s="37">
        <f>Orders!H1266</f>
        <v>19.5</v>
      </c>
      <c r="I1266" s="39">
        <f>Orders!I1266</f>
        <v>5747.7</v>
      </c>
      <c r="J1266" t="str">
        <f>Orders!J1266</f>
        <v>Cancelled</v>
      </c>
      <c r="K1266" t="str">
        <f>Orders!K1266</f>
        <v>Delhi</v>
      </c>
      <c r="L1266" t="str">
        <f>IFERROR(VLOOKUP(D1266,Products!$A$2:$F$61,3,FALSE),"")</f>
        <v>Grocery</v>
      </c>
      <c r="M1266">
        <f>IFERROR(VLOOKUP(D1266,Products!$A$2:$F$61,4,FALSE),"")</f>
        <v>1182</v>
      </c>
      <c r="N1266" t="str">
        <f>IFERROR(VLOOKUP(E1266,Sales_Reps!$A$2:$E$31,3,FALSE),"")</f>
        <v>East</v>
      </c>
      <c r="O1266" t="str">
        <f>IFERROR(VLOOKUP(C1266,Customers!$A$2:$F$301,5,FALSE),"")</f>
        <v>SMB</v>
      </c>
      <c r="P1266">
        <f>IFERROR(VLOOKUP(C1266,Customers!$A$2:$F$301,3,FALSE),"")</f>
        <v>55</v>
      </c>
      <c r="Q1266" s="41">
        <f t="shared" si="28"/>
        <v>0.50336134453781511</v>
      </c>
      <c r="R1266" t="str">
        <f>IFERROR(VLOOKUP(C1266,Customers!$A$2:$F$301,1,FALSE),"")</f>
        <v>CUST-0194</v>
      </c>
      <c r="S1266" s="27" t="b">
        <f>IFERROR(VLOOKUP(D1266,Products!$A$2:$F$61,6,FALSE),"")</f>
        <v>1</v>
      </c>
      <c r="BL1266">
        <v>0</v>
      </c>
      <c r="BO1266">
        <v>0</v>
      </c>
      <c r="BP1266">
        <v>0</v>
      </c>
    </row>
    <row r="1267" spans="1:68" x14ac:dyDescent="0.35">
      <c r="A1267" s="26" t="str">
        <f>Orders!A1267</f>
        <v>ORD-01266</v>
      </c>
      <c r="B1267" s="33">
        <f>Orders!B1267</f>
        <v>45624</v>
      </c>
      <c r="C1267" t="str">
        <f>Orders!C1267</f>
        <v>CUST-0084</v>
      </c>
      <c r="D1267" t="str">
        <f>Orders!D1267</f>
        <v>PROD-044</v>
      </c>
      <c r="E1267" t="str">
        <f>Orders!E1267</f>
        <v>R010</v>
      </c>
      <c r="F1267">
        <f>Orders!F1267</f>
        <v>9</v>
      </c>
      <c r="G1267" s="35">
        <f>Orders!G1267</f>
        <v>1650</v>
      </c>
      <c r="H1267" s="37">
        <f>Orders!H1267</f>
        <v>2.5</v>
      </c>
      <c r="I1267" s="39">
        <f>Orders!I1267</f>
        <v>14478.75</v>
      </c>
      <c r="J1267" t="str">
        <f>Orders!J1267</f>
        <v>Completed</v>
      </c>
      <c r="K1267" t="str">
        <f>Orders!K1267</f>
        <v>Chennai</v>
      </c>
      <c r="L1267" t="str">
        <f>IFERROR(VLOOKUP(D1267,Products!$A$2:$F$61,3,FALSE),"")</f>
        <v>Beauty</v>
      </c>
      <c r="M1267">
        <f>IFERROR(VLOOKUP(D1267,Products!$A$2:$F$61,4,FALSE),"")</f>
        <v>1222</v>
      </c>
      <c r="N1267" t="str">
        <f>IFERROR(VLOOKUP(E1267,Sales_Reps!$A$2:$E$31,3,FALSE),"")</f>
        <v>South</v>
      </c>
      <c r="O1267" t="str">
        <f>IFERROR(VLOOKUP(C1267,Customers!$A$2:$F$301,5,FALSE),"")</f>
        <v>Retail</v>
      </c>
      <c r="P1267">
        <f>IFERROR(VLOOKUP(C1267,Customers!$A$2:$F$301,3,FALSE),"")</f>
        <v>28</v>
      </c>
      <c r="Q1267" s="41">
        <f t="shared" si="28"/>
        <v>0.2593939393939394</v>
      </c>
      <c r="R1267" t="str">
        <f>IFERROR(VLOOKUP(C1267,Customers!$A$2:$F$301,1,FALSE),"")</f>
        <v>CUST-0084</v>
      </c>
      <c r="S1267" s="27" t="b">
        <f>IFERROR(VLOOKUP(D1267,Products!$A$2:$F$61,6,FALSE),"")</f>
        <v>1</v>
      </c>
      <c r="BL1267">
        <v>0</v>
      </c>
      <c r="BO1267">
        <v>0</v>
      </c>
      <c r="BP1267">
        <v>0</v>
      </c>
    </row>
    <row r="1268" spans="1:68" x14ac:dyDescent="0.35">
      <c r="A1268" s="26" t="str">
        <f>Orders!A1268</f>
        <v>ORD-01267</v>
      </c>
      <c r="B1268" s="33">
        <f>Orders!B1268</f>
        <v>45650</v>
      </c>
      <c r="C1268" t="str">
        <f>Orders!C1268</f>
        <v>CUST-9684</v>
      </c>
      <c r="D1268" t="str">
        <f>Orders!D1268</f>
        <v>PROD-010</v>
      </c>
      <c r="E1268" t="str">
        <f>Orders!E1268</f>
        <v>R006</v>
      </c>
      <c r="F1268">
        <f>Orders!F1268</f>
        <v>8</v>
      </c>
      <c r="G1268" s="35">
        <f>Orders!G1268</f>
        <v>2640</v>
      </c>
      <c r="H1268" s="37">
        <f>Orders!H1268</f>
        <v>24.4</v>
      </c>
      <c r="I1268" s="39">
        <f>Orders!I1268</f>
        <v>15966.72</v>
      </c>
      <c r="J1268" t="str">
        <f>Orders!J1268</f>
        <v>Completed</v>
      </c>
      <c r="K1268" t="str">
        <f>Orders!K1268</f>
        <v>Mumbai</v>
      </c>
      <c r="L1268" t="str">
        <f>IFERROR(VLOOKUP(D1268,Products!$A$2:$F$61,3,FALSE),"")</f>
        <v>Electronics</v>
      </c>
      <c r="M1268">
        <f>IFERROR(VLOOKUP(D1268,Products!$A$2:$F$61,4,FALSE),"")</f>
        <v>1149</v>
      </c>
      <c r="N1268" t="str">
        <f>IFERROR(VLOOKUP(E1268,Sales_Reps!$A$2:$E$31,3,FALSE),"")</f>
        <v>North</v>
      </c>
      <c r="O1268" t="str">
        <f>IFERROR(VLOOKUP(C1268,Customers!$A$2:$F$301,5,FALSE),"")</f>
        <v/>
      </c>
      <c r="P1268" t="str">
        <f>IFERROR(VLOOKUP(C1268,Customers!$A$2:$F$301,3,FALSE),"")</f>
        <v/>
      </c>
      <c r="Q1268" s="41">
        <f t="shared" si="28"/>
        <v>0.56477272727272732</v>
      </c>
      <c r="R1268" t="str">
        <f>IFERROR(VLOOKUP(C1268,Customers!$A$2:$F$301,1,FALSE),"")</f>
        <v/>
      </c>
      <c r="S1268" s="27" t="b">
        <f>IFERROR(VLOOKUP(D1268,Products!$A$2:$F$61,6,FALSE),"")</f>
        <v>1</v>
      </c>
      <c r="BL1268">
        <v>0</v>
      </c>
      <c r="BO1268">
        <v>1</v>
      </c>
      <c r="BP1268">
        <v>0</v>
      </c>
    </row>
    <row r="1269" spans="1:68" x14ac:dyDescent="0.35">
      <c r="A1269" s="26" t="str">
        <f>Orders!A1269</f>
        <v>ORD-01268</v>
      </c>
      <c r="B1269" s="33">
        <f>Orders!B1269</f>
        <v>45370</v>
      </c>
      <c r="C1269" t="str">
        <f>Orders!C1269</f>
        <v>CUST-0218</v>
      </c>
      <c r="D1269" t="str">
        <f>Orders!D1269</f>
        <v>PROD-023</v>
      </c>
      <c r="E1269" t="str">
        <f>Orders!E1269</f>
        <v>R013</v>
      </c>
      <c r="F1269">
        <f>Orders!F1269</f>
        <v>8</v>
      </c>
      <c r="G1269" s="35">
        <f>Orders!G1269</f>
        <v>2380</v>
      </c>
      <c r="H1269" s="37">
        <f>Orders!H1269</f>
        <v>24.2</v>
      </c>
      <c r="I1269" s="39">
        <f>Orders!I1269</f>
        <v>14432.32</v>
      </c>
      <c r="J1269" t="str">
        <f>Orders!J1269</f>
        <v>Completed</v>
      </c>
      <c r="K1269" t="str">
        <f>Orders!K1269</f>
        <v>Mumbai</v>
      </c>
      <c r="L1269" t="str">
        <f>IFERROR(VLOOKUP(D1269,Products!$A$2:$F$61,3,FALSE),"")</f>
        <v>Grocery</v>
      </c>
      <c r="M1269">
        <f>IFERROR(VLOOKUP(D1269,Products!$A$2:$F$61,4,FALSE),"")</f>
        <v>1182</v>
      </c>
      <c r="N1269" t="str">
        <f>IFERROR(VLOOKUP(E1269,Sales_Reps!$A$2:$E$31,3,FALSE),"")</f>
        <v>South</v>
      </c>
      <c r="O1269" t="str">
        <f>IFERROR(VLOOKUP(C1269,Customers!$A$2:$F$301,5,FALSE),"")</f>
        <v>Retail</v>
      </c>
      <c r="P1269">
        <f>IFERROR(VLOOKUP(C1269,Customers!$A$2:$F$301,3,FALSE),"")</f>
        <v>39</v>
      </c>
      <c r="Q1269" s="41">
        <f t="shared" si="28"/>
        <v>0.50336134453781511</v>
      </c>
      <c r="R1269" t="str">
        <f>IFERROR(VLOOKUP(C1269,Customers!$A$2:$F$301,1,FALSE),"")</f>
        <v>CUST-0218</v>
      </c>
      <c r="S1269" s="27" t="b">
        <f>IFERROR(VLOOKUP(D1269,Products!$A$2:$F$61,6,FALSE),"")</f>
        <v>1</v>
      </c>
      <c r="BL1269">
        <v>0</v>
      </c>
      <c r="BO1269">
        <v>0</v>
      </c>
      <c r="BP1269">
        <v>0</v>
      </c>
    </row>
    <row r="1270" spans="1:68" x14ac:dyDescent="0.35">
      <c r="A1270" s="26" t="str">
        <f>Orders!A1270</f>
        <v>ORD-01269</v>
      </c>
      <c r="B1270" s="33">
        <f>Orders!B1270</f>
        <v>45373</v>
      </c>
      <c r="C1270" t="str">
        <f>Orders!C1270</f>
        <v>CUST-0194</v>
      </c>
      <c r="D1270" t="str">
        <f>Orders!D1270</f>
        <v>PROD-029</v>
      </c>
      <c r="E1270" t="str">
        <f>Orders!E1270</f>
        <v>R007</v>
      </c>
      <c r="F1270">
        <f>Orders!F1270</f>
        <v>10</v>
      </c>
      <c r="G1270" s="35">
        <f>Orders!G1270</f>
        <v>2210</v>
      </c>
      <c r="H1270" s="37">
        <f>Orders!H1270</f>
        <v>3.6</v>
      </c>
      <c r="I1270" s="39">
        <f>Orders!I1270</f>
        <v>21304.400000000001</v>
      </c>
      <c r="J1270" t="str">
        <f>Orders!J1270</f>
        <v>Completed</v>
      </c>
      <c r="K1270" t="str">
        <f>Orders!K1270</f>
        <v>Delhi</v>
      </c>
      <c r="L1270" t="str">
        <f>IFERROR(VLOOKUP(D1270,Products!$A$2:$F$61,3,FALSE),"")</f>
        <v>Grocery</v>
      </c>
      <c r="M1270">
        <f>IFERROR(VLOOKUP(D1270,Products!$A$2:$F$61,4,FALSE),"")</f>
        <v>1010</v>
      </c>
      <c r="N1270" t="str">
        <f>IFERROR(VLOOKUP(E1270,Sales_Reps!$A$2:$E$31,3,FALSE),"")</f>
        <v>North</v>
      </c>
      <c r="O1270" t="str">
        <f>IFERROR(VLOOKUP(C1270,Customers!$A$2:$F$301,5,FALSE),"")</f>
        <v>SMB</v>
      </c>
      <c r="P1270">
        <f>IFERROR(VLOOKUP(C1270,Customers!$A$2:$F$301,3,FALSE),"")</f>
        <v>55</v>
      </c>
      <c r="Q1270" s="41">
        <f t="shared" si="28"/>
        <v>0.54298642533936647</v>
      </c>
      <c r="R1270" t="str">
        <f>IFERROR(VLOOKUP(C1270,Customers!$A$2:$F$301,1,FALSE),"")</f>
        <v>CUST-0194</v>
      </c>
      <c r="S1270" s="27" t="b">
        <f>IFERROR(VLOOKUP(D1270,Products!$A$2:$F$61,6,FALSE),"")</f>
        <v>1</v>
      </c>
      <c r="BL1270">
        <v>0</v>
      </c>
      <c r="BO1270">
        <v>0</v>
      </c>
      <c r="BP1270">
        <v>0</v>
      </c>
    </row>
    <row r="1271" spans="1:68" x14ac:dyDescent="0.35">
      <c r="A1271" s="26" t="str">
        <f>Orders!A1271</f>
        <v>ORD-01270</v>
      </c>
      <c r="B1271" s="33">
        <f>Orders!B1271</f>
        <v>45391</v>
      </c>
      <c r="C1271" t="str">
        <f>Orders!C1271</f>
        <v>CUST-0037</v>
      </c>
      <c r="D1271" t="str">
        <f>Orders!D1271</f>
        <v>PROD-050</v>
      </c>
      <c r="E1271" t="str">
        <f>Orders!E1271</f>
        <v>R018</v>
      </c>
      <c r="F1271">
        <f>Orders!F1271</f>
        <v>9</v>
      </c>
      <c r="G1271" s="35">
        <f>Orders!G1271</f>
        <v>6080</v>
      </c>
      <c r="H1271" s="37">
        <f>Orders!H1271</f>
        <v>17.2</v>
      </c>
      <c r="I1271" s="39">
        <f>Orders!I1271</f>
        <v>45308.160000000003</v>
      </c>
      <c r="J1271" t="str">
        <f>Orders!J1271</f>
        <v>Pending</v>
      </c>
      <c r="K1271" t="str">
        <f>Orders!K1271</f>
        <v>Bengaluru</v>
      </c>
      <c r="L1271" t="str">
        <f>IFERROR(VLOOKUP(D1271,Products!$A$2:$F$61,3,FALSE),"")</f>
        <v>Beauty</v>
      </c>
      <c r="M1271">
        <f>IFERROR(VLOOKUP(D1271,Products!$A$2:$F$61,4,FALSE),"")</f>
        <v>2617</v>
      </c>
      <c r="N1271" t="str">
        <f>IFERROR(VLOOKUP(E1271,Sales_Reps!$A$2:$E$31,3,FALSE),"")</f>
        <v>East</v>
      </c>
      <c r="O1271" t="str">
        <f>IFERROR(VLOOKUP(C1271,Customers!$A$2:$F$301,5,FALSE),"")</f>
        <v>Retail</v>
      </c>
      <c r="P1271">
        <f>IFERROR(VLOOKUP(C1271,Customers!$A$2:$F$301,3,FALSE),"")</f>
        <v>52</v>
      </c>
      <c r="Q1271" s="41">
        <f t="shared" si="28"/>
        <v>0.56957236842105263</v>
      </c>
      <c r="R1271" t="str">
        <f>IFERROR(VLOOKUP(C1271,Customers!$A$2:$F$301,1,FALSE),"")</f>
        <v>CUST-0037</v>
      </c>
      <c r="S1271" s="27" t="b">
        <f>IFERROR(VLOOKUP(D1271,Products!$A$2:$F$61,6,FALSE),"")</f>
        <v>1</v>
      </c>
      <c r="BL1271">
        <v>0</v>
      </c>
      <c r="BO1271">
        <v>0</v>
      </c>
      <c r="BP1271">
        <v>0</v>
      </c>
    </row>
    <row r="1272" spans="1:68" x14ac:dyDescent="0.35">
      <c r="A1272" s="26" t="str">
        <f>Orders!A1272</f>
        <v>ORD-01271</v>
      </c>
      <c r="B1272" s="33">
        <f>Orders!B1272</f>
        <v>45332</v>
      </c>
      <c r="C1272" t="str">
        <f>Orders!C1272</f>
        <v>CUST-0245</v>
      </c>
      <c r="D1272" t="str">
        <f>Orders!D1272</f>
        <v>PROD-054</v>
      </c>
      <c r="E1272" t="str">
        <f>Orders!E1272</f>
        <v>R022</v>
      </c>
      <c r="F1272">
        <f>Orders!F1272</f>
        <v>8</v>
      </c>
      <c r="G1272" s="35">
        <f>Orders!G1272</f>
        <v>1010</v>
      </c>
      <c r="H1272" s="37">
        <f>Orders!H1272</f>
        <v>12.3</v>
      </c>
      <c r="I1272" s="39">
        <f>Orders!I1272</f>
        <v>7086.16</v>
      </c>
      <c r="J1272" t="str">
        <f>Orders!J1272</f>
        <v>Completed</v>
      </c>
      <c r="K1272" t="str">
        <f>Orders!K1272</f>
        <v>Hyderabad</v>
      </c>
      <c r="L1272" t="str">
        <f>IFERROR(VLOOKUP(D1272,Products!$A$2:$F$61,3,FALSE),"")</f>
        <v>Sports</v>
      </c>
      <c r="M1272">
        <f>IFERROR(VLOOKUP(D1272,Products!$A$2:$F$61,4,FALSE),"")</f>
        <v>516</v>
      </c>
      <c r="N1272" t="str">
        <f>IFERROR(VLOOKUP(E1272,Sales_Reps!$A$2:$E$31,3,FALSE),"")</f>
        <v>East</v>
      </c>
      <c r="O1272" t="str">
        <f>IFERROR(VLOOKUP(C1272,Customers!$A$2:$F$301,5,FALSE),"")</f>
        <v>Retail</v>
      </c>
      <c r="P1272">
        <f>IFERROR(VLOOKUP(C1272,Customers!$A$2:$F$301,3,FALSE),"")</f>
        <v>65</v>
      </c>
      <c r="Q1272" s="41">
        <f t="shared" si="28"/>
        <v>0.4891089108910891</v>
      </c>
      <c r="R1272" t="str">
        <f>IFERROR(VLOOKUP(C1272,Customers!$A$2:$F$301,1,FALSE),"")</f>
        <v>CUST-0245</v>
      </c>
      <c r="S1272" s="27" t="b">
        <f>IFERROR(VLOOKUP(D1272,Products!$A$2:$F$61,6,FALSE),"")</f>
        <v>1</v>
      </c>
      <c r="BL1272">
        <v>0</v>
      </c>
      <c r="BO1272">
        <v>0</v>
      </c>
      <c r="BP1272">
        <v>0</v>
      </c>
    </row>
    <row r="1273" spans="1:68" x14ac:dyDescent="0.35">
      <c r="A1273" s="26" t="str">
        <f>Orders!A1273</f>
        <v>ORD-01272</v>
      </c>
      <c r="B1273" s="33">
        <f>Orders!B1273</f>
        <v>45582</v>
      </c>
      <c r="C1273" t="str">
        <f>Orders!C1273</f>
        <v>CUST-0266</v>
      </c>
      <c r="D1273" t="str">
        <f>Orders!D1273</f>
        <v>PROD-028</v>
      </c>
      <c r="E1273" t="str">
        <f>Orders!E1273</f>
        <v>R011</v>
      </c>
      <c r="F1273">
        <f>Orders!F1273</f>
        <v>8</v>
      </c>
      <c r="G1273" s="35">
        <f>Orders!G1273</f>
        <v>3660</v>
      </c>
      <c r="H1273" s="37">
        <f>Orders!H1273</f>
        <v>8.4</v>
      </c>
      <c r="I1273" s="39">
        <f>Orders!I1273</f>
        <v>26820.48</v>
      </c>
      <c r="J1273" t="str">
        <f>Orders!J1273</f>
        <v>Completed</v>
      </c>
      <c r="K1273" t="str">
        <f>Orders!K1273</f>
        <v>Pune</v>
      </c>
      <c r="L1273" t="str">
        <f>IFERROR(VLOOKUP(D1273,Products!$A$2:$F$61,3,FALSE),"")</f>
        <v>Grocery</v>
      </c>
      <c r="M1273">
        <f>IFERROR(VLOOKUP(D1273,Products!$A$2:$F$61,4,FALSE),"")</f>
        <v>2214</v>
      </c>
      <c r="N1273" t="str">
        <f>IFERROR(VLOOKUP(E1273,Sales_Reps!$A$2:$E$31,3,FALSE),"")</f>
        <v>South</v>
      </c>
      <c r="O1273" t="str">
        <f>IFERROR(VLOOKUP(C1273,Customers!$A$2:$F$301,5,FALSE),"")</f>
        <v>Retail</v>
      </c>
      <c r="P1273">
        <f>IFERROR(VLOOKUP(C1273,Customers!$A$2:$F$301,3,FALSE),"")</f>
        <v>65</v>
      </c>
      <c r="Q1273" s="41">
        <f t="shared" si="28"/>
        <v>0.39508196721311473</v>
      </c>
      <c r="R1273" t="str">
        <f>IFERROR(VLOOKUP(C1273,Customers!$A$2:$F$301,1,FALSE),"")</f>
        <v>CUST-0266</v>
      </c>
      <c r="S1273" s="27" t="b">
        <f>IFERROR(VLOOKUP(D1273,Products!$A$2:$F$61,6,FALSE),"")</f>
        <v>0</v>
      </c>
      <c r="BL1273">
        <v>0</v>
      </c>
      <c r="BO1273">
        <v>0</v>
      </c>
      <c r="BP1273">
        <v>1</v>
      </c>
    </row>
    <row r="1274" spans="1:68" x14ac:dyDescent="0.35">
      <c r="A1274" s="26" t="str">
        <f>Orders!A1274</f>
        <v>ORD-01273</v>
      </c>
      <c r="B1274" s="33">
        <f>Orders!B1274</f>
        <v>45443</v>
      </c>
      <c r="C1274" t="str">
        <f>Orders!C1274</f>
        <v>CUST-0058</v>
      </c>
      <c r="D1274" t="str">
        <f>Orders!D1274</f>
        <v>PROD-039</v>
      </c>
      <c r="E1274" t="str">
        <f>Orders!E1274</f>
        <v>R029</v>
      </c>
      <c r="F1274">
        <f>Orders!F1274</f>
        <v>8</v>
      </c>
      <c r="G1274" s="35">
        <f>Orders!G1274</f>
        <v>4610</v>
      </c>
      <c r="H1274" s="37">
        <f>Orders!H1274</f>
        <v>15.4</v>
      </c>
      <c r="I1274" s="39">
        <f>Orders!I1274</f>
        <v>31200.48</v>
      </c>
      <c r="J1274" t="str">
        <f>Orders!J1274</f>
        <v>Cancelled</v>
      </c>
      <c r="K1274" t="str">
        <f>Orders!K1274</f>
        <v>Bengaluru</v>
      </c>
      <c r="L1274" t="str">
        <f>IFERROR(VLOOKUP(D1274,Products!$A$2:$F$61,3,FALSE),"")</f>
        <v>Home</v>
      </c>
      <c r="M1274">
        <f>IFERROR(VLOOKUP(D1274,Products!$A$2:$F$61,4,FALSE),"")</f>
        <v>1850</v>
      </c>
      <c r="N1274" t="str">
        <f>IFERROR(VLOOKUP(E1274,Sales_Reps!$A$2:$E$31,3,FALSE),"")</f>
        <v>West</v>
      </c>
      <c r="O1274" t="str">
        <f>IFERROR(VLOOKUP(C1274,Customers!$A$2:$F$301,5,FALSE),"")</f>
        <v>SMB</v>
      </c>
      <c r="P1274">
        <f>IFERROR(VLOOKUP(C1274,Customers!$A$2:$F$301,3,FALSE),"")</f>
        <v>49</v>
      </c>
      <c r="Q1274" s="41">
        <f t="shared" si="28"/>
        <v>0.59869848156182215</v>
      </c>
      <c r="R1274" t="str">
        <f>IFERROR(VLOOKUP(C1274,Customers!$A$2:$F$301,1,FALSE),"")</f>
        <v>CUST-0058</v>
      </c>
      <c r="S1274" s="27" t="b">
        <f>IFERROR(VLOOKUP(D1274,Products!$A$2:$F$61,6,FALSE),"")</f>
        <v>1</v>
      </c>
      <c r="BL1274">
        <v>0</v>
      </c>
      <c r="BO1274">
        <v>0</v>
      </c>
      <c r="BP1274">
        <v>0</v>
      </c>
    </row>
    <row r="1275" spans="1:68" x14ac:dyDescent="0.35">
      <c r="A1275" s="26" t="str">
        <f>Orders!A1275</f>
        <v>ORD-01274</v>
      </c>
      <c r="B1275" s="33">
        <f>Orders!B1275</f>
        <v>45525</v>
      </c>
      <c r="C1275" t="str">
        <f>Orders!C1275</f>
        <v>CUST-0058</v>
      </c>
      <c r="D1275" t="str">
        <f>Orders!D1275</f>
        <v>PROD-048</v>
      </c>
      <c r="E1275" t="str">
        <f>Orders!E1275</f>
        <v>R006</v>
      </c>
      <c r="F1275">
        <f>Orders!F1275</f>
        <v>9</v>
      </c>
      <c r="G1275" s="35">
        <f>Orders!G1275</f>
        <v>5100</v>
      </c>
      <c r="H1275" s="37">
        <f>Orders!H1275</f>
        <v>25.2</v>
      </c>
      <c r="I1275" s="39">
        <f>Orders!I1275</f>
        <v>34333.199999999997</v>
      </c>
      <c r="J1275" t="str">
        <f>Orders!J1275</f>
        <v>Cancelled</v>
      </c>
      <c r="K1275" t="str">
        <f>Orders!K1275</f>
        <v>Bengaluru</v>
      </c>
      <c r="L1275" t="str">
        <f>IFERROR(VLOOKUP(D1275,Products!$A$2:$F$61,3,FALSE),"")</f>
        <v>Beauty</v>
      </c>
      <c r="M1275">
        <f>IFERROR(VLOOKUP(D1275,Products!$A$2:$F$61,4,FALSE),"")</f>
        <v>2237</v>
      </c>
      <c r="N1275" t="str">
        <f>IFERROR(VLOOKUP(E1275,Sales_Reps!$A$2:$E$31,3,FALSE),"")</f>
        <v>North</v>
      </c>
      <c r="O1275" t="str">
        <f>IFERROR(VLOOKUP(C1275,Customers!$A$2:$F$301,5,FALSE),"")</f>
        <v>SMB</v>
      </c>
      <c r="P1275">
        <f>IFERROR(VLOOKUP(C1275,Customers!$A$2:$F$301,3,FALSE),"")</f>
        <v>49</v>
      </c>
      <c r="Q1275" s="41">
        <f t="shared" si="28"/>
        <v>0.56137254901960787</v>
      </c>
      <c r="R1275" t="str">
        <f>IFERROR(VLOOKUP(C1275,Customers!$A$2:$F$301,1,FALSE),"")</f>
        <v>CUST-0058</v>
      </c>
      <c r="S1275" s="27" t="b">
        <f>IFERROR(VLOOKUP(D1275,Products!$A$2:$F$61,6,FALSE),"")</f>
        <v>1</v>
      </c>
      <c r="BL1275">
        <v>0</v>
      </c>
      <c r="BO1275">
        <v>0</v>
      </c>
      <c r="BP1275">
        <v>0</v>
      </c>
    </row>
    <row r="1276" spans="1:68" x14ac:dyDescent="0.35">
      <c r="A1276" s="26" t="str">
        <f>Orders!A1276</f>
        <v>ORD-01275</v>
      </c>
      <c r="B1276" s="33">
        <f>Orders!B1276</f>
        <v>45377</v>
      </c>
      <c r="C1276" t="str">
        <f>Orders!C1276</f>
        <v>CUST-0028</v>
      </c>
      <c r="D1276" t="str">
        <f>Orders!D1276</f>
        <v>PROD-045</v>
      </c>
      <c r="E1276" t="str">
        <f>Orders!E1276</f>
        <v>R019</v>
      </c>
      <c r="F1276">
        <f>Orders!F1276</f>
        <v>5</v>
      </c>
      <c r="G1276" s="35">
        <f>Orders!G1276</f>
        <v>3020</v>
      </c>
      <c r="H1276" s="37">
        <f>Orders!H1276</f>
        <v>23</v>
      </c>
      <c r="I1276" s="39">
        <f>Orders!I1276</f>
        <v>11627</v>
      </c>
      <c r="J1276" t="str">
        <f>Orders!J1276</f>
        <v>Completed</v>
      </c>
      <c r="K1276" t="str">
        <f>Orders!K1276</f>
        <v>Bengaluru</v>
      </c>
      <c r="L1276" t="str">
        <f>IFERROR(VLOOKUP(D1276,Products!$A$2:$F$61,3,FALSE),"")</f>
        <v>Beauty</v>
      </c>
      <c r="M1276">
        <f>IFERROR(VLOOKUP(D1276,Products!$A$2:$F$61,4,FALSE),"")</f>
        <v>1626</v>
      </c>
      <c r="N1276" t="str">
        <f>IFERROR(VLOOKUP(E1276,Sales_Reps!$A$2:$E$31,3,FALSE),"")</f>
        <v>East</v>
      </c>
      <c r="O1276" t="str">
        <f>IFERROR(VLOOKUP(C1276,Customers!$A$2:$F$301,5,FALSE),"")</f>
        <v>Retail</v>
      </c>
      <c r="P1276">
        <f>IFERROR(VLOOKUP(C1276,Customers!$A$2:$F$301,3,FALSE),"")</f>
        <v>59</v>
      </c>
      <c r="Q1276" s="41">
        <f t="shared" si="28"/>
        <v>0.46158940397350995</v>
      </c>
      <c r="R1276" t="str">
        <f>IFERROR(VLOOKUP(C1276,Customers!$A$2:$F$301,1,FALSE),"")</f>
        <v>CUST-0028</v>
      </c>
      <c r="S1276" s="27" t="b">
        <f>IFERROR(VLOOKUP(D1276,Products!$A$2:$F$61,6,FALSE),"")</f>
        <v>1</v>
      </c>
      <c r="BL1276">
        <v>0</v>
      </c>
      <c r="BO1276">
        <v>0</v>
      </c>
      <c r="BP1276">
        <v>0</v>
      </c>
    </row>
    <row r="1277" spans="1:68" x14ac:dyDescent="0.35">
      <c r="A1277" s="26" t="str">
        <f>Orders!A1277</f>
        <v>ORD-01276</v>
      </c>
      <c r="B1277" s="33">
        <f>Orders!B1277</f>
        <v>45413</v>
      </c>
      <c r="C1277" t="str">
        <f>Orders!C1277</f>
        <v>CUST-0262</v>
      </c>
      <c r="D1277" t="str">
        <f>Orders!D1277</f>
        <v>PROD-059</v>
      </c>
      <c r="E1277" t="str">
        <f>Orders!E1277</f>
        <v>R015</v>
      </c>
      <c r="F1277">
        <f>Orders!F1277</f>
        <v>8</v>
      </c>
      <c r="G1277" s="35">
        <f>Orders!G1277</f>
        <v>3780</v>
      </c>
      <c r="H1277" s="37">
        <f>Orders!H1277</f>
        <v>17.100000000000001</v>
      </c>
      <c r="I1277" s="39">
        <f>Orders!I1277</f>
        <v>25068.959999999999</v>
      </c>
      <c r="J1277" t="str">
        <f>Orders!J1277</f>
        <v>Completed</v>
      </c>
      <c r="K1277" t="str">
        <f>Orders!K1277</f>
        <v>Mumbai</v>
      </c>
      <c r="L1277" t="str">
        <f>IFERROR(VLOOKUP(D1277,Products!$A$2:$F$61,3,FALSE),"")</f>
        <v>Sports</v>
      </c>
      <c r="M1277">
        <f>IFERROR(VLOOKUP(D1277,Products!$A$2:$F$61,4,FALSE),"")</f>
        <v>1860</v>
      </c>
      <c r="N1277" t="str">
        <f>IFERROR(VLOOKUP(E1277,Sales_Reps!$A$2:$E$31,3,FALSE),"")</f>
        <v>South</v>
      </c>
      <c r="O1277" t="str">
        <f>IFERROR(VLOOKUP(C1277,Customers!$A$2:$F$301,5,FALSE),"")</f>
        <v>Retail</v>
      </c>
      <c r="P1277">
        <f>IFERROR(VLOOKUP(C1277,Customers!$A$2:$F$301,3,FALSE),"")</f>
        <v>52</v>
      </c>
      <c r="Q1277" s="41">
        <f t="shared" si="28"/>
        <v>0.50793650793650791</v>
      </c>
      <c r="R1277" t="str">
        <f>IFERROR(VLOOKUP(C1277,Customers!$A$2:$F$301,1,FALSE),"")</f>
        <v>CUST-0262</v>
      </c>
      <c r="S1277" s="27" t="b">
        <f>IFERROR(VLOOKUP(D1277,Products!$A$2:$F$61,6,FALSE),"")</f>
        <v>1</v>
      </c>
      <c r="BL1277">
        <v>0</v>
      </c>
      <c r="BO1277">
        <v>0</v>
      </c>
      <c r="BP1277">
        <v>0</v>
      </c>
    </row>
    <row r="1278" spans="1:68" x14ac:dyDescent="0.35">
      <c r="A1278" s="26" t="str">
        <f>Orders!A1278</f>
        <v>ORD-01277</v>
      </c>
      <c r="B1278" s="33">
        <f>Orders!B1278</f>
        <v>45437</v>
      </c>
      <c r="C1278" t="str">
        <f>Orders!C1278</f>
        <v>CUST-0241</v>
      </c>
      <c r="D1278" t="str">
        <f>Orders!D1278</f>
        <v>PROD-029</v>
      </c>
      <c r="E1278" t="str">
        <f>Orders!E1278</f>
        <v>R001</v>
      </c>
      <c r="F1278">
        <f>Orders!F1278</f>
        <v>10</v>
      </c>
      <c r="G1278" s="35">
        <f>Orders!G1278</f>
        <v>2210</v>
      </c>
      <c r="H1278" s="37">
        <f>Orders!H1278</f>
        <v>8.5</v>
      </c>
      <c r="I1278" s="39">
        <f>Orders!I1278</f>
        <v>20221.5</v>
      </c>
      <c r="J1278" t="str">
        <f>Orders!J1278</f>
        <v>Completed</v>
      </c>
      <c r="K1278" t="str">
        <f>Orders!K1278</f>
        <v>Pune</v>
      </c>
      <c r="L1278" t="str">
        <f>IFERROR(VLOOKUP(D1278,Products!$A$2:$F$61,3,FALSE),"")</f>
        <v>Grocery</v>
      </c>
      <c r="M1278">
        <f>IFERROR(VLOOKUP(D1278,Products!$A$2:$F$61,4,FALSE),"")</f>
        <v>1010</v>
      </c>
      <c r="N1278" t="str">
        <f>IFERROR(VLOOKUP(E1278,Sales_Reps!$A$2:$E$31,3,FALSE),"")</f>
        <v>North</v>
      </c>
      <c r="O1278" t="str">
        <f>IFERROR(VLOOKUP(C1278,Customers!$A$2:$F$301,5,FALSE),"")</f>
        <v>Corporate</v>
      </c>
      <c r="P1278">
        <f>IFERROR(VLOOKUP(C1278,Customers!$A$2:$F$301,3,FALSE),"")</f>
        <v>47</v>
      </c>
      <c r="Q1278" s="41">
        <f t="shared" si="28"/>
        <v>0.54298642533936647</v>
      </c>
      <c r="R1278" t="str">
        <f>IFERROR(VLOOKUP(C1278,Customers!$A$2:$F$301,1,FALSE),"")</f>
        <v>CUST-0241</v>
      </c>
      <c r="S1278" s="27" t="b">
        <f>IFERROR(VLOOKUP(D1278,Products!$A$2:$F$61,6,FALSE),"")</f>
        <v>1</v>
      </c>
      <c r="BL1278">
        <v>0</v>
      </c>
      <c r="BO1278">
        <v>0</v>
      </c>
      <c r="BP1278">
        <v>0</v>
      </c>
    </row>
    <row r="1279" spans="1:68" x14ac:dyDescent="0.35">
      <c r="A1279" s="26" t="str">
        <f>Orders!A1279</f>
        <v>ORD-01278</v>
      </c>
      <c r="B1279" s="33">
        <f>Orders!B1279</f>
        <v>45604</v>
      </c>
      <c r="C1279" t="str">
        <f>Orders!C1279</f>
        <v>CUST-0109</v>
      </c>
      <c r="D1279" t="str">
        <f>Orders!D1279</f>
        <v>PROD-029</v>
      </c>
      <c r="E1279" t="str">
        <f>Orders!E1279</f>
        <v>R015</v>
      </c>
      <c r="F1279">
        <f>Orders!F1279</f>
        <v>4</v>
      </c>
      <c r="G1279" s="35">
        <f>Orders!G1279</f>
        <v>2210</v>
      </c>
      <c r="H1279" s="37">
        <f>Orders!H1279</f>
        <v>3.1</v>
      </c>
      <c r="I1279" s="39">
        <f>Orders!I1279</f>
        <v>8565.9599999999991</v>
      </c>
      <c r="J1279" t="str">
        <f>Orders!J1279</f>
        <v>Completed</v>
      </c>
      <c r="K1279" t="str">
        <f>Orders!K1279</f>
        <v>Pune</v>
      </c>
      <c r="L1279" t="str">
        <f>IFERROR(VLOOKUP(D1279,Products!$A$2:$F$61,3,FALSE),"")</f>
        <v>Grocery</v>
      </c>
      <c r="M1279">
        <f>IFERROR(VLOOKUP(D1279,Products!$A$2:$F$61,4,FALSE),"")</f>
        <v>1010</v>
      </c>
      <c r="N1279" t="str">
        <f>IFERROR(VLOOKUP(E1279,Sales_Reps!$A$2:$E$31,3,FALSE),"")</f>
        <v>South</v>
      </c>
      <c r="O1279" t="str">
        <f>IFERROR(VLOOKUP(C1279,Customers!$A$2:$F$301,5,FALSE),"")</f>
        <v>Retail</v>
      </c>
      <c r="P1279">
        <f>IFERROR(VLOOKUP(C1279,Customers!$A$2:$F$301,3,FALSE),"")</f>
        <v>42</v>
      </c>
      <c r="Q1279" s="41">
        <f t="shared" si="28"/>
        <v>0.54298642533936647</v>
      </c>
      <c r="R1279" t="str">
        <f>IFERROR(VLOOKUP(C1279,Customers!$A$2:$F$301,1,FALSE),"")</f>
        <v>CUST-0109</v>
      </c>
      <c r="S1279" s="27" t="b">
        <f>IFERROR(VLOOKUP(D1279,Products!$A$2:$F$61,6,FALSE),"")</f>
        <v>1</v>
      </c>
      <c r="BL1279">
        <v>0</v>
      </c>
      <c r="BO1279">
        <v>0</v>
      </c>
      <c r="BP1279">
        <v>0</v>
      </c>
    </row>
    <row r="1280" spans="1:68" x14ac:dyDescent="0.35">
      <c r="A1280" s="26" t="str">
        <f>Orders!A1280</f>
        <v>ORD-01279</v>
      </c>
      <c r="B1280" s="33">
        <f>Orders!B1280</f>
        <v>45540</v>
      </c>
      <c r="C1280" t="str">
        <f>Orders!C1280</f>
        <v>CUST-0228</v>
      </c>
      <c r="D1280" t="str">
        <f>Orders!D1280</f>
        <v>PROD-044</v>
      </c>
      <c r="E1280" t="str">
        <f>Orders!E1280</f>
        <v>R015</v>
      </c>
      <c r="F1280">
        <f>Orders!F1280</f>
        <v>1</v>
      </c>
      <c r="G1280" s="35">
        <f>Orders!G1280</f>
        <v>1650</v>
      </c>
      <c r="H1280" s="37">
        <f>Orders!H1280</f>
        <v>10</v>
      </c>
      <c r="I1280" s="39">
        <f>Orders!I1280</f>
        <v>1485</v>
      </c>
      <c r="J1280" t="str">
        <f>Orders!J1280</f>
        <v>Completed</v>
      </c>
      <c r="K1280" t="str">
        <f>Orders!K1280</f>
        <v>Pune</v>
      </c>
      <c r="L1280" t="str">
        <f>IFERROR(VLOOKUP(D1280,Products!$A$2:$F$61,3,FALSE),"")</f>
        <v>Beauty</v>
      </c>
      <c r="M1280">
        <f>IFERROR(VLOOKUP(D1280,Products!$A$2:$F$61,4,FALSE),"")</f>
        <v>1222</v>
      </c>
      <c r="N1280" t="str">
        <f>IFERROR(VLOOKUP(E1280,Sales_Reps!$A$2:$E$31,3,FALSE),"")</f>
        <v>South</v>
      </c>
      <c r="O1280" t="str">
        <f>IFERROR(VLOOKUP(C1280,Customers!$A$2:$F$301,5,FALSE),"")</f>
        <v>Corporate</v>
      </c>
      <c r="P1280">
        <f>IFERROR(VLOOKUP(C1280,Customers!$A$2:$F$301,3,FALSE),"")</f>
        <v>37</v>
      </c>
      <c r="Q1280" s="41">
        <f t="shared" si="28"/>
        <v>0.2593939393939394</v>
      </c>
      <c r="R1280" t="str">
        <f>IFERROR(VLOOKUP(C1280,Customers!$A$2:$F$301,1,FALSE),"")</f>
        <v>CUST-0228</v>
      </c>
      <c r="S1280" s="27" t="b">
        <f>IFERROR(VLOOKUP(D1280,Products!$A$2:$F$61,6,FALSE),"")</f>
        <v>1</v>
      </c>
      <c r="BL1280">
        <v>0</v>
      </c>
      <c r="BO1280">
        <v>0</v>
      </c>
      <c r="BP1280">
        <v>0</v>
      </c>
    </row>
    <row r="1281" spans="1:68" x14ac:dyDescent="0.35">
      <c r="A1281" s="26" t="str">
        <f>Orders!A1281</f>
        <v>ORD-01280</v>
      </c>
      <c r="B1281" s="33">
        <f>Orders!B1281</f>
        <v>45597</v>
      </c>
      <c r="C1281" t="str">
        <f>Orders!C1281</f>
        <v>CUST-0239</v>
      </c>
      <c r="D1281" t="str">
        <f>Orders!D1281</f>
        <v>PROD-060</v>
      </c>
      <c r="E1281" t="str">
        <f>Orders!E1281</f>
        <v>R005</v>
      </c>
      <c r="F1281">
        <f>Orders!F1281</f>
        <v>6</v>
      </c>
      <c r="G1281" s="35">
        <f>Orders!G1281</f>
        <v>190</v>
      </c>
      <c r="H1281" s="37">
        <f>Orders!H1281</f>
        <v>3.5</v>
      </c>
      <c r="I1281" s="39">
        <f>Orders!I1281</f>
        <v>1100.0999999999999</v>
      </c>
      <c r="J1281" t="str">
        <f>Orders!J1281</f>
        <v>Cancelled</v>
      </c>
      <c r="K1281" t="str">
        <f>Orders!K1281</f>
        <v>Mumbai</v>
      </c>
      <c r="L1281" t="str">
        <f>IFERROR(VLOOKUP(D1281,Products!$A$2:$F$61,3,FALSE),"")</f>
        <v>Sports</v>
      </c>
      <c r="M1281">
        <f>IFERROR(VLOOKUP(D1281,Products!$A$2:$F$61,4,FALSE),"")</f>
        <v>147</v>
      </c>
      <c r="N1281" t="str">
        <f>IFERROR(VLOOKUP(E1281,Sales_Reps!$A$2:$E$31,3,FALSE),"")</f>
        <v>North</v>
      </c>
      <c r="O1281" t="str">
        <f>IFERROR(VLOOKUP(C1281,Customers!$A$2:$F$301,5,FALSE),"")</f>
        <v>Retail</v>
      </c>
      <c r="P1281">
        <f>IFERROR(VLOOKUP(C1281,Customers!$A$2:$F$301,3,FALSE),"")</f>
        <v>61</v>
      </c>
      <c r="Q1281" s="41">
        <f t="shared" si="28"/>
        <v>0.22631578947368422</v>
      </c>
      <c r="R1281" t="str">
        <f>IFERROR(VLOOKUP(C1281,Customers!$A$2:$F$301,1,FALSE),"")</f>
        <v>CUST-0239</v>
      </c>
      <c r="S1281" s="27" t="b">
        <f>IFERROR(VLOOKUP(D1281,Products!$A$2:$F$61,6,FALSE),"")</f>
        <v>1</v>
      </c>
      <c r="BL1281">
        <v>0</v>
      </c>
      <c r="BO1281">
        <v>0</v>
      </c>
      <c r="BP1281">
        <v>0</v>
      </c>
    </row>
    <row r="1282" spans="1:68" x14ac:dyDescent="0.35">
      <c r="A1282" s="26" t="str">
        <f>Orders!A1282</f>
        <v>ORD-01281</v>
      </c>
      <c r="B1282" s="33">
        <f>Orders!B1282</f>
        <v>45589</v>
      </c>
      <c r="C1282" t="str">
        <f>Orders!C1282</f>
        <v>CUST-0092</v>
      </c>
      <c r="D1282" t="str">
        <f>Orders!D1282</f>
        <v>PROD-055</v>
      </c>
      <c r="E1282" t="str">
        <f>Orders!E1282</f>
        <v>R027</v>
      </c>
      <c r="F1282">
        <f>Orders!F1282</f>
        <v>8</v>
      </c>
      <c r="G1282" s="35">
        <f>Orders!G1282</f>
        <v>2860</v>
      </c>
      <c r="H1282" s="37">
        <f>Orders!H1282</f>
        <v>14.7</v>
      </c>
      <c r="I1282" s="39">
        <f>Orders!I1282</f>
        <v>19516.64</v>
      </c>
      <c r="J1282" t="str">
        <f>Orders!J1282</f>
        <v>Completed</v>
      </c>
      <c r="K1282" t="str">
        <f>Orders!K1282</f>
        <v>Bengaluru</v>
      </c>
      <c r="L1282" t="str">
        <f>IFERROR(VLOOKUP(D1282,Products!$A$2:$F$61,3,FALSE),"")</f>
        <v>Sports</v>
      </c>
      <c r="M1282">
        <f>IFERROR(VLOOKUP(D1282,Products!$A$2:$F$61,4,FALSE),"")</f>
        <v>2028</v>
      </c>
      <c r="N1282" t="str">
        <f>IFERROR(VLOOKUP(E1282,Sales_Reps!$A$2:$E$31,3,FALSE),"")</f>
        <v>West</v>
      </c>
      <c r="O1282" t="str">
        <f>IFERROR(VLOOKUP(C1282,Customers!$A$2:$F$301,5,FALSE),"")</f>
        <v>SMB</v>
      </c>
      <c r="P1282">
        <f>IFERROR(VLOOKUP(C1282,Customers!$A$2:$F$301,3,FALSE),"")</f>
        <v>28</v>
      </c>
      <c r="Q1282" s="41">
        <f t="shared" ref="Q1282:Q1345" si="29">IFERROR((G1282-M1282)/G1282,0)</f>
        <v>0.29090909090909089</v>
      </c>
      <c r="R1282" t="str">
        <f>IFERROR(VLOOKUP(C1282,Customers!$A$2:$F$301,1,FALSE),"")</f>
        <v>CUST-0092</v>
      </c>
      <c r="S1282" s="27" t="b">
        <f>IFERROR(VLOOKUP(D1282,Products!$A$2:$F$61,6,FALSE),"")</f>
        <v>1</v>
      </c>
      <c r="BL1282">
        <v>0</v>
      </c>
      <c r="BO1282">
        <v>0</v>
      </c>
      <c r="BP1282">
        <v>0</v>
      </c>
    </row>
    <row r="1283" spans="1:68" x14ac:dyDescent="0.35">
      <c r="A1283" s="26" t="str">
        <f>Orders!A1283</f>
        <v>ORD-01282</v>
      </c>
      <c r="B1283" s="33">
        <f>Orders!B1283</f>
        <v>45448</v>
      </c>
      <c r="C1283" t="str">
        <f>Orders!C1283</f>
        <v>CUST-0283</v>
      </c>
      <c r="D1283" t="str">
        <f>Orders!D1283</f>
        <v>PROD-005</v>
      </c>
      <c r="E1283" t="str">
        <f>Orders!E1283</f>
        <v>R030</v>
      </c>
      <c r="F1283">
        <f>Orders!F1283</f>
        <v>9</v>
      </c>
      <c r="G1283" s="35">
        <f>Orders!G1283</f>
        <v>300</v>
      </c>
      <c r="H1283" s="37">
        <f>Orders!H1283</f>
        <v>19.5</v>
      </c>
      <c r="I1283" s="39">
        <f>Orders!I1283</f>
        <v>2173.5</v>
      </c>
      <c r="J1283" t="str">
        <f>Orders!J1283</f>
        <v>Completed</v>
      </c>
      <c r="K1283" t="str">
        <f>Orders!K1283</f>
        <v>Delhi</v>
      </c>
      <c r="L1283" t="str">
        <f>IFERROR(VLOOKUP(D1283,Products!$A$2:$F$61,3,FALSE),"")</f>
        <v>Electronics</v>
      </c>
      <c r="M1283">
        <f>IFERROR(VLOOKUP(D1283,Products!$A$2:$F$61,4,FALSE),"")</f>
        <v>128</v>
      </c>
      <c r="N1283" t="str">
        <f>IFERROR(VLOOKUP(E1283,Sales_Reps!$A$2:$E$31,3,FALSE),"")</f>
        <v>West</v>
      </c>
      <c r="O1283" t="str">
        <f>IFERROR(VLOOKUP(C1283,Customers!$A$2:$F$301,5,FALSE),"")</f>
        <v>SMB</v>
      </c>
      <c r="P1283">
        <f>IFERROR(VLOOKUP(C1283,Customers!$A$2:$F$301,3,FALSE),"")</f>
        <v>50</v>
      </c>
      <c r="Q1283" s="41">
        <f t="shared" si="29"/>
        <v>0.57333333333333336</v>
      </c>
      <c r="R1283" t="str">
        <f>IFERROR(VLOOKUP(C1283,Customers!$A$2:$F$301,1,FALSE),"")</f>
        <v>CUST-0283</v>
      </c>
      <c r="S1283" s="27" t="b">
        <f>IFERROR(VLOOKUP(D1283,Products!$A$2:$F$61,6,FALSE),"")</f>
        <v>1</v>
      </c>
      <c r="BL1283">
        <v>0</v>
      </c>
      <c r="BO1283">
        <v>0</v>
      </c>
      <c r="BP1283">
        <v>0</v>
      </c>
    </row>
    <row r="1284" spans="1:68" x14ac:dyDescent="0.35">
      <c r="A1284" s="26" t="str">
        <f>Orders!A1284</f>
        <v>ORD-01283</v>
      </c>
      <c r="B1284" s="33">
        <f>Orders!B1284</f>
        <v>45608</v>
      </c>
      <c r="C1284" t="str">
        <f>Orders!C1284</f>
        <v>CUST-0206</v>
      </c>
      <c r="D1284" t="str">
        <f>Orders!D1284</f>
        <v>PROD-049</v>
      </c>
      <c r="E1284" t="str">
        <f>Orders!E1284</f>
        <v>R007</v>
      </c>
      <c r="F1284">
        <f>Orders!F1284</f>
        <v>10</v>
      </c>
      <c r="G1284" s="35">
        <f>Orders!G1284</f>
        <v>960</v>
      </c>
      <c r="H1284" s="37">
        <f>Orders!H1284</f>
        <v>9.6999999999999993</v>
      </c>
      <c r="I1284" s="39">
        <f>Orders!I1284</f>
        <v>8668.7999999999993</v>
      </c>
      <c r="J1284" t="str">
        <f>Orders!J1284</f>
        <v>Completed</v>
      </c>
      <c r="K1284" t="str">
        <f>Orders!K1284</f>
        <v>Mumbai</v>
      </c>
      <c r="L1284" t="str">
        <f>IFERROR(VLOOKUP(D1284,Products!$A$2:$F$61,3,FALSE),"")</f>
        <v>Beauty</v>
      </c>
      <c r="M1284">
        <f>IFERROR(VLOOKUP(D1284,Products!$A$2:$F$61,4,FALSE),"")</f>
        <v>675</v>
      </c>
      <c r="N1284" t="str">
        <f>IFERROR(VLOOKUP(E1284,Sales_Reps!$A$2:$E$31,3,FALSE),"")</f>
        <v>North</v>
      </c>
      <c r="O1284" t="str">
        <f>IFERROR(VLOOKUP(C1284,Customers!$A$2:$F$301,5,FALSE),"")</f>
        <v>Retail</v>
      </c>
      <c r="P1284">
        <f>IFERROR(VLOOKUP(C1284,Customers!$A$2:$F$301,3,FALSE),"")</f>
        <v>40</v>
      </c>
      <c r="Q1284" s="41">
        <f t="shared" si="29"/>
        <v>0.296875</v>
      </c>
      <c r="R1284" t="str">
        <f>IFERROR(VLOOKUP(C1284,Customers!$A$2:$F$301,1,FALSE),"")</f>
        <v>CUST-0206</v>
      </c>
      <c r="S1284" s="27" t="b">
        <f>IFERROR(VLOOKUP(D1284,Products!$A$2:$F$61,6,FALSE),"")</f>
        <v>1</v>
      </c>
      <c r="BL1284">
        <v>0</v>
      </c>
      <c r="BO1284">
        <v>0</v>
      </c>
      <c r="BP1284">
        <v>0</v>
      </c>
    </row>
    <row r="1285" spans="1:68" x14ac:dyDescent="0.35">
      <c r="A1285" s="26" t="str">
        <f>Orders!A1285</f>
        <v>ORD-01284</v>
      </c>
      <c r="B1285" s="33">
        <f>Orders!B1285</f>
        <v>45421</v>
      </c>
      <c r="C1285" t="str">
        <f>Orders!C1285</f>
        <v>CUST-0174</v>
      </c>
      <c r="D1285" t="str">
        <f>Orders!D1285</f>
        <v>PROD-020</v>
      </c>
      <c r="E1285" t="str">
        <f>Orders!E1285</f>
        <v>R013</v>
      </c>
      <c r="F1285">
        <f>Orders!F1285</f>
        <v>5</v>
      </c>
      <c r="G1285" s="35">
        <f>Orders!G1285</f>
        <v>820</v>
      </c>
      <c r="H1285" s="37">
        <f>Orders!H1285</f>
        <v>0.5</v>
      </c>
      <c r="I1285" s="39">
        <f>Orders!I1285</f>
        <v>4079.5</v>
      </c>
      <c r="J1285" t="str">
        <f>Orders!J1285</f>
        <v>Completed</v>
      </c>
      <c r="K1285" t="str">
        <f>Orders!K1285</f>
        <v>Pune</v>
      </c>
      <c r="L1285" t="str">
        <f>IFERROR(VLOOKUP(D1285,Products!$A$2:$F$61,3,FALSE),"")</f>
        <v>Apparel</v>
      </c>
      <c r="M1285">
        <f>IFERROR(VLOOKUP(D1285,Products!$A$2:$F$61,4,FALSE),"")</f>
        <v>391</v>
      </c>
      <c r="N1285" t="str">
        <f>IFERROR(VLOOKUP(E1285,Sales_Reps!$A$2:$E$31,3,FALSE),"")</f>
        <v>South</v>
      </c>
      <c r="O1285" t="str">
        <f>IFERROR(VLOOKUP(C1285,Customers!$A$2:$F$301,5,FALSE),"")</f>
        <v>Retail</v>
      </c>
      <c r="P1285">
        <f>IFERROR(VLOOKUP(C1285,Customers!$A$2:$F$301,3,FALSE),"")</f>
        <v>54</v>
      </c>
      <c r="Q1285" s="41">
        <f t="shared" si="29"/>
        <v>0.52317073170731709</v>
      </c>
      <c r="R1285" t="str">
        <f>IFERROR(VLOOKUP(C1285,Customers!$A$2:$F$301,1,FALSE),"")</f>
        <v>CUST-0174</v>
      </c>
      <c r="S1285" s="27" t="b">
        <f>IFERROR(VLOOKUP(D1285,Products!$A$2:$F$61,6,FALSE),"")</f>
        <v>1</v>
      </c>
      <c r="BL1285">
        <v>0</v>
      </c>
      <c r="BO1285">
        <v>0</v>
      </c>
      <c r="BP1285">
        <v>0</v>
      </c>
    </row>
    <row r="1286" spans="1:68" x14ac:dyDescent="0.35">
      <c r="A1286" s="26" t="str">
        <f>Orders!A1286</f>
        <v>ORD-01285</v>
      </c>
      <c r="B1286" s="33">
        <f>Orders!B1286</f>
        <v>45383</v>
      </c>
      <c r="C1286" t="str">
        <f>Orders!C1286</f>
        <v>CUST-0040</v>
      </c>
      <c r="D1286" t="str">
        <f>Orders!D1286</f>
        <v>PROD-032</v>
      </c>
      <c r="E1286" t="str">
        <f>Orders!E1286</f>
        <v>R004</v>
      </c>
      <c r="F1286">
        <f>Orders!F1286</f>
        <v>2</v>
      </c>
      <c r="G1286" s="35">
        <f>Orders!G1286</f>
        <v>370</v>
      </c>
      <c r="H1286" s="37">
        <f>Orders!H1286</f>
        <v>10.5</v>
      </c>
      <c r="I1286" s="39">
        <f>Orders!I1286</f>
        <v>662.3</v>
      </c>
      <c r="J1286" t="str">
        <f>Orders!J1286</f>
        <v>Pending</v>
      </c>
      <c r="K1286" t="str">
        <f>Orders!K1286</f>
        <v>Chennai</v>
      </c>
      <c r="L1286" t="str">
        <f>IFERROR(VLOOKUP(D1286,Products!$A$2:$F$61,3,FALSE),"")</f>
        <v>Home</v>
      </c>
      <c r="M1286">
        <f>IFERROR(VLOOKUP(D1286,Products!$A$2:$F$61,4,FALSE),"")</f>
        <v>288</v>
      </c>
      <c r="N1286" t="str">
        <f>IFERROR(VLOOKUP(E1286,Sales_Reps!$A$2:$E$31,3,FALSE),"")</f>
        <v>North</v>
      </c>
      <c r="O1286" t="str">
        <f>IFERROR(VLOOKUP(C1286,Customers!$A$2:$F$301,5,FALSE),"")</f>
        <v>Retail</v>
      </c>
      <c r="P1286">
        <f>IFERROR(VLOOKUP(C1286,Customers!$A$2:$F$301,3,FALSE),"")</f>
        <v>28</v>
      </c>
      <c r="Q1286" s="41">
        <f t="shared" si="29"/>
        <v>0.22162162162162163</v>
      </c>
      <c r="R1286" t="str">
        <f>IFERROR(VLOOKUP(C1286,Customers!$A$2:$F$301,1,FALSE),"")</f>
        <v>CUST-0040</v>
      </c>
      <c r="S1286" s="27" t="b">
        <f>IFERROR(VLOOKUP(D1286,Products!$A$2:$F$61,6,FALSE),"")</f>
        <v>1</v>
      </c>
      <c r="BL1286">
        <v>0</v>
      </c>
      <c r="BO1286">
        <v>0</v>
      </c>
      <c r="BP1286">
        <v>0</v>
      </c>
    </row>
    <row r="1287" spans="1:68" x14ac:dyDescent="0.35">
      <c r="A1287" s="26" t="str">
        <f>Orders!A1287</f>
        <v>ORD-01286</v>
      </c>
      <c r="B1287" s="33">
        <f>Orders!B1287</f>
        <v>45453</v>
      </c>
      <c r="C1287" t="str">
        <f>Orders!C1287</f>
        <v>CUST-0153</v>
      </c>
      <c r="D1287" t="str">
        <f>Orders!D1287</f>
        <v>PROD-038</v>
      </c>
      <c r="E1287" t="str">
        <f>Orders!E1287</f>
        <v>R023</v>
      </c>
      <c r="F1287">
        <f>Orders!F1287</f>
        <v>9</v>
      </c>
      <c r="G1287" s="35">
        <f>Orders!G1287</f>
        <v>5490</v>
      </c>
      <c r="H1287" s="37">
        <f>Orders!H1287</f>
        <v>14.2</v>
      </c>
      <c r="I1287" s="39">
        <f>Orders!I1287</f>
        <v>42393.78</v>
      </c>
      <c r="J1287" t="str">
        <f>Orders!J1287</f>
        <v>Cancelled</v>
      </c>
      <c r="K1287" t="str">
        <f>Orders!K1287</f>
        <v>Mumbai</v>
      </c>
      <c r="L1287" t="str">
        <f>IFERROR(VLOOKUP(D1287,Products!$A$2:$F$61,3,FALSE),"")</f>
        <v>Home</v>
      </c>
      <c r="M1287">
        <f>IFERROR(VLOOKUP(D1287,Products!$A$2:$F$61,4,FALSE),"")</f>
        <v>2549</v>
      </c>
      <c r="N1287" t="str">
        <f>IFERROR(VLOOKUP(E1287,Sales_Reps!$A$2:$E$31,3,FALSE),"")</f>
        <v>East</v>
      </c>
      <c r="O1287" t="str">
        <f>IFERROR(VLOOKUP(C1287,Customers!$A$2:$F$301,5,FALSE),"")</f>
        <v>Retail</v>
      </c>
      <c r="P1287">
        <f>IFERROR(VLOOKUP(C1287,Customers!$A$2:$F$301,3,FALSE),"")</f>
        <v>35</v>
      </c>
      <c r="Q1287" s="41">
        <f t="shared" si="29"/>
        <v>0.53570127504553733</v>
      </c>
      <c r="R1287" t="str">
        <f>IFERROR(VLOOKUP(C1287,Customers!$A$2:$F$301,1,FALSE),"")</f>
        <v>CUST-0153</v>
      </c>
      <c r="S1287" s="27" t="b">
        <f>IFERROR(VLOOKUP(D1287,Products!$A$2:$F$61,6,FALSE),"")</f>
        <v>1</v>
      </c>
      <c r="BL1287">
        <v>0</v>
      </c>
      <c r="BO1287">
        <v>0</v>
      </c>
      <c r="BP1287">
        <v>0</v>
      </c>
    </row>
    <row r="1288" spans="1:68" x14ac:dyDescent="0.35">
      <c r="A1288" s="26" t="str">
        <f>Orders!A1288</f>
        <v>ORD-01287</v>
      </c>
      <c r="B1288" s="33">
        <f>Orders!B1288</f>
        <v>45398</v>
      </c>
      <c r="C1288" t="str">
        <f>Orders!C1288</f>
        <v>CUST-0236</v>
      </c>
      <c r="D1288" t="str">
        <f>Orders!D1288</f>
        <v>PROD-032</v>
      </c>
      <c r="E1288" t="str">
        <f>Orders!E1288</f>
        <v>R018</v>
      </c>
      <c r="F1288">
        <f>Orders!F1288</f>
        <v>3</v>
      </c>
      <c r="G1288" s="35">
        <f>Orders!G1288</f>
        <v>370</v>
      </c>
      <c r="H1288" s="37">
        <f>Orders!H1288</f>
        <v>18.399999999999999</v>
      </c>
      <c r="I1288" s="39">
        <f>Orders!I1288</f>
        <v>905.76</v>
      </c>
      <c r="J1288" t="str">
        <f>Orders!J1288</f>
        <v>Completed</v>
      </c>
      <c r="K1288" t="str">
        <f>Orders!K1288</f>
        <v>Hyderabad</v>
      </c>
      <c r="L1288" t="str">
        <f>IFERROR(VLOOKUP(D1288,Products!$A$2:$F$61,3,FALSE),"")</f>
        <v>Home</v>
      </c>
      <c r="M1288">
        <f>IFERROR(VLOOKUP(D1288,Products!$A$2:$F$61,4,FALSE),"")</f>
        <v>288</v>
      </c>
      <c r="N1288" t="str">
        <f>IFERROR(VLOOKUP(E1288,Sales_Reps!$A$2:$E$31,3,FALSE),"")</f>
        <v>East</v>
      </c>
      <c r="O1288" t="str">
        <f>IFERROR(VLOOKUP(C1288,Customers!$A$2:$F$301,5,FALSE),"")</f>
        <v>SMB</v>
      </c>
      <c r="P1288">
        <f>IFERROR(VLOOKUP(C1288,Customers!$A$2:$F$301,3,FALSE),"")</f>
        <v>28</v>
      </c>
      <c r="Q1288" s="41">
        <f t="shared" si="29"/>
        <v>0.22162162162162163</v>
      </c>
      <c r="R1288" t="str">
        <f>IFERROR(VLOOKUP(C1288,Customers!$A$2:$F$301,1,FALSE),"")</f>
        <v>CUST-0236</v>
      </c>
      <c r="S1288" s="27" t="b">
        <f>IFERROR(VLOOKUP(D1288,Products!$A$2:$F$61,6,FALSE),"")</f>
        <v>1</v>
      </c>
      <c r="BL1288">
        <v>0</v>
      </c>
      <c r="BO1288">
        <v>0</v>
      </c>
      <c r="BP1288">
        <v>0</v>
      </c>
    </row>
    <row r="1289" spans="1:68" x14ac:dyDescent="0.35">
      <c r="A1289" s="26" t="str">
        <f>Orders!A1289</f>
        <v>ORD-01288</v>
      </c>
      <c r="B1289" s="33">
        <f>Orders!B1289</f>
        <v>45584</v>
      </c>
      <c r="C1289" t="str">
        <f>Orders!C1289</f>
        <v>CUST-0295</v>
      </c>
      <c r="D1289" t="str">
        <f>Orders!D1289</f>
        <v>PROD-060</v>
      </c>
      <c r="E1289" t="str">
        <f>Orders!E1289</f>
        <v>R018</v>
      </c>
      <c r="F1289">
        <f>Orders!F1289</f>
        <v>6</v>
      </c>
      <c r="G1289" s="35">
        <f>Orders!G1289</f>
        <v>190</v>
      </c>
      <c r="H1289" s="37">
        <f>Orders!H1289</f>
        <v>12.9</v>
      </c>
      <c r="I1289" s="39">
        <f>Orders!I1289</f>
        <v>992.94</v>
      </c>
      <c r="J1289" t="str">
        <f>Orders!J1289</f>
        <v>Completed</v>
      </c>
      <c r="K1289" t="str">
        <f>Orders!K1289</f>
        <v>Delhi</v>
      </c>
      <c r="L1289" t="str">
        <f>IFERROR(VLOOKUP(D1289,Products!$A$2:$F$61,3,FALSE),"")</f>
        <v>Sports</v>
      </c>
      <c r="M1289">
        <f>IFERROR(VLOOKUP(D1289,Products!$A$2:$F$61,4,FALSE),"")</f>
        <v>147</v>
      </c>
      <c r="N1289" t="str">
        <f>IFERROR(VLOOKUP(E1289,Sales_Reps!$A$2:$E$31,3,FALSE),"")</f>
        <v>East</v>
      </c>
      <c r="O1289" t="str">
        <f>IFERROR(VLOOKUP(C1289,Customers!$A$2:$F$301,5,FALSE),"")</f>
        <v>SMB</v>
      </c>
      <c r="P1289">
        <f>IFERROR(VLOOKUP(C1289,Customers!$A$2:$F$301,3,FALSE),"")</f>
        <v>48</v>
      </c>
      <c r="Q1289" s="41">
        <f t="shared" si="29"/>
        <v>0.22631578947368422</v>
      </c>
      <c r="R1289" t="str">
        <f>IFERROR(VLOOKUP(C1289,Customers!$A$2:$F$301,1,FALSE),"")</f>
        <v>CUST-0295</v>
      </c>
      <c r="S1289" s="27" t="b">
        <f>IFERROR(VLOOKUP(D1289,Products!$A$2:$F$61,6,FALSE),"")</f>
        <v>1</v>
      </c>
      <c r="BL1289">
        <v>0</v>
      </c>
      <c r="BO1289">
        <v>0</v>
      </c>
      <c r="BP1289">
        <v>0</v>
      </c>
    </row>
    <row r="1290" spans="1:68" x14ac:dyDescent="0.35">
      <c r="A1290" s="26" t="str">
        <f>Orders!A1290</f>
        <v>ORD-01289</v>
      </c>
      <c r="B1290" s="33">
        <f>Orders!B1290</f>
        <v>45397</v>
      </c>
      <c r="C1290" t="str">
        <f>Orders!C1290</f>
        <v>CUST-0145</v>
      </c>
      <c r="D1290" t="str">
        <f>Orders!D1290</f>
        <v>PROD-029</v>
      </c>
      <c r="E1290" t="str">
        <f>Orders!E1290</f>
        <v>R023</v>
      </c>
      <c r="F1290">
        <f>Orders!F1290</f>
        <v>8</v>
      </c>
      <c r="G1290" s="35">
        <f>Orders!G1290</f>
        <v>2210</v>
      </c>
      <c r="H1290" s="37">
        <f>Orders!H1290</f>
        <v>9.8000000000000007</v>
      </c>
      <c r="I1290" s="39">
        <f>Orders!I1290</f>
        <v>15947.36</v>
      </c>
      <c r="J1290" t="str">
        <f>Orders!J1290</f>
        <v>Completed</v>
      </c>
      <c r="K1290" t="str">
        <f>Orders!K1290</f>
        <v>Bengaluru</v>
      </c>
      <c r="L1290" t="str">
        <f>IFERROR(VLOOKUP(D1290,Products!$A$2:$F$61,3,FALSE),"")</f>
        <v>Grocery</v>
      </c>
      <c r="M1290">
        <f>IFERROR(VLOOKUP(D1290,Products!$A$2:$F$61,4,FALSE),"")</f>
        <v>1010</v>
      </c>
      <c r="N1290" t="str">
        <f>IFERROR(VLOOKUP(E1290,Sales_Reps!$A$2:$E$31,3,FALSE),"")</f>
        <v>East</v>
      </c>
      <c r="O1290" t="str">
        <f>IFERROR(VLOOKUP(C1290,Customers!$A$2:$F$301,5,FALSE),"")</f>
        <v>SMB</v>
      </c>
      <c r="P1290">
        <f>IFERROR(VLOOKUP(C1290,Customers!$A$2:$F$301,3,FALSE),"")</f>
        <v>44</v>
      </c>
      <c r="Q1290" s="41">
        <f t="shared" si="29"/>
        <v>0.54298642533936647</v>
      </c>
      <c r="R1290" t="str">
        <f>IFERROR(VLOOKUP(C1290,Customers!$A$2:$F$301,1,FALSE),"")</f>
        <v>CUST-0145</v>
      </c>
      <c r="S1290" s="27" t="b">
        <f>IFERROR(VLOOKUP(D1290,Products!$A$2:$F$61,6,FALSE),"")</f>
        <v>1</v>
      </c>
      <c r="BL1290">
        <v>0</v>
      </c>
      <c r="BO1290">
        <v>0</v>
      </c>
      <c r="BP1290">
        <v>0</v>
      </c>
    </row>
    <row r="1291" spans="1:68" x14ac:dyDescent="0.35">
      <c r="A1291" s="26" t="str">
        <f>Orders!A1291</f>
        <v>ORD-01290</v>
      </c>
      <c r="B1291" s="33">
        <f>Orders!B1291</f>
        <v>45453</v>
      </c>
      <c r="C1291" t="str">
        <f>Orders!C1291</f>
        <v>CUST-0192</v>
      </c>
      <c r="D1291" t="str">
        <f>Orders!D1291</f>
        <v>PROD-044</v>
      </c>
      <c r="E1291" t="str">
        <f>Orders!E1291</f>
        <v>R009</v>
      </c>
      <c r="F1291">
        <f>Orders!F1291</f>
        <v>7</v>
      </c>
      <c r="G1291" s="35">
        <f>Orders!G1291</f>
        <v>1650</v>
      </c>
      <c r="H1291" s="37">
        <f>Orders!H1291</f>
        <v>8.4</v>
      </c>
      <c r="I1291" s="39">
        <f>Orders!I1291</f>
        <v>10579.8</v>
      </c>
      <c r="J1291" t="str">
        <f>Orders!J1291</f>
        <v>Completed</v>
      </c>
      <c r="K1291" t="str">
        <f>Orders!K1291</f>
        <v>Bengaluru</v>
      </c>
      <c r="L1291" t="str">
        <f>IFERROR(VLOOKUP(D1291,Products!$A$2:$F$61,3,FALSE),"")</f>
        <v>Beauty</v>
      </c>
      <c r="M1291">
        <f>IFERROR(VLOOKUP(D1291,Products!$A$2:$F$61,4,FALSE),"")</f>
        <v>1222</v>
      </c>
      <c r="N1291" t="str">
        <f>IFERROR(VLOOKUP(E1291,Sales_Reps!$A$2:$E$31,3,FALSE),"")</f>
        <v>South</v>
      </c>
      <c r="O1291" t="str">
        <f>IFERROR(VLOOKUP(C1291,Customers!$A$2:$F$301,5,FALSE),"")</f>
        <v>Retail</v>
      </c>
      <c r="P1291">
        <f>IFERROR(VLOOKUP(C1291,Customers!$A$2:$F$301,3,FALSE),"")</f>
        <v>55</v>
      </c>
      <c r="Q1291" s="41">
        <f t="shared" si="29"/>
        <v>0.2593939393939394</v>
      </c>
      <c r="R1291" t="str">
        <f>IFERROR(VLOOKUP(C1291,Customers!$A$2:$F$301,1,FALSE),"")</f>
        <v>CUST-0192</v>
      </c>
      <c r="S1291" s="27" t="b">
        <f>IFERROR(VLOOKUP(D1291,Products!$A$2:$F$61,6,FALSE),"")</f>
        <v>1</v>
      </c>
      <c r="BL1291">
        <v>0</v>
      </c>
      <c r="BO1291">
        <v>0</v>
      </c>
      <c r="BP1291">
        <v>0</v>
      </c>
    </row>
    <row r="1292" spans="1:68" x14ac:dyDescent="0.35">
      <c r="A1292" s="26" t="str">
        <f>Orders!A1292</f>
        <v>ORD-01291</v>
      </c>
      <c r="B1292" s="33">
        <f>Orders!B1292</f>
        <v>45359</v>
      </c>
      <c r="C1292" t="str">
        <f>Orders!C1292</f>
        <v>CUST-0148</v>
      </c>
      <c r="D1292" t="str">
        <f>Orders!D1292</f>
        <v>PROD-037</v>
      </c>
      <c r="E1292" t="str">
        <f>Orders!E1292</f>
        <v>R013</v>
      </c>
      <c r="F1292">
        <f>Orders!F1292</f>
        <v>8</v>
      </c>
      <c r="G1292" s="35">
        <f>Orders!G1292</f>
        <v>660</v>
      </c>
      <c r="H1292" s="37">
        <f>Orders!H1292</f>
        <v>7.5</v>
      </c>
      <c r="I1292" s="39">
        <f>Orders!I1292</f>
        <v>4884</v>
      </c>
      <c r="J1292" t="str">
        <f>Orders!J1292</f>
        <v>Completed</v>
      </c>
      <c r="K1292" t="str">
        <f>Orders!K1292</f>
        <v>Chennai</v>
      </c>
      <c r="L1292" t="str">
        <f>IFERROR(VLOOKUP(D1292,Products!$A$2:$F$61,3,FALSE),"")</f>
        <v>Home</v>
      </c>
      <c r="M1292">
        <f>IFERROR(VLOOKUP(D1292,Products!$A$2:$F$61,4,FALSE),"")</f>
        <v>329</v>
      </c>
      <c r="N1292" t="str">
        <f>IFERROR(VLOOKUP(E1292,Sales_Reps!$A$2:$E$31,3,FALSE),"")</f>
        <v>South</v>
      </c>
      <c r="O1292" t="str">
        <f>IFERROR(VLOOKUP(C1292,Customers!$A$2:$F$301,5,FALSE),"")</f>
        <v>Retail</v>
      </c>
      <c r="P1292">
        <f>IFERROR(VLOOKUP(C1292,Customers!$A$2:$F$301,3,FALSE),"")</f>
        <v>32</v>
      </c>
      <c r="Q1292" s="41">
        <f t="shared" si="29"/>
        <v>0.50151515151515147</v>
      </c>
      <c r="R1292" t="str">
        <f>IFERROR(VLOOKUP(C1292,Customers!$A$2:$F$301,1,FALSE),"")</f>
        <v>CUST-0148</v>
      </c>
      <c r="S1292" s="27" t="b">
        <f>IFERROR(VLOOKUP(D1292,Products!$A$2:$F$61,6,FALSE),"")</f>
        <v>1</v>
      </c>
      <c r="BL1292">
        <v>0</v>
      </c>
      <c r="BO1292">
        <v>0</v>
      </c>
      <c r="BP1292">
        <v>0</v>
      </c>
    </row>
    <row r="1293" spans="1:68" x14ac:dyDescent="0.35">
      <c r="A1293" s="26" t="str">
        <f>Orders!A1293</f>
        <v>ORD-01292</v>
      </c>
      <c r="B1293" s="33">
        <f>Orders!B1293</f>
        <v>45644</v>
      </c>
      <c r="C1293" t="str">
        <f>Orders!C1293</f>
        <v>CUST-0227</v>
      </c>
      <c r="D1293" t="str">
        <f>Orders!D1293</f>
        <v>PROD-039</v>
      </c>
      <c r="E1293" t="str">
        <f>Orders!E1293</f>
        <v>R004</v>
      </c>
      <c r="F1293">
        <f>Orders!F1293</f>
        <v>3</v>
      </c>
      <c r="G1293" s="35">
        <f>Orders!G1293</f>
        <v>4610</v>
      </c>
      <c r="H1293" s="37">
        <f>Orders!H1293</f>
        <v>29.6</v>
      </c>
      <c r="I1293" s="39">
        <f>Orders!I1293</f>
        <v>9736.32</v>
      </c>
      <c r="J1293" t="str">
        <f>Orders!J1293</f>
        <v>Completed</v>
      </c>
      <c r="K1293" t="str">
        <f>Orders!K1293</f>
        <v>Bengaluru</v>
      </c>
      <c r="L1293" t="str">
        <f>IFERROR(VLOOKUP(D1293,Products!$A$2:$F$61,3,FALSE),"")</f>
        <v>Home</v>
      </c>
      <c r="M1293">
        <f>IFERROR(VLOOKUP(D1293,Products!$A$2:$F$61,4,FALSE),"")</f>
        <v>1850</v>
      </c>
      <c r="N1293" t="str">
        <f>IFERROR(VLOOKUP(E1293,Sales_Reps!$A$2:$E$31,3,FALSE),"")</f>
        <v>North</v>
      </c>
      <c r="O1293" t="str">
        <f>IFERROR(VLOOKUP(C1293,Customers!$A$2:$F$301,5,FALSE),"")</f>
        <v>SMB</v>
      </c>
      <c r="P1293">
        <f>IFERROR(VLOOKUP(C1293,Customers!$A$2:$F$301,3,FALSE),"")</f>
        <v>44</v>
      </c>
      <c r="Q1293" s="41">
        <f t="shared" si="29"/>
        <v>0.59869848156182215</v>
      </c>
      <c r="R1293" t="str">
        <f>IFERROR(VLOOKUP(C1293,Customers!$A$2:$F$301,1,FALSE),"")</f>
        <v>CUST-0227</v>
      </c>
      <c r="S1293" s="27" t="b">
        <f>IFERROR(VLOOKUP(D1293,Products!$A$2:$F$61,6,FALSE),"")</f>
        <v>1</v>
      </c>
      <c r="BL1293">
        <v>0</v>
      </c>
      <c r="BO1293">
        <v>0</v>
      </c>
      <c r="BP1293">
        <v>0</v>
      </c>
    </row>
    <row r="1294" spans="1:68" x14ac:dyDescent="0.35">
      <c r="A1294" s="26" t="str">
        <f>Orders!A1294</f>
        <v>ORD-01293</v>
      </c>
      <c r="B1294" s="33">
        <f>Orders!B1294</f>
        <v>45325</v>
      </c>
      <c r="C1294" t="str">
        <f>Orders!C1294</f>
        <v>CUST-0170</v>
      </c>
      <c r="D1294" t="str">
        <f>Orders!D1294</f>
        <v>PROD-029</v>
      </c>
      <c r="E1294" t="str">
        <f>Orders!E1294</f>
        <v>R025</v>
      </c>
      <c r="F1294">
        <f>Orders!F1294</f>
        <v>6</v>
      </c>
      <c r="G1294" s="35">
        <f>Orders!G1294</f>
        <v>2210</v>
      </c>
      <c r="H1294" s="37">
        <f>Orders!H1294</f>
        <v>9.5</v>
      </c>
      <c r="I1294" s="39">
        <f>Orders!I1294</f>
        <v>12000.3</v>
      </c>
      <c r="J1294" t="str">
        <f>Orders!J1294</f>
        <v>Completed</v>
      </c>
      <c r="K1294" t="str">
        <f>Orders!K1294</f>
        <v>Mumbai</v>
      </c>
      <c r="L1294" t="str">
        <f>IFERROR(VLOOKUP(D1294,Products!$A$2:$F$61,3,FALSE),"")</f>
        <v>Grocery</v>
      </c>
      <c r="M1294">
        <f>IFERROR(VLOOKUP(D1294,Products!$A$2:$F$61,4,FALSE),"")</f>
        <v>1010</v>
      </c>
      <c r="N1294" t="str">
        <f>IFERROR(VLOOKUP(E1294,Sales_Reps!$A$2:$E$31,3,FALSE),"")</f>
        <v>West</v>
      </c>
      <c r="O1294" t="str">
        <f>IFERROR(VLOOKUP(C1294,Customers!$A$2:$F$301,5,FALSE),"")</f>
        <v>SMB</v>
      </c>
      <c r="P1294">
        <f>IFERROR(VLOOKUP(C1294,Customers!$A$2:$F$301,3,FALSE),"")</f>
        <v>22</v>
      </c>
      <c r="Q1294" s="41">
        <f t="shared" si="29"/>
        <v>0.54298642533936647</v>
      </c>
      <c r="R1294" t="str">
        <f>IFERROR(VLOOKUP(C1294,Customers!$A$2:$F$301,1,FALSE),"")</f>
        <v>CUST-0170</v>
      </c>
      <c r="S1294" s="27" t="b">
        <f>IFERROR(VLOOKUP(D1294,Products!$A$2:$F$61,6,FALSE),"")</f>
        <v>1</v>
      </c>
      <c r="BL1294">
        <v>0</v>
      </c>
      <c r="BO1294">
        <v>0</v>
      </c>
      <c r="BP1294">
        <v>0</v>
      </c>
    </row>
    <row r="1295" spans="1:68" x14ac:dyDescent="0.35">
      <c r="A1295" s="26" t="str">
        <f>Orders!A1295</f>
        <v>ORD-01294</v>
      </c>
      <c r="B1295" s="33">
        <f>Orders!B1295</f>
        <v>45533</v>
      </c>
      <c r="C1295" t="str">
        <f>Orders!C1295</f>
        <v>CUST-0102</v>
      </c>
      <c r="D1295" t="str">
        <f>Orders!D1295</f>
        <v>PROD-042</v>
      </c>
      <c r="E1295" t="str">
        <f>Orders!E1295</f>
        <v>R017</v>
      </c>
      <c r="F1295">
        <f>Orders!F1295</f>
        <v>4</v>
      </c>
      <c r="G1295" s="35">
        <f>Orders!G1295</f>
        <v>2290</v>
      </c>
      <c r="H1295" s="37">
        <f>Orders!H1295</f>
        <v>3.3</v>
      </c>
      <c r="I1295" s="39">
        <f>Orders!I1295</f>
        <v>8857.7199999999993</v>
      </c>
      <c r="J1295" t="str">
        <f>Orders!J1295</f>
        <v>Completed</v>
      </c>
      <c r="K1295" t="str">
        <f>Orders!K1295</f>
        <v>Chennai</v>
      </c>
      <c r="L1295" t="str">
        <f>IFERROR(VLOOKUP(D1295,Products!$A$2:$F$61,3,FALSE),"")</f>
        <v>Beauty</v>
      </c>
      <c r="M1295">
        <f>IFERROR(VLOOKUP(D1295,Products!$A$2:$F$61,4,FALSE),"")</f>
        <v>1219</v>
      </c>
      <c r="N1295" t="str">
        <f>IFERROR(VLOOKUP(E1295,Sales_Reps!$A$2:$E$31,3,FALSE),"")</f>
        <v>East</v>
      </c>
      <c r="O1295" t="str">
        <f>IFERROR(VLOOKUP(C1295,Customers!$A$2:$F$301,5,FALSE),"")</f>
        <v>SMB</v>
      </c>
      <c r="P1295">
        <f>IFERROR(VLOOKUP(C1295,Customers!$A$2:$F$301,3,FALSE),"")</f>
        <v>62</v>
      </c>
      <c r="Q1295" s="41">
        <f t="shared" si="29"/>
        <v>0.46768558951965067</v>
      </c>
      <c r="R1295" t="str">
        <f>IFERROR(VLOOKUP(C1295,Customers!$A$2:$F$301,1,FALSE),"")</f>
        <v>CUST-0102</v>
      </c>
      <c r="S1295" s="27" t="b">
        <f>IFERROR(VLOOKUP(D1295,Products!$A$2:$F$61,6,FALSE),"")</f>
        <v>1</v>
      </c>
      <c r="BL1295">
        <v>0</v>
      </c>
      <c r="BO1295">
        <v>0</v>
      </c>
      <c r="BP1295">
        <v>0</v>
      </c>
    </row>
    <row r="1296" spans="1:68" x14ac:dyDescent="0.35">
      <c r="A1296" s="26" t="str">
        <f>Orders!A1296</f>
        <v>ORD-01295</v>
      </c>
      <c r="B1296" s="33">
        <f>Orders!B1296</f>
        <v>45369</v>
      </c>
      <c r="C1296" t="str">
        <f>Orders!C1296</f>
        <v>CUST-0071</v>
      </c>
      <c r="D1296" t="str">
        <f>Orders!D1296</f>
        <v>PROD-040</v>
      </c>
      <c r="E1296" t="str">
        <f>Orders!E1296</f>
        <v>R026</v>
      </c>
      <c r="F1296">
        <f>Orders!F1296</f>
        <v>5</v>
      </c>
      <c r="G1296" s="35">
        <f>Orders!G1296</f>
        <v>1080</v>
      </c>
      <c r="H1296" s="37">
        <f>Orders!H1296</f>
        <v>26.1</v>
      </c>
      <c r="I1296" s="39">
        <f>Orders!I1296</f>
        <v>3990.6</v>
      </c>
      <c r="J1296" t="str">
        <f>Orders!J1296</f>
        <v>Completed</v>
      </c>
      <c r="K1296" t="str">
        <f>Orders!K1296</f>
        <v>Delhi</v>
      </c>
      <c r="L1296" t="str">
        <f>IFERROR(VLOOKUP(D1296,Products!$A$2:$F$61,3,FALSE),"")</f>
        <v>Home</v>
      </c>
      <c r="M1296">
        <f>IFERROR(VLOOKUP(D1296,Products!$A$2:$F$61,4,FALSE),"")</f>
        <v>519</v>
      </c>
      <c r="N1296" t="str">
        <f>IFERROR(VLOOKUP(E1296,Sales_Reps!$A$2:$E$31,3,FALSE),"")</f>
        <v>West</v>
      </c>
      <c r="O1296" t="str">
        <f>IFERROR(VLOOKUP(C1296,Customers!$A$2:$F$301,5,FALSE),"")</f>
        <v>Corporate</v>
      </c>
      <c r="P1296">
        <f>IFERROR(VLOOKUP(C1296,Customers!$A$2:$F$301,3,FALSE),"")</f>
        <v>46</v>
      </c>
      <c r="Q1296" s="41">
        <f t="shared" si="29"/>
        <v>0.51944444444444449</v>
      </c>
      <c r="R1296" t="str">
        <f>IFERROR(VLOOKUP(C1296,Customers!$A$2:$F$301,1,FALSE),"")</f>
        <v>CUST-0071</v>
      </c>
      <c r="S1296" s="27" t="b">
        <f>IFERROR(VLOOKUP(D1296,Products!$A$2:$F$61,6,FALSE),"")</f>
        <v>1</v>
      </c>
      <c r="BL1296">
        <v>0</v>
      </c>
      <c r="BO1296">
        <v>0</v>
      </c>
      <c r="BP1296">
        <v>0</v>
      </c>
    </row>
    <row r="1297" spans="1:68" x14ac:dyDescent="0.35">
      <c r="A1297" s="26" t="str">
        <f>Orders!A1297</f>
        <v>ORD-01296</v>
      </c>
      <c r="B1297" s="33">
        <f>Orders!B1297</f>
        <v>45312</v>
      </c>
      <c r="C1297" t="str">
        <f>Orders!C1297</f>
        <v>CUST-0080</v>
      </c>
      <c r="D1297" t="str">
        <f>Orders!D1297</f>
        <v>PROD-057</v>
      </c>
      <c r="E1297" t="str">
        <f>Orders!E1297</f>
        <v>R010</v>
      </c>
      <c r="F1297">
        <f>Orders!F1297</f>
        <v>7</v>
      </c>
      <c r="G1297" s="35">
        <f>Orders!G1297</f>
        <v>960</v>
      </c>
      <c r="H1297" s="37">
        <f>Orders!H1297</f>
        <v>17.7</v>
      </c>
      <c r="I1297" s="39">
        <f>Orders!I1297</f>
        <v>5530.56</v>
      </c>
      <c r="J1297" t="str">
        <f>Orders!J1297</f>
        <v>Completed</v>
      </c>
      <c r="K1297" t="str">
        <f>Orders!K1297</f>
        <v>Pune</v>
      </c>
      <c r="L1297" t="str">
        <f>IFERROR(VLOOKUP(D1297,Products!$A$2:$F$61,3,FALSE),"")</f>
        <v>Sports</v>
      </c>
      <c r="M1297">
        <f>IFERROR(VLOOKUP(D1297,Products!$A$2:$F$61,4,FALSE),"")</f>
        <v>705</v>
      </c>
      <c r="N1297" t="str">
        <f>IFERROR(VLOOKUP(E1297,Sales_Reps!$A$2:$E$31,3,FALSE),"")</f>
        <v>South</v>
      </c>
      <c r="O1297" t="str">
        <f>IFERROR(VLOOKUP(C1297,Customers!$A$2:$F$301,5,FALSE),"")</f>
        <v>SMB</v>
      </c>
      <c r="P1297">
        <f>IFERROR(VLOOKUP(C1297,Customers!$A$2:$F$301,3,FALSE),"")</f>
        <v>30</v>
      </c>
      <c r="Q1297" s="41">
        <f t="shared" si="29"/>
        <v>0.265625</v>
      </c>
      <c r="R1297" t="str">
        <f>IFERROR(VLOOKUP(C1297,Customers!$A$2:$F$301,1,FALSE),"")</f>
        <v>CUST-0080</v>
      </c>
      <c r="S1297" s="27" t="b">
        <f>IFERROR(VLOOKUP(D1297,Products!$A$2:$F$61,6,FALSE),"")</f>
        <v>1</v>
      </c>
      <c r="BL1297">
        <v>0</v>
      </c>
      <c r="BO1297">
        <v>0</v>
      </c>
      <c r="BP1297">
        <v>0</v>
      </c>
    </row>
    <row r="1298" spans="1:68" x14ac:dyDescent="0.35">
      <c r="A1298" s="26" t="str">
        <f>Orders!A1298</f>
        <v>ORD-01297</v>
      </c>
      <c r="B1298" s="33">
        <f>Orders!B1298</f>
        <v>45445</v>
      </c>
      <c r="C1298" t="str">
        <f>Orders!C1298</f>
        <v>CUST-0272</v>
      </c>
      <c r="D1298" t="str">
        <f>Orders!D1298</f>
        <v>PROD-058</v>
      </c>
      <c r="E1298" t="str">
        <f>Orders!E1298</f>
        <v>R008</v>
      </c>
      <c r="F1298">
        <f>Orders!F1298</f>
        <v>1</v>
      </c>
      <c r="G1298" s="35">
        <f>Orders!G1298</f>
        <v>2400</v>
      </c>
      <c r="H1298" s="37">
        <f>Orders!H1298</f>
        <v>29.9</v>
      </c>
      <c r="I1298" s="39">
        <f>Orders!I1298</f>
        <v>1682.4</v>
      </c>
      <c r="J1298" t="str">
        <f>Orders!J1298</f>
        <v>Completed</v>
      </c>
      <c r="K1298" t="str">
        <f>Orders!K1298</f>
        <v>Mumbai</v>
      </c>
      <c r="L1298" t="str">
        <f>IFERROR(VLOOKUP(D1298,Products!$A$2:$F$61,3,FALSE),"")</f>
        <v>Sports</v>
      </c>
      <c r="M1298">
        <f>IFERROR(VLOOKUP(D1298,Products!$A$2:$F$61,4,FALSE),"")</f>
        <v>974</v>
      </c>
      <c r="N1298" t="str">
        <f>IFERROR(VLOOKUP(E1298,Sales_Reps!$A$2:$E$31,3,FALSE),"")</f>
        <v>North</v>
      </c>
      <c r="O1298" t="str">
        <f>IFERROR(VLOOKUP(C1298,Customers!$A$2:$F$301,5,FALSE),"")</f>
        <v>SMB</v>
      </c>
      <c r="P1298">
        <f>IFERROR(VLOOKUP(C1298,Customers!$A$2:$F$301,3,FALSE),"")</f>
        <v>47</v>
      </c>
      <c r="Q1298" s="41">
        <f t="shared" si="29"/>
        <v>0.59416666666666662</v>
      </c>
      <c r="R1298" t="str">
        <f>IFERROR(VLOOKUP(C1298,Customers!$A$2:$F$301,1,FALSE),"")</f>
        <v>CUST-0272</v>
      </c>
      <c r="S1298" s="27" t="b">
        <f>IFERROR(VLOOKUP(D1298,Products!$A$2:$F$61,6,FALSE),"")</f>
        <v>1</v>
      </c>
      <c r="BL1298">
        <v>0</v>
      </c>
      <c r="BO1298">
        <v>0</v>
      </c>
      <c r="BP1298">
        <v>0</v>
      </c>
    </row>
    <row r="1299" spans="1:68" x14ac:dyDescent="0.35">
      <c r="A1299" s="26" t="str">
        <f>Orders!A1299</f>
        <v>ORD-01298</v>
      </c>
      <c r="B1299" s="33">
        <f>Orders!B1299</f>
        <v>45636</v>
      </c>
      <c r="C1299" t="str">
        <f>Orders!C1299</f>
        <v>CUST-0076</v>
      </c>
      <c r="D1299" t="str">
        <f>Orders!D1299</f>
        <v>PROD-042</v>
      </c>
      <c r="E1299" t="str">
        <f>Orders!E1299</f>
        <v>R010</v>
      </c>
      <c r="F1299">
        <f>Orders!F1299</f>
        <v>9</v>
      </c>
      <c r="G1299" s="35">
        <f>Orders!G1299</f>
        <v>2290</v>
      </c>
      <c r="H1299" s="37">
        <f>Orders!H1299</f>
        <v>28.8</v>
      </c>
      <c r="I1299" s="39">
        <f>Orders!I1299</f>
        <v>14674.32</v>
      </c>
      <c r="J1299" t="str">
        <f>Orders!J1299</f>
        <v>Completed</v>
      </c>
      <c r="K1299" t="str">
        <f>Orders!K1299</f>
        <v>Mumbai</v>
      </c>
      <c r="L1299" t="str">
        <f>IFERROR(VLOOKUP(D1299,Products!$A$2:$F$61,3,FALSE),"")</f>
        <v>Beauty</v>
      </c>
      <c r="M1299">
        <f>IFERROR(VLOOKUP(D1299,Products!$A$2:$F$61,4,FALSE),"")</f>
        <v>1219</v>
      </c>
      <c r="N1299" t="str">
        <f>IFERROR(VLOOKUP(E1299,Sales_Reps!$A$2:$E$31,3,FALSE),"")</f>
        <v>South</v>
      </c>
      <c r="O1299" t="str">
        <f>IFERROR(VLOOKUP(C1299,Customers!$A$2:$F$301,5,FALSE),"")</f>
        <v>Retail</v>
      </c>
      <c r="P1299">
        <f>IFERROR(VLOOKUP(C1299,Customers!$A$2:$F$301,3,FALSE),"")</f>
        <v>38</v>
      </c>
      <c r="Q1299" s="41">
        <f t="shared" si="29"/>
        <v>0.46768558951965067</v>
      </c>
      <c r="R1299" t="str">
        <f>IFERROR(VLOOKUP(C1299,Customers!$A$2:$F$301,1,FALSE),"")</f>
        <v>CUST-0076</v>
      </c>
      <c r="S1299" s="27" t="b">
        <f>IFERROR(VLOOKUP(D1299,Products!$A$2:$F$61,6,FALSE),"")</f>
        <v>1</v>
      </c>
      <c r="BL1299">
        <v>0</v>
      </c>
      <c r="BO1299">
        <v>0</v>
      </c>
      <c r="BP1299">
        <v>0</v>
      </c>
    </row>
    <row r="1300" spans="1:68" x14ac:dyDescent="0.35">
      <c r="A1300" s="26" t="str">
        <f>Orders!A1300</f>
        <v>ORD-01299</v>
      </c>
      <c r="B1300" s="33">
        <f>Orders!B1300</f>
        <v>45294</v>
      </c>
      <c r="C1300" t="str">
        <f>Orders!C1300</f>
        <v>CUST-0222</v>
      </c>
      <c r="D1300" t="str">
        <f>Orders!D1300</f>
        <v>PROD-040</v>
      </c>
      <c r="E1300" t="str">
        <f>Orders!E1300</f>
        <v>R018</v>
      </c>
      <c r="F1300">
        <f>Orders!F1300</f>
        <v>9</v>
      </c>
      <c r="G1300" s="35">
        <f>Orders!G1300</f>
        <v>1080</v>
      </c>
      <c r="H1300" s="37">
        <f>Orders!H1300</f>
        <v>10.3</v>
      </c>
      <c r="I1300" s="39">
        <f>Orders!I1300</f>
        <v>8718.84</v>
      </c>
      <c r="J1300" t="str">
        <f>Orders!J1300</f>
        <v>Completed</v>
      </c>
      <c r="K1300" t="str">
        <f>Orders!K1300</f>
        <v>Chennai</v>
      </c>
      <c r="L1300" t="str">
        <f>IFERROR(VLOOKUP(D1300,Products!$A$2:$F$61,3,FALSE),"")</f>
        <v>Home</v>
      </c>
      <c r="M1300">
        <f>IFERROR(VLOOKUP(D1300,Products!$A$2:$F$61,4,FALSE),"")</f>
        <v>519</v>
      </c>
      <c r="N1300" t="str">
        <f>IFERROR(VLOOKUP(E1300,Sales_Reps!$A$2:$E$31,3,FALSE),"")</f>
        <v>East</v>
      </c>
      <c r="O1300" t="str">
        <f>IFERROR(VLOOKUP(C1300,Customers!$A$2:$F$301,5,FALSE),"")</f>
        <v>Retail</v>
      </c>
      <c r="P1300">
        <f>IFERROR(VLOOKUP(C1300,Customers!$A$2:$F$301,3,FALSE),"")</f>
        <v>37</v>
      </c>
      <c r="Q1300" s="41">
        <f t="shared" si="29"/>
        <v>0.51944444444444449</v>
      </c>
      <c r="R1300" t="str">
        <f>IFERROR(VLOOKUP(C1300,Customers!$A$2:$F$301,1,FALSE),"")</f>
        <v>CUST-0222</v>
      </c>
      <c r="S1300" s="27" t="b">
        <f>IFERROR(VLOOKUP(D1300,Products!$A$2:$F$61,6,FALSE),"")</f>
        <v>1</v>
      </c>
      <c r="BL1300">
        <v>0</v>
      </c>
      <c r="BO1300">
        <v>0</v>
      </c>
      <c r="BP1300">
        <v>0</v>
      </c>
    </row>
    <row r="1301" spans="1:68" x14ac:dyDescent="0.35">
      <c r="A1301" s="26" t="str">
        <f>Orders!A1301</f>
        <v>ORD-01300</v>
      </c>
      <c r="B1301" s="33">
        <f>Orders!B1301</f>
        <v>45449</v>
      </c>
      <c r="C1301" t="str">
        <f>Orders!C1301</f>
        <v>CUST-0091</v>
      </c>
      <c r="D1301" t="str">
        <f>Orders!D1301</f>
        <v>PROD-035</v>
      </c>
      <c r="E1301" t="str">
        <f>Orders!E1301</f>
        <v>R004</v>
      </c>
      <c r="F1301">
        <f>Orders!F1301</f>
        <v>1</v>
      </c>
      <c r="G1301" s="35">
        <f>Orders!G1301</f>
        <v>1090</v>
      </c>
      <c r="H1301" s="37">
        <f>Orders!H1301</f>
        <v>5.8</v>
      </c>
      <c r="I1301" s="39">
        <f>Orders!I1301</f>
        <v>1026.78</v>
      </c>
      <c r="J1301" t="str">
        <f>Orders!J1301</f>
        <v>Cancelled</v>
      </c>
      <c r="K1301" t="str">
        <f>Orders!K1301</f>
        <v>Delhi</v>
      </c>
      <c r="L1301" t="str">
        <f>IFERROR(VLOOKUP(D1301,Products!$A$2:$F$61,3,FALSE),"")</f>
        <v>Home</v>
      </c>
      <c r="M1301">
        <f>IFERROR(VLOOKUP(D1301,Products!$A$2:$F$61,4,FALSE),"")</f>
        <v>464</v>
      </c>
      <c r="N1301" t="str">
        <f>IFERROR(VLOOKUP(E1301,Sales_Reps!$A$2:$E$31,3,FALSE),"")</f>
        <v>North</v>
      </c>
      <c r="O1301" t="str">
        <f>IFERROR(VLOOKUP(C1301,Customers!$A$2:$F$301,5,FALSE),"")</f>
        <v>Retail</v>
      </c>
      <c r="P1301">
        <f>IFERROR(VLOOKUP(C1301,Customers!$A$2:$F$301,3,FALSE),"")</f>
        <v>55</v>
      </c>
      <c r="Q1301" s="41">
        <f t="shared" si="29"/>
        <v>0.57431192660550456</v>
      </c>
      <c r="R1301" t="str">
        <f>IFERROR(VLOOKUP(C1301,Customers!$A$2:$F$301,1,FALSE),"")</f>
        <v>CUST-0091</v>
      </c>
      <c r="S1301" s="27" t="b">
        <f>IFERROR(VLOOKUP(D1301,Products!$A$2:$F$61,6,FALSE),"")</f>
        <v>1</v>
      </c>
      <c r="BL1301">
        <v>0</v>
      </c>
      <c r="BO1301">
        <v>0</v>
      </c>
      <c r="BP1301">
        <v>0</v>
      </c>
    </row>
    <row r="1302" spans="1:68" x14ac:dyDescent="0.35">
      <c r="A1302" s="26" t="str">
        <f>Orders!A1302</f>
        <v>ORD-01301</v>
      </c>
      <c r="B1302" s="33">
        <f>Orders!B1302</f>
        <v>45560</v>
      </c>
      <c r="C1302" t="str">
        <f>Orders!C1302</f>
        <v>CUST-0126</v>
      </c>
      <c r="D1302" t="str">
        <f>Orders!D1302</f>
        <v>PROD-029</v>
      </c>
      <c r="E1302" t="str">
        <f>Orders!E1302</f>
        <v>R018</v>
      </c>
      <c r="F1302">
        <f>Orders!F1302</f>
        <v>3</v>
      </c>
      <c r="G1302" s="35">
        <f>Orders!G1302</f>
        <v>2210</v>
      </c>
      <c r="H1302" s="37">
        <f>Orders!H1302</f>
        <v>18.2</v>
      </c>
      <c r="I1302" s="39">
        <f>Orders!I1302</f>
        <v>5423.34</v>
      </c>
      <c r="J1302" t="str">
        <f>Orders!J1302</f>
        <v>Pending</v>
      </c>
      <c r="K1302" t="str">
        <f>Orders!K1302</f>
        <v>Mumbai</v>
      </c>
      <c r="L1302" t="str">
        <f>IFERROR(VLOOKUP(D1302,Products!$A$2:$F$61,3,FALSE),"")</f>
        <v>Grocery</v>
      </c>
      <c r="M1302">
        <f>IFERROR(VLOOKUP(D1302,Products!$A$2:$F$61,4,FALSE),"")</f>
        <v>1010</v>
      </c>
      <c r="N1302" t="str">
        <f>IFERROR(VLOOKUP(E1302,Sales_Reps!$A$2:$E$31,3,FALSE),"")</f>
        <v>East</v>
      </c>
      <c r="O1302" t="str">
        <f>IFERROR(VLOOKUP(C1302,Customers!$A$2:$F$301,5,FALSE),"")</f>
        <v>Retail</v>
      </c>
      <c r="P1302">
        <f>IFERROR(VLOOKUP(C1302,Customers!$A$2:$F$301,3,FALSE),"")</f>
        <v>37</v>
      </c>
      <c r="Q1302" s="41">
        <f t="shared" si="29"/>
        <v>0.54298642533936647</v>
      </c>
      <c r="R1302" t="str">
        <f>IFERROR(VLOOKUP(C1302,Customers!$A$2:$F$301,1,FALSE),"")</f>
        <v>CUST-0126</v>
      </c>
      <c r="S1302" s="27" t="b">
        <f>IFERROR(VLOOKUP(D1302,Products!$A$2:$F$61,6,FALSE),"")</f>
        <v>1</v>
      </c>
      <c r="BL1302">
        <v>0</v>
      </c>
      <c r="BO1302">
        <v>0</v>
      </c>
      <c r="BP1302">
        <v>0</v>
      </c>
    </row>
    <row r="1303" spans="1:68" x14ac:dyDescent="0.35">
      <c r="A1303" s="26" t="str">
        <f>Orders!A1303</f>
        <v>ORD-01302</v>
      </c>
      <c r="B1303" s="33">
        <f>Orders!B1303</f>
        <v>45588</v>
      </c>
      <c r="C1303" t="str">
        <f>Orders!C1303</f>
        <v>CUST-0241</v>
      </c>
      <c r="D1303" t="str">
        <f>Orders!D1303</f>
        <v>PROD-014</v>
      </c>
      <c r="E1303" t="str">
        <f>Orders!E1303</f>
        <v>R015</v>
      </c>
      <c r="F1303">
        <f>Orders!F1303</f>
        <v>8</v>
      </c>
      <c r="G1303" s="35">
        <f>Orders!G1303</f>
        <v>3620</v>
      </c>
      <c r="H1303" s="37">
        <f>Orders!H1303</f>
        <v>1.4</v>
      </c>
      <c r="I1303" s="39">
        <f>Orders!I1303</f>
        <v>28554.560000000001</v>
      </c>
      <c r="J1303" t="str">
        <f>Orders!J1303</f>
        <v>Completed</v>
      </c>
      <c r="K1303" t="str">
        <f>Orders!K1303</f>
        <v>Pune</v>
      </c>
      <c r="L1303" t="str">
        <f>IFERROR(VLOOKUP(D1303,Products!$A$2:$F$61,3,FALSE),"")</f>
        <v>Apparel</v>
      </c>
      <c r="M1303">
        <f>IFERROR(VLOOKUP(D1303,Products!$A$2:$F$61,4,FALSE),"")</f>
        <v>2509</v>
      </c>
      <c r="N1303" t="str">
        <f>IFERROR(VLOOKUP(E1303,Sales_Reps!$A$2:$E$31,3,FALSE),"")</f>
        <v>South</v>
      </c>
      <c r="O1303" t="str">
        <f>IFERROR(VLOOKUP(C1303,Customers!$A$2:$F$301,5,FALSE),"")</f>
        <v>Corporate</v>
      </c>
      <c r="P1303">
        <f>IFERROR(VLOOKUP(C1303,Customers!$A$2:$F$301,3,FALSE),"")</f>
        <v>47</v>
      </c>
      <c r="Q1303" s="41">
        <f t="shared" si="29"/>
        <v>0.3069060773480663</v>
      </c>
      <c r="R1303" t="str">
        <f>IFERROR(VLOOKUP(C1303,Customers!$A$2:$F$301,1,FALSE),"")</f>
        <v>CUST-0241</v>
      </c>
      <c r="S1303" s="27" t="b">
        <f>IFERROR(VLOOKUP(D1303,Products!$A$2:$F$61,6,FALSE),"")</f>
        <v>1</v>
      </c>
      <c r="BL1303">
        <v>0</v>
      </c>
      <c r="BO1303">
        <v>0</v>
      </c>
      <c r="BP1303">
        <v>0</v>
      </c>
    </row>
    <row r="1304" spans="1:68" x14ac:dyDescent="0.35">
      <c r="A1304" s="26" t="str">
        <f>Orders!A1304</f>
        <v>ORD-01303</v>
      </c>
      <c r="B1304" s="33">
        <f>Orders!B1304</f>
        <v>45360</v>
      </c>
      <c r="C1304" t="str">
        <f>Orders!C1304</f>
        <v>CUST-0118</v>
      </c>
      <c r="D1304" t="str">
        <f>Orders!D1304</f>
        <v>PROD-033</v>
      </c>
      <c r="E1304" t="str">
        <f>Orders!E1304</f>
        <v>R011</v>
      </c>
      <c r="F1304">
        <f>Orders!F1304</f>
        <v>7</v>
      </c>
      <c r="G1304" s="35">
        <f>Orders!G1304</f>
        <v>2030</v>
      </c>
      <c r="H1304" s="37">
        <f>Orders!H1304</f>
        <v>27.7</v>
      </c>
      <c r="I1304" s="39">
        <f>Orders!I1304</f>
        <v>10273.83</v>
      </c>
      <c r="J1304" t="str">
        <f>Orders!J1304</f>
        <v>Completed</v>
      </c>
      <c r="K1304" t="str">
        <f>Orders!K1304</f>
        <v>Hyderabad</v>
      </c>
      <c r="L1304" t="str">
        <f>IFERROR(VLOOKUP(D1304,Products!$A$2:$F$61,3,FALSE),"")</f>
        <v>Home</v>
      </c>
      <c r="M1304">
        <f>IFERROR(VLOOKUP(D1304,Products!$A$2:$F$61,4,FALSE),"")</f>
        <v>1143</v>
      </c>
      <c r="N1304" t="str">
        <f>IFERROR(VLOOKUP(E1304,Sales_Reps!$A$2:$E$31,3,FALSE),"")</f>
        <v>South</v>
      </c>
      <c r="O1304" t="str">
        <f>IFERROR(VLOOKUP(C1304,Customers!$A$2:$F$301,5,FALSE),"")</f>
        <v>Retail</v>
      </c>
      <c r="P1304">
        <f>IFERROR(VLOOKUP(C1304,Customers!$A$2:$F$301,3,FALSE),"")</f>
        <v>26</v>
      </c>
      <c r="Q1304" s="41">
        <f t="shared" si="29"/>
        <v>0.43694581280788175</v>
      </c>
      <c r="R1304" t="str">
        <f>IFERROR(VLOOKUP(C1304,Customers!$A$2:$F$301,1,FALSE),"")</f>
        <v>CUST-0118</v>
      </c>
      <c r="S1304" s="27" t="b">
        <f>IFERROR(VLOOKUP(D1304,Products!$A$2:$F$61,6,FALSE),"")</f>
        <v>1</v>
      </c>
      <c r="BL1304">
        <v>0</v>
      </c>
      <c r="BO1304">
        <v>0</v>
      </c>
      <c r="BP1304">
        <v>0</v>
      </c>
    </row>
    <row r="1305" spans="1:68" x14ac:dyDescent="0.35">
      <c r="A1305" s="26" t="str">
        <f>Orders!A1305</f>
        <v>ORD-01304</v>
      </c>
      <c r="B1305" s="33">
        <f>Orders!B1305</f>
        <v>45316</v>
      </c>
      <c r="C1305" t="str">
        <f>Orders!C1305</f>
        <v>CUST-0090</v>
      </c>
      <c r="D1305" t="str">
        <f>Orders!D1305</f>
        <v>PROD-004</v>
      </c>
      <c r="E1305" t="str">
        <f>Orders!E1305</f>
        <v>R023</v>
      </c>
      <c r="F1305">
        <f>Orders!F1305</f>
        <v>1</v>
      </c>
      <c r="G1305" s="35">
        <f>Orders!G1305</f>
        <v>3870</v>
      </c>
      <c r="H1305" s="37">
        <f>Orders!H1305</f>
        <v>29.6</v>
      </c>
      <c r="I1305" s="39">
        <f>Orders!I1305</f>
        <v>2724.48</v>
      </c>
      <c r="J1305" t="str">
        <f>Orders!J1305</f>
        <v>Completed</v>
      </c>
      <c r="K1305" t="str">
        <f>Orders!K1305</f>
        <v>Bengaluru</v>
      </c>
      <c r="L1305" t="str">
        <f>IFERROR(VLOOKUP(D1305,Products!$A$2:$F$61,3,FALSE),"")</f>
        <v>Electronics</v>
      </c>
      <c r="M1305">
        <f>IFERROR(VLOOKUP(D1305,Products!$A$2:$F$61,4,FALSE),"")</f>
        <v>1559</v>
      </c>
      <c r="N1305" t="str">
        <f>IFERROR(VLOOKUP(E1305,Sales_Reps!$A$2:$E$31,3,FALSE),"")</f>
        <v>East</v>
      </c>
      <c r="O1305" t="str">
        <f>IFERROR(VLOOKUP(C1305,Customers!$A$2:$F$301,5,FALSE),"")</f>
        <v>Corporate</v>
      </c>
      <c r="P1305">
        <f>IFERROR(VLOOKUP(C1305,Customers!$A$2:$F$301,3,FALSE),"")</f>
        <v>26</v>
      </c>
      <c r="Q1305" s="41">
        <f t="shared" si="29"/>
        <v>0.59715762273901807</v>
      </c>
      <c r="R1305" t="str">
        <f>IFERROR(VLOOKUP(C1305,Customers!$A$2:$F$301,1,FALSE),"")</f>
        <v>CUST-0090</v>
      </c>
      <c r="S1305" s="27" t="b">
        <f>IFERROR(VLOOKUP(D1305,Products!$A$2:$F$61,6,FALSE),"")</f>
        <v>1</v>
      </c>
      <c r="BL1305">
        <v>0</v>
      </c>
      <c r="BO1305">
        <v>0</v>
      </c>
      <c r="BP1305">
        <v>0</v>
      </c>
    </row>
    <row r="1306" spans="1:68" x14ac:dyDescent="0.35">
      <c r="A1306" s="26" t="str">
        <f>Orders!A1306</f>
        <v>ORD-01305</v>
      </c>
      <c r="B1306" s="33">
        <f>Orders!B1306</f>
        <v>45324</v>
      </c>
      <c r="C1306" t="str">
        <f>Orders!C1306</f>
        <v>CUST-0037</v>
      </c>
      <c r="D1306" t="str">
        <f>Orders!D1306</f>
        <v>PROD-003</v>
      </c>
      <c r="E1306" t="str">
        <f>Orders!E1306</f>
        <v>R014</v>
      </c>
      <c r="F1306">
        <f>Orders!F1306</f>
        <v>5</v>
      </c>
      <c r="G1306" s="35">
        <f>Orders!G1306</f>
        <v>3570</v>
      </c>
      <c r="H1306" s="37">
        <f>Orders!H1306</f>
        <v>11.8</v>
      </c>
      <c r="I1306" s="39">
        <f>Orders!I1306</f>
        <v>15743.7</v>
      </c>
      <c r="J1306" t="str">
        <f>Orders!J1306</f>
        <v>Refunded</v>
      </c>
      <c r="K1306" t="str">
        <f>Orders!K1306</f>
        <v>Bengaluru</v>
      </c>
      <c r="L1306" t="str">
        <f>IFERROR(VLOOKUP(D1306,Products!$A$2:$F$61,3,FALSE),"")</f>
        <v>Electronics</v>
      </c>
      <c r="M1306">
        <f>IFERROR(VLOOKUP(D1306,Products!$A$2:$F$61,4,FALSE),"")</f>
        <v>1665</v>
      </c>
      <c r="N1306" t="str">
        <f>IFERROR(VLOOKUP(E1306,Sales_Reps!$A$2:$E$31,3,FALSE),"")</f>
        <v>South</v>
      </c>
      <c r="O1306" t="str">
        <f>IFERROR(VLOOKUP(C1306,Customers!$A$2:$F$301,5,FALSE),"")</f>
        <v>Retail</v>
      </c>
      <c r="P1306">
        <f>IFERROR(VLOOKUP(C1306,Customers!$A$2:$F$301,3,FALSE),"")</f>
        <v>52</v>
      </c>
      <c r="Q1306" s="41">
        <f t="shared" si="29"/>
        <v>0.53361344537815125</v>
      </c>
      <c r="R1306" t="str">
        <f>IFERROR(VLOOKUP(C1306,Customers!$A$2:$F$301,1,FALSE),"")</f>
        <v>CUST-0037</v>
      </c>
      <c r="S1306" s="27" t="b">
        <f>IFERROR(VLOOKUP(D1306,Products!$A$2:$F$61,6,FALSE),"")</f>
        <v>1</v>
      </c>
      <c r="BL1306">
        <v>0</v>
      </c>
      <c r="BO1306">
        <v>0</v>
      </c>
      <c r="BP1306">
        <v>0</v>
      </c>
    </row>
    <row r="1307" spans="1:68" x14ac:dyDescent="0.35">
      <c r="A1307" s="26" t="str">
        <f>Orders!A1307</f>
        <v>ORD-01306</v>
      </c>
      <c r="B1307" s="33">
        <f>Orders!B1307</f>
        <v>45650</v>
      </c>
      <c r="C1307" t="str">
        <f>Orders!C1307</f>
        <v>CUST-0083</v>
      </c>
      <c r="D1307" t="str">
        <f>Orders!D1307</f>
        <v>PROD-001</v>
      </c>
      <c r="E1307" t="str">
        <f>Orders!E1307</f>
        <v>R019</v>
      </c>
      <c r="F1307">
        <f>Orders!F1307</f>
        <v>7</v>
      </c>
      <c r="G1307" s="35">
        <f>Orders!G1307</f>
        <v>5330</v>
      </c>
      <c r="H1307" s="37">
        <f>Orders!H1307</f>
        <v>8.1999999999999993</v>
      </c>
      <c r="I1307" s="39">
        <f>Orders!I1307</f>
        <v>34250.58</v>
      </c>
      <c r="J1307" t="str">
        <f>Orders!J1307</f>
        <v>Completed</v>
      </c>
      <c r="K1307" t="str">
        <f>Orders!K1307</f>
        <v>Bengaluru</v>
      </c>
      <c r="L1307" t="str">
        <f>IFERROR(VLOOKUP(D1307,Products!$A$2:$F$61,3,FALSE),"")</f>
        <v>Electronics</v>
      </c>
      <c r="M1307">
        <f>IFERROR(VLOOKUP(D1307,Products!$A$2:$F$61,4,FALSE),"")</f>
        <v>2405</v>
      </c>
      <c r="N1307" t="str">
        <f>IFERROR(VLOOKUP(E1307,Sales_Reps!$A$2:$E$31,3,FALSE),"")</f>
        <v>East</v>
      </c>
      <c r="O1307" t="str">
        <f>IFERROR(VLOOKUP(C1307,Customers!$A$2:$F$301,5,FALSE),"")</f>
        <v>Corporate</v>
      </c>
      <c r="P1307">
        <f>IFERROR(VLOOKUP(C1307,Customers!$A$2:$F$301,3,FALSE),"")</f>
        <v>31</v>
      </c>
      <c r="Q1307" s="41">
        <f t="shared" si="29"/>
        <v>0.54878048780487809</v>
      </c>
      <c r="R1307" t="str">
        <f>IFERROR(VLOOKUP(C1307,Customers!$A$2:$F$301,1,FALSE),"")</f>
        <v>CUST-0083</v>
      </c>
      <c r="S1307" s="27" t="b">
        <f>IFERROR(VLOOKUP(D1307,Products!$A$2:$F$61,6,FALSE),"")</f>
        <v>1</v>
      </c>
      <c r="BL1307">
        <v>0</v>
      </c>
      <c r="BO1307">
        <v>0</v>
      </c>
      <c r="BP1307">
        <v>0</v>
      </c>
    </row>
    <row r="1308" spans="1:68" x14ac:dyDescent="0.35">
      <c r="A1308" s="26" t="str">
        <f>Orders!A1308</f>
        <v>ORD-01307</v>
      </c>
      <c r="B1308" s="33">
        <f>Orders!B1308</f>
        <v>45564</v>
      </c>
      <c r="C1308" t="str">
        <f>Orders!C1308</f>
        <v>CUST-0154</v>
      </c>
      <c r="D1308" t="str">
        <f>Orders!D1308</f>
        <v>PROD-009</v>
      </c>
      <c r="E1308" t="str">
        <f>Orders!E1308</f>
        <v>R009</v>
      </c>
      <c r="F1308">
        <f>Orders!F1308</f>
        <v>5</v>
      </c>
      <c r="G1308" s="35">
        <f>Orders!G1308</f>
        <v>1220</v>
      </c>
      <c r="H1308" s="37">
        <f>Orders!H1308</f>
        <v>17.8</v>
      </c>
      <c r="I1308" s="39">
        <f>Orders!I1308</f>
        <v>5014.2</v>
      </c>
      <c r="J1308" t="str">
        <f>Orders!J1308</f>
        <v>Refunded</v>
      </c>
      <c r="K1308" t="str">
        <f>Orders!K1308</f>
        <v>Pune</v>
      </c>
      <c r="L1308" t="str">
        <f>IFERROR(VLOOKUP(D1308,Products!$A$2:$F$61,3,FALSE),"")</f>
        <v>Electronics</v>
      </c>
      <c r="M1308">
        <f>IFERROR(VLOOKUP(D1308,Products!$A$2:$F$61,4,FALSE),"")</f>
        <v>517</v>
      </c>
      <c r="N1308" t="str">
        <f>IFERROR(VLOOKUP(E1308,Sales_Reps!$A$2:$E$31,3,FALSE),"")</f>
        <v>South</v>
      </c>
      <c r="O1308" t="str">
        <f>IFERROR(VLOOKUP(C1308,Customers!$A$2:$F$301,5,FALSE),"")</f>
        <v>Retail</v>
      </c>
      <c r="P1308">
        <f>IFERROR(VLOOKUP(C1308,Customers!$A$2:$F$301,3,FALSE),"")</f>
        <v>36</v>
      </c>
      <c r="Q1308" s="41">
        <f t="shared" si="29"/>
        <v>0.57622950819672136</v>
      </c>
      <c r="R1308" t="str">
        <f>IFERROR(VLOOKUP(C1308,Customers!$A$2:$F$301,1,FALSE),"")</f>
        <v>CUST-0154</v>
      </c>
      <c r="S1308" s="27" t="b">
        <f>IFERROR(VLOOKUP(D1308,Products!$A$2:$F$61,6,FALSE),"")</f>
        <v>1</v>
      </c>
      <c r="BL1308">
        <v>0</v>
      </c>
      <c r="BO1308">
        <v>0</v>
      </c>
      <c r="BP1308">
        <v>0</v>
      </c>
    </row>
    <row r="1309" spans="1:68" x14ac:dyDescent="0.35">
      <c r="A1309" s="26" t="str">
        <f>Orders!A1309</f>
        <v>ORD-01308</v>
      </c>
      <c r="B1309" s="33">
        <f>Orders!B1309</f>
        <v>45587</v>
      </c>
      <c r="C1309" t="str">
        <f>Orders!C1309</f>
        <v>CUST-0265</v>
      </c>
      <c r="D1309" t="str">
        <f>Orders!D1309</f>
        <v>PROD-011</v>
      </c>
      <c r="E1309" t="str">
        <f>Orders!E1309</f>
        <v>R019</v>
      </c>
      <c r="F1309">
        <f>Orders!F1309</f>
        <v>7</v>
      </c>
      <c r="G1309" s="35">
        <f>Orders!G1309</f>
        <v>3450</v>
      </c>
      <c r="H1309" s="37">
        <f>Orders!H1309</f>
        <v>29.3</v>
      </c>
      <c r="I1309" s="39">
        <f>Orders!I1309</f>
        <v>17074.05</v>
      </c>
      <c r="J1309" t="str">
        <f>Orders!J1309</f>
        <v>Completed</v>
      </c>
      <c r="K1309" t="str">
        <f>Orders!K1309</f>
        <v>Chennai</v>
      </c>
      <c r="L1309" t="str">
        <f>IFERROR(VLOOKUP(D1309,Products!$A$2:$F$61,3,FALSE),"")</f>
        <v>Apparel</v>
      </c>
      <c r="M1309">
        <f>IFERROR(VLOOKUP(D1309,Products!$A$2:$F$61,4,FALSE),"")</f>
        <v>1748</v>
      </c>
      <c r="N1309" t="str">
        <f>IFERROR(VLOOKUP(E1309,Sales_Reps!$A$2:$E$31,3,FALSE),"")</f>
        <v>East</v>
      </c>
      <c r="O1309" t="str">
        <f>IFERROR(VLOOKUP(C1309,Customers!$A$2:$F$301,5,FALSE),"")</f>
        <v>Retail</v>
      </c>
      <c r="P1309">
        <f>IFERROR(VLOOKUP(C1309,Customers!$A$2:$F$301,3,FALSE),"")</f>
        <v>49</v>
      </c>
      <c r="Q1309" s="41">
        <f t="shared" si="29"/>
        <v>0.49333333333333335</v>
      </c>
      <c r="R1309" t="str">
        <f>IFERROR(VLOOKUP(C1309,Customers!$A$2:$F$301,1,FALSE),"")</f>
        <v>CUST-0265</v>
      </c>
      <c r="S1309" s="27" t="b">
        <f>IFERROR(VLOOKUP(D1309,Products!$A$2:$F$61,6,FALSE),"")</f>
        <v>1</v>
      </c>
      <c r="BL1309">
        <v>0</v>
      </c>
      <c r="BO1309">
        <v>0</v>
      </c>
      <c r="BP1309">
        <v>0</v>
      </c>
    </row>
    <row r="1310" spans="1:68" x14ac:dyDescent="0.35">
      <c r="A1310" s="26" t="str">
        <f>Orders!A1310</f>
        <v>ORD-01309</v>
      </c>
      <c r="B1310" s="33">
        <f>Orders!B1310</f>
        <v>45538</v>
      </c>
      <c r="C1310" t="str">
        <f>Orders!C1310</f>
        <v>CUST-0115</v>
      </c>
      <c r="D1310" t="str">
        <f>Orders!D1310</f>
        <v>PROD-018</v>
      </c>
      <c r="E1310" t="str">
        <f>Orders!E1310</f>
        <v>R013</v>
      </c>
      <c r="F1310">
        <f>Orders!F1310</f>
        <v>6</v>
      </c>
      <c r="G1310" s="35">
        <f>Orders!G1310</f>
        <v>3560</v>
      </c>
      <c r="H1310" s="37">
        <f>Orders!H1310</f>
        <v>9.4</v>
      </c>
      <c r="I1310" s="39">
        <f>Orders!I1310</f>
        <v>19352.16</v>
      </c>
      <c r="J1310" t="str">
        <f>Orders!J1310</f>
        <v>Pending</v>
      </c>
      <c r="K1310" t="str">
        <f>Orders!K1310</f>
        <v>Mumbai</v>
      </c>
      <c r="L1310" t="str">
        <f>IFERROR(VLOOKUP(D1310,Products!$A$2:$F$61,3,FALSE),"")</f>
        <v>Apparel</v>
      </c>
      <c r="M1310">
        <f>IFERROR(VLOOKUP(D1310,Products!$A$2:$F$61,4,FALSE),"")</f>
        <v>2629</v>
      </c>
      <c r="N1310" t="str">
        <f>IFERROR(VLOOKUP(E1310,Sales_Reps!$A$2:$E$31,3,FALSE),"")</f>
        <v>South</v>
      </c>
      <c r="O1310" t="str">
        <f>IFERROR(VLOOKUP(C1310,Customers!$A$2:$F$301,5,FALSE),"")</f>
        <v>SMB</v>
      </c>
      <c r="P1310">
        <f>IFERROR(VLOOKUP(C1310,Customers!$A$2:$F$301,3,FALSE),"")</f>
        <v>65</v>
      </c>
      <c r="Q1310" s="41">
        <f t="shared" si="29"/>
        <v>0.26151685393258428</v>
      </c>
      <c r="R1310" t="str">
        <f>IFERROR(VLOOKUP(C1310,Customers!$A$2:$F$301,1,FALSE),"")</f>
        <v>CUST-0115</v>
      </c>
      <c r="S1310" s="27" t="b">
        <f>IFERROR(VLOOKUP(D1310,Products!$A$2:$F$61,6,FALSE),"")</f>
        <v>1</v>
      </c>
      <c r="BL1310">
        <v>0</v>
      </c>
      <c r="BO1310">
        <v>0</v>
      </c>
      <c r="BP1310">
        <v>0</v>
      </c>
    </row>
    <row r="1311" spans="1:68" x14ac:dyDescent="0.35">
      <c r="A1311" s="26" t="str">
        <f>Orders!A1311</f>
        <v>ORD-01310</v>
      </c>
      <c r="B1311" s="33">
        <f>Orders!B1311</f>
        <v>45385</v>
      </c>
      <c r="C1311" t="str">
        <f>Orders!C1311</f>
        <v>CUST-0274</v>
      </c>
      <c r="D1311" t="str">
        <f>Orders!D1311</f>
        <v>PROD-032</v>
      </c>
      <c r="E1311" t="str">
        <f>Orders!E1311</f>
        <v>R005</v>
      </c>
      <c r="F1311">
        <f>Orders!F1311</f>
        <v>4</v>
      </c>
      <c r="G1311" s="35">
        <f>Orders!G1311</f>
        <v>370</v>
      </c>
      <c r="H1311" s="37">
        <f>Orders!H1311</f>
        <v>4.9000000000000004</v>
      </c>
      <c r="I1311" s="39">
        <f>Orders!I1311</f>
        <v>1407.48</v>
      </c>
      <c r="J1311" t="str">
        <f>Orders!J1311</f>
        <v>Completed</v>
      </c>
      <c r="K1311" t="str">
        <f>Orders!K1311</f>
        <v>Bengaluru</v>
      </c>
      <c r="L1311" t="str">
        <f>IFERROR(VLOOKUP(D1311,Products!$A$2:$F$61,3,FALSE),"")</f>
        <v>Home</v>
      </c>
      <c r="M1311">
        <f>IFERROR(VLOOKUP(D1311,Products!$A$2:$F$61,4,FALSE),"")</f>
        <v>288</v>
      </c>
      <c r="N1311" t="str">
        <f>IFERROR(VLOOKUP(E1311,Sales_Reps!$A$2:$E$31,3,FALSE),"")</f>
        <v>North</v>
      </c>
      <c r="O1311" t="str">
        <f>IFERROR(VLOOKUP(C1311,Customers!$A$2:$F$301,5,FALSE),"")</f>
        <v>Corporate</v>
      </c>
      <c r="P1311">
        <f>IFERROR(VLOOKUP(C1311,Customers!$A$2:$F$301,3,FALSE),"")</f>
        <v>36</v>
      </c>
      <c r="Q1311" s="41">
        <f t="shared" si="29"/>
        <v>0.22162162162162163</v>
      </c>
      <c r="R1311" t="str">
        <f>IFERROR(VLOOKUP(C1311,Customers!$A$2:$F$301,1,FALSE),"")</f>
        <v>CUST-0274</v>
      </c>
      <c r="S1311" s="27" t="b">
        <f>IFERROR(VLOOKUP(D1311,Products!$A$2:$F$61,6,FALSE),"")</f>
        <v>1</v>
      </c>
      <c r="BL1311">
        <v>0</v>
      </c>
      <c r="BO1311">
        <v>0</v>
      </c>
      <c r="BP1311">
        <v>0</v>
      </c>
    </row>
    <row r="1312" spans="1:68" x14ac:dyDescent="0.35">
      <c r="A1312" s="26" t="str">
        <f>Orders!A1312</f>
        <v>ORD-01311</v>
      </c>
      <c r="B1312" s="33">
        <f>Orders!B1312</f>
        <v>45647</v>
      </c>
      <c r="C1312" t="str">
        <f>Orders!C1312</f>
        <v>CUST-0269</v>
      </c>
      <c r="D1312" t="str">
        <f>Orders!D1312</f>
        <v>PROD-009</v>
      </c>
      <c r="E1312" t="str">
        <f>Orders!E1312</f>
        <v>R003</v>
      </c>
      <c r="F1312">
        <f>Orders!F1312</f>
        <v>1</v>
      </c>
      <c r="G1312" s="35">
        <f>Orders!G1312</f>
        <v>1220</v>
      </c>
      <c r="H1312" s="37">
        <f>Orders!H1312</f>
        <v>15.2</v>
      </c>
      <c r="I1312" s="39">
        <f>Orders!I1312</f>
        <v>1034.56</v>
      </c>
      <c r="J1312" t="str">
        <f>Orders!J1312</f>
        <v>Completed</v>
      </c>
      <c r="K1312" t="str">
        <f>Orders!K1312</f>
        <v>Pune</v>
      </c>
      <c r="L1312" t="str">
        <f>IFERROR(VLOOKUP(D1312,Products!$A$2:$F$61,3,FALSE),"")</f>
        <v>Electronics</v>
      </c>
      <c r="M1312">
        <f>IFERROR(VLOOKUP(D1312,Products!$A$2:$F$61,4,FALSE),"")</f>
        <v>517</v>
      </c>
      <c r="N1312" t="str">
        <f>IFERROR(VLOOKUP(E1312,Sales_Reps!$A$2:$E$31,3,FALSE),"")</f>
        <v>North</v>
      </c>
      <c r="O1312" t="str">
        <f>IFERROR(VLOOKUP(C1312,Customers!$A$2:$F$301,5,FALSE),"")</f>
        <v>Retail</v>
      </c>
      <c r="P1312">
        <f>IFERROR(VLOOKUP(C1312,Customers!$A$2:$F$301,3,FALSE),"")</f>
        <v>48</v>
      </c>
      <c r="Q1312" s="41">
        <f t="shared" si="29"/>
        <v>0.57622950819672136</v>
      </c>
      <c r="R1312" t="str">
        <f>IFERROR(VLOOKUP(C1312,Customers!$A$2:$F$301,1,FALSE),"")</f>
        <v>CUST-0269</v>
      </c>
      <c r="S1312" s="27" t="b">
        <f>IFERROR(VLOOKUP(D1312,Products!$A$2:$F$61,6,FALSE),"")</f>
        <v>1</v>
      </c>
      <c r="BL1312">
        <v>0</v>
      </c>
      <c r="BO1312">
        <v>0</v>
      </c>
      <c r="BP1312">
        <v>0</v>
      </c>
    </row>
    <row r="1313" spans="1:68" x14ac:dyDescent="0.35">
      <c r="A1313" s="26" t="str">
        <f>Orders!A1313</f>
        <v>ORD-01312</v>
      </c>
      <c r="B1313" s="33">
        <f>Orders!B1313</f>
        <v>45466</v>
      </c>
      <c r="C1313" t="str">
        <f>Orders!C1313</f>
        <v>CUST-0045</v>
      </c>
      <c r="D1313" t="str">
        <f>Orders!D1313</f>
        <v>PROD-013</v>
      </c>
      <c r="E1313" t="str">
        <f>Orders!E1313</f>
        <v>R006</v>
      </c>
      <c r="F1313">
        <f>Orders!F1313</f>
        <v>3</v>
      </c>
      <c r="G1313" s="35">
        <f>Orders!G1313</f>
        <v>3640</v>
      </c>
      <c r="H1313" s="37">
        <f>Orders!H1313</f>
        <v>12.3</v>
      </c>
      <c r="I1313" s="39">
        <f>Orders!I1313</f>
        <v>9576.84</v>
      </c>
      <c r="J1313" t="str">
        <f>Orders!J1313</f>
        <v>Pending</v>
      </c>
      <c r="K1313" t="str">
        <f>Orders!K1313</f>
        <v>Chennai</v>
      </c>
      <c r="L1313" t="str">
        <f>IFERROR(VLOOKUP(D1313,Products!$A$2:$F$61,3,FALSE),"")</f>
        <v>Apparel</v>
      </c>
      <c r="M1313">
        <f>IFERROR(VLOOKUP(D1313,Products!$A$2:$F$61,4,FALSE),"")</f>
        <v>2611</v>
      </c>
      <c r="N1313" t="str">
        <f>IFERROR(VLOOKUP(E1313,Sales_Reps!$A$2:$E$31,3,FALSE),"")</f>
        <v>North</v>
      </c>
      <c r="O1313" t="str">
        <f>IFERROR(VLOOKUP(C1313,Customers!$A$2:$F$301,5,FALSE),"")</f>
        <v>SMB</v>
      </c>
      <c r="P1313">
        <f>IFERROR(VLOOKUP(C1313,Customers!$A$2:$F$301,3,FALSE),"")</f>
        <v>39</v>
      </c>
      <c r="Q1313" s="41">
        <f t="shared" si="29"/>
        <v>0.28269230769230769</v>
      </c>
      <c r="R1313" t="str">
        <f>IFERROR(VLOOKUP(C1313,Customers!$A$2:$F$301,1,FALSE),"")</f>
        <v>CUST-0045</v>
      </c>
      <c r="S1313" s="27" t="b">
        <f>IFERROR(VLOOKUP(D1313,Products!$A$2:$F$61,6,FALSE),"")</f>
        <v>1</v>
      </c>
      <c r="BL1313">
        <v>0</v>
      </c>
      <c r="BO1313">
        <v>0</v>
      </c>
      <c r="BP1313">
        <v>0</v>
      </c>
    </row>
    <row r="1314" spans="1:68" x14ac:dyDescent="0.35">
      <c r="A1314" s="26" t="str">
        <f>Orders!A1314</f>
        <v>ORD-01313</v>
      </c>
      <c r="B1314" s="33">
        <f>Orders!B1314</f>
        <v>45559</v>
      </c>
      <c r="C1314" t="str">
        <f>Orders!C1314</f>
        <v>CUST-0054</v>
      </c>
      <c r="D1314" t="str">
        <f>Orders!D1314</f>
        <v>PROD-045</v>
      </c>
      <c r="E1314" t="str">
        <f>Orders!E1314</f>
        <v>R010</v>
      </c>
      <c r="F1314">
        <f>Orders!F1314</f>
        <v>8</v>
      </c>
      <c r="G1314" s="35">
        <f>Orders!G1314</f>
        <v>3020</v>
      </c>
      <c r="H1314" s="37">
        <f>Orders!H1314</f>
        <v>28.2</v>
      </c>
      <c r="I1314" s="39">
        <f>Orders!I1314</f>
        <v>17346.88</v>
      </c>
      <c r="J1314" t="str">
        <f>Orders!J1314</f>
        <v>Pending</v>
      </c>
      <c r="K1314" t="str">
        <f>Orders!K1314</f>
        <v>Mumbai</v>
      </c>
      <c r="L1314" t="str">
        <f>IFERROR(VLOOKUP(D1314,Products!$A$2:$F$61,3,FALSE),"")</f>
        <v>Beauty</v>
      </c>
      <c r="M1314">
        <f>IFERROR(VLOOKUP(D1314,Products!$A$2:$F$61,4,FALSE),"")</f>
        <v>1626</v>
      </c>
      <c r="N1314" t="str">
        <f>IFERROR(VLOOKUP(E1314,Sales_Reps!$A$2:$E$31,3,FALSE),"")</f>
        <v>South</v>
      </c>
      <c r="O1314" t="str">
        <f>IFERROR(VLOOKUP(C1314,Customers!$A$2:$F$301,5,FALSE),"")</f>
        <v>Corporate</v>
      </c>
      <c r="P1314">
        <f>IFERROR(VLOOKUP(C1314,Customers!$A$2:$F$301,3,FALSE),"")</f>
        <v>62</v>
      </c>
      <c r="Q1314" s="41">
        <f t="shared" si="29"/>
        <v>0.46158940397350995</v>
      </c>
      <c r="R1314" t="str">
        <f>IFERROR(VLOOKUP(C1314,Customers!$A$2:$F$301,1,FALSE),"")</f>
        <v>CUST-0054</v>
      </c>
      <c r="S1314" s="27" t="b">
        <f>IFERROR(VLOOKUP(D1314,Products!$A$2:$F$61,6,FALSE),"")</f>
        <v>1</v>
      </c>
      <c r="BL1314">
        <v>0</v>
      </c>
      <c r="BO1314">
        <v>0</v>
      </c>
      <c r="BP1314">
        <v>0</v>
      </c>
    </row>
    <row r="1315" spans="1:68" x14ac:dyDescent="0.35">
      <c r="A1315" s="26" t="str">
        <f>Orders!A1315</f>
        <v>ORD-01314</v>
      </c>
      <c r="B1315" s="33">
        <f>Orders!B1315</f>
        <v>45469</v>
      </c>
      <c r="C1315" t="str">
        <f>Orders!C1315</f>
        <v>CUST-0160</v>
      </c>
      <c r="D1315" t="str">
        <f>Orders!D1315</f>
        <v>PROD-048</v>
      </c>
      <c r="E1315" t="str">
        <f>Orders!E1315</f>
        <v>R008</v>
      </c>
      <c r="F1315">
        <f>Orders!F1315</f>
        <v>3</v>
      </c>
      <c r="G1315" s="35">
        <f>Orders!G1315</f>
        <v>5100</v>
      </c>
      <c r="H1315" s="37">
        <f>Orders!H1315</f>
        <v>7.8</v>
      </c>
      <c r="I1315" s="39">
        <f>Orders!I1315</f>
        <v>14106.6</v>
      </c>
      <c r="J1315" t="str">
        <f>Orders!J1315</f>
        <v>Completed</v>
      </c>
      <c r="K1315" t="str">
        <f>Orders!K1315</f>
        <v>Hyderabad</v>
      </c>
      <c r="L1315" t="str">
        <f>IFERROR(VLOOKUP(D1315,Products!$A$2:$F$61,3,FALSE),"")</f>
        <v>Beauty</v>
      </c>
      <c r="M1315">
        <f>IFERROR(VLOOKUP(D1315,Products!$A$2:$F$61,4,FALSE),"")</f>
        <v>2237</v>
      </c>
      <c r="N1315" t="str">
        <f>IFERROR(VLOOKUP(E1315,Sales_Reps!$A$2:$E$31,3,FALSE),"")</f>
        <v>North</v>
      </c>
      <c r="O1315" t="str">
        <f>IFERROR(VLOOKUP(C1315,Customers!$A$2:$F$301,5,FALSE),"")</f>
        <v>Retail</v>
      </c>
      <c r="P1315">
        <f>IFERROR(VLOOKUP(C1315,Customers!$A$2:$F$301,3,FALSE),"")</f>
        <v>27</v>
      </c>
      <c r="Q1315" s="41">
        <f t="shared" si="29"/>
        <v>0.56137254901960787</v>
      </c>
      <c r="R1315" t="str">
        <f>IFERROR(VLOOKUP(C1315,Customers!$A$2:$F$301,1,FALSE),"")</f>
        <v>CUST-0160</v>
      </c>
      <c r="S1315" s="27" t="b">
        <f>IFERROR(VLOOKUP(D1315,Products!$A$2:$F$61,6,FALSE),"")</f>
        <v>1</v>
      </c>
      <c r="BL1315">
        <v>0</v>
      </c>
      <c r="BO1315">
        <v>0</v>
      </c>
      <c r="BP1315">
        <v>0</v>
      </c>
    </row>
    <row r="1316" spans="1:68" x14ac:dyDescent="0.35">
      <c r="A1316" s="26" t="str">
        <f>Orders!A1316</f>
        <v>ORD-01315</v>
      </c>
      <c r="B1316" s="33">
        <f>Orders!B1316</f>
        <v>45407</v>
      </c>
      <c r="C1316" t="str">
        <f>Orders!C1316</f>
        <v>CUST-0163</v>
      </c>
      <c r="D1316" t="str">
        <f>Orders!D1316</f>
        <v>PROD-005</v>
      </c>
      <c r="E1316" t="str">
        <f>Orders!E1316</f>
        <v>R001</v>
      </c>
      <c r="F1316">
        <f>Orders!F1316</f>
        <v>9</v>
      </c>
      <c r="G1316" s="35">
        <f>Orders!G1316</f>
        <v>300</v>
      </c>
      <c r="H1316" s="37">
        <f>Orders!H1316</f>
        <v>19</v>
      </c>
      <c r="I1316" s="39">
        <f>Orders!I1316</f>
        <v>2187</v>
      </c>
      <c r="J1316" t="str">
        <f>Orders!J1316</f>
        <v>Completed</v>
      </c>
      <c r="K1316" t="str">
        <f>Orders!K1316</f>
        <v>Pune</v>
      </c>
      <c r="L1316" t="str">
        <f>IFERROR(VLOOKUP(D1316,Products!$A$2:$F$61,3,FALSE),"")</f>
        <v>Electronics</v>
      </c>
      <c r="M1316">
        <f>IFERROR(VLOOKUP(D1316,Products!$A$2:$F$61,4,FALSE),"")</f>
        <v>128</v>
      </c>
      <c r="N1316" t="str">
        <f>IFERROR(VLOOKUP(E1316,Sales_Reps!$A$2:$E$31,3,FALSE),"")</f>
        <v>North</v>
      </c>
      <c r="O1316" t="str">
        <f>IFERROR(VLOOKUP(C1316,Customers!$A$2:$F$301,5,FALSE),"")</f>
        <v>Retail</v>
      </c>
      <c r="P1316">
        <f>IFERROR(VLOOKUP(C1316,Customers!$A$2:$F$301,3,FALSE),"")</f>
        <v>49</v>
      </c>
      <c r="Q1316" s="41">
        <f t="shared" si="29"/>
        <v>0.57333333333333336</v>
      </c>
      <c r="R1316" t="str">
        <f>IFERROR(VLOOKUP(C1316,Customers!$A$2:$F$301,1,FALSE),"")</f>
        <v>CUST-0163</v>
      </c>
      <c r="S1316" s="27" t="b">
        <f>IFERROR(VLOOKUP(D1316,Products!$A$2:$F$61,6,FALSE),"")</f>
        <v>1</v>
      </c>
      <c r="BL1316">
        <v>0</v>
      </c>
      <c r="BO1316">
        <v>0</v>
      </c>
      <c r="BP1316">
        <v>0</v>
      </c>
    </row>
    <row r="1317" spans="1:68" x14ac:dyDescent="0.35">
      <c r="A1317" s="26" t="str">
        <f>Orders!A1317</f>
        <v>ORD-01316</v>
      </c>
      <c r="B1317" s="33">
        <f>Orders!B1317</f>
        <v>45634</v>
      </c>
      <c r="C1317" t="str">
        <f>Orders!C1317</f>
        <v>CUST-0006</v>
      </c>
      <c r="D1317" t="str">
        <f>Orders!D1317</f>
        <v>PROD-042</v>
      </c>
      <c r="E1317" t="str">
        <f>Orders!E1317</f>
        <v>R007</v>
      </c>
      <c r="F1317">
        <f>Orders!F1317</f>
        <v>10</v>
      </c>
      <c r="G1317" s="35">
        <f>Orders!G1317</f>
        <v>2290</v>
      </c>
      <c r="H1317" s="37">
        <f>Orders!H1317</f>
        <v>27.7</v>
      </c>
      <c r="I1317" s="39">
        <f>Orders!I1317</f>
        <v>16556.7</v>
      </c>
      <c r="J1317" t="str">
        <f>Orders!J1317</f>
        <v>Completed</v>
      </c>
      <c r="K1317" t="str">
        <f>Orders!K1317</f>
        <v>Pune</v>
      </c>
      <c r="L1317" t="str">
        <f>IFERROR(VLOOKUP(D1317,Products!$A$2:$F$61,3,FALSE),"")</f>
        <v>Beauty</v>
      </c>
      <c r="M1317">
        <f>IFERROR(VLOOKUP(D1317,Products!$A$2:$F$61,4,FALSE),"")</f>
        <v>1219</v>
      </c>
      <c r="N1317" t="str">
        <f>IFERROR(VLOOKUP(E1317,Sales_Reps!$A$2:$E$31,3,FALSE),"")</f>
        <v>North</v>
      </c>
      <c r="O1317" t="str">
        <f>IFERROR(VLOOKUP(C1317,Customers!$A$2:$F$301,5,FALSE),"")</f>
        <v>SMB</v>
      </c>
      <c r="P1317">
        <f>IFERROR(VLOOKUP(C1317,Customers!$A$2:$F$301,3,FALSE),"")</f>
        <v>44</v>
      </c>
      <c r="Q1317" s="41">
        <f t="shared" si="29"/>
        <v>0.46768558951965067</v>
      </c>
      <c r="R1317" t="str">
        <f>IFERROR(VLOOKUP(C1317,Customers!$A$2:$F$301,1,FALSE),"")</f>
        <v>CUST-0006</v>
      </c>
      <c r="S1317" s="27" t="b">
        <f>IFERROR(VLOOKUP(D1317,Products!$A$2:$F$61,6,FALSE),"")</f>
        <v>1</v>
      </c>
      <c r="BL1317">
        <v>0</v>
      </c>
      <c r="BO1317">
        <v>0</v>
      </c>
      <c r="BP1317">
        <v>0</v>
      </c>
    </row>
    <row r="1318" spans="1:68" x14ac:dyDescent="0.35">
      <c r="A1318" s="26" t="str">
        <f>Orders!A1318</f>
        <v>ORD-01317</v>
      </c>
      <c r="B1318" s="33">
        <f>Orders!B1318</f>
        <v>45454</v>
      </c>
      <c r="C1318" t="str">
        <f>Orders!C1318</f>
        <v>CUST-0142</v>
      </c>
      <c r="D1318" t="str">
        <f>Orders!D1318</f>
        <v>PROD-013</v>
      </c>
      <c r="E1318" t="str">
        <f>Orders!E1318</f>
        <v>R024</v>
      </c>
      <c r="F1318">
        <f>Orders!F1318</f>
        <v>9</v>
      </c>
      <c r="G1318" s="35">
        <f>Orders!G1318</f>
        <v>3640</v>
      </c>
      <c r="H1318" s="37">
        <f>Orders!H1318</f>
        <v>20.100000000000001</v>
      </c>
      <c r="I1318" s="39">
        <f>Orders!I1318</f>
        <v>26175.24</v>
      </c>
      <c r="J1318" t="str">
        <f>Orders!J1318</f>
        <v>Completed</v>
      </c>
      <c r="K1318" t="str">
        <f>Orders!K1318</f>
        <v>Chennai</v>
      </c>
      <c r="L1318" t="str">
        <f>IFERROR(VLOOKUP(D1318,Products!$A$2:$F$61,3,FALSE),"")</f>
        <v>Apparel</v>
      </c>
      <c r="M1318">
        <f>IFERROR(VLOOKUP(D1318,Products!$A$2:$F$61,4,FALSE),"")</f>
        <v>2611</v>
      </c>
      <c r="N1318" t="str">
        <f>IFERROR(VLOOKUP(E1318,Sales_Reps!$A$2:$E$31,3,FALSE),"")</f>
        <v>West</v>
      </c>
      <c r="O1318" t="str">
        <f>IFERROR(VLOOKUP(C1318,Customers!$A$2:$F$301,5,FALSE),"")</f>
        <v>Corporate</v>
      </c>
      <c r="P1318">
        <f>IFERROR(VLOOKUP(C1318,Customers!$A$2:$F$301,3,FALSE),"")</f>
        <v>55</v>
      </c>
      <c r="Q1318" s="41">
        <f t="shared" si="29"/>
        <v>0.28269230769230769</v>
      </c>
      <c r="R1318" t="str">
        <f>IFERROR(VLOOKUP(C1318,Customers!$A$2:$F$301,1,FALSE),"")</f>
        <v>CUST-0142</v>
      </c>
      <c r="S1318" s="27" t="b">
        <f>IFERROR(VLOOKUP(D1318,Products!$A$2:$F$61,6,FALSE),"")</f>
        <v>1</v>
      </c>
      <c r="BL1318">
        <v>0</v>
      </c>
      <c r="BO1318">
        <v>0</v>
      </c>
      <c r="BP1318">
        <v>0</v>
      </c>
    </row>
    <row r="1319" spans="1:68" x14ac:dyDescent="0.35">
      <c r="A1319" s="26" t="str">
        <f>Orders!A1319</f>
        <v>ORD-01318</v>
      </c>
      <c r="B1319" s="33">
        <f>Orders!B1319</f>
        <v>45565</v>
      </c>
      <c r="C1319" t="str">
        <f>Orders!C1319</f>
        <v>CUST-0262</v>
      </c>
      <c r="D1319" t="str">
        <f>Orders!D1319</f>
        <v>PROD-020</v>
      </c>
      <c r="E1319" t="str">
        <f>Orders!E1319</f>
        <v>R022</v>
      </c>
      <c r="F1319">
        <f>Orders!F1319</f>
        <v>4</v>
      </c>
      <c r="G1319" s="35">
        <f>Orders!G1319</f>
        <v>820</v>
      </c>
      <c r="H1319" s="37">
        <f>Orders!H1319</f>
        <v>7.6</v>
      </c>
      <c r="I1319" s="39">
        <f>Orders!I1319</f>
        <v>3030.72</v>
      </c>
      <c r="J1319" t="str">
        <f>Orders!J1319</f>
        <v>Completed</v>
      </c>
      <c r="K1319" t="str">
        <f>Orders!K1319</f>
        <v>Mumbai</v>
      </c>
      <c r="L1319" t="str">
        <f>IFERROR(VLOOKUP(D1319,Products!$A$2:$F$61,3,FALSE),"")</f>
        <v>Apparel</v>
      </c>
      <c r="M1319">
        <f>IFERROR(VLOOKUP(D1319,Products!$A$2:$F$61,4,FALSE),"")</f>
        <v>391</v>
      </c>
      <c r="N1319" t="str">
        <f>IFERROR(VLOOKUP(E1319,Sales_Reps!$A$2:$E$31,3,FALSE),"")</f>
        <v>East</v>
      </c>
      <c r="O1319" t="str">
        <f>IFERROR(VLOOKUP(C1319,Customers!$A$2:$F$301,5,FALSE),"")</f>
        <v>Retail</v>
      </c>
      <c r="P1319">
        <f>IFERROR(VLOOKUP(C1319,Customers!$A$2:$F$301,3,FALSE),"")</f>
        <v>52</v>
      </c>
      <c r="Q1319" s="41">
        <f t="shared" si="29"/>
        <v>0.52317073170731709</v>
      </c>
      <c r="R1319" t="str">
        <f>IFERROR(VLOOKUP(C1319,Customers!$A$2:$F$301,1,FALSE),"")</f>
        <v>CUST-0262</v>
      </c>
      <c r="S1319" s="27" t="b">
        <f>IFERROR(VLOOKUP(D1319,Products!$A$2:$F$61,6,FALSE),"")</f>
        <v>1</v>
      </c>
      <c r="BL1319">
        <v>0</v>
      </c>
      <c r="BO1319">
        <v>0</v>
      </c>
      <c r="BP1319">
        <v>0</v>
      </c>
    </row>
    <row r="1320" spans="1:68" x14ac:dyDescent="0.35">
      <c r="A1320" s="26" t="str">
        <f>Orders!A1320</f>
        <v>ORD-01319</v>
      </c>
      <c r="B1320" s="33">
        <f>Orders!B1320</f>
        <v>45443</v>
      </c>
      <c r="C1320" t="str">
        <f>Orders!C1320</f>
        <v>CUST-0049</v>
      </c>
      <c r="D1320" t="str">
        <f>Orders!D1320</f>
        <v>PROD-030</v>
      </c>
      <c r="E1320" t="str">
        <f>Orders!E1320</f>
        <v>R014</v>
      </c>
      <c r="F1320">
        <f>Orders!F1320</f>
        <v>1</v>
      </c>
      <c r="G1320" s="35">
        <f>Orders!G1320</f>
        <v>970</v>
      </c>
      <c r="H1320" s="37">
        <f>Orders!H1320</f>
        <v>1.7</v>
      </c>
      <c r="I1320" s="39">
        <f>Orders!I1320</f>
        <v>953.51</v>
      </c>
      <c r="J1320" t="str">
        <f>Orders!J1320</f>
        <v>Completed</v>
      </c>
      <c r="K1320" t="str">
        <f>Orders!K1320</f>
        <v>Mumbai</v>
      </c>
      <c r="L1320" t="str">
        <f>IFERROR(VLOOKUP(D1320,Products!$A$2:$F$61,3,FALSE),"")</f>
        <v>Grocery</v>
      </c>
      <c r="M1320">
        <f>IFERROR(VLOOKUP(D1320,Products!$A$2:$F$61,4,FALSE),"")</f>
        <v>434</v>
      </c>
      <c r="N1320" t="str">
        <f>IFERROR(VLOOKUP(E1320,Sales_Reps!$A$2:$E$31,3,FALSE),"")</f>
        <v>South</v>
      </c>
      <c r="O1320" t="str">
        <f>IFERROR(VLOOKUP(C1320,Customers!$A$2:$F$301,5,FALSE),"")</f>
        <v>Corporate</v>
      </c>
      <c r="P1320">
        <f>IFERROR(VLOOKUP(C1320,Customers!$A$2:$F$301,3,FALSE),"")</f>
        <v>42</v>
      </c>
      <c r="Q1320" s="41">
        <f t="shared" si="29"/>
        <v>0.5525773195876289</v>
      </c>
      <c r="R1320" t="str">
        <f>IFERROR(VLOOKUP(C1320,Customers!$A$2:$F$301,1,FALSE),"")</f>
        <v>CUST-0049</v>
      </c>
      <c r="S1320" s="27" t="b">
        <f>IFERROR(VLOOKUP(D1320,Products!$A$2:$F$61,6,FALSE),"")</f>
        <v>1</v>
      </c>
      <c r="BL1320">
        <v>0</v>
      </c>
      <c r="BO1320">
        <v>0</v>
      </c>
      <c r="BP1320">
        <v>0</v>
      </c>
    </row>
    <row r="1321" spans="1:68" x14ac:dyDescent="0.35">
      <c r="A1321" s="26" t="str">
        <f>Orders!A1321</f>
        <v>ORD-01320</v>
      </c>
      <c r="B1321" s="33">
        <f>Orders!B1321</f>
        <v>45318</v>
      </c>
      <c r="C1321" t="str">
        <f>Orders!C1321</f>
        <v>CUST-0204</v>
      </c>
      <c r="D1321" t="str">
        <f>Orders!D1321</f>
        <v>PROD-018</v>
      </c>
      <c r="E1321" t="str">
        <f>Orders!E1321</f>
        <v>R019</v>
      </c>
      <c r="F1321">
        <f>Orders!F1321</f>
        <v>5</v>
      </c>
      <c r="G1321" s="35">
        <f>Orders!G1321</f>
        <v>3560</v>
      </c>
      <c r="H1321" s="37">
        <f>Orders!H1321</f>
        <v>10.5</v>
      </c>
      <c r="I1321" s="39">
        <f>Orders!I1321</f>
        <v>15931</v>
      </c>
      <c r="J1321" t="str">
        <f>Orders!J1321</f>
        <v>Completed</v>
      </c>
      <c r="K1321" t="str">
        <f>Orders!K1321</f>
        <v>Hyderabad</v>
      </c>
      <c r="L1321" t="str">
        <f>IFERROR(VLOOKUP(D1321,Products!$A$2:$F$61,3,FALSE),"")</f>
        <v>Apparel</v>
      </c>
      <c r="M1321">
        <f>IFERROR(VLOOKUP(D1321,Products!$A$2:$F$61,4,FALSE),"")</f>
        <v>2629</v>
      </c>
      <c r="N1321" t="str">
        <f>IFERROR(VLOOKUP(E1321,Sales_Reps!$A$2:$E$31,3,FALSE),"")</f>
        <v>East</v>
      </c>
      <c r="O1321" t="str">
        <f>IFERROR(VLOOKUP(C1321,Customers!$A$2:$F$301,5,FALSE),"")</f>
        <v>Retail</v>
      </c>
      <c r="P1321">
        <f>IFERROR(VLOOKUP(C1321,Customers!$A$2:$F$301,3,FALSE),"")</f>
        <v>60</v>
      </c>
      <c r="Q1321" s="41">
        <f t="shared" si="29"/>
        <v>0.26151685393258428</v>
      </c>
      <c r="R1321" t="str">
        <f>IFERROR(VLOOKUP(C1321,Customers!$A$2:$F$301,1,FALSE),"")</f>
        <v>CUST-0204</v>
      </c>
      <c r="S1321" s="27" t="b">
        <f>IFERROR(VLOOKUP(D1321,Products!$A$2:$F$61,6,FALSE),"")</f>
        <v>1</v>
      </c>
      <c r="BL1321">
        <v>0</v>
      </c>
      <c r="BO1321">
        <v>0</v>
      </c>
      <c r="BP1321">
        <v>0</v>
      </c>
    </row>
    <row r="1322" spans="1:68" x14ac:dyDescent="0.35">
      <c r="A1322" s="26" t="str">
        <f>Orders!A1322</f>
        <v>ORD-01321</v>
      </c>
      <c r="B1322" s="33">
        <f>Orders!B1322</f>
        <v>45308</v>
      </c>
      <c r="C1322" t="str">
        <f>Orders!C1322</f>
        <v>CUST-0164</v>
      </c>
      <c r="D1322" t="str">
        <f>Orders!D1322</f>
        <v>PROD-035</v>
      </c>
      <c r="E1322" t="str">
        <f>Orders!E1322</f>
        <v>R009</v>
      </c>
      <c r="F1322">
        <f>Orders!F1322</f>
        <v>6</v>
      </c>
      <c r="G1322" s="35">
        <f>Orders!G1322</f>
        <v>1090</v>
      </c>
      <c r="H1322" s="37">
        <f>Orders!H1322</f>
        <v>2.4</v>
      </c>
      <c r="I1322" s="39">
        <f>Orders!I1322</f>
        <v>6383.04</v>
      </c>
      <c r="J1322" t="str">
        <f>Orders!J1322</f>
        <v>Pending</v>
      </c>
      <c r="K1322" t="str">
        <f>Orders!K1322</f>
        <v>Chennai</v>
      </c>
      <c r="L1322" t="str">
        <f>IFERROR(VLOOKUP(D1322,Products!$A$2:$F$61,3,FALSE),"")</f>
        <v>Home</v>
      </c>
      <c r="M1322">
        <f>IFERROR(VLOOKUP(D1322,Products!$A$2:$F$61,4,FALSE),"")</f>
        <v>464</v>
      </c>
      <c r="N1322" t="str">
        <f>IFERROR(VLOOKUP(E1322,Sales_Reps!$A$2:$E$31,3,FALSE),"")</f>
        <v>South</v>
      </c>
      <c r="O1322" t="str">
        <f>IFERROR(VLOOKUP(C1322,Customers!$A$2:$F$301,5,FALSE),"")</f>
        <v>Retail</v>
      </c>
      <c r="P1322">
        <f>IFERROR(VLOOKUP(C1322,Customers!$A$2:$F$301,3,FALSE),"")</f>
        <v>60</v>
      </c>
      <c r="Q1322" s="41">
        <f t="shared" si="29"/>
        <v>0.57431192660550456</v>
      </c>
      <c r="R1322" t="str">
        <f>IFERROR(VLOOKUP(C1322,Customers!$A$2:$F$301,1,FALSE),"")</f>
        <v>CUST-0164</v>
      </c>
      <c r="S1322" s="27" t="b">
        <f>IFERROR(VLOOKUP(D1322,Products!$A$2:$F$61,6,FALSE),"")</f>
        <v>1</v>
      </c>
      <c r="BL1322">
        <v>0</v>
      </c>
      <c r="BO1322">
        <v>0</v>
      </c>
      <c r="BP1322">
        <v>0</v>
      </c>
    </row>
    <row r="1323" spans="1:68" x14ac:dyDescent="0.35">
      <c r="A1323" s="26" t="str">
        <f>Orders!A1323</f>
        <v>ORD-01322</v>
      </c>
      <c r="B1323" s="33">
        <f>Orders!B1323</f>
        <v>45306</v>
      </c>
      <c r="C1323" t="str">
        <f>Orders!C1323</f>
        <v>CUST-0003</v>
      </c>
      <c r="D1323" t="str">
        <f>Orders!D1323</f>
        <v>PROD-008</v>
      </c>
      <c r="E1323" t="str">
        <f>Orders!E1323</f>
        <v>R017</v>
      </c>
      <c r="F1323">
        <f>Orders!F1323</f>
        <v>6</v>
      </c>
      <c r="G1323" s="35">
        <f>Orders!G1323</f>
        <v>2660</v>
      </c>
      <c r="H1323" s="37">
        <f>Orders!H1323</f>
        <v>6.4</v>
      </c>
      <c r="I1323" s="39">
        <f>Orders!I1323</f>
        <v>14938.56</v>
      </c>
      <c r="J1323" t="str">
        <f>Orders!J1323</f>
        <v>Completed</v>
      </c>
      <c r="K1323" t="str">
        <f>Orders!K1323</f>
        <v>Mumbai</v>
      </c>
      <c r="L1323" t="str">
        <f>IFERROR(VLOOKUP(D1323,Products!$A$2:$F$61,3,FALSE),"")</f>
        <v>Electronics</v>
      </c>
      <c r="M1323">
        <f>IFERROR(VLOOKUP(D1323,Products!$A$2:$F$61,4,FALSE),"")</f>
        <v>1259</v>
      </c>
      <c r="N1323" t="str">
        <f>IFERROR(VLOOKUP(E1323,Sales_Reps!$A$2:$E$31,3,FALSE),"")</f>
        <v>East</v>
      </c>
      <c r="O1323" t="str">
        <f>IFERROR(VLOOKUP(C1323,Customers!$A$2:$F$301,5,FALSE),"")</f>
        <v>Retail</v>
      </c>
      <c r="P1323">
        <f>IFERROR(VLOOKUP(C1323,Customers!$A$2:$F$301,3,FALSE),"")</f>
        <v>33</v>
      </c>
      <c r="Q1323" s="41">
        <f t="shared" si="29"/>
        <v>0.52669172932330832</v>
      </c>
      <c r="R1323" t="str">
        <f>IFERROR(VLOOKUP(C1323,Customers!$A$2:$F$301,1,FALSE),"")</f>
        <v>CUST-0003</v>
      </c>
      <c r="S1323" s="27" t="b">
        <f>IFERROR(VLOOKUP(D1323,Products!$A$2:$F$61,6,FALSE),"")</f>
        <v>0</v>
      </c>
      <c r="BL1323">
        <v>0</v>
      </c>
      <c r="BO1323">
        <v>0</v>
      </c>
      <c r="BP1323">
        <v>1</v>
      </c>
    </row>
    <row r="1324" spans="1:68" x14ac:dyDescent="0.35">
      <c r="A1324" s="26" t="str">
        <f>Orders!A1324</f>
        <v>ORD-01323</v>
      </c>
      <c r="B1324" s="33">
        <f>Orders!B1324</f>
        <v>45432</v>
      </c>
      <c r="C1324" t="str">
        <f>Orders!C1324</f>
        <v>CUST-0032</v>
      </c>
      <c r="D1324" t="str">
        <f>Orders!D1324</f>
        <v>PROD-006</v>
      </c>
      <c r="E1324" t="str">
        <f>Orders!E1324</f>
        <v>R001</v>
      </c>
      <c r="F1324">
        <f>Orders!F1324</f>
        <v>5</v>
      </c>
      <c r="G1324" s="35">
        <f>Orders!G1324</f>
        <v>3970</v>
      </c>
      <c r="H1324" s="37">
        <f>Orders!H1324</f>
        <v>18.8</v>
      </c>
      <c r="I1324" s="39">
        <f>Orders!I1324</f>
        <v>16118.2</v>
      </c>
      <c r="J1324" t="str">
        <f>Orders!J1324</f>
        <v>Pending</v>
      </c>
      <c r="K1324" t="str">
        <f>Orders!K1324</f>
        <v>Hyderabad</v>
      </c>
      <c r="L1324" t="str">
        <f>IFERROR(VLOOKUP(D1324,Products!$A$2:$F$61,3,FALSE),"")</f>
        <v>Electronics</v>
      </c>
      <c r="M1324">
        <f>IFERROR(VLOOKUP(D1324,Products!$A$2:$F$61,4,FALSE),"")</f>
        <v>2865</v>
      </c>
      <c r="N1324" t="str">
        <f>IFERROR(VLOOKUP(E1324,Sales_Reps!$A$2:$E$31,3,FALSE),"")</f>
        <v>North</v>
      </c>
      <c r="O1324" t="str">
        <f>IFERROR(VLOOKUP(C1324,Customers!$A$2:$F$301,5,FALSE),"")</f>
        <v>Retail</v>
      </c>
      <c r="P1324">
        <f>IFERROR(VLOOKUP(C1324,Customers!$A$2:$F$301,3,FALSE),"")</f>
        <v>28</v>
      </c>
      <c r="Q1324" s="41">
        <f t="shared" si="29"/>
        <v>0.27833753148614609</v>
      </c>
      <c r="R1324" t="str">
        <f>IFERROR(VLOOKUP(C1324,Customers!$A$2:$F$301,1,FALSE),"")</f>
        <v>CUST-0032</v>
      </c>
      <c r="S1324" s="27" t="b">
        <f>IFERROR(VLOOKUP(D1324,Products!$A$2:$F$61,6,FALSE),"")</f>
        <v>1</v>
      </c>
      <c r="BL1324">
        <v>0</v>
      </c>
      <c r="BO1324">
        <v>0</v>
      </c>
      <c r="BP1324">
        <v>0</v>
      </c>
    </row>
    <row r="1325" spans="1:68" x14ac:dyDescent="0.35">
      <c r="A1325" s="26" t="str">
        <f>Orders!A1325</f>
        <v>ORD-01324</v>
      </c>
      <c r="B1325" s="33">
        <f>Orders!B1325</f>
        <v>45369</v>
      </c>
      <c r="C1325" t="str">
        <f>Orders!C1325</f>
        <v>CUST-0208</v>
      </c>
      <c r="D1325" t="str">
        <f>Orders!D1325</f>
        <v>PROD-056</v>
      </c>
      <c r="E1325" t="str">
        <f>Orders!E1325</f>
        <v>R021</v>
      </c>
      <c r="F1325">
        <f>Orders!F1325</f>
        <v>7</v>
      </c>
      <c r="G1325" s="35">
        <f>Orders!G1325</f>
        <v>6940</v>
      </c>
      <c r="H1325" s="37">
        <f>Orders!H1325</f>
        <v>23.8</v>
      </c>
      <c r="I1325" s="39">
        <f>Orders!I1325</f>
        <v>37017.96</v>
      </c>
      <c r="J1325" t="str">
        <f>Orders!J1325</f>
        <v>Refunded</v>
      </c>
      <c r="K1325" t="str">
        <f>Orders!K1325</f>
        <v>Mumbai</v>
      </c>
      <c r="L1325" t="str">
        <f>IFERROR(VLOOKUP(D1325,Products!$A$2:$F$61,3,FALSE),"")</f>
        <v>Sports</v>
      </c>
      <c r="M1325">
        <f>IFERROR(VLOOKUP(D1325,Products!$A$2:$F$61,4,FALSE),"")</f>
        <v>2827</v>
      </c>
      <c r="N1325" t="str">
        <f>IFERROR(VLOOKUP(E1325,Sales_Reps!$A$2:$E$31,3,FALSE),"")</f>
        <v>East</v>
      </c>
      <c r="O1325" t="str">
        <f>IFERROR(VLOOKUP(C1325,Customers!$A$2:$F$301,5,FALSE),"")</f>
        <v>Retail</v>
      </c>
      <c r="P1325">
        <f>IFERROR(VLOOKUP(C1325,Customers!$A$2:$F$301,3,FALSE),"")</f>
        <v>49</v>
      </c>
      <c r="Q1325" s="41">
        <f t="shared" si="29"/>
        <v>0.5926512968299712</v>
      </c>
      <c r="R1325" t="str">
        <f>IFERROR(VLOOKUP(C1325,Customers!$A$2:$F$301,1,FALSE),"")</f>
        <v>CUST-0208</v>
      </c>
      <c r="S1325" s="27" t="b">
        <f>IFERROR(VLOOKUP(D1325,Products!$A$2:$F$61,6,FALSE),"")</f>
        <v>1</v>
      </c>
      <c r="BL1325">
        <v>0</v>
      </c>
      <c r="BO1325">
        <v>0</v>
      </c>
      <c r="BP1325">
        <v>0</v>
      </c>
    </row>
    <row r="1326" spans="1:68" x14ac:dyDescent="0.35">
      <c r="A1326" s="26" t="str">
        <f>Orders!A1326</f>
        <v>ORD-01325</v>
      </c>
      <c r="B1326" s="33">
        <f>Orders!B1326</f>
        <v>45544</v>
      </c>
      <c r="C1326" t="str">
        <f>Orders!C1326</f>
        <v>CUST-0183</v>
      </c>
      <c r="D1326" t="str">
        <f>Orders!D1326</f>
        <v>PROD-058</v>
      </c>
      <c r="E1326" t="str">
        <f>Orders!E1326</f>
        <v>R004</v>
      </c>
      <c r="F1326">
        <f>Orders!F1326</f>
        <v>3</v>
      </c>
      <c r="G1326" s="35">
        <f>Orders!G1326</f>
        <v>2400</v>
      </c>
      <c r="H1326" s="37">
        <f>Orders!H1326</f>
        <v>9.8000000000000007</v>
      </c>
      <c r="I1326" s="39">
        <f>Orders!I1326</f>
        <v>6494.4</v>
      </c>
      <c r="J1326" t="str">
        <f>Orders!J1326</f>
        <v>Completed</v>
      </c>
      <c r="K1326" t="str">
        <f>Orders!K1326</f>
        <v>Mumbai</v>
      </c>
      <c r="L1326" t="str">
        <f>IFERROR(VLOOKUP(D1326,Products!$A$2:$F$61,3,FALSE),"")</f>
        <v>Sports</v>
      </c>
      <c r="M1326">
        <f>IFERROR(VLOOKUP(D1326,Products!$A$2:$F$61,4,FALSE),"")</f>
        <v>974</v>
      </c>
      <c r="N1326" t="str">
        <f>IFERROR(VLOOKUP(E1326,Sales_Reps!$A$2:$E$31,3,FALSE),"")</f>
        <v>North</v>
      </c>
      <c r="O1326" t="str">
        <f>IFERROR(VLOOKUP(C1326,Customers!$A$2:$F$301,5,FALSE),"")</f>
        <v>SMB</v>
      </c>
      <c r="P1326">
        <f>IFERROR(VLOOKUP(C1326,Customers!$A$2:$F$301,3,FALSE),"")</f>
        <v>27</v>
      </c>
      <c r="Q1326" s="41">
        <f t="shared" si="29"/>
        <v>0.59416666666666662</v>
      </c>
      <c r="R1326" t="str">
        <f>IFERROR(VLOOKUP(C1326,Customers!$A$2:$F$301,1,FALSE),"")</f>
        <v>CUST-0183</v>
      </c>
      <c r="S1326" s="27" t="b">
        <f>IFERROR(VLOOKUP(D1326,Products!$A$2:$F$61,6,FALSE),"")</f>
        <v>1</v>
      </c>
      <c r="BL1326">
        <v>0</v>
      </c>
      <c r="BO1326">
        <v>0</v>
      </c>
      <c r="BP1326">
        <v>0</v>
      </c>
    </row>
    <row r="1327" spans="1:68" x14ac:dyDescent="0.35">
      <c r="A1327" s="26" t="str">
        <f>Orders!A1327</f>
        <v>ORD-01326</v>
      </c>
      <c r="B1327" s="33">
        <f>Orders!B1327</f>
        <v>45395</v>
      </c>
      <c r="C1327" t="str">
        <f>Orders!C1327</f>
        <v>CUST-0021</v>
      </c>
      <c r="D1327" t="str">
        <f>Orders!D1327</f>
        <v>PROD-051</v>
      </c>
      <c r="E1327" t="str">
        <f>Orders!E1327</f>
        <v>R023</v>
      </c>
      <c r="F1327">
        <f>Orders!F1327</f>
        <v>8</v>
      </c>
      <c r="G1327" s="35">
        <f>Orders!G1327</f>
        <v>3450</v>
      </c>
      <c r="H1327" s="37">
        <f>Orders!H1327</f>
        <v>26.6</v>
      </c>
      <c r="I1327" s="39">
        <f>Orders!I1327</f>
        <v>20258.400000000001</v>
      </c>
      <c r="J1327" t="str">
        <f>Orders!J1327</f>
        <v>Cancelled</v>
      </c>
      <c r="K1327" t="str">
        <f>Orders!K1327</f>
        <v>Pune</v>
      </c>
      <c r="L1327" t="str">
        <f>IFERROR(VLOOKUP(D1327,Products!$A$2:$F$61,3,FALSE),"")</f>
        <v>Sports</v>
      </c>
      <c r="M1327">
        <f>IFERROR(VLOOKUP(D1327,Products!$A$2:$F$61,4,FALSE),"")</f>
        <v>2467</v>
      </c>
      <c r="N1327" t="str">
        <f>IFERROR(VLOOKUP(E1327,Sales_Reps!$A$2:$E$31,3,FALSE),"")</f>
        <v>East</v>
      </c>
      <c r="O1327" t="str">
        <f>IFERROR(VLOOKUP(C1327,Customers!$A$2:$F$301,5,FALSE),"")</f>
        <v>Retail</v>
      </c>
      <c r="P1327">
        <f>IFERROR(VLOOKUP(C1327,Customers!$A$2:$F$301,3,FALSE),"")</f>
        <v>44</v>
      </c>
      <c r="Q1327" s="41">
        <f t="shared" si="29"/>
        <v>0.28492753623188405</v>
      </c>
      <c r="R1327" t="str">
        <f>IFERROR(VLOOKUP(C1327,Customers!$A$2:$F$301,1,FALSE),"")</f>
        <v>CUST-0021</v>
      </c>
      <c r="S1327" s="27" t="b">
        <f>IFERROR(VLOOKUP(D1327,Products!$A$2:$F$61,6,FALSE),"")</f>
        <v>1</v>
      </c>
      <c r="BL1327">
        <v>0</v>
      </c>
      <c r="BO1327">
        <v>0</v>
      </c>
      <c r="BP1327">
        <v>0</v>
      </c>
    </row>
    <row r="1328" spans="1:68" x14ac:dyDescent="0.35">
      <c r="A1328" s="26" t="str">
        <f>Orders!A1328</f>
        <v>ORD-01327</v>
      </c>
      <c r="B1328" s="33">
        <f>Orders!B1328</f>
        <v>45389</v>
      </c>
      <c r="C1328" t="str">
        <f>Orders!C1328</f>
        <v>CUST-0080</v>
      </c>
      <c r="D1328" t="str">
        <f>Orders!D1328</f>
        <v>PROD-009</v>
      </c>
      <c r="E1328" t="str">
        <f>Orders!E1328</f>
        <v>R004</v>
      </c>
      <c r="F1328">
        <f>Orders!F1328</f>
        <v>4</v>
      </c>
      <c r="G1328" s="35">
        <f>Orders!G1328</f>
        <v>1220</v>
      </c>
      <c r="H1328" s="37">
        <f>Orders!H1328</f>
        <v>5.5</v>
      </c>
      <c r="I1328" s="39">
        <f>Orders!I1328</f>
        <v>4611.6000000000004</v>
      </c>
      <c r="J1328" t="str">
        <f>Orders!J1328</f>
        <v>Completed</v>
      </c>
      <c r="K1328" t="str">
        <f>Orders!K1328</f>
        <v>Pune</v>
      </c>
      <c r="L1328" t="str">
        <f>IFERROR(VLOOKUP(D1328,Products!$A$2:$F$61,3,FALSE),"")</f>
        <v>Electronics</v>
      </c>
      <c r="M1328">
        <f>IFERROR(VLOOKUP(D1328,Products!$A$2:$F$61,4,FALSE),"")</f>
        <v>517</v>
      </c>
      <c r="N1328" t="str">
        <f>IFERROR(VLOOKUP(E1328,Sales_Reps!$A$2:$E$31,3,FALSE),"")</f>
        <v>North</v>
      </c>
      <c r="O1328" t="str">
        <f>IFERROR(VLOOKUP(C1328,Customers!$A$2:$F$301,5,FALSE),"")</f>
        <v>SMB</v>
      </c>
      <c r="P1328">
        <f>IFERROR(VLOOKUP(C1328,Customers!$A$2:$F$301,3,FALSE),"")</f>
        <v>30</v>
      </c>
      <c r="Q1328" s="41">
        <f t="shared" si="29"/>
        <v>0.57622950819672136</v>
      </c>
      <c r="R1328" t="str">
        <f>IFERROR(VLOOKUP(C1328,Customers!$A$2:$F$301,1,FALSE),"")</f>
        <v>CUST-0080</v>
      </c>
      <c r="S1328" s="27" t="b">
        <f>IFERROR(VLOOKUP(D1328,Products!$A$2:$F$61,6,FALSE),"")</f>
        <v>1</v>
      </c>
      <c r="BL1328">
        <v>0</v>
      </c>
      <c r="BO1328">
        <v>0</v>
      </c>
      <c r="BP1328">
        <v>0</v>
      </c>
    </row>
    <row r="1329" spans="1:68" x14ac:dyDescent="0.35">
      <c r="A1329" s="26" t="str">
        <f>Orders!A1329</f>
        <v>ORD-01328</v>
      </c>
      <c r="B1329" s="33">
        <f>Orders!B1329</f>
        <v>45536</v>
      </c>
      <c r="C1329" t="str">
        <f>Orders!C1329</f>
        <v>CUST-0286</v>
      </c>
      <c r="D1329" t="str">
        <f>Orders!D1329</f>
        <v>PROD-016</v>
      </c>
      <c r="E1329" t="str">
        <f>Orders!E1329</f>
        <v>R007</v>
      </c>
      <c r="F1329">
        <f>Orders!F1329</f>
        <v>1</v>
      </c>
      <c r="G1329" s="35">
        <f>Orders!G1329</f>
        <v>620</v>
      </c>
      <c r="H1329" s="37">
        <f>Orders!H1329</f>
        <v>22.3</v>
      </c>
      <c r="I1329" s="39">
        <f>Orders!I1329</f>
        <v>481.74</v>
      </c>
      <c r="J1329" t="str">
        <f>Orders!J1329</f>
        <v>Pending</v>
      </c>
      <c r="K1329" t="str">
        <f>Orders!K1329</f>
        <v>Delhi</v>
      </c>
      <c r="L1329" t="str">
        <f>IFERROR(VLOOKUP(D1329,Products!$A$2:$F$61,3,FALSE),"")</f>
        <v>Apparel</v>
      </c>
      <c r="M1329">
        <f>IFERROR(VLOOKUP(D1329,Products!$A$2:$F$61,4,FALSE),"")</f>
        <v>396</v>
      </c>
      <c r="N1329" t="str">
        <f>IFERROR(VLOOKUP(E1329,Sales_Reps!$A$2:$E$31,3,FALSE),"")</f>
        <v>North</v>
      </c>
      <c r="O1329" t="str">
        <f>IFERROR(VLOOKUP(C1329,Customers!$A$2:$F$301,5,FALSE),"")</f>
        <v>Retail</v>
      </c>
      <c r="P1329">
        <f>IFERROR(VLOOKUP(C1329,Customers!$A$2:$F$301,3,FALSE),"")</f>
        <v>62</v>
      </c>
      <c r="Q1329" s="41">
        <f t="shared" si="29"/>
        <v>0.36129032258064514</v>
      </c>
      <c r="R1329" t="str">
        <f>IFERROR(VLOOKUP(C1329,Customers!$A$2:$F$301,1,FALSE),"")</f>
        <v>CUST-0286</v>
      </c>
      <c r="S1329" s="27" t="b">
        <f>IFERROR(VLOOKUP(D1329,Products!$A$2:$F$61,6,FALSE),"")</f>
        <v>1</v>
      </c>
      <c r="BL1329">
        <v>0</v>
      </c>
      <c r="BO1329">
        <v>0</v>
      </c>
      <c r="BP1329">
        <v>0</v>
      </c>
    </row>
    <row r="1330" spans="1:68" x14ac:dyDescent="0.35">
      <c r="A1330" s="26" t="str">
        <f>Orders!A1330</f>
        <v>ORD-01329</v>
      </c>
      <c r="B1330" s="33">
        <f>Orders!B1330</f>
        <v>45348</v>
      </c>
      <c r="C1330" t="str">
        <f>Orders!C1330</f>
        <v>CUST-0152</v>
      </c>
      <c r="D1330" t="str">
        <f>Orders!D1330</f>
        <v>PROD-005</v>
      </c>
      <c r="E1330" t="str">
        <f>Orders!E1330</f>
        <v>R023</v>
      </c>
      <c r="F1330">
        <f>Orders!F1330</f>
        <v>1</v>
      </c>
      <c r="G1330" s="35">
        <f>Orders!G1330</f>
        <v>300</v>
      </c>
      <c r="H1330" s="37">
        <f>Orders!H1330</f>
        <v>12.5</v>
      </c>
      <c r="I1330" s="39">
        <f>Orders!I1330</f>
        <v>262.5</v>
      </c>
      <c r="J1330" t="str">
        <f>Orders!J1330</f>
        <v>Completed</v>
      </c>
      <c r="K1330" t="str">
        <f>Orders!K1330</f>
        <v>Bengaluru</v>
      </c>
      <c r="L1330" t="str">
        <f>IFERROR(VLOOKUP(D1330,Products!$A$2:$F$61,3,FALSE),"")</f>
        <v>Electronics</v>
      </c>
      <c r="M1330">
        <f>IFERROR(VLOOKUP(D1330,Products!$A$2:$F$61,4,FALSE),"")</f>
        <v>128</v>
      </c>
      <c r="N1330" t="str">
        <f>IFERROR(VLOOKUP(E1330,Sales_Reps!$A$2:$E$31,3,FALSE),"")</f>
        <v>East</v>
      </c>
      <c r="O1330" t="str">
        <f>IFERROR(VLOOKUP(C1330,Customers!$A$2:$F$301,5,FALSE),"")</f>
        <v>SMB</v>
      </c>
      <c r="P1330">
        <f>IFERROR(VLOOKUP(C1330,Customers!$A$2:$F$301,3,FALSE),"")</f>
        <v>64</v>
      </c>
      <c r="Q1330" s="41">
        <f t="shared" si="29"/>
        <v>0.57333333333333336</v>
      </c>
      <c r="R1330" t="str">
        <f>IFERROR(VLOOKUP(C1330,Customers!$A$2:$F$301,1,FALSE),"")</f>
        <v>CUST-0152</v>
      </c>
      <c r="S1330" s="27" t="b">
        <f>IFERROR(VLOOKUP(D1330,Products!$A$2:$F$61,6,FALSE),"")</f>
        <v>1</v>
      </c>
      <c r="BL1330">
        <v>0</v>
      </c>
      <c r="BO1330">
        <v>0</v>
      </c>
      <c r="BP1330">
        <v>0</v>
      </c>
    </row>
    <row r="1331" spans="1:68" x14ac:dyDescent="0.35">
      <c r="A1331" s="26" t="str">
        <f>Orders!A1331</f>
        <v>ORD-01330</v>
      </c>
      <c r="B1331" s="33">
        <f>Orders!B1331</f>
        <v>45502</v>
      </c>
      <c r="C1331" t="str">
        <f>Orders!C1331</f>
        <v>CUST-0254</v>
      </c>
      <c r="D1331" t="str">
        <f>Orders!D1331</f>
        <v>PROD-054</v>
      </c>
      <c r="E1331" t="str">
        <f>Orders!E1331</f>
        <v>R020</v>
      </c>
      <c r="F1331">
        <f>Orders!F1331</f>
        <v>3</v>
      </c>
      <c r="G1331" s="35">
        <f>Orders!G1331</f>
        <v>1010</v>
      </c>
      <c r="H1331" s="37">
        <f>Orders!H1331</f>
        <v>14.1</v>
      </c>
      <c r="I1331" s="39">
        <f>Orders!I1331</f>
        <v>2602.77</v>
      </c>
      <c r="J1331" t="str">
        <f>Orders!J1331</f>
        <v>Completed</v>
      </c>
      <c r="K1331" t="str">
        <f>Orders!K1331</f>
        <v>Bengaluru</v>
      </c>
      <c r="L1331" t="str">
        <f>IFERROR(VLOOKUP(D1331,Products!$A$2:$F$61,3,FALSE),"")</f>
        <v>Sports</v>
      </c>
      <c r="M1331">
        <f>IFERROR(VLOOKUP(D1331,Products!$A$2:$F$61,4,FALSE),"")</f>
        <v>516</v>
      </c>
      <c r="N1331" t="str">
        <f>IFERROR(VLOOKUP(E1331,Sales_Reps!$A$2:$E$31,3,FALSE),"")</f>
        <v>East</v>
      </c>
      <c r="O1331" t="str">
        <f>IFERROR(VLOOKUP(C1331,Customers!$A$2:$F$301,5,FALSE),"")</f>
        <v>Retail</v>
      </c>
      <c r="P1331">
        <f>IFERROR(VLOOKUP(C1331,Customers!$A$2:$F$301,3,FALSE),"")</f>
        <v>35</v>
      </c>
      <c r="Q1331" s="41">
        <f t="shared" si="29"/>
        <v>0.4891089108910891</v>
      </c>
      <c r="R1331" t="str">
        <f>IFERROR(VLOOKUP(C1331,Customers!$A$2:$F$301,1,FALSE),"")</f>
        <v>CUST-0254</v>
      </c>
      <c r="S1331" s="27" t="b">
        <f>IFERROR(VLOOKUP(D1331,Products!$A$2:$F$61,6,FALSE),"")</f>
        <v>1</v>
      </c>
      <c r="BL1331">
        <v>0</v>
      </c>
      <c r="BO1331">
        <v>0</v>
      </c>
      <c r="BP1331">
        <v>0</v>
      </c>
    </row>
    <row r="1332" spans="1:68" x14ac:dyDescent="0.35">
      <c r="A1332" s="26" t="str">
        <f>Orders!A1332</f>
        <v>ORD-01331</v>
      </c>
      <c r="B1332" s="33">
        <f>Orders!B1332</f>
        <v>45600</v>
      </c>
      <c r="C1332" t="str">
        <f>Orders!C1332</f>
        <v>CUST-0290</v>
      </c>
      <c r="D1332" t="str">
        <f>Orders!D1332</f>
        <v>PROD-034</v>
      </c>
      <c r="E1332" t="str">
        <f>Orders!E1332</f>
        <v>R027</v>
      </c>
      <c r="F1332">
        <f>Orders!F1332</f>
        <v>2</v>
      </c>
      <c r="G1332" s="35">
        <f>Orders!G1332</f>
        <v>5080</v>
      </c>
      <c r="H1332" s="37">
        <f>Orders!H1332</f>
        <v>16.8</v>
      </c>
      <c r="I1332" s="39">
        <f>Orders!I1332</f>
        <v>8453.1200000000008</v>
      </c>
      <c r="J1332" t="str">
        <f>Orders!J1332</f>
        <v>Completed</v>
      </c>
      <c r="K1332" t="str">
        <f>Orders!K1332</f>
        <v>Delhi</v>
      </c>
      <c r="L1332" t="str">
        <f>IFERROR(VLOOKUP(D1332,Products!$A$2:$F$61,3,FALSE),"")</f>
        <v>Home</v>
      </c>
      <c r="M1332">
        <f>IFERROR(VLOOKUP(D1332,Products!$A$2:$F$61,4,FALSE),"")</f>
        <v>2459</v>
      </c>
      <c r="N1332" t="str">
        <f>IFERROR(VLOOKUP(E1332,Sales_Reps!$A$2:$E$31,3,FALSE),"")</f>
        <v>West</v>
      </c>
      <c r="O1332" t="str">
        <f>IFERROR(VLOOKUP(C1332,Customers!$A$2:$F$301,5,FALSE),"")</f>
        <v>Retail</v>
      </c>
      <c r="P1332">
        <f>IFERROR(VLOOKUP(C1332,Customers!$A$2:$F$301,3,FALSE),"")</f>
        <v>63</v>
      </c>
      <c r="Q1332" s="41">
        <f t="shared" si="29"/>
        <v>0.51594488188976373</v>
      </c>
      <c r="R1332" t="str">
        <f>IFERROR(VLOOKUP(C1332,Customers!$A$2:$F$301,1,FALSE),"")</f>
        <v>CUST-0290</v>
      </c>
      <c r="S1332" s="27" t="b">
        <f>IFERROR(VLOOKUP(D1332,Products!$A$2:$F$61,6,FALSE),"")</f>
        <v>1</v>
      </c>
      <c r="BL1332">
        <v>0</v>
      </c>
      <c r="BO1332">
        <v>0</v>
      </c>
      <c r="BP1332">
        <v>0</v>
      </c>
    </row>
    <row r="1333" spans="1:68" x14ac:dyDescent="0.35">
      <c r="A1333" s="26" t="str">
        <f>Orders!A1333</f>
        <v>ORD-01332</v>
      </c>
      <c r="B1333" s="33">
        <f>Orders!B1333</f>
        <v>45416</v>
      </c>
      <c r="C1333" t="str">
        <f>Orders!C1333</f>
        <v>CUST-0101</v>
      </c>
      <c r="D1333" t="str">
        <f>Orders!D1333</f>
        <v>PROD-012</v>
      </c>
      <c r="E1333" t="str">
        <f>Orders!E1333</f>
        <v>R027</v>
      </c>
      <c r="F1333">
        <f>Orders!F1333</f>
        <v>2</v>
      </c>
      <c r="G1333" s="35">
        <f>Orders!G1333</f>
        <v>3160</v>
      </c>
      <c r="H1333" s="37">
        <f>Orders!H1333</f>
        <v>21.4</v>
      </c>
      <c r="I1333" s="39">
        <f>Orders!I1333</f>
        <v>4967.5200000000004</v>
      </c>
      <c r="J1333" t="str">
        <f>Orders!J1333</f>
        <v>Completed</v>
      </c>
      <c r="K1333" t="str">
        <f>Orders!K1333</f>
        <v>HYDERABAD</v>
      </c>
      <c r="L1333" t="str">
        <f>IFERROR(VLOOKUP(D1333,Products!$A$2:$F$61,3,FALSE),"")</f>
        <v>Apparel</v>
      </c>
      <c r="M1333">
        <f>IFERROR(VLOOKUP(D1333,Products!$A$2:$F$61,4,FALSE),"")</f>
        <v>1886</v>
      </c>
      <c r="N1333" t="str">
        <f>IFERROR(VLOOKUP(E1333,Sales_Reps!$A$2:$E$31,3,FALSE),"")</f>
        <v>West</v>
      </c>
      <c r="O1333" t="str">
        <f>IFERROR(VLOOKUP(C1333,Customers!$A$2:$F$301,5,FALSE),"")</f>
        <v>SMB</v>
      </c>
      <c r="P1333">
        <f>IFERROR(VLOOKUP(C1333,Customers!$A$2:$F$301,3,FALSE),"")</f>
        <v>40</v>
      </c>
      <c r="Q1333" s="41">
        <f t="shared" si="29"/>
        <v>0.4031645569620253</v>
      </c>
      <c r="R1333" t="str">
        <f>IFERROR(VLOOKUP(C1333,Customers!$A$2:$F$301,1,FALSE),"")</f>
        <v>CUST-0101</v>
      </c>
      <c r="S1333" s="27" t="b">
        <f>IFERROR(VLOOKUP(D1333,Products!$A$2:$F$61,6,FALSE),"")</f>
        <v>1</v>
      </c>
      <c r="BL1333">
        <v>0</v>
      </c>
      <c r="BO1333">
        <v>0</v>
      </c>
      <c r="BP1333">
        <v>0</v>
      </c>
    </row>
    <row r="1334" spans="1:68" x14ac:dyDescent="0.35">
      <c r="A1334" s="26" t="str">
        <f>Orders!A1334</f>
        <v>ORD-01333</v>
      </c>
      <c r="B1334" s="33">
        <f>Orders!B1334</f>
        <v>45535</v>
      </c>
      <c r="C1334" t="str">
        <f>Orders!C1334</f>
        <v>CUST-0058</v>
      </c>
      <c r="D1334" t="str">
        <f>Orders!D1334</f>
        <v>PROD-047</v>
      </c>
      <c r="E1334" t="str">
        <f>Orders!E1334</f>
        <v>R016</v>
      </c>
      <c r="F1334">
        <f>Orders!F1334</f>
        <v>7</v>
      </c>
      <c r="G1334" s="35">
        <f>Orders!G1334</f>
        <v>3450</v>
      </c>
      <c r="H1334" s="37">
        <f>Orders!H1334</f>
        <v>21.3</v>
      </c>
      <c r="I1334" s="39">
        <f>Orders!I1334</f>
        <v>19006.05</v>
      </c>
      <c r="J1334" t="str">
        <f>Orders!J1334</f>
        <v>Completed</v>
      </c>
      <c r="K1334" t="str">
        <f>Orders!K1334</f>
        <v>Bengaluru</v>
      </c>
      <c r="L1334" t="str">
        <f>IFERROR(VLOOKUP(D1334,Products!$A$2:$F$61,3,FALSE),"")</f>
        <v>Beauty</v>
      </c>
      <c r="M1334">
        <f>IFERROR(VLOOKUP(D1334,Products!$A$2:$F$61,4,FALSE),"")</f>
        <v>2420</v>
      </c>
      <c r="N1334" t="str">
        <f>IFERROR(VLOOKUP(E1334,Sales_Reps!$A$2:$E$31,3,FALSE),"")</f>
        <v>South</v>
      </c>
      <c r="O1334" t="str">
        <f>IFERROR(VLOOKUP(C1334,Customers!$A$2:$F$301,5,FALSE),"")</f>
        <v>SMB</v>
      </c>
      <c r="P1334">
        <f>IFERROR(VLOOKUP(C1334,Customers!$A$2:$F$301,3,FALSE),"")</f>
        <v>49</v>
      </c>
      <c r="Q1334" s="41">
        <f t="shared" si="29"/>
        <v>0.29855072463768118</v>
      </c>
      <c r="R1334" t="str">
        <f>IFERROR(VLOOKUP(C1334,Customers!$A$2:$F$301,1,FALSE),"")</f>
        <v>CUST-0058</v>
      </c>
      <c r="S1334" s="27" t="b">
        <f>IFERROR(VLOOKUP(D1334,Products!$A$2:$F$61,6,FALSE),"")</f>
        <v>1</v>
      </c>
      <c r="BL1334">
        <v>0</v>
      </c>
      <c r="BO1334">
        <v>0</v>
      </c>
      <c r="BP1334">
        <v>0</v>
      </c>
    </row>
    <row r="1335" spans="1:68" x14ac:dyDescent="0.35">
      <c r="A1335" s="26" t="str">
        <f>Orders!A1335</f>
        <v>ORD-01334</v>
      </c>
      <c r="B1335" s="33">
        <f>Orders!B1335</f>
        <v>45322</v>
      </c>
      <c r="C1335" t="str">
        <f>Orders!C1335</f>
        <v>CUST-0296</v>
      </c>
      <c r="D1335" t="str">
        <f>Orders!D1335</f>
        <v>PROD-001</v>
      </c>
      <c r="E1335" t="str">
        <f>Orders!E1335</f>
        <v>R006</v>
      </c>
      <c r="F1335">
        <f>Orders!F1335</f>
        <v>2</v>
      </c>
      <c r="G1335" s="35">
        <f>Orders!G1335</f>
        <v>5330</v>
      </c>
      <c r="H1335" s="37">
        <f>Orders!H1335</f>
        <v>4.3</v>
      </c>
      <c r="I1335" s="39">
        <f>Orders!I1335</f>
        <v>10201.620000000001</v>
      </c>
      <c r="J1335" t="str">
        <f>Orders!J1335</f>
        <v>Completed</v>
      </c>
      <c r="K1335" t="str">
        <f>Orders!K1335</f>
        <v>Delhi</v>
      </c>
      <c r="L1335" t="str">
        <f>IFERROR(VLOOKUP(D1335,Products!$A$2:$F$61,3,FALSE),"")</f>
        <v>Electronics</v>
      </c>
      <c r="M1335">
        <f>IFERROR(VLOOKUP(D1335,Products!$A$2:$F$61,4,FALSE),"")</f>
        <v>2405</v>
      </c>
      <c r="N1335" t="str">
        <f>IFERROR(VLOOKUP(E1335,Sales_Reps!$A$2:$E$31,3,FALSE),"")</f>
        <v>North</v>
      </c>
      <c r="O1335" t="str">
        <f>IFERROR(VLOOKUP(C1335,Customers!$A$2:$F$301,5,FALSE),"")</f>
        <v>Corporate</v>
      </c>
      <c r="P1335">
        <f>IFERROR(VLOOKUP(C1335,Customers!$A$2:$F$301,3,FALSE),"")</f>
        <v>47</v>
      </c>
      <c r="Q1335" s="41">
        <f t="shared" si="29"/>
        <v>0.54878048780487809</v>
      </c>
      <c r="R1335" t="str">
        <f>IFERROR(VLOOKUP(C1335,Customers!$A$2:$F$301,1,FALSE),"")</f>
        <v>CUST-0296</v>
      </c>
      <c r="S1335" s="27" t="b">
        <f>IFERROR(VLOOKUP(D1335,Products!$A$2:$F$61,6,FALSE),"")</f>
        <v>1</v>
      </c>
      <c r="BL1335">
        <v>0</v>
      </c>
      <c r="BO1335">
        <v>0</v>
      </c>
      <c r="BP1335">
        <v>0</v>
      </c>
    </row>
    <row r="1336" spans="1:68" x14ac:dyDescent="0.35">
      <c r="A1336" s="26" t="str">
        <f>Orders!A1336</f>
        <v>ORD-01335</v>
      </c>
      <c r="B1336" s="33">
        <f>Orders!B1336</f>
        <v>45626</v>
      </c>
      <c r="C1336" t="str">
        <f>Orders!C1336</f>
        <v>CUST-0249</v>
      </c>
      <c r="D1336" t="str">
        <f>Orders!D1336</f>
        <v>PROD-056</v>
      </c>
      <c r="E1336" t="str">
        <f>Orders!E1336</f>
        <v>R014</v>
      </c>
      <c r="F1336">
        <f>Orders!F1336</f>
        <v>5</v>
      </c>
      <c r="G1336" s="35">
        <f>Orders!G1336</f>
        <v>6940</v>
      </c>
      <c r="H1336" s="37">
        <f>Orders!H1336</f>
        <v>2.9</v>
      </c>
      <c r="I1336" s="39">
        <f>Orders!I1336</f>
        <v>33693.699999999997</v>
      </c>
      <c r="J1336" t="str">
        <f>Orders!J1336</f>
        <v>Completed</v>
      </c>
      <c r="K1336" t="str">
        <f>Orders!K1336</f>
        <v>Mumbai</v>
      </c>
      <c r="L1336" t="str">
        <f>IFERROR(VLOOKUP(D1336,Products!$A$2:$F$61,3,FALSE),"")</f>
        <v>Sports</v>
      </c>
      <c r="M1336">
        <f>IFERROR(VLOOKUP(D1336,Products!$A$2:$F$61,4,FALSE),"")</f>
        <v>2827</v>
      </c>
      <c r="N1336" t="str">
        <f>IFERROR(VLOOKUP(E1336,Sales_Reps!$A$2:$E$31,3,FALSE),"")</f>
        <v>South</v>
      </c>
      <c r="O1336" t="str">
        <f>IFERROR(VLOOKUP(C1336,Customers!$A$2:$F$301,5,FALSE),"")</f>
        <v>Retail</v>
      </c>
      <c r="P1336">
        <f>IFERROR(VLOOKUP(C1336,Customers!$A$2:$F$301,3,FALSE),"")</f>
        <v>44</v>
      </c>
      <c r="Q1336" s="41">
        <f t="shared" si="29"/>
        <v>0.5926512968299712</v>
      </c>
      <c r="R1336" t="str">
        <f>IFERROR(VLOOKUP(C1336,Customers!$A$2:$F$301,1,FALSE),"")</f>
        <v>CUST-0249</v>
      </c>
      <c r="S1336" s="27" t="b">
        <f>IFERROR(VLOOKUP(D1336,Products!$A$2:$F$61,6,FALSE),"")</f>
        <v>1</v>
      </c>
      <c r="BL1336">
        <v>0</v>
      </c>
      <c r="BO1336">
        <v>0</v>
      </c>
      <c r="BP1336">
        <v>0</v>
      </c>
    </row>
    <row r="1337" spans="1:68" x14ac:dyDescent="0.35">
      <c r="A1337" s="26" t="str">
        <f>Orders!A1337</f>
        <v>ORD-01336</v>
      </c>
      <c r="B1337" s="33">
        <f>Orders!B1337</f>
        <v>45534</v>
      </c>
      <c r="C1337" t="str">
        <f>Orders!C1337</f>
        <v>CUST-0055</v>
      </c>
      <c r="D1337" t="str">
        <f>Orders!D1337</f>
        <v>PROD-037</v>
      </c>
      <c r="E1337" t="str">
        <f>Orders!E1337</f>
        <v>R028</v>
      </c>
      <c r="F1337">
        <f>Orders!F1337</f>
        <v>5</v>
      </c>
      <c r="G1337" s="35">
        <f>Orders!G1337</f>
        <v>660</v>
      </c>
      <c r="H1337" s="37">
        <f>Orders!H1337</f>
        <v>15.8</v>
      </c>
      <c r="I1337" s="39">
        <f>Orders!I1337</f>
        <v>2778.6</v>
      </c>
      <c r="J1337" t="str">
        <f>Orders!J1337</f>
        <v>Completed</v>
      </c>
      <c r="K1337" t="str">
        <f>Orders!K1337</f>
        <v>Bengaluru</v>
      </c>
      <c r="L1337" t="str">
        <f>IFERROR(VLOOKUP(D1337,Products!$A$2:$F$61,3,FALSE),"")</f>
        <v>Home</v>
      </c>
      <c r="M1337">
        <f>IFERROR(VLOOKUP(D1337,Products!$A$2:$F$61,4,FALSE),"")</f>
        <v>329</v>
      </c>
      <c r="N1337" t="str">
        <f>IFERROR(VLOOKUP(E1337,Sales_Reps!$A$2:$E$31,3,FALSE),"")</f>
        <v>West</v>
      </c>
      <c r="O1337" t="str">
        <f>IFERROR(VLOOKUP(C1337,Customers!$A$2:$F$301,5,FALSE),"")</f>
        <v>Retail</v>
      </c>
      <c r="P1337">
        <f>IFERROR(VLOOKUP(C1337,Customers!$A$2:$F$301,3,FALSE),"")</f>
        <v>34</v>
      </c>
      <c r="Q1337" s="41">
        <f t="shared" si="29"/>
        <v>0.50151515151515147</v>
      </c>
      <c r="R1337" t="str">
        <f>IFERROR(VLOOKUP(C1337,Customers!$A$2:$F$301,1,FALSE),"")</f>
        <v>CUST-0055</v>
      </c>
      <c r="S1337" s="27" t="b">
        <f>IFERROR(VLOOKUP(D1337,Products!$A$2:$F$61,6,FALSE),"")</f>
        <v>1</v>
      </c>
      <c r="BL1337">
        <v>0</v>
      </c>
      <c r="BO1337">
        <v>0</v>
      </c>
      <c r="BP1337">
        <v>0</v>
      </c>
    </row>
    <row r="1338" spans="1:68" x14ac:dyDescent="0.35">
      <c r="A1338" s="26" t="str">
        <f>Orders!A1338</f>
        <v>ORD-01337</v>
      </c>
      <c r="B1338" s="33">
        <f>Orders!B1338</f>
        <v>45519</v>
      </c>
      <c r="C1338" t="str">
        <f>Orders!C1338</f>
        <v>CUST-0005</v>
      </c>
      <c r="D1338" t="str">
        <f>Orders!D1338</f>
        <v>PROD-048</v>
      </c>
      <c r="E1338" t="str">
        <f>Orders!E1338</f>
        <v>R013</v>
      </c>
      <c r="F1338">
        <f>Orders!F1338</f>
        <v>9</v>
      </c>
      <c r="G1338" s="35">
        <f>Orders!G1338</f>
        <v>5100</v>
      </c>
      <c r="H1338" s="37">
        <f>Orders!H1338</f>
        <v>0.4</v>
      </c>
      <c r="I1338" s="39">
        <f>Orders!I1338</f>
        <v>45716.4</v>
      </c>
      <c r="J1338" t="str">
        <f>Orders!J1338</f>
        <v>Completed</v>
      </c>
      <c r="K1338" t="str">
        <f>Orders!K1338</f>
        <v>Chennai</v>
      </c>
      <c r="L1338" t="str">
        <f>IFERROR(VLOOKUP(D1338,Products!$A$2:$F$61,3,FALSE),"")</f>
        <v>Beauty</v>
      </c>
      <c r="M1338">
        <f>IFERROR(VLOOKUP(D1338,Products!$A$2:$F$61,4,FALSE),"")</f>
        <v>2237</v>
      </c>
      <c r="N1338" t="str">
        <f>IFERROR(VLOOKUP(E1338,Sales_Reps!$A$2:$E$31,3,FALSE),"")</f>
        <v>South</v>
      </c>
      <c r="O1338" t="str">
        <f>IFERROR(VLOOKUP(C1338,Customers!$A$2:$F$301,5,FALSE),"")</f>
        <v>Corporate</v>
      </c>
      <c r="P1338">
        <f>IFERROR(VLOOKUP(C1338,Customers!$A$2:$F$301,3,FALSE),"")</f>
        <v>52</v>
      </c>
      <c r="Q1338" s="41">
        <f t="shared" si="29"/>
        <v>0.56137254901960787</v>
      </c>
      <c r="R1338" t="str">
        <f>IFERROR(VLOOKUP(C1338,Customers!$A$2:$F$301,1,FALSE),"")</f>
        <v>CUST-0005</v>
      </c>
      <c r="S1338" s="27" t="b">
        <f>IFERROR(VLOOKUP(D1338,Products!$A$2:$F$61,6,FALSE),"")</f>
        <v>1</v>
      </c>
      <c r="BL1338">
        <v>0</v>
      </c>
      <c r="BO1338">
        <v>0</v>
      </c>
      <c r="BP1338">
        <v>0</v>
      </c>
    </row>
    <row r="1339" spans="1:68" x14ac:dyDescent="0.35">
      <c r="A1339" s="26" t="str">
        <f>Orders!A1339</f>
        <v>ORD-01338</v>
      </c>
      <c r="B1339" s="33">
        <f>Orders!B1339</f>
        <v>45315</v>
      </c>
      <c r="C1339" t="str">
        <f>Orders!C1339</f>
        <v>CUST-9595</v>
      </c>
      <c r="D1339" t="str">
        <f>Orders!D1339</f>
        <v>PROD-044</v>
      </c>
      <c r="E1339" t="str">
        <f>Orders!E1339</f>
        <v>R014</v>
      </c>
      <c r="F1339">
        <f>Orders!F1339</f>
        <v>5</v>
      </c>
      <c r="G1339" s="35">
        <f>Orders!G1339</f>
        <v>1650</v>
      </c>
      <c r="H1339" s="37">
        <f>Orders!H1339</f>
        <v>0.8</v>
      </c>
      <c r="I1339" s="39">
        <f>Orders!I1339</f>
        <v>8184</v>
      </c>
      <c r="J1339" t="str">
        <f>Orders!J1339</f>
        <v>Pending</v>
      </c>
      <c r="K1339" t="str">
        <f>Orders!K1339</f>
        <v>Chennai</v>
      </c>
      <c r="L1339" t="str">
        <f>IFERROR(VLOOKUP(D1339,Products!$A$2:$F$61,3,FALSE),"")</f>
        <v>Beauty</v>
      </c>
      <c r="M1339">
        <f>IFERROR(VLOOKUP(D1339,Products!$A$2:$F$61,4,FALSE),"")</f>
        <v>1222</v>
      </c>
      <c r="N1339" t="str">
        <f>IFERROR(VLOOKUP(E1339,Sales_Reps!$A$2:$E$31,3,FALSE),"")</f>
        <v>South</v>
      </c>
      <c r="O1339" t="str">
        <f>IFERROR(VLOOKUP(C1339,Customers!$A$2:$F$301,5,FALSE),"")</f>
        <v/>
      </c>
      <c r="P1339" t="str">
        <f>IFERROR(VLOOKUP(C1339,Customers!$A$2:$F$301,3,FALSE),"")</f>
        <v/>
      </c>
      <c r="Q1339" s="41">
        <f t="shared" si="29"/>
        <v>0.2593939393939394</v>
      </c>
      <c r="R1339" t="str">
        <f>IFERROR(VLOOKUP(C1339,Customers!$A$2:$F$301,1,FALSE),"")</f>
        <v/>
      </c>
      <c r="S1339" s="27" t="b">
        <f>IFERROR(VLOOKUP(D1339,Products!$A$2:$F$61,6,FALSE),"")</f>
        <v>1</v>
      </c>
      <c r="BL1339">
        <v>0</v>
      </c>
      <c r="BO1339">
        <v>1</v>
      </c>
      <c r="BP1339">
        <v>0</v>
      </c>
    </row>
    <row r="1340" spans="1:68" x14ac:dyDescent="0.35">
      <c r="A1340" s="26" t="str">
        <f>Orders!A1340</f>
        <v>ORD-01339</v>
      </c>
      <c r="B1340" s="33">
        <f>Orders!B1340</f>
        <v>45566</v>
      </c>
      <c r="C1340" t="str">
        <f>Orders!C1340</f>
        <v>CUST-0138</v>
      </c>
      <c r="D1340" t="str">
        <f>Orders!D1340</f>
        <v>PROD-013</v>
      </c>
      <c r="E1340" t="str">
        <f>Orders!E1340</f>
        <v>R018</v>
      </c>
      <c r="F1340">
        <f>Orders!F1340</f>
        <v>7</v>
      </c>
      <c r="G1340" s="35">
        <f>Orders!G1340</f>
        <v>3640</v>
      </c>
      <c r="H1340" s="37">
        <f>Orders!H1340</f>
        <v>25.5</v>
      </c>
      <c r="I1340" s="39">
        <f>Orders!I1340</f>
        <v>18982.599999999999</v>
      </c>
      <c r="J1340" t="str">
        <f>Orders!J1340</f>
        <v>Completed</v>
      </c>
      <c r="K1340" t="str">
        <f>Orders!K1340</f>
        <v>Chennai</v>
      </c>
      <c r="L1340" t="str">
        <f>IFERROR(VLOOKUP(D1340,Products!$A$2:$F$61,3,FALSE),"")</f>
        <v>Apparel</v>
      </c>
      <c r="M1340">
        <f>IFERROR(VLOOKUP(D1340,Products!$A$2:$F$61,4,FALSE),"")</f>
        <v>2611</v>
      </c>
      <c r="N1340" t="str">
        <f>IFERROR(VLOOKUP(E1340,Sales_Reps!$A$2:$E$31,3,FALSE),"")</f>
        <v>East</v>
      </c>
      <c r="O1340" t="str">
        <f>IFERROR(VLOOKUP(C1340,Customers!$A$2:$F$301,5,FALSE),"")</f>
        <v>Retail</v>
      </c>
      <c r="P1340">
        <f>IFERROR(VLOOKUP(C1340,Customers!$A$2:$F$301,3,FALSE),"")</f>
        <v>24</v>
      </c>
      <c r="Q1340" s="41">
        <f t="shared" si="29"/>
        <v>0.28269230769230769</v>
      </c>
      <c r="R1340" t="str">
        <f>IFERROR(VLOOKUP(C1340,Customers!$A$2:$F$301,1,FALSE),"")</f>
        <v>CUST-0138</v>
      </c>
      <c r="S1340" s="27" t="b">
        <f>IFERROR(VLOOKUP(D1340,Products!$A$2:$F$61,6,FALSE),"")</f>
        <v>1</v>
      </c>
      <c r="BL1340">
        <v>0</v>
      </c>
      <c r="BO1340">
        <v>0</v>
      </c>
      <c r="BP1340">
        <v>0</v>
      </c>
    </row>
    <row r="1341" spans="1:68" x14ac:dyDescent="0.35">
      <c r="A1341" s="26" t="str">
        <f>Orders!A1341</f>
        <v>ORD-01340</v>
      </c>
      <c r="B1341" s="33">
        <f>Orders!B1341</f>
        <v>45643</v>
      </c>
      <c r="C1341" t="str">
        <f>Orders!C1341</f>
        <v>CUST-0112</v>
      </c>
      <c r="D1341" t="str">
        <f>Orders!D1341</f>
        <v>PROD-046</v>
      </c>
      <c r="E1341" t="str">
        <f>Orders!E1341</f>
        <v>R029</v>
      </c>
      <c r="F1341">
        <f>Orders!F1341</f>
        <v>6</v>
      </c>
      <c r="G1341" s="35">
        <f>Orders!G1341</f>
        <v>4880</v>
      </c>
      <c r="H1341" s="37">
        <f>Orders!H1341</f>
        <v>12.6</v>
      </c>
      <c r="I1341" s="39">
        <f>Orders!I1341</f>
        <v>25590.720000000001</v>
      </c>
      <c r="J1341" t="str">
        <f>Orders!J1341</f>
        <v>Cancelled</v>
      </c>
      <c r="K1341" t="str">
        <f>Orders!K1341</f>
        <v>Hyderabad</v>
      </c>
      <c r="L1341" t="str">
        <f>IFERROR(VLOOKUP(D1341,Products!$A$2:$F$61,3,FALSE),"")</f>
        <v>Beauty</v>
      </c>
      <c r="M1341">
        <f>IFERROR(VLOOKUP(D1341,Products!$A$2:$F$61,4,FALSE),"")</f>
        <v>2768</v>
      </c>
      <c r="N1341" t="str">
        <f>IFERROR(VLOOKUP(E1341,Sales_Reps!$A$2:$E$31,3,FALSE),"")</f>
        <v>West</v>
      </c>
      <c r="O1341" t="str">
        <f>IFERROR(VLOOKUP(C1341,Customers!$A$2:$F$301,5,FALSE),"")</f>
        <v>Retail</v>
      </c>
      <c r="P1341">
        <f>IFERROR(VLOOKUP(C1341,Customers!$A$2:$F$301,3,FALSE),"")</f>
        <v>64</v>
      </c>
      <c r="Q1341" s="41">
        <f t="shared" si="29"/>
        <v>0.43278688524590164</v>
      </c>
      <c r="R1341" t="str">
        <f>IFERROR(VLOOKUP(C1341,Customers!$A$2:$F$301,1,FALSE),"")</f>
        <v>CUST-0112</v>
      </c>
      <c r="S1341" s="27" t="b">
        <f>IFERROR(VLOOKUP(D1341,Products!$A$2:$F$61,6,FALSE),"")</f>
        <v>1</v>
      </c>
      <c r="BL1341">
        <v>0</v>
      </c>
      <c r="BO1341">
        <v>0</v>
      </c>
      <c r="BP1341">
        <v>0</v>
      </c>
    </row>
    <row r="1342" spans="1:68" x14ac:dyDescent="0.35">
      <c r="A1342" s="26" t="str">
        <f>Orders!A1342</f>
        <v>ORD-01341</v>
      </c>
      <c r="B1342" s="33">
        <f>Orders!B1342</f>
        <v>45422</v>
      </c>
      <c r="C1342" t="str">
        <f>Orders!C1342</f>
        <v>CUST-0254</v>
      </c>
      <c r="D1342" t="str">
        <f>Orders!D1342</f>
        <v>PROD-001</v>
      </c>
      <c r="E1342" t="str">
        <f>Orders!E1342</f>
        <v>R028</v>
      </c>
      <c r="F1342">
        <f>Orders!F1342</f>
        <v>4</v>
      </c>
      <c r="G1342" s="35">
        <f>Orders!G1342</f>
        <v>5330</v>
      </c>
      <c r="H1342" s="37">
        <f>Orders!H1342</f>
        <v>16.2</v>
      </c>
      <c r="I1342" s="39">
        <f>Orders!I1342</f>
        <v>17866.16</v>
      </c>
      <c r="J1342" t="str">
        <f>Orders!J1342</f>
        <v>Completed</v>
      </c>
      <c r="K1342" t="str">
        <f>Orders!K1342</f>
        <v>Bengaluru</v>
      </c>
      <c r="L1342" t="str">
        <f>IFERROR(VLOOKUP(D1342,Products!$A$2:$F$61,3,FALSE),"")</f>
        <v>Electronics</v>
      </c>
      <c r="M1342">
        <f>IFERROR(VLOOKUP(D1342,Products!$A$2:$F$61,4,FALSE),"")</f>
        <v>2405</v>
      </c>
      <c r="N1342" t="str">
        <f>IFERROR(VLOOKUP(E1342,Sales_Reps!$A$2:$E$31,3,FALSE),"")</f>
        <v>West</v>
      </c>
      <c r="O1342" t="str">
        <f>IFERROR(VLOOKUP(C1342,Customers!$A$2:$F$301,5,FALSE),"")</f>
        <v>Retail</v>
      </c>
      <c r="P1342">
        <f>IFERROR(VLOOKUP(C1342,Customers!$A$2:$F$301,3,FALSE),"")</f>
        <v>35</v>
      </c>
      <c r="Q1342" s="41">
        <f t="shared" si="29"/>
        <v>0.54878048780487809</v>
      </c>
      <c r="R1342" t="str">
        <f>IFERROR(VLOOKUP(C1342,Customers!$A$2:$F$301,1,FALSE),"")</f>
        <v>CUST-0254</v>
      </c>
      <c r="S1342" s="27" t="b">
        <f>IFERROR(VLOOKUP(D1342,Products!$A$2:$F$61,6,FALSE),"")</f>
        <v>1</v>
      </c>
      <c r="BL1342">
        <v>0</v>
      </c>
      <c r="BO1342">
        <v>0</v>
      </c>
      <c r="BP1342">
        <v>0</v>
      </c>
    </row>
    <row r="1343" spans="1:68" x14ac:dyDescent="0.35">
      <c r="A1343" s="26" t="str">
        <f>Orders!A1343</f>
        <v>ORD-01342</v>
      </c>
      <c r="B1343" s="33">
        <f>Orders!B1343</f>
        <v>45400</v>
      </c>
      <c r="C1343" t="str">
        <f>Orders!C1343</f>
        <v>CUST-0087</v>
      </c>
      <c r="D1343" t="str">
        <f>Orders!D1343</f>
        <v>PROD-038</v>
      </c>
      <c r="E1343" t="str">
        <f>Orders!E1343</f>
        <v>R023</v>
      </c>
      <c r="F1343">
        <f>Orders!F1343</f>
        <v>3</v>
      </c>
      <c r="G1343" s="35">
        <f>Orders!G1343</f>
        <v>5490</v>
      </c>
      <c r="H1343" s="37">
        <f>Orders!H1343</f>
        <v>26.7</v>
      </c>
      <c r="I1343" s="39">
        <f>Orders!I1343</f>
        <v>12072.51</v>
      </c>
      <c r="J1343" t="str">
        <f>Orders!J1343</f>
        <v>Completed</v>
      </c>
      <c r="K1343" t="str">
        <f>Orders!K1343</f>
        <v>Pune</v>
      </c>
      <c r="L1343" t="str">
        <f>IFERROR(VLOOKUP(D1343,Products!$A$2:$F$61,3,FALSE),"")</f>
        <v>Home</v>
      </c>
      <c r="M1343">
        <f>IFERROR(VLOOKUP(D1343,Products!$A$2:$F$61,4,FALSE),"")</f>
        <v>2549</v>
      </c>
      <c r="N1343" t="str">
        <f>IFERROR(VLOOKUP(E1343,Sales_Reps!$A$2:$E$31,3,FALSE),"")</f>
        <v>East</v>
      </c>
      <c r="O1343" t="str">
        <f>IFERROR(VLOOKUP(C1343,Customers!$A$2:$F$301,5,FALSE),"")</f>
        <v>SMB</v>
      </c>
      <c r="P1343">
        <f>IFERROR(VLOOKUP(C1343,Customers!$A$2:$F$301,3,FALSE),"")</f>
        <v>49</v>
      </c>
      <c r="Q1343" s="41">
        <f t="shared" si="29"/>
        <v>0.53570127504553733</v>
      </c>
      <c r="R1343" t="str">
        <f>IFERROR(VLOOKUP(C1343,Customers!$A$2:$F$301,1,FALSE),"")</f>
        <v>CUST-0087</v>
      </c>
      <c r="S1343" s="27" t="b">
        <f>IFERROR(VLOOKUP(D1343,Products!$A$2:$F$61,6,FALSE),"")</f>
        <v>1</v>
      </c>
      <c r="BL1343">
        <v>0</v>
      </c>
      <c r="BO1343">
        <v>0</v>
      </c>
      <c r="BP1343">
        <v>0</v>
      </c>
    </row>
    <row r="1344" spans="1:68" x14ac:dyDescent="0.35">
      <c r="A1344" s="26" t="str">
        <f>Orders!A1344</f>
        <v>ORD-01343</v>
      </c>
      <c r="B1344" s="33">
        <f>Orders!B1344</f>
        <v>45564</v>
      </c>
      <c r="C1344" t="str">
        <f>Orders!C1344</f>
        <v>CUST-0142</v>
      </c>
      <c r="D1344" t="str">
        <f>Orders!D1344</f>
        <v>PROD-060</v>
      </c>
      <c r="E1344" t="str">
        <f>Orders!E1344</f>
        <v>R002</v>
      </c>
      <c r="F1344">
        <f>Orders!F1344</f>
        <v>7</v>
      </c>
      <c r="G1344" s="35">
        <f>Orders!G1344</f>
        <v>190</v>
      </c>
      <c r="H1344" s="37">
        <f>Orders!H1344</f>
        <v>11.6</v>
      </c>
      <c r="I1344" s="39">
        <f>Orders!I1344</f>
        <v>1175.72</v>
      </c>
      <c r="J1344" t="str">
        <f>Orders!J1344</f>
        <v>Completed</v>
      </c>
      <c r="K1344" t="str">
        <f>Orders!K1344</f>
        <v>Chennai</v>
      </c>
      <c r="L1344" t="str">
        <f>IFERROR(VLOOKUP(D1344,Products!$A$2:$F$61,3,FALSE),"")</f>
        <v>Sports</v>
      </c>
      <c r="M1344">
        <f>IFERROR(VLOOKUP(D1344,Products!$A$2:$F$61,4,FALSE),"")</f>
        <v>147</v>
      </c>
      <c r="N1344" t="str">
        <f>IFERROR(VLOOKUP(E1344,Sales_Reps!$A$2:$E$31,3,FALSE),"")</f>
        <v>North</v>
      </c>
      <c r="O1344" t="str">
        <f>IFERROR(VLOOKUP(C1344,Customers!$A$2:$F$301,5,FALSE),"")</f>
        <v>Corporate</v>
      </c>
      <c r="P1344">
        <f>IFERROR(VLOOKUP(C1344,Customers!$A$2:$F$301,3,FALSE),"")</f>
        <v>55</v>
      </c>
      <c r="Q1344" s="41">
        <f t="shared" si="29"/>
        <v>0.22631578947368422</v>
      </c>
      <c r="R1344" t="str">
        <f>IFERROR(VLOOKUP(C1344,Customers!$A$2:$F$301,1,FALSE),"")</f>
        <v>CUST-0142</v>
      </c>
      <c r="S1344" s="27" t="b">
        <f>IFERROR(VLOOKUP(D1344,Products!$A$2:$F$61,6,FALSE),"")</f>
        <v>1</v>
      </c>
      <c r="BL1344">
        <v>0</v>
      </c>
      <c r="BO1344">
        <v>0</v>
      </c>
      <c r="BP1344">
        <v>0</v>
      </c>
    </row>
    <row r="1345" spans="1:68" x14ac:dyDescent="0.35">
      <c r="A1345" s="26" t="str">
        <f>Orders!A1345</f>
        <v>ORD-01344</v>
      </c>
      <c r="B1345" s="33">
        <f>Orders!B1345</f>
        <v>45437</v>
      </c>
      <c r="C1345" t="str">
        <f>Orders!C1345</f>
        <v>CUST-0293</v>
      </c>
      <c r="D1345" t="str">
        <f>Orders!D1345</f>
        <v>PROD-012</v>
      </c>
      <c r="E1345" t="str">
        <f>Orders!E1345</f>
        <v>R016</v>
      </c>
      <c r="F1345">
        <f>Orders!F1345</f>
        <v>5</v>
      </c>
      <c r="G1345" s="35">
        <f>Orders!G1345</f>
        <v>3160</v>
      </c>
      <c r="H1345" s="37">
        <f>Orders!H1345</f>
        <v>24.1</v>
      </c>
      <c r="I1345" s="39">
        <f>Orders!I1345</f>
        <v>11992.2</v>
      </c>
      <c r="J1345" t="str">
        <f>Orders!J1345</f>
        <v>Completed</v>
      </c>
      <c r="K1345" t="str">
        <f>Orders!K1345</f>
        <v>Bengaluru</v>
      </c>
      <c r="L1345" t="str">
        <f>IFERROR(VLOOKUP(D1345,Products!$A$2:$F$61,3,FALSE),"")</f>
        <v>Apparel</v>
      </c>
      <c r="M1345">
        <f>IFERROR(VLOOKUP(D1345,Products!$A$2:$F$61,4,FALSE),"")</f>
        <v>1886</v>
      </c>
      <c r="N1345" t="str">
        <f>IFERROR(VLOOKUP(E1345,Sales_Reps!$A$2:$E$31,3,FALSE),"")</f>
        <v>South</v>
      </c>
      <c r="O1345" t="str">
        <f>IFERROR(VLOOKUP(C1345,Customers!$A$2:$F$301,5,FALSE),"")</f>
        <v>Retail</v>
      </c>
      <c r="P1345">
        <f>IFERROR(VLOOKUP(C1345,Customers!$A$2:$F$301,3,FALSE),"")</f>
        <v>27</v>
      </c>
      <c r="Q1345" s="41">
        <f t="shared" si="29"/>
        <v>0.4031645569620253</v>
      </c>
      <c r="R1345" t="str">
        <f>IFERROR(VLOOKUP(C1345,Customers!$A$2:$F$301,1,FALSE),"")</f>
        <v>CUST-0293</v>
      </c>
      <c r="S1345" s="27" t="b">
        <f>IFERROR(VLOOKUP(D1345,Products!$A$2:$F$61,6,FALSE),"")</f>
        <v>1</v>
      </c>
      <c r="BL1345">
        <v>0</v>
      </c>
      <c r="BO1345">
        <v>0</v>
      </c>
      <c r="BP1345">
        <v>0</v>
      </c>
    </row>
    <row r="1346" spans="1:68" x14ac:dyDescent="0.35">
      <c r="A1346" s="26" t="str">
        <f>Orders!A1346</f>
        <v>ORD-01345</v>
      </c>
      <c r="B1346" s="33">
        <f>Orders!B1346</f>
        <v>45395</v>
      </c>
      <c r="C1346" t="str">
        <f>Orders!C1346</f>
        <v>CUST-0025</v>
      </c>
      <c r="D1346" t="str">
        <f>Orders!D1346</f>
        <v>PROD-035</v>
      </c>
      <c r="E1346" t="str">
        <f>Orders!E1346</f>
        <v>R023</v>
      </c>
      <c r="F1346">
        <f>Orders!F1346</f>
        <v>1</v>
      </c>
      <c r="G1346" s="35">
        <f>Orders!G1346</f>
        <v>1090</v>
      </c>
      <c r="H1346" s="37">
        <f>Orders!H1346</f>
        <v>9.6</v>
      </c>
      <c r="I1346" s="39">
        <f>Orders!I1346</f>
        <v>985.36</v>
      </c>
      <c r="J1346" t="str">
        <f>Orders!J1346</f>
        <v>Refunded</v>
      </c>
      <c r="K1346" t="str">
        <f>Orders!K1346</f>
        <v>Bengaluru</v>
      </c>
      <c r="L1346" t="str">
        <f>IFERROR(VLOOKUP(D1346,Products!$A$2:$F$61,3,FALSE),"")</f>
        <v>Home</v>
      </c>
      <c r="M1346">
        <f>IFERROR(VLOOKUP(D1346,Products!$A$2:$F$61,4,FALSE),"")</f>
        <v>464</v>
      </c>
      <c r="N1346" t="str">
        <f>IFERROR(VLOOKUP(E1346,Sales_Reps!$A$2:$E$31,3,FALSE),"")</f>
        <v>East</v>
      </c>
      <c r="O1346" t="str">
        <f>IFERROR(VLOOKUP(C1346,Customers!$A$2:$F$301,5,FALSE),"")</f>
        <v>Retail</v>
      </c>
      <c r="P1346">
        <f>IFERROR(VLOOKUP(C1346,Customers!$A$2:$F$301,3,FALSE),"")</f>
        <v>23</v>
      </c>
      <c r="Q1346" s="41">
        <f t="shared" ref="Q1346:Q1409" si="30">IFERROR((G1346-M1346)/G1346,0)</f>
        <v>0.57431192660550456</v>
      </c>
      <c r="R1346" t="str">
        <f>IFERROR(VLOOKUP(C1346,Customers!$A$2:$F$301,1,FALSE),"")</f>
        <v>CUST-0025</v>
      </c>
      <c r="S1346" s="27" t="b">
        <f>IFERROR(VLOOKUP(D1346,Products!$A$2:$F$61,6,FALSE),"")</f>
        <v>1</v>
      </c>
      <c r="BL1346">
        <v>0</v>
      </c>
      <c r="BO1346">
        <v>0</v>
      </c>
      <c r="BP1346">
        <v>0</v>
      </c>
    </row>
    <row r="1347" spans="1:68" x14ac:dyDescent="0.35">
      <c r="A1347" s="26" t="str">
        <f>Orders!A1347</f>
        <v>ORD-01346</v>
      </c>
      <c r="B1347" s="33">
        <f>Orders!B1347</f>
        <v>45447</v>
      </c>
      <c r="C1347" t="str">
        <f>Orders!C1347</f>
        <v>CUST-0096</v>
      </c>
      <c r="D1347" t="str">
        <f>Orders!D1347</f>
        <v>PROD-032</v>
      </c>
      <c r="E1347" t="str">
        <f>Orders!E1347</f>
        <v>R004</v>
      </c>
      <c r="F1347">
        <f>Orders!F1347</f>
        <v>9</v>
      </c>
      <c r="G1347" s="35">
        <f>Orders!G1347</f>
        <v>370</v>
      </c>
      <c r="H1347" s="37">
        <f>Orders!H1347</f>
        <v>4</v>
      </c>
      <c r="I1347" s="39">
        <f>Orders!I1347</f>
        <v>3196.8</v>
      </c>
      <c r="J1347" t="str">
        <f>Orders!J1347</f>
        <v>Completed</v>
      </c>
      <c r="K1347" t="str">
        <f>Orders!K1347</f>
        <v>Delhi</v>
      </c>
      <c r="L1347" t="str">
        <f>IFERROR(VLOOKUP(D1347,Products!$A$2:$F$61,3,FALSE),"")</f>
        <v>Home</v>
      </c>
      <c r="M1347">
        <f>IFERROR(VLOOKUP(D1347,Products!$A$2:$F$61,4,FALSE),"")</f>
        <v>288</v>
      </c>
      <c r="N1347" t="str">
        <f>IFERROR(VLOOKUP(E1347,Sales_Reps!$A$2:$E$31,3,FALSE),"")</f>
        <v>North</v>
      </c>
      <c r="O1347" t="str">
        <f>IFERROR(VLOOKUP(C1347,Customers!$A$2:$F$301,5,FALSE),"")</f>
        <v>Corporate</v>
      </c>
      <c r="P1347">
        <f>IFERROR(VLOOKUP(C1347,Customers!$A$2:$F$301,3,FALSE),"")</f>
        <v>27</v>
      </c>
      <c r="Q1347" s="41">
        <f t="shared" si="30"/>
        <v>0.22162162162162163</v>
      </c>
      <c r="R1347" t="str">
        <f>IFERROR(VLOOKUP(C1347,Customers!$A$2:$F$301,1,FALSE),"")</f>
        <v>CUST-0096</v>
      </c>
      <c r="S1347" s="27" t="b">
        <f>IFERROR(VLOOKUP(D1347,Products!$A$2:$F$61,6,FALSE),"")</f>
        <v>1</v>
      </c>
      <c r="BL1347">
        <v>0</v>
      </c>
      <c r="BO1347">
        <v>0</v>
      </c>
      <c r="BP1347">
        <v>0</v>
      </c>
    </row>
    <row r="1348" spans="1:68" x14ac:dyDescent="0.35">
      <c r="A1348" s="26" t="str">
        <f>Orders!A1348</f>
        <v>ORD-01347</v>
      </c>
      <c r="B1348" s="33">
        <f>Orders!B1348</f>
        <v>45300</v>
      </c>
      <c r="C1348" t="str">
        <f>Orders!C1348</f>
        <v>CUST-0069</v>
      </c>
      <c r="D1348" t="str">
        <f>Orders!D1348</f>
        <v>PROD-008</v>
      </c>
      <c r="E1348" t="str">
        <f>Orders!E1348</f>
        <v>R002</v>
      </c>
      <c r="F1348">
        <f>Orders!F1348</f>
        <v>5</v>
      </c>
      <c r="G1348" s="35">
        <f>Orders!G1348</f>
        <v>2660</v>
      </c>
      <c r="H1348" s="37">
        <f>Orders!H1348</f>
        <v>24.6</v>
      </c>
      <c r="I1348" s="39">
        <f>Orders!I1348</f>
        <v>10028.200000000001</v>
      </c>
      <c r="J1348" t="str">
        <f>Orders!J1348</f>
        <v>Cancelled</v>
      </c>
      <c r="K1348" t="str">
        <f>Orders!K1348</f>
        <v>Chennai</v>
      </c>
      <c r="L1348" t="str">
        <f>IFERROR(VLOOKUP(D1348,Products!$A$2:$F$61,3,FALSE),"")</f>
        <v>Electronics</v>
      </c>
      <c r="M1348">
        <f>IFERROR(VLOOKUP(D1348,Products!$A$2:$F$61,4,FALSE),"")</f>
        <v>1259</v>
      </c>
      <c r="N1348" t="str">
        <f>IFERROR(VLOOKUP(E1348,Sales_Reps!$A$2:$E$31,3,FALSE),"")</f>
        <v>North</v>
      </c>
      <c r="O1348" t="str">
        <f>IFERROR(VLOOKUP(C1348,Customers!$A$2:$F$301,5,FALSE),"")</f>
        <v>Retail</v>
      </c>
      <c r="P1348">
        <f>IFERROR(VLOOKUP(C1348,Customers!$A$2:$F$301,3,FALSE),"")</f>
        <v>51</v>
      </c>
      <c r="Q1348" s="41">
        <f t="shared" si="30"/>
        <v>0.52669172932330832</v>
      </c>
      <c r="R1348" t="str">
        <f>IFERROR(VLOOKUP(C1348,Customers!$A$2:$F$301,1,FALSE),"")</f>
        <v>CUST-0069</v>
      </c>
      <c r="S1348" s="27" t="b">
        <f>IFERROR(VLOOKUP(D1348,Products!$A$2:$F$61,6,FALSE),"")</f>
        <v>0</v>
      </c>
      <c r="BL1348">
        <v>0</v>
      </c>
      <c r="BO1348">
        <v>0</v>
      </c>
      <c r="BP1348">
        <v>1</v>
      </c>
    </row>
    <row r="1349" spans="1:68" x14ac:dyDescent="0.35">
      <c r="A1349" s="26" t="str">
        <f>Orders!A1349</f>
        <v>ORD-01348</v>
      </c>
      <c r="B1349" s="33">
        <f>Orders!B1349</f>
        <v>45327</v>
      </c>
      <c r="C1349" t="str">
        <f>Orders!C1349</f>
        <v>CUST-0220</v>
      </c>
      <c r="D1349" t="str">
        <f>Orders!D1349</f>
        <v>PROD-018</v>
      </c>
      <c r="E1349" t="str">
        <f>Orders!E1349</f>
        <v>R018</v>
      </c>
      <c r="F1349">
        <f>Orders!F1349</f>
        <v>4</v>
      </c>
      <c r="G1349" s="35">
        <f>Orders!G1349</f>
        <v>3560</v>
      </c>
      <c r="H1349" s="37">
        <f>Orders!H1349</f>
        <v>25.7</v>
      </c>
      <c r="I1349" s="39">
        <f>Orders!I1349</f>
        <v>10580.32</v>
      </c>
      <c r="J1349" t="str">
        <f>Orders!J1349</f>
        <v>Completed</v>
      </c>
      <c r="K1349" t="str">
        <f>Orders!K1349</f>
        <v>Chennai</v>
      </c>
      <c r="L1349" t="str">
        <f>IFERROR(VLOOKUP(D1349,Products!$A$2:$F$61,3,FALSE),"")</f>
        <v>Apparel</v>
      </c>
      <c r="M1349">
        <f>IFERROR(VLOOKUP(D1349,Products!$A$2:$F$61,4,FALSE),"")</f>
        <v>2629</v>
      </c>
      <c r="N1349" t="str">
        <f>IFERROR(VLOOKUP(E1349,Sales_Reps!$A$2:$E$31,3,FALSE),"")</f>
        <v>East</v>
      </c>
      <c r="O1349" t="str">
        <f>IFERROR(VLOOKUP(C1349,Customers!$A$2:$F$301,5,FALSE),"")</f>
        <v>Retail</v>
      </c>
      <c r="P1349">
        <f>IFERROR(VLOOKUP(C1349,Customers!$A$2:$F$301,3,FALSE),"")</f>
        <v>34</v>
      </c>
      <c r="Q1349" s="41">
        <f t="shared" si="30"/>
        <v>0.26151685393258428</v>
      </c>
      <c r="R1349" t="str">
        <f>IFERROR(VLOOKUP(C1349,Customers!$A$2:$F$301,1,FALSE),"")</f>
        <v>CUST-0220</v>
      </c>
      <c r="S1349" s="27" t="b">
        <f>IFERROR(VLOOKUP(D1349,Products!$A$2:$F$61,6,FALSE),"")</f>
        <v>1</v>
      </c>
      <c r="BL1349">
        <v>0</v>
      </c>
      <c r="BO1349">
        <v>0</v>
      </c>
      <c r="BP1349">
        <v>0</v>
      </c>
    </row>
    <row r="1350" spans="1:68" x14ac:dyDescent="0.35">
      <c r="A1350" s="26" t="str">
        <f>Orders!A1350</f>
        <v>ORD-01349</v>
      </c>
      <c r="B1350" s="33">
        <f>Orders!B1350</f>
        <v>45410</v>
      </c>
      <c r="C1350" t="str">
        <f>Orders!C1350</f>
        <v>CUST-0005</v>
      </c>
      <c r="D1350" t="str">
        <f>Orders!D1350</f>
        <v>PROD-049</v>
      </c>
      <c r="E1350" t="str">
        <f>Orders!E1350</f>
        <v>R005</v>
      </c>
      <c r="F1350">
        <f>Orders!F1350</f>
        <v>8</v>
      </c>
      <c r="G1350" s="35">
        <f>Orders!G1350</f>
        <v>960</v>
      </c>
      <c r="H1350" s="37">
        <f>Orders!H1350</f>
        <v>0.1</v>
      </c>
      <c r="I1350" s="39">
        <f>Orders!I1350</f>
        <v>7672.32</v>
      </c>
      <c r="J1350" t="str">
        <f>Orders!J1350</f>
        <v>Completed</v>
      </c>
      <c r="K1350" t="str">
        <f>Orders!K1350</f>
        <v>Chennai</v>
      </c>
      <c r="L1350" t="str">
        <f>IFERROR(VLOOKUP(D1350,Products!$A$2:$F$61,3,FALSE),"")</f>
        <v>Beauty</v>
      </c>
      <c r="M1350">
        <f>IFERROR(VLOOKUP(D1350,Products!$A$2:$F$61,4,FALSE),"")</f>
        <v>675</v>
      </c>
      <c r="N1350" t="str">
        <f>IFERROR(VLOOKUP(E1350,Sales_Reps!$A$2:$E$31,3,FALSE),"")</f>
        <v>North</v>
      </c>
      <c r="O1350" t="str">
        <f>IFERROR(VLOOKUP(C1350,Customers!$A$2:$F$301,5,FALSE),"")</f>
        <v>Corporate</v>
      </c>
      <c r="P1350">
        <f>IFERROR(VLOOKUP(C1350,Customers!$A$2:$F$301,3,FALSE),"")</f>
        <v>52</v>
      </c>
      <c r="Q1350" s="41">
        <f t="shared" si="30"/>
        <v>0.296875</v>
      </c>
      <c r="R1350" t="str">
        <f>IFERROR(VLOOKUP(C1350,Customers!$A$2:$F$301,1,FALSE),"")</f>
        <v>CUST-0005</v>
      </c>
      <c r="S1350" s="27" t="b">
        <f>IFERROR(VLOOKUP(D1350,Products!$A$2:$F$61,6,FALSE),"")</f>
        <v>1</v>
      </c>
      <c r="BL1350">
        <v>0</v>
      </c>
      <c r="BO1350">
        <v>0</v>
      </c>
      <c r="BP1350">
        <v>0</v>
      </c>
    </row>
    <row r="1351" spans="1:68" x14ac:dyDescent="0.35">
      <c r="A1351" s="26" t="str">
        <f>Orders!A1351</f>
        <v>ORD-01350</v>
      </c>
      <c r="B1351" s="33">
        <f>Orders!B1351</f>
        <v>45644</v>
      </c>
      <c r="C1351" t="str">
        <f>Orders!C1351</f>
        <v>CUST-0222</v>
      </c>
      <c r="D1351" t="str">
        <f>Orders!D1351</f>
        <v>PROD-032</v>
      </c>
      <c r="E1351" t="str">
        <f>Orders!E1351</f>
        <v>R024</v>
      </c>
      <c r="F1351">
        <f>Orders!F1351</f>
        <v>10</v>
      </c>
      <c r="G1351" s="35">
        <f>Orders!G1351</f>
        <v>370</v>
      </c>
      <c r="H1351" s="37">
        <f>Orders!H1351</f>
        <v>16.399999999999999</v>
      </c>
      <c r="I1351" s="39">
        <f>Orders!I1351</f>
        <v>3093.2</v>
      </c>
      <c r="J1351" t="str">
        <f>Orders!J1351</f>
        <v>Cancelled</v>
      </c>
      <c r="K1351" t="str">
        <f>Orders!K1351</f>
        <v>Chennai</v>
      </c>
      <c r="L1351" t="str">
        <f>IFERROR(VLOOKUP(D1351,Products!$A$2:$F$61,3,FALSE),"")</f>
        <v>Home</v>
      </c>
      <c r="M1351">
        <f>IFERROR(VLOOKUP(D1351,Products!$A$2:$F$61,4,FALSE),"")</f>
        <v>288</v>
      </c>
      <c r="N1351" t="str">
        <f>IFERROR(VLOOKUP(E1351,Sales_Reps!$A$2:$E$31,3,FALSE),"")</f>
        <v>West</v>
      </c>
      <c r="O1351" t="str">
        <f>IFERROR(VLOOKUP(C1351,Customers!$A$2:$F$301,5,FALSE),"")</f>
        <v>Retail</v>
      </c>
      <c r="P1351">
        <f>IFERROR(VLOOKUP(C1351,Customers!$A$2:$F$301,3,FALSE),"")</f>
        <v>37</v>
      </c>
      <c r="Q1351" s="41">
        <f t="shared" si="30"/>
        <v>0.22162162162162163</v>
      </c>
      <c r="R1351" t="str">
        <f>IFERROR(VLOOKUP(C1351,Customers!$A$2:$F$301,1,FALSE),"")</f>
        <v>CUST-0222</v>
      </c>
      <c r="S1351" s="27" t="b">
        <f>IFERROR(VLOOKUP(D1351,Products!$A$2:$F$61,6,FALSE),"")</f>
        <v>1</v>
      </c>
      <c r="BL1351">
        <v>0</v>
      </c>
      <c r="BO1351">
        <v>0</v>
      </c>
      <c r="BP1351">
        <v>0</v>
      </c>
    </row>
    <row r="1352" spans="1:68" x14ac:dyDescent="0.35">
      <c r="A1352" s="26" t="str">
        <f>Orders!A1352</f>
        <v>ORD-01351</v>
      </c>
      <c r="B1352" s="33">
        <f>Orders!B1352</f>
        <v>45399</v>
      </c>
      <c r="C1352" t="str">
        <f>Orders!C1352</f>
        <v>CUST-0039</v>
      </c>
      <c r="D1352" t="str">
        <f>Orders!D1352</f>
        <v>PROD-015</v>
      </c>
      <c r="E1352" t="str">
        <f>Orders!E1352</f>
        <v>R029</v>
      </c>
      <c r="F1352">
        <f>Orders!F1352</f>
        <v>4</v>
      </c>
      <c r="G1352" s="35">
        <f>Orders!G1352</f>
        <v>2720</v>
      </c>
      <c r="H1352" s="37">
        <f>Orders!H1352</f>
        <v>3.1</v>
      </c>
      <c r="I1352" s="39">
        <f>Orders!I1352</f>
        <v>10542.72</v>
      </c>
      <c r="J1352" t="str">
        <f>Orders!J1352</f>
        <v>Completed</v>
      </c>
      <c r="K1352" t="str">
        <f>Orders!K1352</f>
        <v>Bengaluru</v>
      </c>
      <c r="L1352" t="str">
        <f>IFERROR(VLOOKUP(D1352,Products!$A$2:$F$61,3,FALSE),"")</f>
        <v>Apparel</v>
      </c>
      <c r="M1352">
        <f>IFERROR(VLOOKUP(D1352,Products!$A$2:$F$61,4,FALSE),"")</f>
        <v>1962</v>
      </c>
      <c r="N1352" t="str">
        <f>IFERROR(VLOOKUP(E1352,Sales_Reps!$A$2:$E$31,3,FALSE),"")</f>
        <v>West</v>
      </c>
      <c r="O1352" t="str">
        <f>IFERROR(VLOOKUP(C1352,Customers!$A$2:$F$301,5,FALSE),"")</f>
        <v>Retail</v>
      </c>
      <c r="P1352">
        <f>IFERROR(VLOOKUP(C1352,Customers!$A$2:$F$301,3,FALSE),"")</f>
        <v>37</v>
      </c>
      <c r="Q1352" s="41">
        <f t="shared" si="30"/>
        <v>0.2786764705882353</v>
      </c>
      <c r="R1352" t="str">
        <f>IFERROR(VLOOKUP(C1352,Customers!$A$2:$F$301,1,FALSE),"")</f>
        <v>CUST-0039</v>
      </c>
      <c r="S1352" s="27" t="b">
        <f>IFERROR(VLOOKUP(D1352,Products!$A$2:$F$61,6,FALSE),"")</f>
        <v>1</v>
      </c>
      <c r="BL1352">
        <v>0</v>
      </c>
      <c r="BO1352">
        <v>0</v>
      </c>
      <c r="BP1352">
        <v>0</v>
      </c>
    </row>
    <row r="1353" spans="1:68" x14ac:dyDescent="0.35">
      <c r="A1353" s="26" t="str">
        <f>Orders!A1353</f>
        <v>ORD-01352</v>
      </c>
      <c r="B1353" s="33">
        <f>Orders!B1353</f>
        <v>45441</v>
      </c>
      <c r="C1353" t="str">
        <f>Orders!C1353</f>
        <v>CUST-0224</v>
      </c>
      <c r="D1353" t="str">
        <f>Orders!D1353</f>
        <v>PROD-034</v>
      </c>
      <c r="E1353" t="str">
        <f>Orders!E1353</f>
        <v>R005</v>
      </c>
      <c r="F1353">
        <f>Orders!F1353</f>
        <v>10</v>
      </c>
      <c r="G1353" s="35">
        <f>Orders!G1353</f>
        <v>5080</v>
      </c>
      <c r="H1353" s="37">
        <f>Orders!H1353</f>
        <v>6.8</v>
      </c>
      <c r="I1353" s="39">
        <f>Orders!I1353</f>
        <v>47345.599999999999</v>
      </c>
      <c r="J1353" t="str">
        <f>Orders!J1353</f>
        <v>Completed</v>
      </c>
      <c r="K1353" t="str">
        <f>Orders!K1353</f>
        <v>Chennai</v>
      </c>
      <c r="L1353" t="str">
        <f>IFERROR(VLOOKUP(D1353,Products!$A$2:$F$61,3,FALSE),"")</f>
        <v>Home</v>
      </c>
      <c r="M1353">
        <f>IFERROR(VLOOKUP(D1353,Products!$A$2:$F$61,4,FALSE),"")</f>
        <v>2459</v>
      </c>
      <c r="N1353" t="str">
        <f>IFERROR(VLOOKUP(E1353,Sales_Reps!$A$2:$E$31,3,FALSE),"")</f>
        <v>North</v>
      </c>
      <c r="O1353" t="str">
        <f>IFERROR(VLOOKUP(C1353,Customers!$A$2:$F$301,5,FALSE),"")</f>
        <v>Corporate</v>
      </c>
      <c r="P1353">
        <f>IFERROR(VLOOKUP(C1353,Customers!$A$2:$F$301,3,FALSE),"")</f>
        <v>24</v>
      </c>
      <c r="Q1353" s="41">
        <f t="shared" si="30"/>
        <v>0.51594488188976373</v>
      </c>
      <c r="R1353" t="str">
        <f>IFERROR(VLOOKUP(C1353,Customers!$A$2:$F$301,1,FALSE),"")</f>
        <v>CUST-0224</v>
      </c>
      <c r="S1353" s="27" t="b">
        <f>IFERROR(VLOOKUP(D1353,Products!$A$2:$F$61,6,FALSE),"")</f>
        <v>1</v>
      </c>
      <c r="BL1353">
        <v>0</v>
      </c>
      <c r="BO1353">
        <v>0</v>
      </c>
      <c r="BP1353">
        <v>0</v>
      </c>
    </row>
    <row r="1354" spans="1:68" x14ac:dyDescent="0.35">
      <c r="A1354" s="26" t="str">
        <f>Orders!A1354</f>
        <v>ORD-01353</v>
      </c>
      <c r="B1354" s="33">
        <f>Orders!B1354</f>
        <v>45379</v>
      </c>
      <c r="C1354" t="str">
        <f>Orders!C1354</f>
        <v>CUST-0288</v>
      </c>
      <c r="D1354" t="str">
        <f>Orders!D1354</f>
        <v>PROD-042</v>
      </c>
      <c r="E1354" t="str">
        <f>Orders!E1354</f>
        <v>R008</v>
      </c>
      <c r="F1354">
        <f>Orders!F1354</f>
        <v>6</v>
      </c>
      <c r="G1354" s="35">
        <f>Orders!G1354</f>
        <v>2290</v>
      </c>
      <c r="H1354" s="37">
        <f>Orders!H1354</f>
        <v>22.6</v>
      </c>
      <c r="I1354" s="39">
        <f>Orders!I1354</f>
        <v>10634.76</v>
      </c>
      <c r="J1354" t="str">
        <f>Orders!J1354</f>
        <v>Completed</v>
      </c>
      <c r="K1354" t="str">
        <f>Orders!K1354</f>
        <v>Hyderabad</v>
      </c>
      <c r="L1354" t="str">
        <f>IFERROR(VLOOKUP(D1354,Products!$A$2:$F$61,3,FALSE),"")</f>
        <v>Beauty</v>
      </c>
      <c r="M1354">
        <f>IFERROR(VLOOKUP(D1354,Products!$A$2:$F$61,4,FALSE),"")</f>
        <v>1219</v>
      </c>
      <c r="N1354" t="str">
        <f>IFERROR(VLOOKUP(E1354,Sales_Reps!$A$2:$E$31,3,FALSE),"")</f>
        <v>North</v>
      </c>
      <c r="O1354" t="str">
        <f>IFERROR(VLOOKUP(C1354,Customers!$A$2:$F$301,5,FALSE),"")</f>
        <v>Corporate</v>
      </c>
      <c r="P1354">
        <f>IFERROR(VLOOKUP(C1354,Customers!$A$2:$F$301,3,FALSE),"")</f>
        <v>25</v>
      </c>
      <c r="Q1354" s="41">
        <f t="shared" si="30"/>
        <v>0.46768558951965067</v>
      </c>
      <c r="R1354" t="str">
        <f>IFERROR(VLOOKUP(C1354,Customers!$A$2:$F$301,1,FALSE),"")</f>
        <v>CUST-0288</v>
      </c>
      <c r="S1354" s="27" t="b">
        <f>IFERROR(VLOOKUP(D1354,Products!$A$2:$F$61,6,FALSE),"")</f>
        <v>1</v>
      </c>
      <c r="BL1354">
        <v>0</v>
      </c>
      <c r="BO1354">
        <v>0</v>
      </c>
      <c r="BP1354">
        <v>0</v>
      </c>
    </row>
    <row r="1355" spans="1:68" x14ac:dyDescent="0.35">
      <c r="A1355" s="26" t="str">
        <f>Orders!A1355</f>
        <v>ORD-01354</v>
      </c>
      <c r="B1355" s="33">
        <f>Orders!B1355</f>
        <v>45502</v>
      </c>
      <c r="C1355" t="str">
        <f>Orders!C1355</f>
        <v>CUST-0002</v>
      </c>
      <c r="D1355" t="str">
        <f>Orders!D1355</f>
        <v>PROD-021</v>
      </c>
      <c r="E1355" t="str">
        <f>Orders!E1355</f>
        <v>R006</v>
      </c>
      <c r="F1355">
        <f>Orders!F1355</f>
        <v>4</v>
      </c>
      <c r="G1355" s="35">
        <f>Orders!G1355</f>
        <v>2760</v>
      </c>
      <c r="H1355" s="37">
        <f>Orders!H1355</f>
        <v>27.2</v>
      </c>
      <c r="I1355" s="39">
        <f>Orders!I1355</f>
        <v>8037.12</v>
      </c>
      <c r="J1355" t="str">
        <f>Orders!J1355</f>
        <v>Refunded</v>
      </c>
      <c r="K1355" t="str">
        <f>Orders!K1355</f>
        <v>Pune</v>
      </c>
      <c r="L1355" t="str">
        <f>IFERROR(VLOOKUP(D1355,Products!$A$2:$F$61,3,FALSE),"")</f>
        <v>Grocery</v>
      </c>
      <c r="M1355">
        <f>IFERROR(VLOOKUP(D1355,Products!$A$2:$F$61,4,FALSE),"")</f>
        <v>1435</v>
      </c>
      <c r="N1355" t="str">
        <f>IFERROR(VLOOKUP(E1355,Sales_Reps!$A$2:$E$31,3,FALSE),"")</f>
        <v>North</v>
      </c>
      <c r="O1355" t="str">
        <f>IFERROR(VLOOKUP(C1355,Customers!$A$2:$F$301,5,FALSE),"")</f>
        <v>Corporate</v>
      </c>
      <c r="P1355">
        <f>IFERROR(VLOOKUP(C1355,Customers!$A$2:$F$301,3,FALSE),"")</f>
        <v>42</v>
      </c>
      <c r="Q1355" s="41">
        <f t="shared" si="30"/>
        <v>0.48007246376811596</v>
      </c>
      <c r="R1355" t="str">
        <f>IFERROR(VLOOKUP(C1355,Customers!$A$2:$F$301,1,FALSE),"")</f>
        <v>CUST-0002</v>
      </c>
      <c r="S1355" s="27" t="b">
        <f>IFERROR(VLOOKUP(D1355,Products!$A$2:$F$61,6,FALSE),"")</f>
        <v>1</v>
      </c>
      <c r="BL1355">
        <v>0</v>
      </c>
      <c r="BO1355">
        <v>0</v>
      </c>
      <c r="BP1355">
        <v>0</v>
      </c>
    </row>
    <row r="1356" spans="1:68" x14ac:dyDescent="0.35">
      <c r="A1356" s="26" t="str">
        <f>Orders!A1356</f>
        <v>ORD-01355</v>
      </c>
      <c r="B1356" s="33">
        <f>Orders!B1356</f>
        <v>45466</v>
      </c>
      <c r="C1356" t="str">
        <f>Orders!C1356</f>
        <v>CUST-0172</v>
      </c>
      <c r="D1356" t="str">
        <f>Orders!D1356</f>
        <v>PROD-024</v>
      </c>
      <c r="E1356" t="str">
        <f>Orders!E1356</f>
        <v>R027</v>
      </c>
      <c r="F1356">
        <f>Orders!F1356</f>
        <v>9</v>
      </c>
      <c r="G1356" s="35">
        <f>Orders!G1356</f>
        <v>2270</v>
      </c>
      <c r="H1356" s="37">
        <f>Orders!H1356</f>
        <v>5.2</v>
      </c>
      <c r="I1356" s="39">
        <f>Orders!I1356</f>
        <v>19367.64</v>
      </c>
      <c r="J1356" t="str">
        <f>Orders!J1356</f>
        <v>Completed</v>
      </c>
      <c r="K1356" t="str">
        <f>Orders!K1356</f>
        <v>Pune</v>
      </c>
      <c r="L1356" t="str">
        <f>IFERROR(VLOOKUP(D1356,Products!$A$2:$F$61,3,FALSE),"")</f>
        <v>Grocery</v>
      </c>
      <c r="M1356">
        <f>IFERROR(VLOOKUP(D1356,Products!$A$2:$F$61,4,FALSE),"")</f>
        <v>1203</v>
      </c>
      <c r="N1356" t="str">
        <f>IFERROR(VLOOKUP(E1356,Sales_Reps!$A$2:$E$31,3,FALSE),"")</f>
        <v>West</v>
      </c>
      <c r="O1356" t="str">
        <f>IFERROR(VLOOKUP(C1356,Customers!$A$2:$F$301,5,FALSE),"")</f>
        <v>Retail</v>
      </c>
      <c r="P1356">
        <f>IFERROR(VLOOKUP(C1356,Customers!$A$2:$F$301,3,FALSE),"")</f>
        <v>65</v>
      </c>
      <c r="Q1356" s="41">
        <f t="shared" si="30"/>
        <v>0.47004405286343615</v>
      </c>
      <c r="R1356" t="str">
        <f>IFERROR(VLOOKUP(C1356,Customers!$A$2:$F$301,1,FALSE),"")</f>
        <v>CUST-0172</v>
      </c>
      <c r="S1356" s="27" t="b">
        <f>IFERROR(VLOOKUP(D1356,Products!$A$2:$F$61,6,FALSE),"")</f>
        <v>1</v>
      </c>
      <c r="BL1356">
        <v>0</v>
      </c>
      <c r="BO1356">
        <v>0</v>
      </c>
      <c r="BP1356">
        <v>0</v>
      </c>
    </row>
    <row r="1357" spans="1:68" x14ac:dyDescent="0.35">
      <c r="A1357" s="26" t="str">
        <f>Orders!A1357</f>
        <v>ORD-01356</v>
      </c>
      <c r="B1357" s="33">
        <f>Orders!B1357</f>
        <v>45500</v>
      </c>
      <c r="C1357" t="str">
        <f>Orders!C1357</f>
        <v>CUST-0287</v>
      </c>
      <c r="D1357" t="str">
        <f>Orders!D1357</f>
        <v>PROD-017</v>
      </c>
      <c r="E1357" t="str">
        <f>Orders!E1357</f>
        <v>R008</v>
      </c>
      <c r="F1357">
        <f>Orders!F1357</f>
        <v>3</v>
      </c>
      <c r="G1357" s="35">
        <f>Orders!G1357</f>
        <v>2510</v>
      </c>
      <c r="H1357" s="37">
        <f>Orders!H1357</f>
        <v>16.399999999999999</v>
      </c>
      <c r="I1357" s="39">
        <f>Orders!I1357</f>
        <v>6295.08</v>
      </c>
      <c r="J1357" t="str">
        <f>Orders!J1357</f>
        <v>Completed</v>
      </c>
      <c r="K1357" t="str">
        <f>Orders!K1357</f>
        <v>Chennai</v>
      </c>
      <c r="L1357" t="str">
        <f>IFERROR(VLOOKUP(D1357,Products!$A$2:$F$61,3,FALSE),"")</f>
        <v>Apparel</v>
      </c>
      <c r="M1357">
        <f>IFERROR(VLOOKUP(D1357,Products!$A$2:$F$61,4,FALSE),"")</f>
        <v>1075</v>
      </c>
      <c r="N1357" t="str">
        <f>IFERROR(VLOOKUP(E1357,Sales_Reps!$A$2:$E$31,3,FALSE),"")</f>
        <v>North</v>
      </c>
      <c r="O1357" t="str">
        <f>IFERROR(VLOOKUP(C1357,Customers!$A$2:$F$301,5,FALSE),"")</f>
        <v>SMB</v>
      </c>
      <c r="P1357">
        <f>IFERROR(VLOOKUP(C1357,Customers!$A$2:$F$301,3,FALSE),"")</f>
        <v>53</v>
      </c>
      <c r="Q1357" s="41">
        <f t="shared" si="30"/>
        <v>0.57171314741035861</v>
      </c>
      <c r="R1357" t="str">
        <f>IFERROR(VLOOKUP(C1357,Customers!$A$2:$F$301,1,FALSE),"")</f>
        <v>CUST-0287</v>
      </c>
      <c r="S1357" s="27" t="b">
        <f>IFERROR(VLOOKUP(D1357,Products!$A$2:$F$61,6,FALSE),"")</f>
        <v>0</v>
      </c>
      <c r="BL1357">
        <v>0</v>
      </c>
      <c r="BO1357">
        <v>0</v>
      </c>
      <c r="BP1357">
        <v>1</v>
      </c>
    </row>
    <row r="1358" spans="1:68" x14ac:dyDescent="0.35">
      <c r="A1358" s="26" t="str">
        <f>Orders!A1358</f>
        <v>ORD-01357</v>
      </c>
      <c r="B1358" s="33">
        <f>Orders!B1358</f>
        <v>45337</v>
      </c>
      <c r="C1358" t="str">
        <f>Orders!C1358</f>
        <v>CUST-0020</v>
      </c>
      <c r="D1358" t="str">
        <f>Orders!D1358</f>
        <v>PROD-023</v>
      </c>
      <c r="E1358" t="str">
        <f>Orders!E1358</f>
        <v>R012</v>
      </c>
      <c r="F1358">
        <f>Orders!F1358</f>
        <v>1</v>
      </c>
      <c r="G1358" s="35">
        <f>Orders!G1358</f>
        <v>2380</v>
      </c>
      <c r="H1358" s="37">
        <f>Orders!H1358</f>
        <v>23.5</v>
      </c>
      <c r="I1358" s="39">
        <f>Orders!I1358</f>
        <v>1820.7</v>
      </c>
      <c r="J1358" t="str">
        <f>Orders!J1358</f>
        <v>Completed</v>
      </c>
      <c r="K1358" t="str">
        <f>Orders!K1358</f>
        <v>Hyderabad</v>
      </c>
      <c r="L1358" t="str">
        <f>IFERROR(VLOOKUP(D1358,Products!$A$2:$F$61,3,FALSE),"")</f>
        <v>Grocery</v>
      </c>
      <c r="M1358">
        <f>IFERROR(VLOOKUP(D1358,Products!$A$2:$F$61,4,FALSE),"")</f>
        <v>1182</v>
      </c>
      <c r="N1358" t="str">
        <f>IFERROR(VLOOKUP(E1358,Sales_Reps!$A$2:$E$31,3,FALSE),"")</f>
        <v>South</v>
      </c>
      <c r="O1358" t="str">
        <f>IFERROR(VLOOKUP(C1358,Customers!$A$2:$F$301,5,FALSE),"")</f>
        <v>Retail</v>
      </c>
      <c r="P1358">
        <f>IFERROR(VLOOKUP(C1358,Customers!$A$2:$F$301,3,FALSE),"")</f>
        <v>46</v>
      </c>
      <c r="Q1358" s="41">
        <f t="shared" si="30"/>
        <v>0.50336134453781511</v>
      </c>
      <c r="R1358" t="str">
        <f>IFERROR(VLOOKUP(C1358,Customers!$A$2:$F$301,1,FALSE),"")</f>
        <v>CUST-0020</v>
      </c>
      <c r="S1358" s="27" t="b">
        <f>IFERROR(VLOOKUP(D1358,Products!$A$2:$F$61,6,FALSE),"")</f>
        <v>1</v>
      </c>
      <c r="BL1358">
        <v>0</v>
      </c>
      <c r="BO1358">
        <v>0</v>
      </c>
      <c r="BP1358">
        <v>0</v>
      </c>
    </row>
    <row r="1359" spans="1:68" x14ac:dyDescent="0.35">
      <c r="A1359" s="26" t="str">
        <f>Orders!A1359</f>
        <v>ORD-01358</v>
      </c>
      <c r="B1359" s="33">
        <f>Orders!B1359</f>
        <v>45447</v>
      </c>
      <c r="C1359" t="str">
        <f>Orders!C1359</f>
        <v>CUST-0039</v>
      </c>
      <c r="D1359" t="str">
        <f>Orders!D1359</f>
        <v>PROD-059</v>
      </c>
      <c r="E1359" t="str">
        <f>Orders!E1359</f>
        <v>R019</v>
      </c>
      <c r="F1359">
        <f>Orders!F1359</f>
        <v>2</v>
      </c>
      <c r="G1359" s="35">
        <f>Orders!G1359</f>
        <v>3780</v>
      </c>
      <c r="H1359" s="37">
        <f>Orders!H1359</f>
        <v>29.1</v>
      </c>
      <c r="I1359" s="39">
        <f>Orders!I1359</f>
        <v>5360.04</v>
      </c>
      <c r="J1359" t="str">
        <f>Orders!J1359</f>
        <v>Completed</v>
      </c>
      <c r="K1359" t="str">
        <f>Orders!K1359</f>
        <v>Bengaluru</v>
      </c>
      <c r="L1359" t="str">
        <f>IFERROR(VLOOKUP(D1359,Products!$A$2:$F$61,3,FALSE),"")</f>
        <v>Sports</v>
      </c>
      <c r="M1359">
        <f>IFERROR(VLOOKUP(D1359,Products!$A$2:$F$61,4,FALSE),"")</f>
        <v>1860</v>
      </c>
      <c r="N1359" t="str">
        <f>IFERROR(VLOOKUP(E1359,Sales_Reps!$A$2:$E$31,3,FALSE),"")</f>
        <v>East</v>
      </c>
      <c r="O1359" t="str">
        <f>IFERROR(VLOOKUP(C1359,Customers!$A$2:$F$301,5,FALSE),"")</f>
        <v>Retail</v>
      </c>
      <c r="P1359">
        <f>IFERROR(VLOOKUP(C1359,Customers!$A$2:$F$301,3,FALSE),"")</f>
        <v>37</v>
      </c>
      <c r="Q1359" s="41">
        <f t="shared" si="30"/>
        <v>0.50793650793650791</v>
      </c>
      <c r="R1359" t="str">
        <f>IFERROR(VLOOKUP(C1359,Customers!$A$2:$F$301,1,FALSE),"")</f>
        <v>CUST-0039</v>
      </c>
      <c r="S1359" s="27" t="b">
        <f>IFERROR(VLOOKUP(D1359,Products!$A$2:$F$61,6,FALSE),"")</f>
        <v>1</v>
      </c>
      <c r="BL1359">
        <v>0</v>
      </c>
      <c r="BO1359">
        <v>0</v>
      </c>
      <c r="BP1359">
        <v>0</v>
      </c>
    </row>
    <row r="1360" spans="1:68" x14ac:dyDescent="0.35">
      <c r="A1360" s="26" t="str">
        <f>Orders!A1360</f>
        <v>ORD-01359</v>
      </c>
      <c r="B1360" s="33">
        <f>Orders!B1360</f>
        <v>45546</v>
      </c>
      <c r="C1360" t="str">
        <f>Orders!C1360</f>
        <v>CUST-0128</v>
      </c>
      <c r="D1360" t="str">
        <f>Orders!D1360</f>
        <v>PROD-011</v>
      </c>
      <c r="E1360" t="str">
        <f>Orders!E1360</f>
        <v>R026</v>
      </c>
      <c r="F1360">
        <f>Orders!F1360</f>
        <v>1</v>
      </c>
      <c r="G1360" s="35">
        <f>Orders!G1360</f>
        <v>3450</v>
      </c>
      <c r="H1360" s="37">
        <f>Orders!H1360</f>
        <v>17.8</v>
      </c>
      <c r="I1360" s="39">
        <f>Orders!I1360</f>
        <v>2835.9</v>
      </c>
      <c r="J1360" t="str">
        <f>Orders!J1360</f>
        <v>Completed</v>
      </c>
      <c r="K1360" t="str">
        <f>Orders!K1360</f>
        <v>Hyderabad</v>
      </c>
      <c r="L1360" t="str">
        <f>IFERROR(VLOOKUP(D1360,Products!$A$2:$F$61,3,FALSE),"")</f>
        <v>Apparel</v>
      </c>
      <c r="M1360">
        <f>IFERROR(VLOOKUP(D1360,Products!$A$2:$F$61,4,FALSE),"")</f>
        <v>1748</v>
      </c>
      <c r="N1360" t="str">
        <f>IFERROR(VLOOKUP(E1360,Sales_Reps!$A$2:$E$31,3,FALSE),"")</f>
        <v>West</v>
      </c>
      <c r="O1360" t="str">
        <f>IFERROR(VLOOKUP(C1360,Customers!$A$2:$F$301,5,FALSE),"")</f>
        <v>Retail</v>
      </c>
      <c r="P1360">
        <f>IFERROR(VLOOKUP(C1360,Customers!$A$2:$F$301,3,FALSE),"")</f>
        <v>35</v>
      </c>
      <c r="Q1360" s="41">
        <f t="shared" si="30"/>
        <v>0.49333333333333335</v>
      </c>
      <c r="R1360" t="str">
        <f>IFERROR(VLOOKUP(C1360,Customers!$A$2:$F$301,1,FALSE),"")</f>
        <v>CUST-0128</v>
      </c>
      <c r="S1360" s="27" t="b">
        <f>IFERROR(VLOOKUP(D1360,Products!$A$2:$F$61,6,FALSE),"")</f>
        <v>1</v>
      </c>
      <c r="BL1360">
        <v>0</v>
      </c>
      <c r="BO1360">
        <v>0</v>
      </c>
      <c r="BP1360">
        <v>0</v>
      </c>
    </row>
    <row r="1361" spans="1:68" x14ac:dyDescent="0.35">
      <c r="A1361" s="26" t="str">
        <f>Orders!A1361</f>
        <v>ORD-01360</v>
      </c>
      <c r="B1361" s="33">
        <f>Orders!B1361</f>
        <v>45451</v>
      </c>
      <c r="C1361" t="str">
        <f>Orders!C1361</f>
        <v>CUST-0149</v>
      </c>
      <c r="D1361" t="str">
        <f>Orders!D1361</f>
        <v>PROD-046</v>
      </c>
      <c r="E1361" t="str">
        <f>Orders!E1361</f>
        <v>R006</v>
      </c>
      <c r="F1361">
        <f>Orders!F1361</f>
        <v>6</v>
      </c>
      <c r="G1361" s="35">
        <f>Orders!G1361</f>
        <v>4880</v>
      </c>
      <c r="H1361" s="37">
        <f>Orders!H1361</f>
        <v>15.6</v>
      </c>
      <c r="I1361" s="39">
        <f>Orders!I1361</f>
        <v>24712.32</v>
      </c>
      <c r="J1361" t="str">
        <f>Orders!J1361</f>
        <v>Pending</v>
      </c>
      <c r="K1361" t="str">
        <f>Orders!K1361</f>
        <v>Hyderabad</v>
      </c>
      <c r="L1361" t="str">
        <f>IFERROR(VLOOKUP(D1361,Products!$A$2:$F$61,3,FALSE),"")</f>
        <v>Beauty</v>
      </c>
      <c r="M1361">
        <f>IFERROR(VLOOKUP(D1361,Products!$A$2:$F$61,4,FALSE),"")</f>
        <v>2768</v>
      </c>
      <c r="N1361" t="str">
        <f>IFERROR(VLOOKUP(E1361,Sales_Reps!$A$2:$E$31,3,FALSE),"")</f>
        <v>North</v>
      </c>
      <c r="O1361" t="str">
        <f>IFERROR(VLOOKUP(C1361,Customers!$A$2:$F$301,5,FALSE),"")</f>
        <v>Retail</v>
      </c>
      <c r="P1361">
        <f>IFERROR(VLOOKUP(C1361,Customers!$A$2:$F$301,3,FALSE),"")</f>
        <v>44</v>
      </c>
      <c r="Q1361" s="41">
        <f t="shared" si="30"/>
        <v>0.43278688524590164</v>
      </c>
      <c r="R1361" t="str">
        <f>IFERROR(VLOOKUP(C1361,Customers!$A$2:$F$301,1,FALSE),"")</f>
        <v>CUST-0149</v>
      </c>
      <c r="S1361" s="27" t="b">
        <f>IFERROR(VLOOKUP(D1361,Products!$A$2:$F$61,6,FALSE),"")</f>
        <v>1</v>
      </c>
      <c r="BL1361">
        <v>0</v>
      </c>
      <c r="BO1361">
        <v>0</v>
      </c>
      <c r="BP1361">
        <v>0</v>
      </c>
    </row>
    <row r="1362" spans="1:68" x14ac:dyDescent="0.35">
      <c r="A1362" s="26" t="str">
        <f>Orders!A1362</f>
        <v>ORD-01361</v>
      </c>
      <c r="B1362" s="33">
        <f>Orders!B1362</f>
        <v>45427</v>
      </c>
      <c r="C1362" t="str">
        <f>Orders!C1362</f>
        <v>CUST-0101</v>
      </c>
      <c r="D1362" t="str">
        <f>Orders!D1362</f>
        <v>PROD-049</v>
      </c>
      <c r="E1362" t="str">
        <f>Orders!E1362</f>
        <v>R016</v>
      </c>
      <c r="F1362">
        <f>Orders!F1362</f>
        <v>6</v>
      </c>
      <c r="G1362" s="35">
        <f>Orders!G1362</f>
        <v>960</v>
      </c>
      <c r="H1362" s="37">
        <f>Orders!H1362</f>
        <v>7.5</v>
      </c>
      <c r="I1362" s="39">
        <f>Orders!I1362</f>
        <v>5328</v>
      </c>
      <c r="J1362" t="str">
        <f>Orders!J1362</f>
        <v>Pending</v>
      </c>
      <c r="K1362" t="str">
        <f>Orders!K1362</f>
        <v>Hyderabad</v>
      </c>
      <c r="L1362" t="str">
        <f>IFERROR(VLOOKUP(D1362,Products!$A$2:$F$61,3,FALSE),"")</f>
        <v>Beauty</v>
      </c>
      <c r="M1362">
        <f>IFERROR(VLOOKUP(D1362,Products!$A$2:$F$61,4,FALSE),"")</f>
        <v>675</v>
      </c>
      <c r="N1362" t="str">
        <f>IFERROR(VLOOKUP(E1362,Sales_Reps!$A$2:$E$31,3,FALSE),"")</f>
        <v>South</v>
      </c>
      <c r="O1362" t="str">
        <f>IFERROR(VLOOKUP(C1362,Customers!$A$2:$F$301,5,FALSE),"")</f>
        <v>SMB</v>
      </c>
      <c r="P1362">
        <f>IFERROR(VLOOKUP(C1362,Customers!$A$2:$F$301,3,FALSE),"")</f>
        <v>40</v>
      </c>
      <c r="Q1362" s="41">
        <f t="shared" si="30"/>
        <v>0.296875</v>
      </c>
      <c r="R1362" t="str">
        <f>IFERROR(VLOOKUP(C1362,Customers!$A$2:$F$301,1,FALSE),"")</f>
        <v>CUST-0101</v>
      </c>
      <c r="S1362" s="27" t="b">
        <f>IFERROR(VLOOKUP(D1362,Products!$A$2:$F$61,6,FALSE),"")</f>
        <v>1</v>
      </c>
      <c r="BL1362">
        <v>0</v>
      </c>
      <c r="BO1362">
        <v>0</v>
      </c>
      <c r="BP1362">
        <v>0</v>
      </c>
    </row>
    <row r="1363" spans="1:68" x14ac:dyDescent="0.35">
      <c r="A1363" s="26" t="str">
        <f>Orders!A1363</f>
        <v>ORD-01362</v>
      </c>
      <c r="B1363" s="33">
        <f>Orders!B1363</f>
        <v>45532</v>
      </c>
      <c r="C1363" t="str">
        <f>Orders!C1363</f>
        <v>CUST-0106</v>
      </c>
      <c r="D1363" t="str">
        <f>Orders!D1363</f>
        <v>PROD-018</v>
      </c>
      <c r="E1363" t="str">
        <f>Orders!E1363</f>
        <v>R023</v>
      </c>
      <c r="F1363">
        <f>Orders!F1363</f>
        <v>1</v>
      </c>
      <c r="G1363" s="35">
        <f>Orders!G1363</f>
        <v>3560</v>
      </c>
      <c r="H1363" s="37">
        <f>Orders!H1363</f>
        <v>12.9</v>
      </c>
      <c r="I1363" s="39">
        <f>Orders!I1363</f>
        <v>3100.76</v>
      </c>
      <c r="J1363" t="str">
        <f>Orders!J1363</f>
        <v>Completed</v>
      </c>
      <c r="K1363" t="str">
        <f>Orders!K1363</f>
        <v>Pune</v>
      </c>
      <c r="L1363" t="str">
        <f>IFERROR(VLOOKUP(D1363,Products!$A$2:$F$61,3,FALSE),"")</f>
        <v>Apparel</v>
      </c>
      <c r="M1363">
        <f>IFERROR(VLOOKUP(D1363,Products!$A$2:$F$61,4,FALSE),"")</f>
        <v>2629</v>
      </c>
      <c r="N1363" t="str">
        <f>IFERROR(VLOOKUP(E1363,Sales_Reps!$A$2:$E$31,3,FALSE),"")</f>
        <v>East</v>
      </c>
      <c r="O1363" t="str">
        <f>IFERROR(VLOOKUP(C1363,Customers!$A$2:$F$301,5,FALSE),"")</f>
        <v>Retail</v>
      </c>
      <c r="P1363">
        <f>IFERROR(VLOOKUP(C1363,Customers!$A$2:$F$301,3,FALSE),"")</f>
        <v>22</v>
      </c>
      <c r="Q1363" s="41">
        <f t="shared" si="30"/>
        <v>0.26151685393258428</v>
      </c>
      <c r="R1363" t="str">
        <f>IFERROR(VLOOKUP(C1363,Customers!$A$2:$F$301,1,FALSE),"")</f>
        <v>CUST-0106</v>
      </c>
      <c r="S1363" s="27" t="b">
        <f>IFERROR(VLOOKUP(D1363,Products!$A$2:$F$61,6,FALSE),"")</f>
        <v>1</v>
      </c>
      <c r="BL1363">
        <v>0</v>
      </c>
      <c r="BO1363">
        <v>0</v>
      </c>
      <c r="BP1363">
        <v>0</v>
      </c>
    </row>
    <row r="1364" spans="1:68" x14ac:dyDescent="0.35">
      <c r="A1364" s="26" t="str">
        <f>Orders!A1364</f>
        <v>ORD-01363</v>
      </c>
      <c r="B1364" s="33">
        <f>Orders!B1364</f>
        <v>45466</v>
      </c>
      <c r="C1364" t="str">
        <f>Orders!C1364</f>
        <v>CUST-0085</v>
      </c>
      <c r="D1364" t="str">
        <f>Orders!D1364</f>
        <v>PROD-025</v>
      </c>
      <c r="E1364" t="str">
        <f>Orders!E1364</f>
        <v>R005</v>
      </c>
      <c r="F1364">
        <f>Orders!F1364</f>
        <v>5</v>
      </c>
      <c r="G1364" s="35">
        <f>Orders!G1364</f>
        <v>4060</v>
      </c>
      <c r="H1364" s="37">
        <f>Orders!H1364</f>
        <v>18.100000000000001</v>
      </c>
      <c r="I1364" s="39">
        <f>Orders!I1364</f>
        <v>16625.7</v>
      </c>
      <c r="J1364" t="str">
        <f>Orders!J1364</f>
        <v>Pending</v>
      </c>
      <c r="K1364" t="str">
        <f>Orders!K1364</f>
        <v>Chennai</v>
      </c>
      <c r="L1364" t="str">
        <f>IFERROR(VLOOKUP(D1364,Products!$A$2:$F$61,3,FALSE),"")</f>
        <v>Grocery</v>
      </c>
      <c r="M1364">
        <f>IFERROR(VLOOKUP(D1364,Products!$A$2:$F$61,4,FALSE),"")</f>
        <v>2911</v>
      </c>
      <c r="N1364" t="str">
        <f>IFERROR(VLOOKUP(E1364,Sales_Reps!$A$2:$E$31,3,FALSE),"")</f>
        <v>North</v>
      </c>
      <c r="O1364" t="str">
        <f>IFERROR(VLOOKUP(C1364,Customers!$A$2:$F$301,5,FALSE),"")</f>
        <v>Retail</v>
      </c>
      <c r="P1364">
        <f>IFERROR(VLOOKUP(C1364,Customers!$A$2:$F$301,3,FALSE),"")</f>
        <v>26</v>
      </c>
      <c r="Q1364" s="41">
        <f t="shared" si="30"/>
        <v>0.28300492610837441</v>
      </c>
      <c r="R1364" t="str">
        <f>IFERROR(VLOOKUP(C1364,Customers!$A$2:$F$301,1,FALSE),"")</f>
        <v>CUST-0085</v>
      </c>
      <c r="S1364" s="27" t="b">
        <f>IFERROR(VLOOKUP(D1364,Products!$A$2:$F$61,6,FALSE),"")</f>
        <v>1</v>
      </c>
      <c r="BL1364">
        <v>0</v>
      </c>
      <c r="BO1364">
        <v>0</v>
      </c>
      <c r="BP1364">
        <v>0</v>
      </c>
    </row>
    <row r="1365" spans="1:68" x14ac:dyDescent="0.35">
      <c r="A1365" s="26" t="str">
        <f>Orders!A1365</f>
        <v>ORD-01364</v>
      </c>
      <c r="B1365" s="33">
        <f>Orders!B1365</f>
        <v>45545</v>
      </c>
      <c r="C1365" t="str">
        <f>Orders!C1365</f>
        <v>CUST-0071</v>
      </c>
      <c r="D1365" t="str">
        <f>Orders!D1365</f>
        <v>PROD-015</v>
      </c>
      <c r="E1365" t="str">
        <f>Orders!E1365</f>
        <v>R020</v>
      </c>
      <c r="F1365">
        <f>Orders!F1365</f>
        <v>10</v>
      </c>
      <c r="G1365" s="35">
        <f>Orders!G1365</f>
        <v>2720</v>
      </c>
      <c r="H1365" s="37">
        <f>Orders!H1365</f>
        <v>23.2</v>
      </c>
      <c r="I1365" s="39">
        <f>Orders!I1365</f>
        <v>20889.599999999999</v>
      </c>
      <c r="J1365" t="str">
        <f>Orders!J1365</f>
        <v>Completed</v>
      </c>
      <c r="K1365" t="str">
        <f>Orders!K1365</f>
        <v>Delhi</v>
      </c>
      <c r="L1365" t="str">
        <f>IFERROR(VLOOKUP(D1365,Products!$A$2:$F$61,3,FALSE),"")</f>
        <v>Apparel</v>
      </c>
      <c r="M1365">
        <f>IFERROR(VLOOKUP(D1365,Products!$A$2:$F$61,4,FALSE),"")</f>
        <v>1962</v>
      </c>
      <c r="N1365" t="str">
        <f>IFERROR(VLOOKUP(E1365,Sales_Reps!$A$2:$E$31,3,FALSE),"")</f>
        <v>East</v>
      </c>
      <c r="O1365" t="str">
        <f>IFERROR(VLOOKUP(C1365,Customers!$A$2:$F$301,5,FALSE),"")</f>
        <v>Corporate</v>
      </c>
      <c r="P1365">
        <f>IFERROR(VLOOKUP(C1365,Customers!$A$2:$F$301,3,FALSE),"")</f>
        <v>46</v>
      </c>
      <c r="Q1365" s="41">
        <f t="shared" si="30"/>
        <v>0.2786764705882353</v>
      </c>
      <c r="R1365" t="str">
        <f>IFERROR(VLOOKUP(C1365,Customers!$A$2:$F$301,1,FALSE),"")</f>
        <v>CUST-0071</v>
      </c>
      <c r="S1365" s="27" t="b">
        <f>IFERROR(VLOOKUP(D1365,Products!$A$2:$F$61,6,FALSE),"")</f>
        <v>1</v>
      </c>
      <c r="BL1365">
        <v>0</v>
      </c>
      <c r="BO1365">
        <v>0</v>
      </c>
      <c r="BP1365">
        <v>0</v>
      </c>
    </row>
    <row r="1366" spans="1:68" x14ac:dyDescent="0.35">
      <c r="A1366" s="26" t="str">
        <f>Orders!A1366</f>
        <v>ORD-01365</v>
      </c>
      <c r="B1366" s="33">
        <f>Orders!B1366</f>
        <v>45547</v>
      </c>
      <c r="C1366" t="str">
        <f>Orders!C1366</f>
        <v>CUST-0185</v>
      </c>
      <c r="D1366" t="str">
        <f>Orders!D1366</f>
        <v>PROD-029</v>
      </c>
      <c r="E1366" t="str">
        <f>Orders!E1366</f>
        <v>R022</v>
      </c>
      <c r="F1366">
        <f>Orders!F1366</f>
        <v>1</v>
      </c>
      <c r="G1366" s="35">
        <f>Orders!G1366</f>
        <v>2210</v>
      </c>
      <c r="H1366" s="37">
        <f>Orders!H1366</f>
        <v>5.8</v>
      </c>
      <c r="I1366" s="39">
        <f>Orders!I1366</f>
        <v>2081.8200000000002</v>
      </c>
      <c r="J1366" t="str">
        <f>Orders!J1366</f>
        <v>Pending</v>
      </c>
      <c r="K1366" t="str">
        <f>Orders!K1366</f>
        <v>Hyderabad</v>
      </c>
      <c r="L1366" t="str">
        <f>IFERROR(VLOOKUP(D1366,Products!$A$2:$F$61,3,FALSE),"")</f>
        <v>Grocery</v>
      </c>
      <c r="M1366">
        <f>IFERROR(VLOOKUP(D1366,Products!$A$2:$F$61,4,FALSE),"")</f>
        <v>1010</v>
      </c>
      <c r="N1366" t="str">
        <f>IFERROR(VLOOKUP(E1366,Sales_Reps!$A$2:$E$31,3,FALSE),"")</f>
        <v>East</v>
      </c>
      <c r="O1366" t="str">
        <f>IFERROR(VLOOKUP(C1366,Customers!$A$2:$F$301,5,FALSE),"")</f>
        <v>SMB</v>
      </c>
      <c r="P1366">
        <f>IFERROR(VLOOKUP(C1366,Customers!$A$2:$F$301,3,FALSE),"")</f>
        <v>43</v>
      </c>
      <c r="Q1366" s="41">
        <f t="shared" si="30"/>
        <v>0.54298642533936647</v>
      </c>
      <c r="R1366" t="str">
        <f>IFERROR(VLOOKUP(C1366,Customers!$A$2:$F$301,1,FALSE),"")</f>
        <v>CUST-0185</v>
      </c>
      <c r="S1366" s="27" t="b">
        <f>IFERROR(VLOOKUP(D1366,Products!$A$2:$F$61,6,FALSE),"")</f>
        <v>1</v>
      </c>
      <c r="BL1366">
        <v>0.5</v>
      </c>
      <c r="BO1366">
        <v>0</v>
      </c>
      <c r="BP1366">
        <v>0</v>
      </c>
    </row>
    <row r="1367" spans="1:68" x14ac:dyDescent="0.35">
      <c r="A1367" s="26" t="str">
        <f>Orders!A1367</f>
        <v>ORD-01366</v>
      </c>
      <c r="B1367" s="33">
        <f>Orders!B1367</f>
        <v>45547</v>
      </c>
      <c r="C1367" t="str">
        <f>Orders!C1367</f>
        <v>CUST-0182</v>
      </c>
      <c r="D1367" t="str">
        <f>Orders!D1367</f>
        <v>PROD-047</v>
      </c>
      <c r="E1367" t="str">
        <f>Orders!E1367</f>
        <v>R013</v>
      </c>
      <c r="F1367">
        <f>Orders!F1367</f>
        <v>5</v>
      </c>
      <c r="G1367" s="35">
        <f>Orders!G1367</f>
        <v>3450</v>
      </c>
      <c r="H1367" s="37">
        <f>Orders!H1367</f>
        <v>27.9</v>
      </c>
      <c r="I1367" s="39">
        <f>Orders!I1367</f>
        <v>12437.25</v>
      </c>
      <c r="J1367" t="str">
        <f>Orders!J1367</f>
        <v>Pending</v>
      </c>
      <c r="K1367" t="str">
        <f>Orders!K1367</f>
        <v>Mumbai</v>
      </c>
      <c r="L1367" t="str">
        <f>IFERROR(VLOOKUP(D1367,Products!$A$2:$F$61,3,FALSE),"")</f>
        <v>Beauty</v>
      </c>
      <c r="M1367">
        <f>IFERROR(VLOOKUP(D1367,Products!$A$2:$F$61,4,FALSE),"")</f>
        <v>2420</v>
      </c>
      <c r="N1367" t="str">
        <f>IFERROR(VLOOKUP(E1367,Sales_Reps!$A$2:$E$31,3,FALSE),"")</f>
        <v>South</v>
      </c>
      <c r="O1367" t="str">
        <f>IFERROR(VLOOKUP(C1367,Customers!$A$2:$F$301,5,FALSE),"")</f>
        <v>Retail</v>
      </c>
      <c r="P1367">
        <f>IFERROR(VLOOKUP(C1367,Customers!$A$2:$F$301,3,FALSE),"")</f>
        <v>54</v>
      </c>
      <c r="Q1367" s="41">
        <f t="shared" si="30"/>
        <v>0.29855072463768118</v>
      </c>
      <c r="R1367" t="str">
        <f>IFERROR(VLOOKUP(C1367,Customers!$A$2:$F$301,1,FALSE),"")</f>
        <v>CUST-0182</v>
      </c>
      <c r="S1367" s="27" t="b">
        <f>IFERROR(VLOOKUP(D1367,Products!$A$2:$F$61,6,FALSE),"")</f>
        <v>1</v>
      </c>
      <c r="BL1367">
        <v>0</v>
      </c>
      <c r="BO1367">
        <v>0</v>
      </c>
      <c r="BP1367">
        <v>0</v>
      </c>
    </row>
    <row r="1368" spans="1:68" x14ac:dyDescent="0.35">
      <c r="A1368" s="26" t="str">
        <f>Orders!A1368</f>
        <v>ORD-01367</v>
      </c>
      <c r="B1368" s="33">
        <f>Orders!B1368</f>
        <v>45550</v>
      </c>
      <c r="C1368" t="str">
        <f>Orders!C1368</f>
        <v>CUST-0177</v>
      </c>
      <c r="D1368" t="str">
        <f>Orders!D1368</f>
        <v>PROD-023</v>
      </c>
      <c r="E1368" t="str">
        <f>Orders!E1368</f>
        <v>R023</v>
      </c>
      <c r="F1368">
        <f>Orders!F1368</f>
        <v>9</v>
      </c>
      <c r="G1368" s="35">
        <f>Orders!G1368</f>
        <v>2380</v>
      </c>
      <c r="H1368" s="37">
        <f>Orders!H1368</f>
        <v>15.2</v>
      </c>
      <c r="I1368" s="39">
        <f>Orders!I1368</f>
        <v>18164.16</v>
      </c>
      <c r="J1368" t="str">
        <f>Orders!J1368</f>
        <v>Refunded</v>
      </c>
      <c r="K1368" t="str">
        <f>Orders!K1368</f>
        <v>Mumbai</v>
      </c>
      <c r="L1368" t="str">
        <f>IFERROR(VLOOKUP(D1368,Products!$A$2:$F$61,3,FALSE),"")</f>
        <v>Grocery</v>
      </c>
      <c r="M1368">
        <f>IFERROR(VLOOKUP(D1368,Products!$A$2:$F$61,4,FALSE),"")</f>
        <v>1182</v>
      </c>
      <c r="N1368" t="str">
        <f>IFERROR(VLOOKUP(E1368,Sales_Reps!$A$2:$E$31,3,FALSE),"")</f>
        <v>East</v>
      </c>
      <c r="O1368" t="str">
        <f>IFERROR(VLOOKUP(C1368,Customers!$A$2:$F$301,5,FALSE),"")</f>
        <v>SMB</v>
      </c>
      <c r="P1368">
        <f>IFERROR(VLOOKUP(C1368,Customers!$A$2:$F$301,3,FALSE),"")</f>
        <v>36</v>
      </c>
      <c r="Q1368" s="41">
        <f t="shared" si="30"/>
        <v>0.50336134453781511</v>
      </c>
      <c r="R1368" t="str">
        <f>IFERROR(VLOOKUP(C1368,Customers!$A$2:$F$301,1,FALSE),"")</f>
        <v>CUST-0177</v>
      </c>
      <c r="S1368" s="27" t="b">
        <f>IFERROR(VLOOKUP(D1368,Products!$A$2:$F$61,6,FALSE),"")</f>
        <v>1</v>
      </c>
      <c r="BL1368">
        <v>0</v>
      </c>
      <c r="BO1368">
        <v>0</v>
      </c>
      <c r="BP1368">
        <v>0</v>
      </c>
    </row>
    <row r="1369" spans="1:68" x14ac:dyDescent="0.35">
      <c r="A1369" s="26" t="str">
        <f>Orders!A1369</f>
        <v>ORD-01368</v>
      </c>
      <c r="B1369" s="33">
        <f>Orders!B1369</f>
        <v>45551</v>
      </c>
      <c r="C1369" t="str">
        <f>Orders!C1369</f>
        <v>CUST-0253</v>
      </c>
      <c r="D1369" t="str">
        <f>Orders!D1369</f>
        <v>PROD-023</v>
      </c>
      <c r="E1369" t="str">
        <f>Orders!E1369</f>
        <v>R002</v>
      </c>
      <c r="F1369">
        <f>Orders!F1369</f>
        <v>2</v>
      </c>
      <c r="G1369" s="35">
        <f>Orders!G1369</f>
        <v>2380</v>
      </c>
      <c r="H1369" s="37">
        <f>Orders!H1369</f>
        <v>24.3</v>
      </c>
      <c r="I1369" s="39">
        <f>Orders!I1369</f>
        <v>3603.32</v>
      </c>
      <c r="J1369" t="str">
        <f>Orders!J1369</f>
        <v>Completed</v>
      </c>
      <c r="K1369" t="str">
        <f>Orders!K1369</f>
        <v>Delhi</v>
      </c>
      <c r="L1369" t="str">
        <f>IFERROR(VLOOKUP(D1369,Products!$A$2:$F$61,3,FALSE),"")</f>
        <v>Grocery</v>
      </c>
      <c r="M1369">
        <f>IFERROR(VLOOKUP(D1369,Products!$A$2:$F$61,4,FALSE),"")</f>
        <v>1182</v>
      </c>
      <c r="N1369" t="str">
        <f>IFERROR(VLOOKUP(E1369,Sales_Reps!$A$2:$E$31,3,FALSE),"")</f>
        <v>North</v>
      </c>
      <c r="O1369" t="str">
        <f>IFERROR(VLOOKUP(C1369,Customers!$A$2:$F$301,5,FALSE),"")</f>
        <v>SMB</v>
      </c>
      <c r="P1369">
        <f>IFERROR(VLOOKUP(C1369,Customers!$A$2:$F$301,3,FALSE),"")</f>
        <v>53</v>
      </c>
      <c r="Q1369" s="41">
        <f t="shared" si="30"/>
        <v>0.50336134453781511</v>
      </c>
      <c r="R1369" t="str">
        <f>IFERROR(VLOOKUP(C1369,Customers!$A$2:$F$301,1,FALSE),"")</f>
        <v>CUST-0253</v>
      </c>
      <c r="S1369" s="27" t="b">
        <f>IFERROR(VLOOKUP(D1369,Products!$A$2:$F$61,6,FALSE),"")</f>
        <v>1</v>
      </c>
      <c r="BL1369">
        <v>0</v>
      </c>
      <c r="BO1369">
        <v>0</v>
      </c>
      <c r="BP1369">
        <v>0</v>
      </c>
    </row>
    <row r="1370" spans="1:68" x14ac:dyDescent="0.35">
      <c r="A1370" s="26" t="str">
        <f>Orders!A1370</f>
        <v>ORD-01369</v>
      </c>
      <c r="B1370" s="33">
        <f>Orders!B1370</f>
        <v>45560</v>
      </c>
      <c r="C1370" t="str">
        <f>Orders!C1370</f>
        <v>CUST-0071</v>
      </c>
      <c r="D1370" t="str">
        <f>Orders!D1370</f>
        <v>PROD-018</v>
      </c>
      <c r="E1370" t="str">
        <f>Orders!E1370</f>
        <v>R012</v>
      </c>
      <c r="F1370">
        <f>Orders!F1370</f>
        <v>9</v>
      </c>
      <c r="G1370" s="35">
        <f>Orders!G1370</f>
        <v>3560</v>
      </c>
      <c r="H1370" s="37">
        <f>Orders!H1370</f>
        <v>6.6</v>
      </c>
      <c r="I1370" s="39">
        <f>Orders!I1370</f>
        <v>29925.360000000001</v>
      </c>
      <c r="J1370" t="str">
        <f>Orders!J1370</f>
        <v>Refunded</v>
      </c>
      <c r="K1370" t="str">
        <f>Orders!K1370</f>
        <v>Delhi</v>
      </c>
      <c r="L1370" t="str">
        <f>IFERROR(VLOOKUP(D1370,Products!$A$2:$F$61,3,FALSE),"")</f>
        <v>Apparel</v>
      </c>
      <c r="M1370">
        <f>IFERROR(VLOOKUP(D1370,Products!$A$2:$F$61,4,FALSE),"")</f>
        <v>2629</v>
      </c>
      <c r="N1370" t="str">
        <f>IFERROR(VLOOKUP(E1370,Sales_Reps!$A$2:$E$31,3,FALSE),"")</f>
        <v>South</v>
      </c>
      <c r="O1370" t="str">
        <f>IFERROR(VLOOKUP(C1370,Customers!$A$2:$F$301,5,FALSE),"")</f>
        <v>Corporate</v>
      </c>
      <c r="P1370">
        <f>IFERROR(VLOOKUP(C1370,Customers!$A$2:$F$301,3,FALSE),"")</f>
        <v>46</v>
      </c>
      <c r="Q1370" s="41">
        <f t="shared" si="30"/>
        <v>0.26151685393258428</v>
      </c>
      <c r="R1370" t="str">
        <f>IFERROR(VLOOKUP(C1370,Customers!$A$2:$F$301,1,FALSE),"")</f>
        <v>CUST-0071</v>
      </c>
      <c r="S1370" s="27" t="b">
        <f>IFERROR(VLOOKUP(D1370,Products!$A$2:$F$61,6,FALSE),"")</f>
        <v>1</v>
      </c>
      <c r="BL1370">
        <v>0</v>
      </c>
      <c r="BO1370">
        <v>0</v>
      </c>
      <c r="BP1370">
        <v>0</v>
      </c>
    </row>
    <row r="1371" spans="1:68" x14ac:dyDescent="0.35">
      <c r="A1371" s="26" t="str">
        <f>Orders!A1371</f>
        <v>ORD-01370</v>
      </c>
      <c r="B1371" s="33">
        <f>Orders!B1371</f>
        <v>45330</v>
      </c>
      <c r="C1371" t="str">
        <f>Orders!C1371</f>
        <v>CUST-0240</v>
      </c>
      <c r="D1371" t="str">
        <f>Orders!D1371</f>
        <v>PROD-009</v>
      </c>
      <c r="E1371" t="str">
        <f>Orders!E1371</f>
        <v>R018</v>
      </c>
      <c r="F1371">
        <f>Orders!F1371</f>
        <v>7</v>
      </c>
      <c r="G1371" s="35">
        <f>Orders!G1371</f>
        <v>1220</v>
      </c>
      <c r="H1371" s="37">
        <f>Orders!H1371</f>
        <v>29.4</v>
      </c>
      <c r="I1371" s="39">
        <f>Orders!I1371</f>
        <v>6029.24</v>
      </c>
      <c r="J1371" t="str">
        <f>Orders!J1371</f>
        <v>Completed</v>
      </c>
      <c r="K1371" t="str">
        <f>Orders!K1371</f>
        <v>Chennai</v>
      </c>
      <c r="L1371" t="str">
        <f>IFERROR(VLOOKUP(D1371,Products!$A$2:$F$61,3,FALSE),"")</f>
        <v>Electronics</v>
      </c>
      <c r="M1371">
        <f>IFERROR(VLOOKUP(D1371,Products!$A$2:$F$61,4,FALSE),"")</f>
        <v>517</v>
      </c>
      <c r="N1371" t="str">
        <f>IFERROR(VLOOKUP(E1371,Sales_Reps!$A$2:$E$31,3,FALSE),"")</f>
        <v>East</v>
      </c>
      <c r="O1371" t="str">
        <f>IFERROR(VLOOKUP(C1371,Customers!$A$2:$F$301,5,FALSE),"")</f>
        <v>Corporate</v>
      </c>
      <c r="P1371">
        <f>IFERROR(VLOOKUP(C1371,Customers!$A$2:$F$301,3,FALSE),"")</f>
        <v>35</v>
      </c>
      <c r="Q1371" s="41">
        <f t="shared" si="30"/>
        <v>0.57622950819672136</v>
      </c>
      <c r="R1371" t="str">
        <f>IFERROR(VLOOKUP(C1371,Customers!$A$2:$F$301,1,FALSE),"")</f>
        <v>CUST-0240</v>
      </c>
      <c r="S1371" s="27" t="b">
        <f>IFERROR(VLOOKUP(D1371,Products!$A$2:$F$61,6,FALSE),"")</f>
        <v>1</v>
      </c>
      <c r="BL1371">
        <v>0</v>
      </c>
      <c r="BO1371">
        <v>0</v>
      </c>
      <c r="BP1371">
        <v>0</v>
      </c>
    </row>
    <row r="1372" spans="1:68" x14ac:dyDescent="0.35">
      <c r="A1372" s="26" t="str">
        <f>Orders!A1372</f>
        <v>ORD-01371</v>
      </c>
      <c r="B1372" s="33">
        <f>Orders!B1372</f>
        <v>45560</v>
      </c>
      <c r="C1372" t="str">
        <f>Orders!C1372</f>
        <v>CUST-0050</v>
      </c>
      <c r="D1372" t="str">
        <f>Orders!D1372</f>
        <v>PROD-056</v>
      </c>
      <c r="E1372" t="str">
        <f>Orders!E1372</f>
        <v>R017</v>
      </c>
      <c r="F1372">
        <f>Orders!F1372</f>
        <v>7</v>
      </c>
      <c r="G1372" s="35">
        <f>Orders!G1372</f>
        <v>6940</v>
      </c>
      <c r="H1372" s="37">
        <f>Orders!H1372</f>
        <v>9.6</v>
      </c>
      <c r="I1372" s="39">
        <f>Orders!I1372</f>
        <v>43916.32</v>
      </c>
      <c r="J1372" t="str">
        <f>Orders!J1372</f>
        <v>Completed</v>
      </c>
      <c r="K1372" t="str">
        <f>Orders!K1372</f>
        <v>Mumbai</v>
      </c>
      <c r="L1372" t="str">
        <f>IFERROR(VLOOKUP(D1372,Products!$A$2:$F$61,3,FALSE),"")</f>
        <v>Sports</v>
      </c>
      <c r="M1372">
        <f>IFERROR(VLOOKUP(D1372,Products!$A$2:$F$61,4,FALSE),"")</f>
        <v>2827</v>
      </c>
      <c r="N1372" t="str">
        <f>IFERROR(VLOOKUP(E1372,Sales_Reps!$A$2:$E$31,3,FALSE),"")</f>
        <v>East</v>
      </c>
      <c r="O1372" t="str">
        <f>IFERROR(VLOOKUP(C1372,Customers!$A$2:$F$301,5,FALSE),"")</f>
        <v>Retail</v>
      </c>
      <c r="P1372">
        <f>IFERROR(VLOOKUP(C1372,Customers!$A$2:$F$301,3,FALSE),"")</f>
        <v>37</v>
      </c>
      <c r="Q1372" s="41">
        <f t="shared" si="30"/>
        <v>0.5926512968299712</v>
      </c>
      <c r="R1372" t="str">
        <f>IFERROR(VLOOKUP(C1372,Customers!$A$2:$F$301,1,FALSE),"")</f>
        <v>CUST-0050</v>
      </c>
      <c r="S1372" s="27" t="b">
        <f>IFERROR(VLOOKUP(D1372,Products!$A$2:$F$61,6,FALSE),"")</f>
        <v>1</v>
      </c>
      <c r="BL1372">
        <v>0</v>
      </c>
      <c r="BO1372">
        <v>0</v>
      </c>
      <c r="BP1372">
        <v>0</v>
      </c>
    </row>
    <row r="1373" spans="1:68" x14ac:dyDescent="0.35">
      <c r="A1373" s="26" t="str">
        <f>Orders!A1373</f>
        <v>ORD-01372</v>
      </c>
      <c r="B1373" s="33">
        <f>Orders!B1373</f>
        <v>45395</v>
      </c>
      <c r="C1373" t="str">
        <f>Orders!C1373</f>
        <v>CUST-0089</v>
      </c>
      <c r="D1373" t="str">
        <f>Orders!D1373</f>
        <v>PROD-035</v>
      </c>
      <c r="E1373" t="str">
        <f>Orders!E1373</f>
        <v>R022</v>
      </c>
      <c r="F1373">
        <f>Orders!F1373</f>
        <v>2</v>
      </c>
      <c r="G1373" s="35">
        <f>Orders!G1373</f>
        <v>1090</v>
      </c>
      <c r="H1373" s="37">
        <f>Orders!H1373</f>
        <v>17</v>
      </c>
      <c r="I1373" s="39">
        <f>Orders!I1373</f>
        <v>1809.4</v>
      </c>
      <c r="J1373" t="str">
        <f>Orders!J1373</f>
        <v>Completed</v>
      </c>
      <c r="K1373" t="str">
        <f>Orders!K1373</f>
        <v>Mumbai</v>
      </c>
      <c r="L1373" t="str">
        <f>IFERROR(VLOOKUP(D1373,Products!$A$2:$F$61,3,FALSE),"")</f>
        <v>Home</v>
      </c>
      <c r="M1373">
        <f>IFERROR(VLOOKUP(D1373,Products!$A$2:$F$61,4,FALSE),"")</f>
        <v>464</v>
      </c>
      <c r="N1373" t="str">
        <f>IFERROR(VLOOKUP(E1373,Sales_Reps!$A$2:$E$31,3,FALSE),"")</f>
        <v>East</v>
      </c>
      <c r="O1373" t="str">
        <f>IFERROR(VLOOKUP(C1373,Customers!$A$2:$F$301,5,FALSE),"")</f>
        <v>SMB</v>
      </c>
      <c r="P1373">
        <f>IFERROR(VLOOKUP(C1373,Customers!$A$2:$F$301,3,FALSE),"")</f>
        <v>43</v>
      </c>
      <c r="Q1373" s="41">
        <f t="shared" si="30"/>
        <v>0.57431192660550456</v>
      </c>
      <c r="R1373" t="str">
        <f>IFERROR(VLOOKUP(C1373,Customers!$A$2:$F$301,1,FALSE),"")</f>
        <v>CUST-0089</v>
      </c>
      <c r="S1373" s="27" t="b">
        <f>IFERROR(VLOOKUP(D1373,Products!$A$2:$F$61,6,FALSE),"")</f>
        <v>1</v>
      </c>
      <c r="BL1373">
        <v>0</v>
      </c>
      <c r="BO1373">
        <v>0</v>
      </c>
      <c r="BP1373">
        <v>0</v>
      </c>
    </row>
    <row r="1374" spans="1:68" x14ac:dyDescent="0.35">
      <c r="A1374" s="26" t="str">
        <f>Orders!A1374</f>
        <v>ORD-01373</v>
      </c>
      <c r="B1374" s="33">
        <f>Orders!B1374</f>
        <v>45486</v>
      </c>
      <c r="C1374" t="str">
        <f>Orders!C1374</f>
        <v>CUST-0209</v>
      </c>
      <c r="D1374" t="str">
        <f>Orders!D1374</f>
        <v>PROD-023</v>
      </c>
      <c r="E1374" t="str">
        <f>Orders!E1374</f>
        <v>R028</v>
      </c>
      <c r="F1374">
        <f>Orders!F1374</f>
        <v>4</v>
      </c>
      <c r="G1374" s="35">
        <f>Orders!G1374</f>
        <v>2380</v>
      </c>
      <c r="H1374" s="37">
        <f>Orders!H1374</f>
        <v>18.899999999999999</v>
      </c>
      <c r="I1374" s="39">
        <f>Orders!I1374</f>
        <v>7720.72</v>
      </c>
      <c r="J1374" t="str">
        <f>Orders!J1374</f>
        <v>Pending</v>
      </c>
      <c r="K1374" t="str">
        <f>Orders!K1374</f>
        <v>Pune</v>
      </c>
      <c r="L1374" t="str">
        <f>IFERROR(VLOOKUP(D1374,Products!$A$2:$F$61,3,FALSE),"")</f>
        <v>Grocery</v>
      </c>
      <c r="M1374">
        <f>IFERROR(VLOOKUP(D1374,Products!$A$2:$F$61,4,FALSE),"")</f>
        <v>1182</v>
      </c>
      <c r="N1374" t="str">
        <f>IFERROR(VLOOKUP(E1374,Sales_Reps!$A$2:$E$31,3,FALSE),"")</f>
        <v>West</v>
      </c>
      <c r="O1374" t="str">
        <f>IFERROR(VLOOKUP(C1374,Customers!$A$2:$F$301,5,FALSE),"")</f>
        <v>Retail</v>
      </c>
      <c r="P1374">
        <f>IFERROR(VLOOKUP(C1374,Customers!$A$2:$F$301,3,FALSE),"")</f>
        <v>31</v>
      </c>
      <c r="Q1374" s="41">
        <f t="shared" si="30"/>
        <v>0.50336134453781511</v>
      </c>
      <c r="R1374" t="str">
        <f>IFERROR(VLOOKUP(C1374,Customers!$A$2:$F$301,1,FALSE),"")</f>
        <v>CUST-0209</v>
      </c>
      <c r="S1374" s="27" t="b">
        <f>IFERROR(VLOOKUP(D1374,Products!$A$2:$F$61,6,FALSE),"")</f>
        <v>1</v>
      </c>
      <c r="BL1374">
        <v>0</v>
      </c>
      <c r="BO1374">
        <v>0</v>
      </c>
      <c r="BP1374">
        <v>0</v>
      </c>
    </row>
    <row r="1375" spans="1:68" x14ac:dyDescent="0.35">
      <c r="A1375" s="26" t="str">
        <f>Orders!A1375</f>
        <v>ORD-01374</v>
      </c>
      <c r="B1375" s="33">
        <f>Orders!B1375</f>
        <v>45578</v>
      </c>
      <c r="C1375" t="str">
        <f>Orders!C1375</f>
        <v>CUST-0089</v>
      </c>
      <c r="D1375" t="str">
        <f>Orders!D1375</f>
        <v>PROD-024</v>
      </c>
      <c r="E1375" t="str">
        <f>Orders!E1375</f>
        <v>R004</v>
      </c>
      <c r="F1375">
        <f>Orders!F1375</f>
        <v>6</v>
      </c>
      <c r="G1375" s="35">
        <f>Orders!G1375</f>
        <v>2270</v>
      </c>
      <c r="H1375" s="37">
        <f>Orders!H1375</f>
        <v>20.9</v>
      </c>
      <c r="I1375" s="39">
        <f>Orders!I1375</f>
        <v>10773.42</v>
      </c>
      <c r="J1375" t="str">
        <f>Orders!J1375</f>
        <v>Pending</v>
      </c>
      <c r="K1375" t="str">
        <f>Orders!K1375</f>
        <v>Mumbai</v>
      </c>
      <c r="L1375" t="str">
        <f>IFERROR(VLOOKUP(D1375,Products!$A$2:$F$61,3,FALSE),"")</f>
        <v>Grocery</v>
      </c>
      <c r="M1375">
        <f>IFERROR(VLOOKUP(D1375,Products!$A$2:$F$61,4,FALSE),"")</f>
        <v>1203</v>
      </c>
      <c r="N1375" t="str">
        <f>IFERROR(VLOOKUP(E1375,Sales_Reps!$A$2:$E$31,3,FALSE),"")</f>
        <v>North</v>
      </c>
      <c r="O1375" t="str">
        <f>IFERROR(VLOOKUP(C1375,Customers!$A$2:$F$301,5,FALSE),"")</f>
        <v>SMB</v>
      </c>
      <c r="P1375">
        <f>IFERROR(VLOOKUP(C1375,Customers!$A$2:$F$301,3,FALSE),"")</f>
        <v>43</v>
      </c>
      <c r="Q1375" s="41">
        <f t="shared" si="30"/>
        <v>0.47004405286343615</v>
      </c>
      <c r="R1375" t="str">
        <f>IFERROR(VLOOKUP(C1375,Customers!$A$2:$F$301,1,FALSE),"")</f>
        <v>CUST-0089</v>
      </c>
      <c r="S1375" s="27" t="b">
        <f>IFERROR(VLOOKUP(D1375,Products!$A$2:$F$61,6,FALSE),"")</f>
        <v>1</v>
      </c>
      <c r="BL1375">
        <v>0</v>
      </c>
      <c r="BO1375">
        <v>0</v>
      </c>
      <c r="BP1375">
        <v>0</v>
      </c>
    </row>
    <row r="1376" spans="1:68" x14ac:dyDescent="0.35">
      <c r="A1376" s="26" t="str">
        <f>Orders!A1376</f>
        <v>ORD-01375</v>
      </c>
      <c r="B1376" s="33">
        <f>Orders!B1376</f>
        <v>45581</v>
      </c>
      <c r="C1376" t="str">
        <f>Orders!C1376</f>
        <v>CUST-0093</v>
      </c>
      <c r="D1376" t="str">
        <f>Orders!D1376</f>
        <v>PROD-033</v>
      </c>
      <c r="E1376" t="str">
        <f>Orders!E1376</f>
        <v>R019</v>
      </c>
      <c r="F1376">
        <f>Orders!F1376</f>
        <v>10</v>
      </c>
      <c r="G1376" s="35">
        <f>Orders!G1376</f>
        <v>2030</v>
      </c>
      <c r="H1376" s="37">
        <f>Orders!H1376</f>
        <v>25</v>
      </c>
      <c r="I1376" s="39">
        <f>Orders!I1376</f>
        <v>15225</v>
      </c>
      <c r="J1376" t="str">
        <f>Orders!J1376</f>
        <v>Completed</v>
      </c>
      <c r="K1376" t="str">
        <f>Orders!K1376</f>
        <v>Pune</v>
      </c>
      <c r="L1376" t="str">
        <f>IFERROR(VLOOKUP(D1376,Products!$A$2:$F$61,3,FALSE),"")</f>
        <v>Home</v>
      </c>
      <c r="M1376">
        <f>IFERROR(VLOOKUP(D1376,Products!$A$2:$F$61,4,FALSE),"")</f>
        <v>1143</v>
      </c>
      <c r="N1376" t="str">
        <f>IFERROR(VLOOKUP(E1376,Sales_Reps!$A$2:$E$31,3,FALSE),"")</f>
        <v>East</v>
      </c>
      <c r="O1376" t="str">
        <f>IFERROR(VLOOKUP(C1376,Customers!$A$2:$F$301,5,FALSE),"")</f>
        <v>Retail</v>
      </c>
      <c r="P1376">
        <f>IFERROR(VLOOKUP(C1376,Customers!$A$2:$F$301,3,FALSE),"")</f>
        <v>36</v>
      </c>
      <c r="Q1376" s="41">
        <f t="shared" si="30"/>
        <v>0.43694581280788175</v>
      </c>
      <c r="R1376" t="str">
        <f>IFERROR(VLOOKUP(C1376,Customers!$A$2:$F$301,1,FALSE),"")</f>
        <v>CUST-0093</v>
      </c>
      <c r="S1376" s="27" t="b">
        <f>IFERROR(VLOOKUP(D1376,Products!$A$2:$F$61,6,FALSE),"")</f>
        <v>1</v>
      </c>
      <c r="BL1376">
        <v>0</v>
      </c>
      <c r="BO1376">
        <v>0</v>
      </c>
      <c r="BP1376">
        <v>0</v>
      </c>
    </row>
    <row r="1377" spans="1:68" x14ac:dyDescent="0.35">
      <c r="A1377" s="26" t="str">
        <f>Orders!A1377</f>
        <v>ORD-01376</v>
      </c>
      <c r="B1377" s="33">
        <f>Orders!B1377</f>
        <v>45508</v>
      </c>
      <c r="C1377" t="str">
        <f>Orders!C1377</f>
        <v>CUST-0018</v>
      </c>
      <c r="D1377" t="str">
        <f>Orders!D1377</f>
        <v>PROD-035</v>
      </c>
      <c r="E1377" t="str">
        <f>Orders!E1377</f>
        <v>R027</v>
      </c>
      <c r="F1377">
        <f>Orders!F1377</f>
        <v>3</v>
      </c>
      <c r="G1377" s="35">
        <f>Orders!G1377</f>
        <v>1090</v>
      </c>
      <c r="H1377" s="37">
        <f>Orders!H1377</f>
        <v>12.1</v>
      </c>
      <c r="I1377" s="39">
        <f>Orders!I1377</f>
        <v>2874.33</v>
      </c>
      <c r="J1377" t="str">
        <f>Orders!J1377</f>
        <v>Completed</v>
      </c>
      <c r="K1377" t="str">
        <f>Orders!K1377</f>
        <v>Pune</v>
      </c>
      <c r="L1377" t="str">
        <f>IFERROR(VLOOKUP(D1377,Products!$A$2:$F$61,3,FALSE),"")</f>
        <v>Home</v>
      </c>
      <c r="M1377">
        <f>IFERROR(VLOOKUP(D1377,Products!$A$2:$F$61,4,FALSE),"")</f>
        <v>464</v>
      </c>
      <c r="N1377" t="str">
        <f>IFERROR(VLOOKUP(E1377,Sales_Reps!$A$2:$E$31,3,FALSE),"")</f>
        <v>West</v>
      </c>
      <c r="O1377" t="str">
        <f>IFERROR(VLOOKUP(C1377,Customers!$A$2:$F$301,5,FALSE),"")</f>
        <v>SMB</v>
      </c>
      <c r="P1377">
        <f>IFERROR(VLOOKUP(C1377,Customers!$A$2:$F$301,3,FALSE),"")</f>
        <v>54</v>
      </c>
      <c r="Q1377" s="41">
        <f t="shared" si="30"/>
        <v>0.57431192660550456</v>
      </c>
      <c r="R1377" t="str">
        <f>IFERROR(VLOOKUP(C1377,Customers!$A$2:$F$301,1,FALSE),"")</f>
        <v>CUST-0018</v>
      </c>
      <c r="S1377" s="27" t="b">
        <f>IFERROR(VLOOKUP(D1377,Products!$A$2:$F$61,6,FALSE),"")</f>
        <v>1</v>
      </c>
      <c r="BL1377">
        <v>0</v>
      </c>
      <c r="BO1377">
        <v>0</v>
      </c>
      <c r="BP1377">
        <v>0</v>
      </c>
    </row>
    <row r="1378" spans="1:68" x14ac:dyDescent="0.35">
      <c r="A1378" s="26" t="str">
        <f>Orders!A1378</f>
        <v>ORD-01377</v>
      </c>
      <c r="B1378" s="33">
        <f>Orders!B1378</f>
        <v>45303</v>
      </c>
      <c r="C1378" t="str">
        <f>Orders!C1378</f>
        <v>CUST-0089</v>
      </c>
      <c r="D1378" t="str">
        <f>Orders!D1378</f>
        <v>PROD-017</v>
      </c>
      <c r="E1378" t="str">
        <f>Orders!E1378</f>
        <v>R017</v>
      </c>
      <c r="F1378">
        <f>Orders!F1378</f>
        <v>3</v>
      </c>
      <c r="G1378" s="35">
        <f>Orders!G1378</f>
        <v>2510</v>
      </c>
      <c r="H1378" s="37">
        <f>Orders!H1378</f>
        <v>28.7</v>
      </c>
      <c r="I1378" s="39">
        <f>Orders!I1378</f>
        <v>5368.89</v>
      </c>
      <c r="J1378" t="str">
        <f>Orders!J1378</f>
        <v>Completed</v>
      </c>
      <c r="K1378" t="str">
        <f>Orders!K1378</f>
        <v>Mumbai</v>
      </c>
      <c r="L1378" t="str">
        <f>IFERROR(VLOOKUP(D1378,Products!$A$2:$F$61,3,FALSE),"")</f>
        <v>Apparel</v>
      </c>
      <c r="M1378">
        <f>IFERROR(VLOOKUP(D1378,Products!$A$2:$F$61,4,FALSE),"")</f>
        <v>1075</v>
      </c>
      <c r="N1378" t="str">
        <f>IFERROR(VLOOKUP(E1378,Sales_Reps!$A$2:$E$31,3,FALSE),"")</f>
        <v>East</v>
      </c>
      <c r="O1378" t="str">
        <f>IFERROR(VLOOKUP(C1378,Customers!$A$2:$F$301,5,FALSE),"")</f>
        <v>SMB</v>
      </c>
      <c r="P1378">
        <f>IFERROR(VLOOKUP(C1378,Customers!$A$2:$F$301,3,FALSE),"")</f>
        <v>43</v>
      </c>
      <c r="Q1378" s="41">
        <f t="shared" si="30"/>
        <v>0.57171314741035861</v>
      </c>
      <c r="R1378" t="str">
        <f>IFERROR(VLOOKUP(C1378,Customers!$A$2:$F$301,1,FALSE),"")</f>
        <v>CUST-0089</v>
      </c>
      <c r="S1378" s="27" t="b">
        <f>IFERROR(VLOOKUP(D1378,Products!$A$2:$F$61,6,FALSE),"")</f>
        <v>0</v>
      </c>
      <c r="BL1378">
        <v>0</v>
      </c>
      <c r="BO1378">
        <v>0</v>
      </c>
      <c r="BP1378">
        <v>1</v>
      </c>
    </row>
    <row r="1379" spans="1:68" x14ac:dyDescent="0.35">
      <c r="A1379" s="26" t="str">
        <f>Orders!A1379</f>
        <v>ORD-01378</v>
      </c>
      <c r="B1379" s="33">
        <f>Orders!B1379</f>
        <v>45412</v>
      </c>
      <c r="C1379" t="str">
        <f>Orders!C1379</f>
        <v>CUST-0116</v>
      </c>
      <c r="D1379" t="str">
        <f>Orders!D1379</f>
        <v>PROD-024</v>
      </c>
      <c r="E1379" t="str">
        <f>Orders!E1379</f>
        <v>R026</v>
      </c>
      <c r="F1379">
        <f>Orders!F1379</f>
        <v>9</v>
      </c>
      <c r="G1379" s="35">
        <f>Orders!G1379</f>
        <v>2270</v>
      </c>
      <c r="H1379" s="37">
        <f>Orders!H1379</f>
        <v>25.4</v>
      </c>
      <c r="I1379" s="39">
        <f>Orders!I1379</f>
        <v>15240.78</v>
      </c>
      <c r="J1379" t="str">
        <f>Orders!J1379</f>
        <v>Pending</v>
      </c>
      <c r="K1379" t="str">
        <f>Orders!K1379</f>
        <v>Bengaluru</v>
      </c>
      <c r="L1379" t="str">
        <f>IFERROR(VLOOKUP(D1379,Products!$A$2:$F$61,3,FALSE),"")</f>
        <v>Grocery</v>
      </c>
      <c r="M1379">
        <f>IFERROR(VLOOKUP(D1379,Products!$A$2:$F$61,4,FALSE),"")</f>
        <v>1203</v>
      </c>
      <c r="N1379" t="str">
        <f>IFERROR(VLOOKUP(E1379,Sales_Reps!$A$2:$E$31,3,FALSE),"")</f>
        <v>West</v>
      </c>
      <c r="O1379" t="str">
        <f>IFERROR(VLOOKUP(C1379,Customers!$A$2:$F$301,5,FALSE),"")</f>
        <v>Retail</v>
      </c>
      <c r="P1379">
        <f>IFERROR(VLOOKUP(C1379,Customers!$A$2:$F$301,3,FALSE),"")</f>
        <v>53</v>
      </c>
      <c r="Q1379" s="41">
        <f t="shared" si="30"/>
        <v>0.47004405286343615</v>
      </c>
      <c r="R1379" t="str">
        <f>IFERROR(VLOOKUP(C1379,Customers!$A$2:$F$301,1,FALSE),"")</f>
        <v>CUST-0116</v>
      </c>
      <c r="S1379" s="27" t="b">
        <f>IFERROR(VLOOKUP(D1379,Products!$A$2:$F$61,6,FALSE),"")</f>
        <v>1</v>
      </c>
      <c r="BL1379">
        <v>0</v>
      </c>
      <c r="BO1379">
        <v>0</v>
      </c>
      <c r="BP1379">
        <v>0</v>
      </c>
    </row>
    <row r="1380" spans="1:68" x14ac:dyDescent="0.35">
      <c r="A1380" s="26" t="str">
        <f>Orders!A1380</f>
        <v>ORD-01379</v>
      </c>
      <c r="B1380" s="33">
        <f>Orders!B1380</f>
        <v>45400</v>
      </c>
      <c r="C1380" t="str">
        <f>Orders!C1380</f>
        <v>CUST-0071</v>
      </c>
      <c r="D1380" t="str">
        <f>Orders!D1380</f>
        <v>PROD-006</v>
      </c>
      <c r="E1380" t="str">
        <f>Orders!E1380</f>
        <v>R029</v>
      </c>
      <c r="F1380">
        <f>Orders!F1380</f>
        <v>9</v>
      </c>
      <c r="G1380" s="35">
        <f>Orders!G1380</f>
        <v>3970</v>
      </c>
      <c r="H1380" s="37">
        <f>Orders!H1380</f>
        <v>10.1</v>
      </c>
      <c r="I1380" s="39">
        <f>Orders!I1380</f>
        <v>32121.27</v>
      </c>
      <c r="J1380" t="str">
        <f>Orders!J1380</f>
        <v>Cancelled</v>
      </c>
      <c r="K1380" t="str">
        <f>Orders!K1380</f>
        <v>Delhi</v>
      </c>
      <c r="L1380" t="str">
        <f>IFERROR(VLOOKUP(D1380,Products!$A$2:$F$61,3,FALSE),"")</f>
        <v>Electronics</v>
      </c>
      <c r="M1380">
        <f>IFERROR(VLOOKUP(D1380,Products!$A$2:$F$61,4,FALSE),"")</f>
        <v>2865</v>
      </c>
      <c r="N1380" t="str">
        <f>IFERROR(VLOOKUP(E1380,Sales_Reps!$A$2:$E$31,3,FALSE),"")</f>
        <v>West</v>
      </c>
      <c r="O1380" t="str">
        <f>IFERROR(VLOOKUP(C1380,Customers!$A$2:$F$301,5,FALSE),"")</f>
        <v>Corporate</v>
      </c>
      <c r="P1380">
        <f>IFERROR(VLOOKUP(C1380,Customers!$A$2:$F$301,3,FALSE),"")</f>
        <v>46</v>
      </c>
      <c r="Q1380" s="41">
        <f t="shared" si="30"/>
        <v>0.27833753148614609</v>
      </c>
      <c r="R1380" t="str">
        <f>IFERROR(VLOOKUP(C1380,Customers!$A$2:$F$301,1,FALSE),"")</f>
        <v>CUST-0071</v>
      </c>
      <c r="S1380" s="27" t="b">
        <f>IFERROR(VLOOKUP(D1380,Products!$A$2:$F$61,6,FALSE),"")</f>
        <v>1</v>
      </c>
      <c r="BL1380">
        <v>0</v>
      </c>
      <c r="BO1380">
        <v>0</v>
      </c>
      <c r="BP1380">
        <v>0</v>
      </c>
    </row>
    <row r="1381" spans="1:68" x14ac:dyDescent="0.35">
      <c r="A1381" s="26" t="str">
        <f>Orders!A1381</f>
        <v>ORD-01380</v>
      </c>
      <c r="B1381" s="33">
        <f>Orders!B1381</f>
        <v>45570</v>
      </c>
      <c r="C1381" t="str">
        <f>Orders!C1381</f>
        <v>CUST-0115</v>
      </c>
      <c r="D1381" t="str">
        <f>Orders!D1381</f>
        <v>PROD-029</v>
      </c>
      <c r="E1381" t="str">
        <f>Orders!E1381</f>
        <v>R014</v>
      </c>
      <c r="F1381">
        <f>Orders!F1381</f>
        <v>6</v>
      </c>
      <c r="G1381" s="35">
        <f>Orders!G1381</f>
        <v>2210</v>
      </c>
      <c r="H1381" s="37">
        <f>Orders!H1381</f>
        <v>7.4</v>
      </c>
      <c r="I1381" s="39">
        <f>Orders!I1381</f>
        <v>12278.76</v>
      </c>
      <c r="J1381" t="str">
        <f>Orders!J1381</f>
        <v>Completed</v>
      </c>
      <c r="K1381" t="str">
        <f>Orders!K1381</f>
        <v>Mumbai</v>
      </c>
      <c r="L1381" t="str">
        <f>IFERROR(VLOOKUP(D1381,Products!$A$2:$F$61,3,FALSE),"")</f>
        <v>Grocery</v>
      </c>
      <c r="M1381">
        <f>IFERROR(VLOOKUP(D1381,Products!$A$2:$F$61,4,FALSE),"")</f>
        <v>1010</v>
      </c>
      <c r="N1381" t="str">
        <f>IFERROR(VLOOKUP(E1381,Sales_Reps!$A$2:$E$31,3,FALSE),"")</f>
        <v>South</v>
      </c>
      <c r="O1381" t="str">
        <f>IFERROR(VLOOKUP(C1381,Customers!$A$2:$F$301,5,FALSE),"")</f>
        <v>SMB</v>
      </c>
      <c r="P1381">
        <f>IFERROR(VLOOKUP(C1381,Customers!$A$2:$F$301,3,FALSE),"")</f>
        <v>65</v>
      </c>
      <c r="Q1381" s="41">
        <f t="shared" si="30"/>
        <v>0.54298642533936647</v>
      </c>
      <c r="R1381" t="str">
        <f>IFERROR(VLOOKUP(C1381,Customers!$A$2:$F$301,1,FALSE),"")</f>
        <v>CUST-0115</v>
      </c>
      <c r="S1381" s="27" t="b">
        <f>IFERROR(VLOOKUP(D1381,Products!$A$2:$F$61,6,FALSE),"")</f>
        <v>1</v>
      </c>
      <c r="BL1381">
        <v>0</v>
      </c>
      <c r="BO1381">
        <v>0</v>
      </c>
      <c r="BP1381">
        <v>0</v>
      </c>
    </row>
    <row r="1382" spans="1:68" x14ac:dyDescent="0.35">
      <c r="A1382" s="26" t="str">
        <f>Orders!A1382</f>
        <v>ORD-01381</v>
      </c>
      <c r="B1382" s="33">
        <f>Orders!B1382</f>
        <v>45360</v>
      </c>
      <c r="C1382" t="str">
        <f>Orders!C1382</f>
        <v>CUST-0258</v>
      </c>
      <c r="D1382" t="str">
        <f>Orders!D1382</f>
        <v>PROD-041</v>
      </c>
      <c r="E1382" t="str">
        <f>Orders!E1382</f>
        <v>R017</v>
      </c>
      <c r="F1382">
        <f>Orders!F1382</f>
        <v>7</v>
      </c>
      <c r="G1382" s="35">
        <f>Orders!G1382</f>
        <v>1540</v>
      </c>
      <c r="H1382" s="37">
        <f>Orders!H1382</f>
        <v>20.6</v>
      </c>
      <c r="I1382" s="39">
        <f>Orders!I1382</f>
        <v>8559.32</v>
      </c>
      <c r="J1382" t="str">
        <f>Orders!J1382</f>
        <v>Completed</v>
      </c>
      <c r="K1382" t="str">
        <f>Orders!K1382</f>
        <v>Pune</v>
      </c>
      <c r="L1382" t="str">
        <f>IFERROR(VLOOKUP(D1382,Products!$A$2:$F$61,3,FALSE),"")</f>
        <v>Beauty</v>
      </c>
      <c r="M1382">
        <f>IFERROR(VLOOKUP(D1382,Products!$A$2:$F$61,4,FALSE),"")</f>
        <v>647</v>
      </c>
      <c r="N1382" t="str">
        <f>IFERROR(VLOOKUP(E1382,Sales_Reps!$A$2:$E$31,3,FALSE),"")</f>
        <v>East</v>
      </c>
      <c r="O1382" t="str">
        <f>IFERROR(VLOOKUP(C1382,Customers!$A$2:$F$301,5,FALSE),"")</f>
        <v>Retail</v>
      </c>
      <c r="P1382">
        <f>IFERROR(VLOOKUP(C1382,Customers!$A$2:$F$301,3,FALSE),"")</f>
        <v>44</v>
      </c>
      <c r="Q1382" s="41">
        <f t="shared" si="30"/>
        <v>0.57987012987012987</v>
      </c>
      <c r="R1382" t="str">
        <f>IFERROR(VLOOKUP(C1382,Customers!$A$2:$F$301,1,FALSE),"")</f>
        <v>CUST-0258</v>
      </c>
      <c r="S1382" s="27" t="b">
        <f>IFERROR(VLOOKUP(D1382,Products!$A$2:$F$61,6,FALSE),"")</f>
        <v>0</v>
      </c>
      <c r="BL1382">
        <v>0</v>
      </c>
      <c r="BO1382">
        <v>0</v>
      </c>
      <c r="BP1382">
        <v>1</v>
      </c>
    </row>
    <row r="1383" spans="1:68" x14ac:dyDescent="0.35">
      <c r="A1383" s="26" t="str">
        <f>Orders!A1383</f>
        <v>ORD-01382</v>
      </c>
      <c r="B1383" s="33">
        <f>Orders!B1383</f>
        <v>45334</v>
      </c>
      <c r="C1383" t="str">
        <f>Orders!C1383</f>
        <v>CUST-0290</v>
      </c>
      <c r="D1383" t="str">
        <f>Orders!D1383</f>
        <v>PROD-039</v>
      </c>
      <c r="E1383" t="str">
        <f>Orders!E1383</f>
        <v>R027</v>
      </c>
      <c r="F1383">
        <f>Orders!F1383</f>
        <v>9</v>
      </c>
      <c r="G1383" s="35">
        <f>Orders!G1383</f>
        <v>4610</v>
      </c>
      <c r="H1383" s="37">
        <f>Orders!H1383</f>
        <v>2.1</v>
      </c>
      <c r="I1383" s="39">
        <f>Orders!I1383</f>
        <v>40618.71</v>
      </c>
      <c r="J1383" t="str">
        <f>Orders!J1383</f>
        <v>Completed</v>
      </c>
      <c r="K1383" t="str">
        <f>Orders!K1383</f>
        <v>Delhi</v>
      </c>
      <c r="L1383" t="str">
        <f>IFERROR(VLOOKUP(D1383,Products!$A$2:$F$61,3,FALSE),"")</f>
        <v>Home</v>
      </c>
      <c r="M1383">
        <f>IFERROR(VLOOKUP(D1383,Products!$A$2:$F$61,4,FALSE),"")</f>
        <v>1850</v>
      </c>
      <c r="N1383" t="str">
        <f>IFERROR(VLOOKUP(E1383,Sales_Reps!$A$2:$E$31,3,FALSE),"")</f>
        <v>West</v>
      </c>
      <c r="O1383" t="str">
        <f>IFERROR(VLOOKUP(C1383,Customers!$A$2:$F$301,5,FALSE),"")</f>
        <v>Retail</v>
      </c>
      <c r="P1383">
        <f>IFERROR(VLOOKUP(C1383,Customers!$A$2:$F$301,3,FALSE),"")</f>
        <v>63</v>
      </c>
      <c r="Q1383" s="41">
        <f t="shared" si="30"/>
        <v>0.59869848156182215</v>
      </c>
      <c r="R1383" t="str">
        <f>IFERROR(VLOOKUP(C1383,Customers!$A$2:$F$301,1,FALSE),"")</f>
        <v>CUST-0290</v>
      </c>
      <c r="S1383" s="27" t="b">
        <f>IFERROR(VLOOKUP(D1383,Products!$A$2:$F$61,6,FALSE),"")</f>
        <v>1</v>
      </c>
      <c r="BL1383">
        <v>0</v>
      </c>
      <c r="BO1383">
        <v>0</v>
      </c>
      <c r="BP1383">
        <v>0</v>
      </c>
    </row>
    <row r="1384" spans="1:68" x14ac:dyDescent="0.35">
      <c r="A1384" s="26" t="str">
        <f>Orders!A1384</f>
        <v>ORD-01383</v>
      </c>
      <c r="B1384" s="33">
        <f>Orders!B1384</f>
        <v>45527</v>
      </c>
      <c r="C1384" t="str">
        <f>Orders!C1384</f>
        <v>CUST-0279</v>
      </c>
      <c r="D1384" t="str">
        <f>Orders!D1384</f>
        <v>PROD-006</v>
      </c>
      <c r="E1384" t="str">
        <f>Orders!E1384</f>
        <v>R002</v>
      </c>
      <c r="F1384">
        <f>Orders!F1384</f>
        <v>10</v>
      </c>
      <c r="G1384" s="35">
        <f>Orders!G1384</f>
        <v>3970</v>
      </c>
      <c r="H1384" s="37">
        <f>Orders!H1384</f>
        <v>13.3</v>
      </c>
      <c r="I1384" s="39">
        <f>Orders!I1384</f>
        <v>34419.9</v>
      </c>
      <c r="J1384" t="str">
        <f>Orders!J1384</f>
        <v>Pending</v>
      </c>
      <c r="K1384" t="str">
        <f>Orders!K1384</f>
        <v>Mumbai</v>
      </c>
      <c r="L1384" t="str">
        <f>IFERROR(VLOOKUP(D1384,Products!$A$2:$F$61,3,FALSE),"")</f>
        <v>Electronics</v>
      </c>
      <c r="M1384">
        <f>IFERROR(VLOOKUP(D1384,Products!$A$2:$F$61,4,FALSE),"")</f>
        <v>2865</v>
      </c>
      <c r="N1384" t="str">
        <f>IFERROR(VLOOKUP(E1384,Sales_Reps!$A$2:$E$31,3,FALSE),"")</f>
        <v>North</v>
      </c>
      <c r="O1384" t="str">
        <f>IFERROR(VLOOKUP(C1384,Customers!$A$2:$F$301,5,FALSE),"")</f>
        <v>Retail</v>
      </c>
      <c r="P1384">
        <f>IFERROR(VLOOKUP(C1384,Customers!$A$2:$F$301,3,FALSE),"")</f>
        <v>56</v>
      </c>
      <c r="Q1384" s="41">
        <f t="shared" si="30"/>
        <v>0.27833753148614609</v>
      </c>
      <c r="R1384" t="str">
        <f>IFERROR(VLOOKUP(C1384,Customers!$A$2:$F$301,1,FALSE),"")</f>
        <v>CUST-0279</v>
      </c>
      <c r="S1384" s="27" t="b">
        <f>IFERROR(VLOOKUP(D1384,Products!$A$2:$F$61,6,FALSE),"")</f>
        <v>1</v>
      </c>
      <c r="BL1384">
        <v>0</v>
      </c>
      <c r="BO1384">
        <v>0</v>
      </c>
      <c r="BP1384">
        <v>0</v>
      </c>
    </row>
    <row r="1385" spans="1:68" x14ac:dyDescent="0.35">
      <c r="A1385" s="26" t="str">
        <f>Orders!A1385</f>
        <v>ORD-01384</v>
      </c>
      <c r="B1385" s="33">
        <f>Orders!B1385</f>
        <v>45534</v>
      </c>
      <c r="C1385" t="str">
        <f>Orders!C1385</f>
        <v>CUST-0132</v>
      </c>
      <c r="D1385" t="str">
        <f>Orders!D1385</f>
        <v>PROD-008</v>
      </c>
      <c r="E1385" t="str">
        <f>Orders!E1385</f>
        <v>R008</v>
      </c>
      <c r="F1385">
        <f>Orders!F1385</f>
        <v>8</v>
      </c>
      <c r="G1385" s="35">
        <f>Orders!G1385</f>
        <v>2660</v>
      </c>
      <c r="H1385" s="37">
        <f>Orders!H1385</f>
        <v>16.8</v>
      </c>
      <c r="I1385" s="39">
        <f>Orders!I1385</f>
        <v>17704.96</v>
      </c>
      <c r="J1385" t="str">
        <f>Orders!J1385</f>
        <v>Completed</v>
      </c>
      <c r="K1385" t="str">
        <f>Orders!K1385</f>
        <v>Delhi</v>
      </c>
      <c r="L1385" t="str">
        <f>IFERROR(VLOOKUP(D1385,Products!$A$2:$F$61,3,FALSE),"")</f>
        <v>Electronics</v>
      </c>
      <c r="M1385">
        <f>IFERROR(VLOOKUP(D1385,Products!$A$2:$F$61,4,FALSE),"")</f>
        <v>1259</v>
      </c>
      <c r="N1385" t="str">
        <f>IFERROR(VLOOKUP(E1385,Sales_Reps!$A$2:$E$31,3,FALSE),"")</f>
        <v>North</v>
      </c>
      <c r="O1385" t="str">
        <f>IFERROR(VLOOKUP(C1385,Customers!$A$2:$F$301,5,FALSE),"")</f>
        <v>Retail</v>
      </c>
      <c r="P1385">
        <f>IFERROR(VLOOKUP(C1385,Customers!$A$2:$F$301,3,FALSE),"")</f>
        <v>41</v>
      </c>
      <c r="Q1385" s="41">
        <f t="shared" si="30"/>
        <v>0.52669172932330832</v>
      </c>
      <c r="R1385" t="str">
        <f>IFERROR(VLOOKUP(C1385,Customers!$A$2:$F$301,1,FALSE),"")</f>
        <v>CUST-0132</v>
      </c>
      <c r="S1385" s="27" t="b">
        <f>IFERROR(VLOOKUP(D1385,Products!$A$2:$F$61,6,FALSE),"")</f>
        <v>0</v>
      </c>
      <c r="BL1385">
        <v>0</v>
      </c>
      <c r="BO1385">
        <v>0</v>
      </c>
      <c r="BP1385">
        <v>1</v>
      </c>
    </row>
    <row r="1386" spans="1:68" x14ac:dyDescent="0.35">
      <c r="A1386" s="26" t="str">
        <f>Orders!A1386</f>
        <v>ORD-01385</v>
      </c>
      <c r="B1386" s="33">
        <f>Orders!B1386</f>
        <v>45329</v>
      </c>
      <c r="C1386" t="str">
        <f>Orders!C1386</f>
        <v>CUST-0029</v>
      </c>
      <c r="D1386" t="str">
        <f>Orders!D1386</f>
        <v>PROD-047</v>
      </c>
      <c r="E1386" t="str">
        <f>Orders!E1386</f>
        <v>R021</v>
      </c>
      <c r="F1386">
        <f>Orders!F1386</f>
        <v>6</v>
      </c>
      <c r="G1386" s="35">
        <f>Orders!G1386</f>
        <v>3450</v>
      </c>
      <c r="H1386" s="37">
        <f>Orders!H1386</f>
        <v>23.4</v>
      </c>
      <c r="I1386" s="39">
        <f>Orders!I1386</f>
        <v>15856.2</v>
      </c>
      <c r="J1386" t="str">
        <f>Orders!J1386</f>
        <v>Completed</v>
      </c>
      <c r="K1386" t="str">
        <f>Orders!K1386</f>
        <v>Chennai</v>
      </c>
      <c r="L1386" t="str">
        <f>IFERROR(VLOOKUP(D1386,Products!$A$2:$F$61,3,FALSE),"")</f>
        <v>Beauty</v>
      </c>
      <c r="M1386">
        <f>IFERROR(VLOOKUP(D1386,Products!$A$2:$F$61,4,FALSE),"")</f>
        <v>2420</v>
      </c>
      <c r="N1386" t="str">
        <f>IFERROR(VLOOKUP(E1386,Sales_Reps!$A$2:$E$31,3,FALSE),"")</f>
        <v>East</v>
      </c>
      <c r="O1386" t="str">
        <f>IFERROR(VLOOKUP(C1386,Customers!$A$2:$F$301,5,FALSE),"")</f>
        <v>Corporate</v>
      </c>
      <c r="P1386">
        <f>IFERROR(VLOOKUP(C1386,Customers!$A$2:$F$301,3,FALSE),"")</f>
        <v>54</v>
      </c>
      <c r="Q1386" s="41">
        <f t="shared" si="30"/>
        <v>0.29855072463768118</v>
      </c>
      <c r="R1386" t="str">
        <f>IFERROR(VLOOKUP(C1386,Customers!$A$2:$F$301,1,FALSE),"")</f>
        <v>CUST-0029</v>
      </c>
      <c r="S1386" s="27" t="b">
        <f>IFERROR(VLOOKUP(D1386,Products!$A$2:$F$61,6,FALSE),"")</f>
        <v>1</v>
      </c>
      <c r="BL1386">
        <v>0</v>
      </c>
      <c r="BO1386">
        <v>0</v>
      </c>
      <c r="BP1386">
        <v>0</v>
      </c>
    </row>
    <row r="1387" spans="1:68" x14ac:dyDescent="0.35">
      <c r="A1387" s="26" t="str">
        <f>Orders!A1387</f>
        <v>ORD-01386</v>
      </c>
      <c r="B1387" s="33">
        <f>Orders!B1387</f>
        <v>45621</v>
      </c>
      <c r="C1387" t="str">
        <f>Orders!C1387</f>
        <v>CUST-0295</v>
      </c>
      <c r="D1387" t="str">
        <f>Orders!D1387</f>
        <v>PROD-053</v>
      </c>
      <c r="E1387" t="str">
        <f>Orders!E1387</f>
        <v>R007</v>
      </c>
      <c r="F1387">
        <f>Orders!F1387</f>
        <v>10</v>
      </c>
      <c r="G1387" s="35">
        <f>Orders!G1387</f>
        <v>470</v>
      </c>
      <c r="H1387" s="37">
        <f>Orders!H1387</f>
        <v>21.2</v>
      </c>
      <c r="I1387" s="39">
        <f>Orders!I1387</f>
        <v>3703.6</v>
      </c>
      <c r="J1387" t="str">
        <f>Orders!J1387</f>
        <v>Completed</v>
      </c>
      <c r="K1387" t="str">
        <f>Orders!K1387</f>
        <v>Delhi</v>
      </c>
      <c r="L1387" t="str">
        <f>IFERROR(VLOOKUP(D1387,Products!$A$2:$F$61,3,FALSE),"")</f>
        <v>Sports</v>
      </c>
      <c r="M1387">
        <f>IFERROR(VLOOKUP(D1387,Products!$A$2:$F$61,4,FALSE),"")</f>
        <v>302</v>
      </c>
      <c r="N1387" t="str">
        <f>IFERROR(VLOOKUP(E1387,Sales_Reps!$A$2:$E$31,3,FALSE),"")</f>
        <v>North</v>
      </c>
      <c r="O1387" t="str">
        <f>IFERROR(VLOOKUP(C1387,Customers!$A$2:$F$301,5,FALSE),"")</f>
        <v>SMB</v>
      </c>
      <c r="P1387">
        <f>IFERROR(VLOOKUP(C1387,Customers!$A$2:$F$301,3,FALSE),"")</f>
        <v>48</v>
      </c>
      <c r="Q1387" s="41">
        <f t="shared" si="30"/>
        <v>0.35744680851063831</v>
      </c>
      <c r="R1387" t="str">
        <f>IFERROR(VLOOKUP(C1387,Customers!$A$2:$F$301,1,FALSE),"")</f>
        <v>CUST-0295</v>
      </c>
      <c r="S1387" s="27" t="b">
        <f>IFERROR(VLOOKUP(D1387,Products!$A$2:$F$61,6,FALSE),"")</f>
        <v>0</v>
      </c>
      <c r="BL1387">
        <v>0</v>
      </c>
      <c r="BO1387">
        <v>0</v>
      </c>
      <c r="BP1387">
        <v>1</v>
      </c>
    </row>
    <row r="1388" spans="1:68" x14ac:dyDescent="0.35">
      <c r="A1388" s="26" t="str">
        <f>Orders!A1388</f>
        <v>ORD-00168</v>
      </c>
      <c r="B1388" s="33">
        <f>Orders!B1388</f>
        <v>45334</v>
      </c>
      <c r="C1388" t="str">
        <f>Orders!C1388</f>
        <v>CUST-0106</v>
      </c>
      <c r="D1388" t="str">
        <f>Orders!D1388</f>
        <v>PROD-059</v>
      </c>
      <c r="E1388" t="str">
        <f>Orders!E1388</f>
        <v>R022</v>
      </c>
      <c r="F1388">
        <f>Orders!F1388</f>
        <v>7</v>
      </c>
      <c r="G1388" s="35">
        <f>Orders!G1388</f>
        <v>3780</v>
      </c>
      <c r="H1388" s="37">
        <f>Orders!H1388</f>
        <v>10.1</v>
      </c>
      <c r="I1388" s="39">
        <f>Orders!I1388</f>
        <v>23787.54</v>
      </c>
      <c r="J1388" t="str">
        <f>Orders!J1388</f>
        <v>Completed</v>
      </c>
      <c r="K1388" t="str">
        <f>Orders!K1388</f>
        <v>Pune</v>
      </c>
      <c r="L1388" t="str">
        <f>IFERROR(VLOOKUP(D1388,Products!$A$2:$F$61,3,FALSE),"")</f>
        <v>Sports</v>
      </c>
      <c r="M1388">
        <f>IFERROR(VLOOKUP(D1388,Products!$A$2:$F$61,4,FALSE),"")</f>
        <v>1860</v>
      </c>
      <c r="N1388" t="str">
        <f>IFERROR(VLOOKUP(E1388,Sales_Reps!$A$2:$E$31,3,FALSE),"")</f>
        <v>East</v>
      </c>
      <c r="O1388" t="str">
        <f>IFERROR(VLOOKUP(C1388,Customers!$A$2:$F$301,5,FALSE),"")</f>
        <v>Retail</v>
      </c>
      <c r="P1388">
        <f>IFERROR(VLOOKUP(C1388,Customers!$A$2:$F$301,3,FALSE),"")</f>
        <v>22</v>
      </c>
      <c r="Q1388" s="41">
        <f t="shared" si="30"/>
        <v>0.50793650793650791</v>
      </c>
      <c r="R1388" t="str">
        <f>IFERROR(VLOOKUP(C1388,Customers!$A$2:$F$301,1,FALSE),"")</f>
        <v>CUST-0106</v>
      </c>
      <c r="S1388" s="27" t="b">
        <f>IFERROR(VLOOKUP(D1388,Products!$A$2:$F$61,6,FALSE),"")</f>
        <v>1</v>
      </c>
      <c r="BL1388">
        <v>0.5</v>
      </c>
      <c r="BO1388">
        <v>0</v>
      </c>
      <c r="BP1388">
        <v>0</v>
      </c>
    </row>
    <row r="1389" spans="1:68" x14ac:dyDescent="0.35">
      <c r="A1389" s="26" t="str">
        <f>Orders!A1389</f>
        <v>ORD-01388</v>
      </c>
      <c r="B1389" s="33">
        <f>Orders!B1389</f>
        <v>45324</v>
      </c>
      <c r="C1389" t="str">
        <f>Orders!C1389</f>
        <v>CUST-0127</v>
      </c>
      <c r="D1389" t="str">
        <f>Orders!D1389</f>
        <v>PROD-014</v>
      </c>
      <c r="E1389" t="str">
        <f>Orders!E1389</f>
        <v>R027</v>
      </c>
      <c r="F1389">
        <f>Orders!F1389</f>
        <v>3</v>
      </c>
      <c r="G1389" s="35">
        <f>Orders!G1389</f>
        <v>3620</v>
      </c>
      <c r="H1389" s="37">
        <f>Orders!H1389</f>
        <v>4.2</v>
      </c>
      <c r="I1389" s="39">
        <f>Orders!I1389</f>
        <v>10403.879999999999</v>
      </c>
      <c r="J1389" t="str">
        <f>Orders!J1389</f>
        <v>Completed</v>
      </c>
      <c r="K1389" t="str">
        <f>Orders!K1389</f>
        <v>Bengaluru</v>
      </c>
      <c r="L1389" t="str">
        <f>IFERROR(VLOOKUP(D1389,Products!$A$2:$F$61,3,FALSE),"")</f>
        <v>Apparel</v>
      </c>
      <c r="M1389">
        <f>IFERROR(VLOOKUP(D1389,Products!$A$2:$F$61,4,FALSE),"")</f>
        <v>2509</v>
      </c>
      <c r="N1389" t="str">
        <f>IFERROR(VLOOKUP(E1389,Sales_Reps!$A$2:$E$31,3,FALSE),"")</f>
        <v>West</v>
      </c>
      <c r="O1389" t="str">
        <f>IFERROR(VLOOKUP(C1389,Customers!$A$2:$F$301,5,FALSE),"")</f>
        <v>SMB</v>
      </c>
      <c r="P1389">
        <f>IFERROR(VLOOKUP(C1389,Customers!$A$2:$F$301,3,FALSE),"")</f>
        <v>36</v>
      </c>
      <c r="Q1389" s="41">
        <f t="shared" si="30"/>
        <v>0.3069060773480663</v>
      </c>
      <c r="R1389" t="str">
        <f>IFERROR(VLOOKUP(C1389,Customers!$A$2:$F$301,1,FALSE),"")</f>
        <v>CUST-0127</v>
      </c>
      <c r="S1389" s="27" t="b">
        <f>IFERROR(VLOOKUP(D1389,Products!$A$2:$F$61,6,FALSE),"")</f>
        <v>1</v>
      </c>
      <c r="BL1389">
        <v>0</v>
      </c>
      <c r="BO1389">
        <v>0</v>
      </c>
      <c r="BP1389">
        <v>0</v>
      </c>
    </row>
    <row r="1390" spans="1:68" x14ac:dyDescent="0.35">
      <c r="A1390" s="26" t="str">
        <f>Orders!A1390</f>
        <v>ORD-01389</v>
      </c>
      <c r="B1390" s="33">
        <f>Orders!B1390</f>
        <v>45541</v>
      </c>
      <c r="C1390" t="str">
        <f>Orders!C1390</f>
        <v>CUST-0031</v>
      </c>
      <c r="D1390" t="str">
        <f>Orders!D1390</f>
        <v>PROD-049</v>
      </c>
      <c r="E1390" t="str">
        <f>Orders!E1390</f>
        <v>R028</v>
      </c>
      <c r="F1390">
        <f>Orders!F1390</f>
        <v>7</v>
      </c>
      <c r="G1390" s="35">
        <f>Orders!G1390</f>
        <v>960</v>
      </c>
      <c r="H1390" s="37">
        <f>Orders!H1390</f>
        <v>9</v>
      </c>
      <c r="I1390" s="39">
        <f>Orders!I1390</f>
        <v>6115.2</v>
      </c>
      <c r="J1390" t="str">
        <f>Orders!J1390</f>
        <v>Completed</v>
      </c>
      <c r="K1390" t="str">
        <f>Orders!K1390</f>
        <v>Hyderabad</v>
      </c>
      <c r="L1390" t="str">
        <f>IFERROR(VLOOKUP(D1390,Products!$A$2:$F$61,3,FALSE),"")</f>
        <v>Beauty</v>
      </c>
      <c r="M1390">
        <f>IFERROR(VLOOKUP(D1390,Products!$A$2:$F$61,4,FALSE),"")</f>
        <v>675</v>
      </c>
      <c r="N1390" t="str">
        <f>IFERROR(VLOOKUP(E1390,Sales_Reps!$A$2:$E$31,3,FALSE),"")</f>
        <v>West</v>
      </c>
      <c r="O1390" t="str">
        <f>IFERROR(VLOOKUP(C1390,Customers!$A$2:$F$301,5,FALSE),"")</f>
        <v>Retail</v>
      </c>
      <c r="P1390">
        <f>IFERROR(VLOOKUP(C1390,Customers!$A$2:$F$301,3,FALSE),"")</f>
        <v>53</v>
      </c>
      <c r="Q1390" s="41">
        <f t="shared" si="30"/>
        <v>0.296875</v>
      </c>
      <c r="R1390" t="str">
        <f>IFERROR(VLOOKUP(C1390,Customers!$A$2:$F$301,1,FALSE),"")</f>
        <v>CUST-0031</v>
      </c>
      <c r="S1390" s="27" t="b">
        <f>IFERROR(VLOOKUP(D1390,Products!$A$2:$F$61,6,FALSE),"")</f>
        <v>1</v>
      </c>
      <c r="BL1390">
        <v>0</v>
      </c>
      <c r="BO1390">
        <v>0</v>
      </c>
      <c r="BP1390">
        <v>0</v>
      </c>
    </row>
    <row r="1391" spans="1:68" x14ac:dyDescent="0.35">
      <c r="A1391" s="26" t="str">
        <f>Orders!A1391</f>
        <v>ORD-01390</v>
      </c>
      <c r="B1391" s="33">
        <f>Orders!B1391</f>
        <v>45344</v>
      </c>
      <c r="C1391" t="str">
        <f>Orders!C1391</f>
        <v>CUST-0256</v>
      </c>
      <c r="D1391" t="str">
        <f>Orders!D1391</f>
        <v>PROD-043</v>
      </c>
      <c r="E1391" t="str">
        <f>Orders!E1391</f>
        <v>R007</v>
      </c>
      <c r="F1391">
        <f>Orders!F1391</f>
        <v>10</v>
      </c>
      <c r="G1391" s="35">
        <f>Orders!G1391</f>
        <v>3350</v>
      </c>
      <c r="H1391" s="37">
        <f>Orders!H1391</f>
        <v>1.2</v>
      </c>
      <c r="I1391" s="39">
        <f>Orders!I1391</f>
        <v>33098</v>
      </c>
      <c r="J1391" t="str">
        <f>Orders!J1391</f>
        <v>Cancelled</v>
      </c>
      <c r="K1391" t="str">
        <f>Orders!K1391</f>
        <v>Hyderabad</v>
      </c>
      <c r="L1391" t="str">
        <f>IFERROR(VLOOKUP(D1391,Products!$A$2:$F$61,3,FALSE),"")</f>
        <v>Beauty</v>
      </c>
      <c r="M1391">
        <f>IFERROR(VLOOKUP(D1391,Products!$A$2:$F$61,4,FALSE),"")</f>
        <v>1728</v>
      </c>
      <c r="N1391" t="str">
        <f>IFERROR(VLOOKUP(E1391,Sales_Reps!$A$2:$E$31,3,FALSE),"")</f>
        <v>North</v>
      </c>
      <c r="O1391" t="str">
        <f>IFERROR(VLOOKUP(C1391,Customers!$A$2:$F$301,5,FALSE),"")</f>
        <v>Retail</v>
      </c>
      <c r="P1391">
        <f>IFERROR(VLOOKUP(C1391,Customers!$A$2:$F$301,3,FALSE),"")</f>
        <v>28</v>
      </c>
      <c r="Q1391" s="41">
        <f t="shared" si="30"/>
        <v>0.48417910447761192</v>
      </c>
      <c r="R1391" t="str">
        <f>IFERROR(VLOOKUP(C1391,Customers!$A$2:$F$301,1,FALSE),"")</f>
        <v>CUST-0256</v>
      </c>
      <c r="S1391" s="27" t="b">
        <f>IFERROR(VLOOKUP(D1391,Products!$A$2:$F$61,6,FALSE),"")</f>
        <v>1</v>
      </c>
      <c r="BL1391">
        <v>0</v>
      </c>
      <c r="BO1391">
        <v>0</v>
      </c>
      <c r="BP1391">
        <v>0</v>
      </c>
    </row>
    <row r="1392" spans="1:68" x14ac:dyDescent="0.35">
      <c r="A1392" s="26" t="str">
        <f>Orders!A1392</f>
        <v>ORD-01391</v>
      </c>
      <c r="B1392" s="33">
        <f>Orders!B1392</f>
        <v>45388</v>
      </c>
      <c r="C1392" t="str">
        <f>Orders!C1392</f>
        <v>CUST-0131</v>
      </c>
      <c r="D1392" t="str">
        <f>Orders!D1392</f>
        <v>PROD-058</v>
      </c>
      <c r="E1392" t="str">
        <f>Orders!E1392</f>
        <v>R030</v>
      </c>
      <c r="F1392">
        <f>Orders!F1392</f>
        <v>3</v>
      </c>
      <c r="G1392" s="35">
        <f>Orders!G1392</f>
        <v>2400</v>
      </c>
      <c r="H1392" s="37">
        <f>Orders!H1392</f>
        <v>15.4</v>
      </c>
      <c r="I1392" s="39">
        <f>Orders!I1392</f>
        <v>6091.2</v>
      </c>
      <c r="J1392" t="str">
        <f>Orders!J1392</f>
        <v>Completed</v>
      </c>
      <c r="K1392" t="str">
        <f>Orders!K1392</f>
        <v>Delhi</v>
      </c>
      <c r="L1392" t="str">
        <f>IFERROR(VLOOKUP(D1392,Products!$A$2:$F$61,3,FALSE),"")</f>
        <v>Sports</v>
      </c>
      <c r="M1392">
        <f>IFERROR(VLOOKUP(D1392,Products!$A$2:$F$61,4,FALSE),"")</f>
        <v>974</v>
      </c>
      <c r="N1392" t="str">
        <f>IFERROR(VLOOKUP(E1392,Sales_Reps!$A$2:$E$31,3,FALSE),"")</f>
        <v>West</v>
      </c>
      <c r="O1392" t="str">
        <f>IFERROR(VLOOKUP(C1392,Customers!$A$2:$F$301,5,FALSE),"")</f>
        <v>SMB</v>
      </c>
      <c r="P1392">
        <f>IFERROR(VLOOKUP(C1392,Customers!$A$2:$F$301,3,FALSE),"")</f>
        <v>28</v>
      </c>
      <c r="Q1392" s="41">
        <f t="shared" si="30"/>
        <v>0.59416666666666662</v>
      </c>
      <c r="R1392" t="str">
        <f>IFERROR(VLOOKUP(C1392,Customers!$A$2:$F$301,1,FALSE),"")</f>
        <v>CUST-0131</v>
      </c>
      <c r="S1392" s="27" t="b">
        <f>IFERROR(VLOOKUP(D1392,Products!$A$2:$F$61,6,FALSE),"")</f>
        <v>1</v>
      </c>
      <c r="BL1392">
        <v>0</v>
      </c>
      <c r="BO1392">
        <v>0</v>
      </c>
      <c r="BP1392">
        <v>0</v>
      </c>
    </row>
    <row r="1393" spans="1:68" x14ac:dyDescent="0.35">
      <c r="A1393" s="26" t="str">
        <f>Orders!A1393</f>
        <v>ORD-01392</v>
      </c>
      <c r="B1393" s="33">
        <f>Orders!B1393</f>
        <v>45407</v>
      </c>
      <c r="C1393" t="str">
        <f>Orders!C1393</f>
        <v>CUST-0270</v>
      </c>
      <c r="D1393" t="str">
        <f>Orders!D1393</f>
        <v>PROD-055</v>
      </c>
      <c r="E1393" t="str">
        <f>Orders!E1393</f>
        <v>R002</v>
      </c>
      <c r="F1393">
        <f>Orders!F1393</f>
        <v>2</v>
      </c>
      <c r="G1393" s="35">
        <f>Orders!G1393</f>
        <v>2860</v>
      </c>
      <c r="H1393" s="37">
        <f>Orders!H1393</f>
        <v>10.5</v>
      </c>
      <c r="I1393" s="39">
        <f>Orders!I1393</f>
        <v>5119.3999999999996</v>
      </c>
      <c r="J1393" t="str">
        <f>Orders!J1393</f>
        <v>Completed</v>
      </c>
      <c r="K1393" t="str">
        <f>Orders!K1393</f>
        <v>Bengaluru</v>
      </c>
      <c r="L1393" t="str">
        <f>IFERROR(VLOOKUP(D1393,Products!$A$2:$F$61,3,FALSE),"")</f>
        <v>Sports</v>
      </c>
      <c r="M1393">
        <f>IFERROR(VLOOKUP(D1393,Products!$A$2:$F$61,4,FALSE),"")</f>
        <v>2028</v>
      </c>
      <c r="N1393" t="str">
        <f>IFERROR(VLOOKUP(E1393,Sales_Reps!$A$2:$E$31,3,FALSE),"")</f>
        <v>North</v>
      </c>
      <c r="O1393" t="str">
        <f>IFERROR(VLOOKUP(C1393,Customers!$A$2:$F$301,5,FALSE),"")</f>
        <v>Retail</v>
      </c>
      <c r="P1393">
        <f>IFERROR(VLOOKUP(C1393,Customers!$A$2:$F$301,3,FALSE),"")</f>
        <v>29</v>
      </c>
      <c r="Q1393" s="41">
        <f t="shared" si="30"/>
        <v>0.29090909090909089</v>
      </c>
      <c r="R1393" t="str">
        <f>IFERROR(VLOOKUP(C1393,Customers!$A$2:$F$301,1,FALSE),"")</f>
        <v>CUST-0270</v>
      </c>
      <c r="S1393" s="27" t="b">
        <f>IFERROR(VLOOKUP(D1393,Products!$A$2:$F$61,6,FALSE),"")</f>
        <v>1</v>
      </c>
      <c r="BL1393">
        <v>0</v>
      </c>
      <c r="BO1393">
        <v>0</v>
      </c>
      <c r="BP1393">
        <v>0</v>
      </c>
    </row>
    <row r="1394" spans="1:68" x14ac:dyDescent="0.35">
      <c r="A1394" s="26" t="str">
        <f>Orders!A1394</f>
        <v>ORD-01393</v>
      </c>
      <c r="B1394" s="33">
        <f>Orders!B1394</f>
        <v>45620</v>
      </c>
      <c r="C1394" t="str">
        <f>Orders!C1394</f>
        <v>CUST-0212</v>
      </c>
      <c r="D1394" t="str">
        <f>Orders!D1394</f>
        <v>PROD-042</v>
      </c>
      <c r="E1394" t="str">
        <f>Orders!E1394</f>
        <v>R008</v>
      </c>
      <c r="F1394">
        <f>Orders!F1394</f>
        <v>4</v>
      </c>
      <c r="G1394" s="35">
        <f>Orders!G1394</f>
        <v>2290</v>
      </c>
      <c r="H1394" s="37">
        <f>Orders!H1394</f>
        <v>5.9</v>
      </c>
      <c r="I1394" s="39">
        <f>Orders!I1394</f>
        <v>8619.56</v>
      </c>
      <c r="J1394" t="str">
        <f>Orders!J1394</f>
        <v>Completed</v>
      </c>
      <c r="K1394" t="str">
        <f>Orders!K1394</f>
        <v>Chennai</v>
      </c>
      <c r="L1394" t="str">
        <f>IFERROR(VLOOKUP(D1394,Products!$A$2:$F$61,3,FALSE),"")</f>
        <v>Beauty</v>
      </c>
      <c r="M1394">
        <f>IFERROR(VLOOKUP(D1394,Products!$A$2:$F$61,4,FALSE),"")</f>
        <v>1219</v>
      </c>
      <c r="N1394" t="str">
        <f>IFERROR(VLOOKUP(E1394,Sales_Reps!$A$2:$E$31,3,FALSE),"")</f>
        <v>North</v>
      </c>
      <c r="O1394" t="str">
        <f>IFERROR(VLOOKUP(C1394,Customers!$A$2:$F$301,5,FALSE),"")</f>
        <v>SMB</v>
      </c>
      <c r="P1394">
        <f>IFERROR(VLOOKUP(C1394,Customers!$A$2:$F$301,3,FALSE),"")</f>
        <v>46</v>
      </c>
      <c r="Q1394" s="41">
        <f t="shared" si="30"/>
        <v>0.46768558951965067</v>
      </c>
      <c r="R1394" t="str">
        <f>IFERROR(VLOOKUP(C1394,Customers!$A$2:$F$301,1,FALSE),"")</f>
        <v>CUST-0212</v>
      </c>
      <c r="S1394" s="27" t="b">
        <f>IFERROR(VLOOKUP(D1394,Products!$A$2:$F$61,6,FALSE),"")</f>
        <v>1</v>
      </c>
      <c r="BL1394">
        <v>0</v>
      </c>
      <c r="BO1394">
        <v>0</v>
      </c>
      <c r="BP1394">
        <v>0</v>
      </c>
    </row>
    <row r="1395" spans="1:68" x14ac:dyDescent="0.35">
      <c r="A1395" s="26" t="str">
        <f>Orders!A1395</f>
        <v>ORD-01394</v>
      </c>
      <c r="B1395" s="33">
        <f>Orders!B1395</f>
        <v>45499</v>
      </c>
      <c r="C1395" t="str">
        <f>Orders!C1395</f>
        <v>CUST-0216</v>
      </c>
      <c r="D1395" t="str">
        <f>Orders!D1395</f>
        <v>PROD-001</v>
      </c>
      <c r="E1395" t="str">
        <f>Orders!E1395</f>
        <v>R023</v>
      </c>
      <c r="F1395">
        <f>Orders!F1395</f>
        <v>7</v>
      </c>
      <c r="G1395" s="35">
        <f>Orders!G1395</f>
        <v>5330</v>
      </c>
      <c r="H1395" s="37">
        <f>Orders!H1395</f>
        <v>3.5</v>
      </c>
      <c r="I1395" s="39">
        <f>Orders!I1395</f>
        <v>36004.15</v>
      </c>
      <c r="J1395" t="str">
        <f>Orders!J1395</f>
        <v>Cancelled</v>
      </c>
      <c r="K1395" t="str">
        <f>Orders!K1395</f>
        <v>Mumbai</v>
      </c>
      <c r="L1395" t="str">
        <f>IFERROR(VLOOKUP(D1395,Products!$A$2:$F$61,3,FALSE),"")</f>
        <v>Electronics</v>
      </c>
      <c r="M1395">
        <f>IFERROR(VLOOKUP(D1395,Products!$A$2:$F$61,4,FALSE),"")</f>
        <v>2405</v>
      </c>
      <c r="N1395" t="str">
        <f>IFERROR(VLOOKUP(E1395,Sales_Reps!$A$2:$E$31,3,FALSE),"")</f>
        <v>East</v>
      </c>
      <c r="O1395" t="str">
        <f>IFERROR(VLOOKUP(C1395,Customers!$A$2:$F$301,5,FALSE),"")</f>
        <v>Retail</v>
      </c>
      <c r="P1395">
        <f>IFERROR(VLOOKUP(C1395,Customers!$A$2:$F$301,3,FALSE),"")</f>
        <v>50</v>
      </c>
      <c r="Q1395" s="41">
        <f t="shared" si="30"/>
        <v>0.54878048780487809</v>
      </c>
      <c r="R1395" t="str">
        <f>IFERROR(VLOOKUP(C1395,Customers!$A$2:$F$301,1,FALSE),"")</f>
        <v>CUST-0216</v>
      </c>
      <c r="S1395" s="27" t="b">
        <f>IFERROR(VLOOKUP(D1395,Products!$A$2:$F$61,6,FALSE),"")</f>
        <v>1</v>
      </c>
      <c r="BL1395">
        <v>0</v>
      </c>
      <c r="BO1395">
        <v>0</v>
      </c>
      <c r="BP1395">
        <v>0</v>
      </c>
    </row>
    <row r="1396" spans="1:68" x14ac:dyDescent="0.35">
      <c r="A1396" s="26" t="str">
        <f>Orders!A1396</f>
        <v>ORD-01395</v>
      </c>
      <c r="B1396" s="33">
        <f>Orders!B1396</f>
        <v>45585</v>
      </c>
      <c r="C1396" t="str">
        <f>Orders!C1396</f>
        <v>CUST-0189</v>
      </c>
      <c r="D1396" t="str">
        <f>Orders!D1396</f>
        <v>PROD-013</v>
      </c>
      <c r="E1396" t="str">
        <f>Orders!E1396</f>
        <v>R018</v>
      </c>
      <c r="F1396">
        <f>Orders!F1396</f>
        <v>10</v>
      </c>
      <c r="G1396" s="35">
        <f>Orders!G1396</f>
        <v>3640</v>
      </c>
      <c r="H1396" s="37">
        <f>Orders!H1396</f>
        <v>20.100000000000001</v>
      </c>
      <c r="I1396" s="39">
        <f>Orders!I1396</f>
        <v>29083.599999999999</v>
      </c>
      <c r="J1396" t="str">
        <f>Orders!J1396</f>
        <v>Completed</v>
      </c>
      <c r="K1396" t="str">
        <f>Orders!K1396</f>
        <v>Chennai</v>
      </c>
      <c r="L1396" t="str">
        <f>IFERROR(VLOOKUP(D1396,Products!$A$2:$F$61,3,FALSE),"")</f>
        <v>Apparel</v>
      </c>
      <c r="M1396">
        <f>IFERROR(VLOOKUP(D1396,Products!$A$2:$F$61,4,FALSE),"")</f>
        <v>2611</v>
      </c>
      <c r="N1396" t="str">
        <f>IFERROR(VLOOKUP(E1396,Sales_Reps!$A$2:$E$31,3,FALSE),"")</f>
        <v>East</v>
      </c>
      <c r="O1396" t="str">
        <f>IFERROR(VLOOKUP(C1396,Customers!$A$2:$F$301,5,FALSE),"")</f>
        <v>Retail</v>
      </c>
      <c r="P1396">
        <f>IFERROR(VLOOKUP(C1396,Customers!$A$2:$F$301,3,FALSE),"")</f>
        <v>41</v>
      </c>
      <c r="Q1396" s="41">
        <f t="shared" si="30"/>
        <v>0.28269230769230769</v>
      </c>
      <c r="R1396" t="str">
        <f>IFERROR(VLOOKUP(C1396,Customers!$A$2:$F$301,1,FALSE),"")</f>
        <v>CUST-0189</v>
      </c>
      <c r="S1396" s="27" t="b">
        <f>IFERROR(VLOOKUP(D1396,Products!$A$2:$F$61,6,FALSE),"")</f>
        <v>1</v>
      </c>
      <c r="BL1396">
        <v>0</v>
      </c>
      <c r="BO1396">
        <v>0</v>
      </c>
      <c r="BP1396">
        <v>0</v>
      </c>
    </row>
    <row r="1397" spans="1:68" x14ac:dyDescent="0.35">
      <c r="A1397" s="26" t="str">
        <f>Orders!A1397</f>
        <v>ORD-01396</v>
      </c>
      <c r="B1397" s="33">
        <f>Orders!B1397</f>
        <v>45633</v>
      </c>
      <c r="C1397" t="str">
        <f>Orders!C1397</f>
        <v>CUST-0064</v>
      </c>
      <c r="D1397" t="str">
        <f>Orders!D1397</f>
        <v>PROD-034</v>
      </c>
      <c r="E1397" t="str">
        <f>Orders!E1397</f>
        <v>R024</v>
      </c>
      <c r="F1397">
        <f>Orders!F1397</f>
        <v>10</v>
      </c>
      <c r="G1397" s="35">
        <f>Orders!G1397</f>
        <v>5080</v>
      </c>
      <c r="H1397" s="37">
        <f>Orders!H1397</f>
        <v>2.1</v>
      </c>
      <c r="I1397" s="39">
        <f>Orders!I1397</f>
        <v>49733.2</v>
      </c>
      <c r="J1397" t="str">
        <f>Orders!J1397</f>
        <v>Completed</v>
      </c>
      <c r="K1397" t="str">
        <f>Orders!K1397</f>
        <v>Hyderabad</v>
      </c>
      <c r="L1397" t="str">
        <f>IFERROR(VLOOKUP(D1397,Products!$A$2:$F$61,3,FALSE),"")</f>
        <v>Home</v>
      </c>
      <c r="M1397">
        <f>IFERROR(VLOOKUP(D1397,Products!$A$2:$F$61,4,FALSE),"")</f>
        <v>2459</v>
      </c>
      <c r="N1397" t="str">
        <f>IFERROR(VLOOKUP(E1397,Sales_Reps!$A$2:$E$31,3,FALSE),"")</f>
        <v>West</v>
      </c>
      <c r="O1397" t="str">
        <f>IFERROR(VLOOKUP(C1397,Customers!$A$2:$F$301,5,FALSE),"")</f>
        <v>SMB</v>
      </c>
      <c r="P1397">
        <f>IFERROR(VLOOKUP(C1397,Customers!$A$2:$F$301,3,FALSE),"")</f>
        <v>40</v>
      </c>
      <c r="Q1397" s="41">
        <f t="shared" si="30"/>
        <v>0.51594488188976373</v>
      </c>
      <c r="R1397" t="str">
        <f>IFERROR(VLOOKUP(C1397,Customers!$A$2:$F$301,1,FALSE),"")</f>
        <v>CUST-0064</v>
      </c>
      <c r="S1397" s="27" t="b">
        <f>IFERROR(VLOOKUP(D1397,Products!$A$2:$F$61,6,FALSE),"")</f>
        <v>1</v>
      </c>
      <c r="BL1397">
        <v>0</v>
      </c>
      <c r="BO1397">
        <v>0</v>
      </c>
      <c r="BP1397">
        <v>0</v>
      </c>
    </row>
    <row r="1398" spans="1:68" x14ac:dyDescent="0.35">
      <c r="A1398" s="26" t="str">
        <f>Orders!A1398</f>
        <v>ORD-01397</v>
      </c>
      <c r="B1398" s="33">
        <f>Orders!B1398</f>
        <v>45517</v>
      </c>
      <c r="C1398" t="str">
        <f>Orders!C1398</f>
        <v>CUST-0016</v>
      </c>
      <c r="D1398" t="str">
        <f>Orders!D1398</f>
        <v>PROD-035</v>
      </c>
      <c r="E1398" t="str">
        <f>Orders!E1398</f>
        <v>R018</v>
      </c>
      <c r="F1398">
        <f>Orders!F1398</f>
        <v>4</v>
      </c>
      <c r="G1398" s="35">
        <f>Orders!G1398</f>
        <v>1090</v>
      </c>
      <c r="H1398" s="37">
        <f>Orders!H1398</f>
        <v>18.5</v>
      </c>
      <c r="I1398" s="39">
        <f>Orders!I1398</f>
        <v>3553.4</v>
      </c>
      <c r="J1398" t="str">
        <f>Orders!J1398</f>
        <v>Refunded</v>
      </c>
      <c r="K1398" t="str">
        <f>Orders!K1398</f>
        <v>Delhi</v>
      </c>
      <c r="L1398" t="str">
        <f>IFERROR(VLOOKUP(D1398,Products!$A$2:$F$61,3,FALSE),"")</f>
        <v>Home</v>
      </c>
      <c r="M1398">
        <f>IFERROR(VLOOKUP(D1398,Products!$A$2:$F$61,4,FALSE),"")</f>
        <v>464</v>
      </c>
      <c r="N1398" t="str">
        <f>IFERROR(VLOOKUP(E1398,Sales_Reps!$A$2:$E$31,3,FALSE),"")</f>
        <v>East</v>
      </c>
      <c r="O1398" t="str">
        <f>IFERROR(VLOOKUP(C1398,Customers!$A$2:$F$301,5,FALSE),"")</f>
        <v>SMB</v>
      </c>
      <c r="P1398">
        <f>IFERROR(VLOOKUP(C1398,Customers!$A$2:$F$301,3,FALSE),"")</f>
        <v>26</v>
      </c>
      <c r="Q1398" s="41">
        <f t="shared" si="30"/>
        <v>0.57431192660550456</v>
      </c>
      <c r="R1398" t="str">
        <f>IFERROR(VLOOKUP(C1398,Customers!$A$2:$F$301,1,FALSE),"")</f>
        <v>CUST-0016</v>
      </c>
      <c r="S1398" s="27" t="b">
        <f>IFERROR(VLOOKUP(D1398,Products!$A$2:$F$61,6,FALSE),"")</f>
        <v>1</v>
      </c>
      <c r="BL1398">
        <v>0</v>
      </c>
      <c r="BO1398">
        <v>0</v>
      </c>
      <c r="BP1398">
        <v>0</v>
      </c>
    </row>
    <row r="1399" spans="1:68" x14ac:dyDescent="0.35">
      <c r="A1399" s="26" t="str">
        <f>Orders!A1399</f>
        <v>ORD-01398</v>
      </c>
      <c r="B1399" s="33">
        <f>Orders!B1399</f>
        <v>45645</v>
      </c>
      <c r="C1399" t="str">
        <f>Orders!C1399</f>
        <v>CUST-0296</v>
      </c>
      <c r="D1399" t="str">
        <f>Orders!D1399</f>
        <v>PROD-047</v>
      </c>
      <c r="E1399" t="str">
        <f>Orders!E1399</f>
        <v>R030</v>
      </c>
      <c r="F1399">
        <f>Orders!F1399</f>
        <v>10</v>
      </c>
      <c r="G1399" s="35">
        <f>Orders!G1399</f>
        <v>3450</v>
      </c>
      <c r="H1399" s="37">
        <f>Orders!H1399</f>
        <v>26.5</v>
      </c>
      <c r="I1399" s="39">
        <f>Orders!I1399</f>
        <v>25357.5</v>
      </c>
      <c r="J1399" t="str">
        <f>Orders!J1399</f>
        <v>Refunded</v>
      </c>
      <c r="K1399" t="str">
        <f>Orders!K1399</f>
        <v>Delhi</v>
      </c>
      <c r="L1399" t="str">
        <f>IFERROR(VLOOKUP(D1399,Products!$A$2:$F$61,3,FALSE),"")</f>
        <v>Beauty</v>
      </c>
      <c r="M1399">
        <f>IFERROR(VLOOKUP(D1399,Products!$A$2:$F$61,4,FALSE),"")</f>
        <v>2420</v>
      </c>
      <c r="N1399" t="str">
        <f>IFERROR(VLOOKUP(E1399,Sales_Reps!$A$2:$E$31,3,FALSE),"")</f>
        <v>West</v>
      </c>
      <c r="O1399" t="str">
        <f>IFERROR(VLOOKUP(C1399,Customers!$A$2:$F$301,5,FALSE),"")</f>
        <v>Corporate</v>
      </c>
      <c r="P1399">
        <f>IFERROR(VLOOKUP(C1399,Customers!$A$2:$F$301,3,FALSE),"")</f>
        <v>47</v>
      </c>
      <c r="Q1399" s="41">
        <f t="shared" si="30"/>
        <v>0.29855072463768118</v>
      </c>
      <c r="R1399" t="str">
        <f>IFERROR(VLOOKUP(C1399,Customers!$A$2:$F$301,1,FALSE),"")</f>
        <v>CUST-0296</v>
      </c>
      <c r="S1399" s="27" t="b">
        <f>IFERROR(VLOOKUP(D1399,Products!$A$2:$F$61,6,FALSE),"")</f>
        <v>1</v>
      </c>
      <c r="BL1399">
        <v>0</v>
      </c>
      <c r="BO1399">
        <v>0</v>
      </c>
      <c r="BP1399">
        <v>0</v>
      </c>
    </row>
    <row r="1400" spans="1:68" x14ac:dyDescent="0.35">
      <c r="A1400" s="26" t="str">
        <f>Orders!A1400</f>
        <v>ORD-01399</v>
      </c>
      <c r="B1400" s="33">
        <f>Orders!B1400</f>
        <v>45483</v>
      </c>
      <c r="C1400" t="str">
        <f>Orders!C1400</f>
        <v>CUST-0031</v>
      </c>
      <c r="D1400" t="str">
        <f>Orders!D1400</f>
        <v>PROD-052</v>
      </c>
      <c r="E1400" t="str">
        <f>Orders!E1400</f>
        <v>R009</v>
      </c>
      <c r="F1400">
        <f>Orders!F1400</f>
        <v>9</v>
      </c>
      <c r="G1400" s="35">
        <f>Orders!G1400</f>
        <v>5410</v>
      </c>
      <c r="H1400" s="37">
        <f>Orders!H1400</f>
        <v>11.5</v>
      </c>
      <c r="I1400" s="39">
        <f>Orders!I1400</f>
        <v>43090.65</v>
      </c>
      <c r="J1400" t="str">
        <f>Orders!J1400</f>
        <v>Completed</v>
      </c>
      <c r="K1400" t="str">
        <f>Orders!K1400</f>
        <v>Hyderabad</v>
      </c>
      <c r="L1400" t="str">
        <f>IFERROR(VLOOKUP(D1400,Products!$A$2:$F$61,3,FALSE),"")</f>
        <v>Sports</v>
      </c>
      <c r="M1400">
        <f>IFERROR(VLOOKUP(D1400,Products!$A$2:$F$61,4,FALSE),"")</f>
        <v>2265</v>
      </c>
      <c r="N1400" t="str">
        <f>IFERROR(VLOOKUP(E1400,Sales_Reps!$A$2:$E$31,3,FALSE),"")</f>
        <v>South</v>
      </c>
      <c r="O1400" t="str">
        <f>IFERROR(VLOOKUP(C1400,Customers!$A$2:$F$301,5,FALSE),"")</f>
        <v>Retail</v>
      </c>
      <c r="P1400">
        <f>IFERROR(VLOOKUP(C1400,Customers!$A$2:$F$301,3,FALSE),"")</f>
        <v>53</v>
      </c>
      <c r="Q1400" s="41">
        <f t="shared" si="30"/>
        <v>0.58133086876155271</v>
      </c>
      <c r="R1400" t="str">
        <f>IFERROR(VLOOKUP(C1400,Customers!$A$2:$F$301,1,FALSE),"")</f>
        <v>CUST-0031</v>
      </c>
      <c r="S1400" s="27" t="b">
        <f>IFERROR(VLOOKUP(D1400,Products!$A$2:$F$61,6,FALSE),"")</f>
        <v>1</v>
      </c>
      <c r="BL1400">
        <v>0</v>
      </c>
      <c r="BO1400">
        <v>0</v>
      </c>
      <c r="BP1400">
        <v>0</v>
      </c>
    </row>
    <row r="1401" spans="1:68" x14ac:dyDescent="0.35">
      <c r="A1401" s="26" t="str">
        <f>Orders!A1401</f>
        <v>ORD-01400</v>
      </c>
      <c r="B1401" s="33">
        <f>Orders!B1401</f>
        <v>45445</v>
      </c>
      <c r="C1401" t="str">
        <f>Orders!C1401</f>
        <v>CUST-0207</v>
      </c>
      <c r="D1401" t="str">
        <f>Orders!D1401</f>
        <v>PROD-011</v>
      </c>
      <c r="E1401" t="str">
        <f>Orders!E1401</f>
        <v>R030</v>
      </c>
      <c r="F1401">
        <f>Orders!F1401</f>
        <v>9</v>
      </c>
      <c r="G1401" s="35">
        <f>Orders!G1401</f>
        <v>3450</v>
      </c>
      <c r="H1401" s="37">
        <f>Orders!H1401</f>
        <v>0.3</v>
      </c>
      <c r="I1401" s="39">
        <f>Orders!I1401</f>
        <v>30956.85</v>
      </c>
      <c r="J1401" t="str">
        <f>Orders!J1401</f>
        <v>Refunded</v>
      </c>
      <c r="K1401" t="str">
        <f>Orders!K1401</f>
        <v>Hyderabad</v>
      </c>
      <c r="L1401" t="str">
        <f>IFERROR(VLOOKUP(D1401,Products!$A$2:$F$61,3,FALSE),"")</f>
        <v>Apparel</v>
      </c>
      <c r="M1401">
        <f>IFERROR(VLOOKUP(D1401,Products!$A$2:$F$61,4,FALSE),"")</f>
        <v>1748</v>
      </c>
      <c r="N1401" t="str">
        <f>IFERROR(VLOOKUP(E1401,Sales_Reps!$A$2:$E$31,3,FALSE),"")</f>
        <v>West</v>
      </c>
      <c r="O1401" t="str">
        <f>IFERROR(VLOOKUP(C1401,Customers!$A$2:$F$301,5,FALSE),"")</f>
        <v>SMB</v>
      </c>
      <c r="P1401">
        <f>IFERROR(VLOOKUP(C1401,Customers!$A$2:$F$301,3,FALSE),"")</f>
        <v>34</v>
      </c>
      <c r="Q1401" s="41">
        <f t="shared" si="30"/>
        <v>0.49333333333333335</v>
      </c>
      <c r="R1401" t="str">
        <f>IFERROR(VLOOKUP(C1401,Customers!$A$2:$F$301,1,FALSE),"")</f>
        <v>CUST-0207</v>
      </c>
      <c r="S1401" s="27" t="b">
        <f>IFERROR(VLOOKUP(D1401,Products!$A$2:$F$61,6,FALSE),"")</f>
        <v>1</v>
      </c>
      <c r="BL1401">
        <v>0</v>
      </c>
      <c r="BO1401">
        <v>0</v>
      </c>
      <c r="BP1401">
        <v>0</v>
      </c>
    </row>
    <row r="1402" spans="1:68" x14ac:dyDescent="0.35">
      <c r="A1402" s="26" t="str">
        <f>Orders!A1402</f>
        <v>ORD-01401</v>
      </c>
      <c r="B1402" s="33">
        <f>Orders!B1402</f>
        <v>45614</v>
      </c>
      <c r="C1402" t="str">
        <f>Orders!C1402</f>
        <v>CUST-0165</v>
      </c>
      <c r="D1402" t="str">
        <f>Orders!D1402</f>
        <v>PROD-012</v>
      </c>
      <c r="E1402" t="str">
        <f>Orders!E1402</f>
        <v>R025</v>
      </c>
      <c r="F1402">
        <f>Orders!F1402</f>
        <v>10</v>
      </c>
      <c r="G1402" s="35">
        <f>Orders!G1402</f>
        <v>3160</v>
      </c>
      <c r="H1402" s="37">
        <f>Orders!H1402</f>
        <v>13.6</v>
      </c>
      <c r="I1402" s="39">
        <f>Orders!I1402</f>
        <v>27302.400000000001</v>
      </c>
      <c r="J1402" t="str">
        <f>Orders!J1402</f>
        <v>Completed</v>
      </c>
      <c r="K1402" t="str">
        <f>Orders!K1402</f>
        <v>Pune</v>
      </c>
      <c r="L1402" t="str">
        <f>IFERROR(VLOOKUP(D1402,Products!$A$2:$F$61,3,FALSE),"")</f>
        <v>Apparel</v>
      </c>
      <c r="M1402">
        <f>IFERROR(VLOOKUP(D1402,Products!$A$2:$F$61,4,FALSE),"")</f>
        <v>1886</v>
      </c>
      <c r="N1402" t="str">
        <f>IFERROR(VLOOKUP(E1402,Sales_Reps!$A$2:$E$31,3,FALSE),"")</f>
        <v>West</v>
      </c>
      <c r="O1402" t="str">
        <f>IFERROR(VLOOKUP(C1402,Customers!$A$2:$F$301,5,FALSE),"")</f>
        <v>Retail</v>
      </c>
      <c r="P1402">
        <f>IFERROR(VLOOKUP(C1402,Customers!$A$2:$F$301,3,FALSE),"")</f>
        <v>29</v>
      </c>
      <c r="Q1402" s="41">
        <f t="shared" si="30"/>
        <v>0.4031645569620253</v>
      </c>
      <c r="R1402" t="str">
        <f>IFERROR(VLOOKUP(C1402,Customers!$A$2:$F$301,1,FALSE),"")</f>
        <v>CUST-0165</v>
      </c>
      <c r="S1402" s="27" t="b">
        <f>IFERROR(VLOOKUP(D1402,Products!$A$2:$F$61,6,FALSE),"")</f>
        <v>1</v>
      </c>
      <c r="BL1402">
        <v>0</v>
      </c>
      <c r="BO1402">
        <v>0</v>
      </c>
      <c r="BP1402">
        <v>0</v>
      </c>
    </row>
    <row r="1403" spans="1:68" x14ac:dyDescent="0.35">
      <c r="A1403" s="26" t="str">
        <f>Orders!A1403</f>
        <v>ORD-01402</v>
      </c>
      <c r="B1403" s="33">
        <f>Orders!B1403</f>
        <v>45433</v>
      </c>
      <c r="C1403" t="str">
        <f>Orders!C1403</f>
        <v>CUST-0281</v>
      </c>
      <c r="D1403" t="str">
        <f>Orders!D1403</f>
        <v>PROD-041</v>
      </c>
      <c r="E1403" t="str">
        <f>Orders!E1403</f>
        <v>R026</v>
      </c>
      <c r="F1403">
        <f>Orders!F1403</f>
        <v>3</v>
      </c>
      <c r="G1403" s="35">
        <f>Orders!G1403</f>
        <v>1540</v>
      </c>
      <c r="H1403" s="37">
        <f>Orders!H1403</f>
        <v>21.2</v>
      </c>
      <c r="I1403" s="39">
        <f>Orders!I1403</f>
        <v>3640.56</v>
      </c>
      <c r="J1403" t="str">
        <f>Orders!J1403</f>
        <v>Completed</v>
      </c>
      <c r="K1403" t="str">
        <f>Orders!K1403</f>
        <v>Bengaluru</v>
      </c>
      <c r="L1403" t="str">
        <f>IFERROR(VLOOKUP(D1403,Products!$A$2:$F$61,3,FALSE),"")</f>
        <v>Beauty</v>
      </c>
      <c r="M1403">
        <f>IFERROR(VLOOKUP(D1403,Products!$A$2:$F$61,4,FALSE),"")</f>
        <v>647</v>
      </c>
      <c r="N1403" t="str">
        <f>IFERROR(VLOOKUP(E1403,Sales_Reps!$A$2:$E$31,3,FALSE),"")</f>
        <v>West</v>
      </c>
      <c r="O1403" t="str">
        <f>IFERROR(VLOOKUP(C1403,Customers!$A$2:$F$301,5,FALSE),"")</f>
        <v>Corporate</v>
      </c>
      <c r="P1403">
        <f>IFERROR(VLOOKUP(C1403,Customers!$A$2:$F$301,3,FALSE),"")</f>
        <v>57</v>
      </c>
      <c r="Q1403" s="41">
        <f t="shared" si="30"/>
        <v>0.57987012987012987</v>
      </c>
      <c r="R1403" t="str">
        <f>IFERROR(VLOOKUP(C1403,Customers!$A$2:$F$301,1,FALSE),"")</f>
        <v>CUST-0281</v>
      </c>
      <c r="S1403" s="27" t="b">
        <f>IFERROR(VLOOKUP(D1403,Products!$A$2:$F$61,6,FALSE),"")</f>
        <v>0</v>
      </c>
      <c r="BL1403">
        <v>0</v>
      </c>
      <c r="BO1403">
        <v>0</v>
      </c>
      <c r="BP1403">
        <v>1</v>
      </c>
    </row>
    <row r="1404" spans="1:68" x14ac:dyDescent="0.35">
      <c r="A1404" s="26" t="str">
        <f>Orders!A1404</f>
        <v>ORD-01403</v>
      </c>
      <c r="B1404" s="33">
        <f>Orders!B1404</f>
        <v>45402</v>
      </c>
      <c r="C1404" t="str">
        <f>Orders!C1404</f>
        <v>CUST-0018</v>
      </c>
      <c r="D1404" t="str">
        <f>Orders!D1404</f>
        <v>PROD-013</v>
      </c>
      <c r="E1404" t="str">
        <f>Orders!E1404</f>
        <v>R022</v>
      </c>
      <c r="F1404">
        <f>Orders!F1404</f>
        <v>5</v>
      </c>
      <c r="G1404" s="35">
        <f>Orders!G1404</f>
        <v>3640</v>
      </c>
      <c r="H1404" s="37">
        <f>Orders!H1404</f>
        <v>17.5</v>
      </c>
      <c r="I1404" s="39">
        <f>Orders!I1404</f>
        <v>15015</v>
      </c>
      <c r="J1404" t="str">
        <f>Orders!J1404</f>
        <v>Completed</v>
      </c>
      <c r="K1404" t="str">
        <f>Orders!K1404</f>
        <v>Pune</v>
      </c>
      <c r="L1404" t="str">
        <f>IFERROR(VLOOKUP(D1404,Products!$A$2:$F$61,3,FALSE),"")</f>
        <v>Apparel</v>
      </c>
      <c r="M1404">
        <f>IFERROR(VLOOKUP(D1404,Products!$A$2:$F$61,4,FALSE),"")</f>
        <v>2611</v>
      </c>
      <c r="N1404" t="str">
        <f>IFERROR(VLOOKUP(E1404,Sales_Reps!$A$2:$E$31,3,FALSE),"")</f>
        <v>East</v>
      </c>
      <c r="O1404" t="str">
        <f>IFERROR(VLOOKUP(C1404,Customers!$A$2:$F$301,5,FALSE),"")</f>
        <v>SMB</v>
      </c>
      <c r="P1404">
        <f>IFERROR(VLOOKUP(C1404,Customers!$A$2:$F$301,3,FALSE),"")</f>
        <v>54</v>
      </c>
      <c r="Q1404" s="41">
        <f t="shared" si="30"/>
        <v>0.28269230769230769</v>
      </c>
      <c r="R1404" t="str">
        <f>IFERROR(VLOOKUP(C1404,Customers!$A$2:$F$301,1,FALSE),"")</f>
        <v>CUST-0018</v>
      </c>
      <c r="S1404" s="27" t="b">
        <f>IFERROR(VLOOKUP(D1404,Products!$A$2:$F$61,6,FALSE),"")</f>
        <v>1</v>
      </c>
      <c r="BL1404">
        <v>0</v>
      </c>
      <c r="BO1404">
        <v>0</v>
      </c>
      <c r="BP1404">
        <v>0</v>
      </c>
    </row>
    <row r="1405" spans="1:68" x14ac:dyDescent="0.35">
      <c r="A1405" s="26" t="str">
        <f>Orders!A1405</f>
        <v>ORD-01404</v>
      </c>
      <c r="B1405" s="33">
        <f>Orders!B1405</f>
        <v>45302</v>
      </c>
      <c r="C1405" t="str">
        <f>Orders!C1405</f>
        <v>CUST-0204</v>
      </c>
      <c r="D1405" t="str">
        <f>Orders!D1405</f>
        <v>PROD-059</v>
      </c>
      <c r="E1405" t="str">
        <f>Orders!E1405</f>
        <v>R002</v>
      </c>
      <c r="F1405">
        <f>Orders!F1405</f>
        <v>4</v>
      </c>
      <c r="G1405" s="35">
        <f>Orders!G1405</f>
        <v>3780</v>
      </c>
      <c r="H1405" s="37">
        <f>Orders!H1405</f>
        <v>9</v>
      </c>
      <c r="I1405" s="39">
        <f>Orders!I1405</f>
        <v>13759.2</v>
      </c>
      <c r="J1405" t="str">
        <f>Orders!J1405</f>
        <v>Pending</v>
      </c>
      <c r="K1405" t="str">
        <f>Orders!K1405</f>
        <v>Hyderabad</v>
      </c>
      <c r="L1405" t="str">
        <f>IFERROR(VLOOKUP(D1405,Products!$A$2:$F$61,3,FALSE),"")</f>
        <v>Sports</v>
      </c>
      <c r="M1405">
        <f>IFERROR(VLOOKUP(D1405,Products!$A$2:$F$61,4,FALSE),"")</f>
        <v>1860</v>
      </c>
      <c r="N1405" t="str">
        <f>IFERROR(VLOOKUP(E1405,Sales_Reps!$A$2:$E$31,3,FALSE),"")</f>
        <v>North</v>
      </c>
      <c r="O1405" t="str">
        <f>IFERROR(VLOOKUP(C1405,Customers!$A$2:$F$301,5,FALSE),"")</f>
        <v>Retail</v>
      </c>
      <c r="P1405">
        <f>IFERROR(VLOOKUP(C1405,Customers!$A$2:$F$301,3,FALSE),"")</f>
        <v>60</v>
      </c>
      <c r="Q1405" s="41">
        <f t="shared" si="30"/>
        <v>0.50793650793650791</v>
      </c>
      <c r="R1405" t="str">
        <f>IFERROR(VLOOKUP(C1405,Customers!$A$2:$F$301,1,FALSE),"")</f>
        <v>CUST-0204</v>
      </c>
      <c r="S1405" s="27" t="b">
        <f>IFERROR(VLOOKUP(D1405,Products!$A$2:$F$61,6,FALSE),"")</f>
        <v>1</v>
      </c>
      <c r="BL1405">
        <v>0</v>
      </c>
      <c r="BO1405">
        <v>0</v>
      </c>
      <c r="BP1405">
        <v>0</v>
      </c>
    </row>
    <row r="1406" spans="1:68" x14ac:dyDescent="0.35">
      <c r="A1406" s="26" t="str">
        <f>Orders!A1406</f>
        <v>ORD-01405</v>
      </c>
      <c r="B1406" s="33">
        <f>Orders!B1406</f>
        <v>45526</v>
      </c>
      <c r="C1406" t="str">
        <f>Orders!C1406</f>
        <v>CUST-0028</v>
      </c>
      <c r="D1406" t="str">
        <f>Orders!D1406</f>
        <v>PROD-015</v>
      </c>
      <c r="E1406" t="str">
        <f>Orders!E1406</f>
        <v>R025</v>
      </c>
      <c r="F1406">
        <f>Orders!F1406</f>
        <v>9</v>
      </c>
      <c r="G1406" s="35">
        <f>Orders!G1406</f>
        <v>2720</v>
      </c>
      <c r="H1406" s="37">
        <f>Orders!H1406</f>
        <v>8.9</v>
      </c>
      <c r="I1406" s="39">
        <f>Orders!I1406</f>
        <v>22301.279999999999</v>
      </c>
      <c r="J1406" t="str">
        <f>Orders!J1406</f>
        <v>Completed</v>
      </c>
      <c r="K1406" t="str">
        <f>Orders!K1406</f>
        <v>Bengaluru</v>
      </c>
      <c r="L1406" t="str">
        <f>IFERROR(VLOOKUP(D1406,Products!$A$2:$F$61,3,FALSE),"")</f>
        <v>Apparel</v>
      </c>
      <c r="M1406">
        <f>IFERROR(VLOOKUP(D1406,Products!$A$2:$F$61,4,FALSE),"")</f>
        <v>1962</v>
      </c>
      <c r="N1406" t="str">
        <f>IFERROR(VLOOKUP(E1406,Sales_Reps!$A$2:$E$31,3,FALSE),"")</f>
        <v>West</v>
      </c>
      <c r="O1406" t="str">
        <f>IFERROR(VLOOKUP(C1406,Customers!$A$2:$F$301,5,FALSE),"")</f>
        <v>Retail</v>
      </c>
      <c r="P1406">
        <f>IFERROR(VLOOKUP(C1406,Customers!$A$2:$F$301,3,FALSE),"")</f>
        <v>59</v>
      </c>
      <c r="Q1406" s="41">
        <f t="shared" si="30"/>
        <v>0.2786764705882353</v>
      </c>
      <c r="R1406" t="str">
        <f>IFERROR(VLOOKUP(C1406,Customers!$A$2:$F$301,1,FALSE),"")</f>
        <v>CUST-0028</v>
      </c>
      <c r="S1406" s="27" t="b">
        <f>IFERROR(VLOOKUP(D1406,Products!$A$2:$F$61,6,FALSE),"")</f>
        <v>1</v>
      </c>
      <c r="BL1406">
        <v>0</v>
      </c>
      <c r="BO1406">
        <v>0</v>
      </c>
      <c r="BP1406">
        <v>0</v>
      </c>
    </row>
    <row r="1407" spans="1:68" x14ac:dyDescent="0.35">
      <c r="A1407" s="26" t="str">
        <f>Orders!A1407</f>
        <v>ORD-01406</v>
      </c>
      <c r="B1407" s="33">
        <f>Orders!B1407</f>
        <v>45648</v>
      </c>
      <c r="C1407" t="str">
        <f>Orders!C1407</f>
        <v>CUST-0144</v>
      </c>
      <c r="D1407" t="str">
        <f>Orders!D1407</f>
        <v>PROD-014</v>
      </c>
      <c r="E1407" t="str">
        <f>Orders!E1407</f>
        <v>R004</v>
      </c>
      <c r="F1407">
        <f>Orders!F1407</f>
        <v>4</v>
      </c>
      <c r="G1407" s="35">
        <f>Orders!G1407</f>
        <v>3620</v>
      </c>
      <c r="H1407" s="37">
        <f>Orders!H1407</f>
        <v>8</v>
      </c>
      <c r="I1407" s="39">
        <f>Orders!I1407</f>
        <v>13321.6</v>
      </c>
      <c r="J1407" t="str">
        <f>Orders!J1407</f>
        <v>Pending</v>
      </c>
      <c r="K1407" t="str">
        <f>Orders!K1407</f>
        <v>Chennai</v>
      </c>
      <c r="L1407" t="str">
        <f>IFERROR(VLOOKUP(D1407,Products!$A$2:$F$61,3,FALSE),"")</f>
        <v>Apparel</v>
      </c>
      <c r="M1407">
        <f>IFERROR(VLOOKUP(D1407,Products!$A$2:$F$61,4,FALSE),"")</f>
        <v>2509</v>
      </c>
      <c r="N1407" t="str">
        <f>IFERROR(VLOOKUP(E1407,Sales_Reps!$A$2:$E$31,3,FALSE),"")</f>
        <v>North</v>
      </c>
      <c r="O1407" t="str">
        <f>IFERROR(VLOOKUP(C1407,Customers!$A$2:$F$301,5,FALSE),"")</f>
        <v>Retail</v>
      </c>
      <c r="P1407">
        <f>IFERROR(VLOOKUP(C1407,Customers!$A$2:$F$301,3,FALSE),"")</f>
        <v>49</v>
      </c>
      <c r="Q1407" s="41">
        <f t="shared" si="30"/>
        <v>0.3069060773480663</v>
      </c>
      <c r="R1407" t="str">
        <f>IFERROR(VLOOKUP(C1407,Customers!$A$2:$F$301,1,FALSE),"")</f>
        <v>CUST-0144</v>
      </c>
      <c r="S1407" s="27" t="b">
        <f>IFERROR(VLOOKUP(D1407,Products!$A$2:$F$61,6,FALSE),"")</f>
        <v>1</v>
      </c>
      <c r="BL1407">
        <v>0</v>
      </c>
      <c r="BO1407">
        <v>0</v>
      </c>
      <c r="BP1407">
        <v>0</v>
      </c>
    </row>
    <row r="1408" spans="1:68" x14ac:dyDescent="0.35">
      <c r="A1408" s="26" t="str">
        <f>Orders!A1408</f>
        <v>ORD-01407</v>
      </c>
      <c r="B1408" s="33">
        <f>Orders!B1408</f>
        <v>45325</v>
      </c>
      <c r="C1408" t="str">
        <f>Orders!C1408</f>
        <v>CUST-0043</v>
      </c>
      <c r="D1408" t="str">
        <f>Orders!D1408</f>
        <v>PROD-011</v>
      </c>
      <c r="E1408" t="str">
        <f>Orders!E1408</f>
        <v>R004</v>
      </c>
      <c r="F1408">
        <f>Orders!F1408</f>
        <v>1</v>
      </c>
      <c r="G1408" s="35">
        <f>Orders!G1408</f>
        <v>3450</v>
      </c>
      <c r="H1408" s="37">
        <f>Orders!H1408</f>
        <v>0.2</v>
      </c>
      <c r="I1408" s="39">
        <f>Orders!I1408</f>
        <v>3443.1</v>
      </c>
      <c r="J1408" t="str">
        <f>Orders!J1408</f>
        <v>Completed</v>
      </c>
      <c r="K1408" t="str">
        <f>Orders!K1408</f>
        <v>Hyderabad</v>
      </c>
      <c r="L1408" t="str">
        <f>IFERROR(VLOOKUP(D1408,Products!$A$2:$F$61,3,FALSE),"")</f>
        <v>Apparel</v>
      </c>
      <c r="M1408">
        <f>IFERROR(VLOOKUP(D1408,Products!$A$2:$F$61,4,FALSE),"")</f>
        <v>1748</v>
      </c>
      <c r="N1408" t="str">
        <f>IFERROR(VLOOKUP(E1408,Sales_Reps!$A$2:$E$31,3,FALSE),"")</f>
        <v>North</v>
      </c>
      <c r="O1408" t="str">
        <f>IFERROR(VLOOKUP(C1408,Customers!$A$2:$F$301,5,FALSE),"")</f>
        <v>Retail</v>
      </c>
      <c r="P1408">
        <f>IFERROR(VLOOKUP(C1408,Customers!$A$2:$F$301,3,FALSE),"")</f>
        <v>61</v>
      </c>
      <c r="Q1408" s="41">
        <f t="shared" si="30"/>
        <v>0.49333333333333335</v>
      </c>
      <c r="R1408" t="str">
        <f>IFERROR(VLOOKUP(C1408,Customers!$A$2:$F$301,1,FALSE),"")</f>
        <v>CUST-0043</v>
      </c>
      <c r="S1408" s="27" t="b">
        <f>IFERROR(VLOOKUP(D1408,Products!$A$2:$F$61,6,FALSE),"")</f>
        <v>1</v>
      </c>
      <c r="BL1408">
        <v>0</v>
      </c>
      <c r="BO1408">
        <v>0</v>
      </c>
      <c r="BP1408">
        <v>0</v>
      </c>
    </row>
    <row r="1409" spans="1:68" x14ac:dyDescent="0.35">
      <c r="A1409" s="26" t="str">
        <f>Orders!A1409</f>
        <v>ORD-01408</v>
      </c>
      <c r="B1409" s="33">
        <f>Orders!B1409</f>
        <v>45640</v>
      </c>
      <c r="C1409" t="str">
        <f>Orders!C1409</f>
        <v>CUST-0246</v>
      </c>
      <c r="D1409" t="str">
        <f>Orders!D1409</f>
        <v>PROD-013</v>
      </c>
      <c r="E1409" t="str">
        <f>Orders!E1409</f>
        <v>R014</v>
      </c>
      <c r="F1409">
        <f>Orders!F1409</f>
        <v>7</v>
      </c>
      <c r="G1409" s="35">
        <f>Orders!G1409</f>
        <v>3640</v>
      </c>
      <c r="H1409" s="37">
        <f>Orders!H1409</f>
        <v>4.5999999999999996</v>
      </c>
      <c r="I1409" s="39">
        <f>Orders!I1409</f>
        <v>24307.919999999998</v>
      </c>
      <c r="J1409" t="str">
        <f>Orders!J1409</f>
        <v>Completed</v>
      </c>
      <c r="K1409" t="str">
        <f>Orders!K1409</f>
        <v>Delhi</v>
      </c>
      <c r="L1409" t="str">
        <f>IFERROR(VLOOKUP(D1409,Products!$A$2:$F$61,3,FALSE),"")</f>
        <v>Apparel</v>
      </c>
      <c r="M1409">
        <f>IFERROR(VLOOKUP(D1409,Products!$A$2:$F$61,4,FALSE),"")</f>
        <v>2611</v>
      </c>
      <c r="N1409" t="str">
        <f>IFERROR(VLOOKUP(E1409,Sales_Reps!$A$2:$E$31,3,FALSE),"")</f>
        <v>South</v>
      </c>
      <c r="O1409" t="str">
        <f>IFERROR(VLOOKUP(C1409,Customers!$A$2:$F$301,5,FALSE),"")</f>
        <v>SMB</v>
      </c>
      <c r="P1409">
        <f>IFERROR(VLOOKUP(C1409,Customers!$A$2:$F$301,3,FALSE),"")</f>
        <v>29</v>
      </c>
      <c r="Q1409" s="41">
        <f t="shared" si="30"/>
        <v>0.28269230769230769</v>
      </c>
      <c r="R1409" t="str">
        <f>IFERROR(VLOOKUP(C1409,Customers!$A$2:$F$301,1,FALSE),"")</f>
        <v>CUST-0246</v>
      </c>
      <c r="S1409" s="27" t="b">
        <f>IFERROR(VLOOKUP(D1409,Products!$A$2:$F$61,6,FALSE),"")</f>
        <v>1</v>
      </c>
      <c r="BL1409">
        <v>0</v>
      </c>
      <c r="BO1409">
        <v>0</v>
      </c>
      <c r="BP1409">
        <v>0</v>
      </c>
    </row>
    <row r="1410" spans="1:68" x14ac:dyDescent="0.35">
      <c r="A1410" s="26" t="str">
        <f>Orders!A1410</f>
        <v>ORD-01409</v>
      </c>
      <c r="B1410" s="33">
        <f>Orders!B1410</f>
        <v>45423</v>
      </c>
      <c r="C1410" t="str">
        <f>Orders!C1410</f>
        <v>CUST-0156</v>
      </c>
      <c r="D1410" t="str">
        <f>Orders!D1410</f>
        <v>PROD-016</v>
      </c>
      <c r="E1410" t="str">
        <f>Orders!E1410</f>
        <v>R023</v>
      </c>
      <c r="F1410">
        <f>Orders!F1410</f>
        <v>9</v>
      </c>
      <c r="G1410" s="35">
        <f>Orders!G1410</f>
        <v>620</v>
      </c>
      <c r="H1410" s="37">
        <f>Orders!H1410</f>
        <v>8.5</v>
      </c>
      <c r="I1410" s="39">
        <f>Orders!I1410</f>
        <v>5105.7</v>
      </c>
      <c r="J1410" t="str">
        <f>Orders!J1410</f>
        <v>Completed</v>
      </c>
      <c r="K1410" t="str">
        <f>Orders!K1410</f>
        <v>Mumbai</v>
      </c>
      <c r="L1410" t="str">
        <f>IFERROR(VLOOKUP(D1410,Products!$A$2:$F$61,3,FALSE),"")</f>
        <v>Apparel</v>
      </c>
      <c r="M1410">
        <f>IFERROR(VLOOKUP(D1410,Products!$A$2:$F$61,4,FALSE),"")</f>
        <v>396</v>
      </c>
      <c r="N1410" t="str">
        <f>IFERROR(VLOOKUP(E1410,Sales_Reps!$A$2:$E$31,3,FALSE),"")</f>
        <v>East</v>
      </c>
      <c r="O1410" t="str">
        <f>IFERROR(VLOOKUP(C1410,Customers!$A$2:$F$301,5,FALSE),"")</f>
        <v>Retail</v>
      </c>
      <c r="P1410">
        <f>IFERROR(VLOOKUP(C1410,Customers!$A$2:$F$301,3,FALSE),"")</f>
        <v>33</v>
      </c>
      <c r="Q1410" s="41">
        <f t="shared" ref="Q1410:Q1473" si="31">IFERROR((G1410-M1410)/G1410,0)</f>
        <v>0.36129032258064514</v>
      </c>
      <c r="R1410" t="str">
        <f>IFERROR(VLOOKUP(C1410,Customers!$A$2:$F$301,1,FALSE),"")</f>
        <v>CUST-0156</v>
      </c>
      <c r="S1410" s="27" t="b">
        <f>IFERROR(VLOOKUP(D1410,Products!$A$2:$F$61,6,FALSE),"")</f>
        <v>1</v>
      </c>
      <c r="BL1410">
        <v>0</v>
      </c>
      <c r="BO1410">
        <v>0</v>
      </c>
      <c r="BP1410">
        <v>0</v>
      </c>
    </row>
    <row r="1411" spans="1:68" x14ac:dyDescent="0.35">
      <c r="A1411" s="26" t="str">
        <f>Orders!A1411</f>
        <v>ORD-01410</v>
      </c>
      <c r="B1411" s="33">
        <f>Orders!B1411</f>
        <v>45423</v>
      </c>
      <c r="C1411" t="str">
        <f>Orders!C1411</f>
        <v>CUST-0066</v>
      </c>
      <c r="D1411" t="str">
        <f>Orders!D1411</f>
        <v>PROD-059</v>
      </c>
      <c r="E1411" t="str">
        <f>Orders!E1411</f>
        <v>R016</v>
      </c>
      <c r="F1411">
        <f>Orders!F1411</f>
        <v>10</v>
      </c>
      <c r="G1411" s="35">
        <f>Orders!G1411</f>
        <v>3780</v>
      </c>
      <c r="H1411" s="37">
        <f>Orders!H1411</f>
        <v>5.8</v>
      </c>
      <c r="I1411" s="39">
        <f>Orders!I1411</f>
        <v>35607.599999999999</v>
      </c>
      <c r="J1411" t="str">
        <f>Orders!J1411</f>
        <v>Completed</v>
      </c>
      <c r="K1411" t="str">
        <f>Orders!K1411</f>
        <v>Delhi</v>
      </c>
      <c r="L1411" t="str">
        <f>IFERROR(VLOOKUP(D1411,Products!$A$2:$F$61,3,FALSE),"")</f>
        <v>Sports</v>
      </c>
      <c r="M1411">
        <f>IFERROR(VLOOKUP(D1411,Products!$A$2:$F$61,4,FALSE),"")</f>
        <v>1860</v>
      </c>
      <c r="N1411" t="str">
        <f>IFERROR(VLOOKUP(E1411,Sales_Reps!$A$2:$E$31,3,FALSE),"")</f>
        <v>South</v>
      </c>
      <c r="O1411" t="str">
        <f>IFERROR(VLOOKUP(C1411,Customers!$A$2:$F$301,5,FALSE),"")</f>
        <v>Retail</v>
      </c>
      <c r="P1411">
        <f>IFERROR(VLOOKUP(C1411,Customers!$A$2:$F$301,3,FALSE),"")</f>
        <v>24</v>
      </c>
      <c r="Q1411" s="41">
        <f t="shared" si="31"/>
        <v>0.50793650793650791</v>
      </c>
      <c r="R1411" t="str">
        <f>IFERROR(VLOOKUP(C1411,Customers!$A$2:$F$301,1,FALSE),"")</f>
        <v>CUST-0066</v>
      </c>
      <c r="S1411" s="27" t="b">
        <f>IFERROR(VLOOKUP(D1411,Products!$A$2:$F$61,6,FALSE),"")</f>
        <v>1</v>
      </c>
      <c r="BL1411">
        <v>0</v>
      </c>
      <c r="BO1411">
        <v>0</v>
      </c>
      <c r="BP1411">
        <v>0</v>
      </c>
    </row>
    <row r="1412" spans="1:68" x14ac:dyDescent="0.35">
      <c r="A1412" s="26" t="str">
        <f>Orders!A1412</f>
        <v>ORD-01411</v>
      </c>
      <c r="B1412" s="33">
        <f>Orders!B1412</f>
        <v>45518</v>
      </c>
      <c r="C1412" t="str">
        <f>Orders!C1412</f>
        <v>CUST-0121</v>
      </c>
      <c r="D1412" t="str">
        <f>Orders!D1412</f>
        <v>PROD-003</v>
      </c>
      <c r="E1412" t="str">
        <f>Orders!E1412</f>
        <v>R009</v>
      </c>
      <c r="F1412">
        <f>Orders!F1412</f>
        <v>7</v>
      </c>
      <c r="G1412" s="35">
        <f>Orders!G1412</f>
        <v>3570</v>
      </c>
      <c r="H1412" s="37">
        <f>Orders!H1412</f>
        <v>26.1</v>
      </c>
      <c r="I1412" s="39">
        <f>Orders!I1412</f>
        <v>18467.61</v>
      </c>
      <c r="J1412" t="str">
        <f>Orders!J1412</f>
        <v>Completed</v>
      </c>
      <c r="K1412" t="str">
        <f>Orders!K1412</f>
        <v>Delhi</v>
      </c>
      <c r="L1412" t="str">
        <f>IFERROR(VLOOKUP(D1412,Products!$A$2:$F$61,3,FALSE),"")</f>
        <v>Electronics</v>
      </c>
      <c r="M1412">
        <f>IFERROR(VLOOKUP(D1412,Products!$A$2:$F$61,4,FALSE),"")</f>
        <v>1665</v>
      </c>
      <c r="N1412" t="str">
        <f>IFERROR(VLOOKUP(E1412,Sales_Reps!$A$2:$E$31,3,FALSE),"")</f>
        <v>South</v>
      </c>
      <c r="O1412" t="str">
        <f>IFERROR(VLOOKUP(C1412,Customers!$A$2:$F$301,5,FALSE),"")</f>
        <v>SMB</v>
      </c>
      <c r="P1412">
        <f>IFERROR(VLOOKUP(C1412,Customers!$A$2:$F$301,3,FALSE),"")</f>
        <v>55</v>
      </c>
      <c r="Q1412" s="41">
        <f t="shared" si="31"/>
        <v>0.53361344537815125</v>
      </c>
      <c r="R1412" t="str">
        <f>IFERROR(VLOOKUP(C1412,Customers!$A$2:$F$301,1,FALSE),"")</f>
        <v>CUST-0121</v>
      </c>
      <c r="S1412" s="27" t="b">
        <f>IFERROR(VLOOKUP(D1412,Products!$A$2:$F$61,6,FALSE),"")</f>
        <v>1</v>
      </c>
      <c r="BL1412">
        <v>0</v>
      </c>
      <c r="BO1412">
        <v>0</v>
      </c>
      <c r="BP1412">
        <v>0</v>
      </c>
    </row>
    <row r="1413" spans="1:68" x14ac:dyDescent="0.35">
      <c r="A1413" s="26" t="str">
        <f>Orders!A1413</f>
        <v>ORD-01412</v>
      </c>
      <c r="B1413" s="33">
        <f>Orders!B1413</f>
        <v>45306</v>
      </c>
      <c r="C1413" t="str">
        <f>Orders!C1413</f>
        <v>CUST-0066</v>
      </c>
      <c r="D1413" t="str">
        <f>Orders!D1413</f>
        <v>PROD-044</v>
      </c>
      <c r="E1413" t="str">
        <f>Orders!E1413</f>
        <v>R002</v>
      </c>
      <c r="F1413">
        <f>Orders!F1413</f>
        <v>2</v>
      </c>
      <c r="G1413" s="35">
        <f>Orders!G1413</f>
        <v>1650</v>
      </c>
      <c r="H1413" s="37">
        <f>Orders!H1413</f>
        <v>3.8</v>
      </c>
      <c r="I1413" s="39">
        <f>Orders!I1413</f>
        <v>3174.6</v>
      </c>
      <c r="J1413" t="str">
        <f>Orders!J1413</f>
        <v>Completed</v>
      </c>
      <c r="K1413" t="str">
        <f>Orders!K1413</f>
        <v>Delhi</v>
      </c>
      <c r="L1413" t="str">
        <f>IFERROR(VLOOKUP(D1413,Products!$A$2:$F$61,3,FALSE),"")</f>
        <v>Beauty</v>
      </c>
      <c r="M1413">
        <f>IFERROR(VLOOKUP(D1413,Products!$A$2:$F$61,4,FALSE),"")</f>
        <v>1222</v>
      </c>
      <c r="N1413" t="str">
        <f>IFERROR(VLOOKUP(E1413,Sales_Reps!$A$2:$E$31,3,FALSE),"")</f>
        <v>North</v>
      </c>
      <c r="O1413" t="str">
        <f>IFERROR(VLOOKUP(C1413,Customers!$A$2:$F$301,5,FALSE),"")</f>
        <v>Retail</v>
      </c>
      <c r="P1413">
        <f>IFERROR(VLOOKUP(C1413,Customers!$A$2:$F$301,3,FALSE),"")</f>
        <v>24</v>
      </c>
      <c r="Q1413" s="41">
        <f t="shared" si="31"/>
        <v>0.2593939393939394</v>
      </c>
      <c r="R1413" t="str">
        <f>IFERROR(VLOOKUP(C1413,Customers!$A$2:$F$301,1,FALSE),"")</f>
        <v>CUST-0066</v>
      </c>
      <c r="S1413" s="27" t="b">
        <f>IFERROR(VLOOKUP(D1413,Products!$A$2:$F$61,6,FALSE),"")</f>
        <v>1</v>
      </c>
      <c r="BL1413">
        <v>0</v>
      </c>
      <c r="BO1413">
        <v>0</v>
      </c>
      <c r="BP1413">
        <v>0</v>
      </c>
    </row>
    <row r="1414" spans="1:68" x14ac:dyDescent="0.35">
      <c r="A1414" s="26" t="str">
        <f>Orders!A1414</f>
        <v>ORD-01413</v>
      </c>
      <c r="B1414" s="33">
        <f>Orders!B1414</f>
        <v>45346</v>
      </c>
      <c r="C1414" t="str">
        <f>Orders!C1414</f>
        <v>CUST-0099</v>
      </c>
      <c r="D1414" t="str">
        <f>Orders!D1414</f>
        <v>PROD-049</v>
      </c>
      <c r="E1414" t="str">
        <f>Orders!E1414</f>
        <v>R012</v>
      </c>
      <c r="F1414">
        <f>Orders!F1414</f>
        <v>2</v>
      </c>
      <c r="G1414" s="35">
        <f>Orders!G1414</f>
        <v>960</v>
      </c>
      <c r="H1414" s="37">
        <f>Orders!H1414</f>
        <v>6.8</v>
      </c>
      <c r="I1414" s="39">
        <f>Orders!I1414</f>
        <v>1789.44</v>
      </c>
      <c r="J1414" t="str">
        <f>Orders!J1414</f>
        <v>Completed</v>
      </c>
      <c r="K1414" t="str">
        <f>Orders!K1414</f>
        <v>Bengaluru</v>
      </c>
      <c r="L1414" t="str">
        <f>IFERROR(VLOOKUP(D1414,Products!$A$2:$F$61,3,FALSE),"")</f>
        <v>Beauty</v>
      </c>
      <c r="M1414">
        <f>IFERROR(VLOOKUP(D1414,Products!$A$2:$F$61,4,FALSE),"")</f>
        <v>675</v>
      </c>
      <c r="N1414" t="str">
        <f>IFERROR(VLOOKUP(E1414,Sales_Reps!$A$2:$E$31,3,FALSE),"")</f>
        <v>South</v>
      </c>
      <c r="O1414" t="str">
        <f>IFERROR(VLOOKUP(C1414,Customers!$A$2:$F$301,5,FALSE),"")</f>
        <v>SMB</v>
      </c>
      <c r="P1414">
        <f>IFERROR(VLOOKUP(C1414,Customers!$A$2:$F$301,3,FALSE),"")</f>
        <v>54</v>
      </c>
      <c r="Q1414" s="41">
        <f t="shared" si="31"/>
        <v>0.296875</v>
      </c>
      <c r="R1414" t="str">
        <f>IFERROR(VLOOKUP(C1414,Customers!$A$2:$F$301,1,FALSE),"")</f>
        <v>CUST-0099</v>
      </c>
      <c r="S1414" s="27" t="b">
        <f>IFERROR(VLOOKUP(D1414,Products!$A$2:$F$61,6,FALSE),"")</f>
        <v>1</v>
      </c>
      <c r="BL1414">
        <v>0</v>
      </c>
      <c r="BO1414">
        <v>0</v>
      </c>
      <c r="BP1414">
        <v>0</v>
      </c>
    </row>
    <row r="1415" spans="1:68" x14ac:dyDescent="0.35">
      <c r="A1415" s="26" t="str">
        <f>Orders!A1415</f>
        <v>ORD-01414</v>
      </c>
      <c r="B1415" s="33">
        <f>Orders!B1415</f>
        <v>45376</v>
      </c>
      <c r="C1415" t="str">
        <f>Orders!C1415</f>
        <v>CUST-0054</v>
      </c>
      <c r="D1415" t="str">
        <f>Orders!D1415</f>
        <v>PROD-005</v>
      </c>
      <c r="E1415" t="str">
        <f>Orders!E1415</f>
        <v>R006</v>
      </c>
      <c r="F1415">
        <f>Orders!F1415</f>
        <v>2</v>
      </c>
      <c r="G1415" s="35">
        <f>Orders!G1415</f>
        <v>300</v>
      </c>
      <c r="H1415" s="37">
        <f>Orders!H1415</f>
        <v>2.8</v>
      </c>
      <c r="I1415" s="39">
        <f>Orders!I1415</f>
        <v>583.20000000000005</v>
      </c>
      <c r="J1415" t="str">
        <f>Orders!J1415</f>
        <v>Completed</v>
      </c>
      <c r="K1415" t="str">
        <f>Orders!K1415</f>
        <v>Mumbai</v>
      </c>
      <c r="L1415" t="str">
        <f>IFERROR(VLOOKUP(D1415,Products!$A$2:$F$61,3,FALSE),"")</f>
        <v>Electronics</v>
      </c>
      <c r="M1415">
        <f>IFERROR(VLOOKUP(D1415,Products!$A$2:$F$61,4,FALSE),"")</f>
        <v>128</v>
      </c>
      <c r="N1415" t="str">
        <f>IFERROR(VLOOKUP(E1415,Sales_Reps!$A$2:$E$31,3,FALSE),"")</f>
        <v>North</v>
      </c>
      <c r="O1415" t="str">
        <f>IFERROR(VLOOKUP(C1415,Customers!$A$2:$F$301,5,FALSE),"")</f>
        <v>Corporate</v>
      </c>
      <c r="P1415">
        <f>IFERROR(VLOOKUP(C1415,Customers!$A$2:$F$301,3,FALSE),"")</f>
        <v>62</v>
      </c>
      <c r="Q1415" s="41">
        <f t="shared" si="31"/>
        <v>0.57333333333333336</v>
      </c>
      <c r="R1415" t="str">
        <f>IFERROR(VLOOKUP(C1415,Customers!$A$2:$F$301,1,FALSE),"")</f>
        <v>CUST-0054</v>
      </c>
      <c r="S1415" s="27" t="b">
        <f>IFERROR(VLOOKUP(D1415,Products!$A$2:$F$61,6,FALSE),"")</f>
        <v>1</v>
      </c>
      <c r="BL1415">
        <v>0</v>
      </c>
      <c r="BO1415">
        <v>0</v>
      </c>
      <c r="BP1415">
        <v>0</v>
      </c>
    </row>
    <row r="1416" spans="1:68" x14ac:dyDescent="0.35">
      <c r="A1416" s="26" t="str">
        <f>Orders!A1416</f>
        <v>ORD-01415</v>
      </c>
      <c r="B1416" s="33">
        <f>Orders!B1416</f>
        <v>45561</v>
      </c>
      <c r="C1416" t="str">
        <f>Orders!C1416</f>
        <v>CUST-0124</v>
      </c>
      <c r="D1416" t="str">
        <f>Orders!D1416</f>
        <v>PROD-025</v>
      </c>
      <c r="E1416" t="str">
        <f>Orders!E1416</f>
        <v>R027</v>
      </c>
      <c r="F1416">
        <f>Orders!F1416</f>
        <v>10</v>
      </c>
      <c r="G1416" s="35">
        <f>Orders!G1416</f>
        <v>4060</v>
      </c>
      <c r="H1416" s="37">
        <f>Orders!H1416</f>
        <v>15.1</v>
      </c>
      <c r="I1416" s="39">
        <f>Orders!I1416</f>
        <v>34469.4</v>
      </c>
      <c r="J1416" t="str">
        <f>Orders!J1416</f>
        <v>Completed</v>
      </c>
      <c r="K1416" t="str">
        <f>Orders!K1416</f>
        <v>Pune</v>
      </c>
      <c r="L1416" t="str">
        <f>IFERROR(VLOOKUP(D1416,Products!$A$2:$F$61,3,FALSE),"")</f>
        <v>Grocery</v>
      </c>
      <c r="M1416">
        <f>IFERROR(VLOOKUP(D1416,Products!$A$2:$F$61,4,FALSE),"")</f>
        <v>2911</v>
      </c>
      <c r="N1416" t="str">
        <f>IFERROR(VLOOKUP(E1416,Sales_Reps!$A$2:$E$31,3,FALSE),"")</f>
        <v>West</v>
      </c>
      <c r="O1416" t="str">
        <f>IFERROR(VLOOKUP(C1416,Customers!$A$2:$F$301,5,FALSE),"")</f>
        <v>Retail</v>
      </c>
      <c r="P1416">
        <f>IFERROR(VLOOKUP(C1416,Customers!$A$2:$F$301,3,FALSE),"")</f>
        <v>57</v>
      </c>
      <c r="Q1416" s="41">
        <f t="shared" si="31"/>
        <v>0.28300492610837441</v>
      </c>
      <c r="R1416" t="str">
        <f>IFERROR(VLOOKUP(C1416,Customers!$A$2:$F$301,1,FALSE),"")</f>
        <v>CUST-0124</v>
      </c>
      <c r="S1416" s="27" t="b">
        <f>IFERROR(VLOOKUP(D1416,Products!$A$2:$F$61,6,FALSE),"")</f>
        <v>1</v>
      </c>
      <c r="BL1416">
        <v>0</v>
      </c>
      <c r="BO1416">
        <v>0</v>
      </c>
      <c r="BP1416">
        <v>0</v>
      </c>
    </row>
    <row r="1417" spans="1:68" x14ac:dyDescent="0.35">
      <c r="A1417" s="26" t="str">
        <f>Orders!A1417</f>
        <v>ORD-01416</v>
      </c>
      <c r="B1417" s="33">
        <f>Orders!B1417</f>
        <v>45320</v>
      </c>
      <c r="C1417" t="str">
        <f>Orders!C1417</f>
        <v>CUST-0211</v>
      </c>
      <c r="D1417" t="str">
        <f>Orders!D1417</f>
        <v>PROD-001</v>
      </c>
      <c r="E1417" t="str">
        <f>Orders!E1417</f>
        <v>R022</v>
      </c>
      <c r="F1417">
        <f>Orders!F1417</f>
        <v>6</v>
      </c>
      <c r="G1417" s="35">
        <f>Orders!G1417</f>
        <v>5330</v>
      </c>
      <c r="H1417" s="37">
        <f>Orders!H1417</f>
        <v>2</v>
      </c>
      <c r="I1417" s="39">
        <f>Orders!I1417</f>
        <v>31340.400000000001</v>
      </c>
      <c r="J1417" t="str">
        <f>Orders!J1417</f>
        <v>Completed</v>
      </c>
      <c r="K1417" t="str">
        <f>Orders!K1417</f>
        <v>Bengaluru</v>
      </c>
      <c r="L1417" t="str">
        <f>IFERROR(VLOOKUP(D1417,Products!$A$2:$F$61,3,FALSE),"")</f>
        <v>Electronics</v>
      </c>
      <c r="M1417">
        <f>IFERROR(VLOOKUP(D1417,Products!$A$2:$F$61,4,FALSE),"")</f>
        <v>2405</v>
      </c>
      <c r="N1417" t="str">
        <f>IFERROR(VLOOKUP(E1417,Sales_Reps!$A$2:$E$31,3,FALSE),"")</f>
        <v>East</v>
      </c>
      <c r="O1417" t="str">
        <f>IFERROR(VLOOKUP(C1417,Customers!$A$2:$F$301,5,FALSE),"")</f>
        <v>Retail</v>
      </c>
      <c r="P1417">
        <f>IFERROR(VLOOKUP(C1417,Customers!$A$2:$F$301,3,FALSE),"")</f>
        <v>36</v>
      </c>
      <c r="Q1417" s="41">
        <f t="shared" si="31"/>
        <v>0.54878048780487809</v>
      </c>
      <c r="R1417" t="str">
        <f>IFERROR(VLOOKUP(C1417,Customers!$A$2:$F$301,1,FALSE),"")</f>
        <v>CUST-0211</v>
      </c>
      <c r="S1417" s="27" t="b">
        <f>IFERROR(VLOOKUP(D1417,Products!$A$2:$F$61,6,FALSE),"")</f>
        <v>1</v>
      </c>
      <c r="BL1417">
        <v>0</v>
      </c>
      <c r="BO1417">
        <v>0</v>
      </c>
      <c r="BP1417">
        <v>0</v>
      </c>
    </row>
    <row r="1418" spans="1:68" x14ac:dyDescent="0.35">
      <c r="A1418" s="26" t="str">
        <f>Orders!A1418</f>
        <v>ORD-01417</v>
      </c>
      <c r="B1418" s="33">
        <f>Orders!B1418</f>
        <v>45572</v>
      </c>
      <c r="C1418" t="str">
        <f>Orders!C1418</f>
        <v>CUST-0298</v>
      </c>
      <c r="D1418" t="str">
        <f>Orders!D1418</f>
        <v>PROD-031</v>
      </c>
      <c r="E1418" t="str">
        <f>Orders!E1418</f>
        <v>R021</v>
      </c>
      <c r="F1418">
        <f>Orders!F1418</f>
        <v>9</v>
      </c>
      <c r="G1418" s="35">
        <f>Orders!G1418</f>
        <v>3730</v>
      </c>
      <c r="H1418" s="37">
        <f>Orders!H1418</f>
        <v>24.5</v>
      </c>
      <c r="I1418" s="39">
        <f>Orders!I1418</f>
        <v>25345.35</v>
      </c>
      <c r="J1418" t="str">
        <f>Orders!J1418</f>
        <v>Refunded</v>
      </c>
      <c r="K1418" t="str">
        <f>Orders!K1418</f>
        <v>Delhi</v>
      </c>
      <c r="L1418" t="str">
        <f>IFERROR(VLOOKUP(D1418,Products!$A$2:$F$61,3,FALSE),"")</f>
        <v>Home</v>
      </c>
      <c r="M1418">
        <f>IFERROR(VLOOKUP(D1418,Products!$A$2:$F$61,4,FALSE),"")</f>
        <v>2135</v>
      </c>
      <c r="N1418" t="str">
        <f>IFERROR(VLOOKUP(E1418,Sales_Reps!$A$2:$E$31,3,FALSE),"")</f>
        <v>East</v>
      </c>
      <c r="O1418" t="str">
        <f>IFERROR(VLOOKUP(C1418,Customers!$A$2:$F$301,5,FALSE),"")</f>
        <v>Retail</v>
      </c>
      <c r="P1418">
        <f>IFERROR(VLOOKUP(C1418,Customers!$A$2:$F$301,3,FALSE),"")</f>
        <v>44</v>
      </c>
      <c r="Q1418" s="41">
        <f t="shared" si="31"/>
        <v>0.42761394101876676</v>
      </c>
      <c r="R1418" t="str">
        <f>IFERROR(VLOOKUP(C1418,Customers!$A$2:$F$301,1,FALSE),"")</f>
        <v>CUST-0298</v>
      </c>
      <c r="S1418" s="27" t="b">
        <f>IFERROR(VLOOKUP(D1418,Products!$A$2:$F$61,6,FALSE),"")</f>
        <v>1</v>
      </c>
      <c r="BL1418">
        <v>0</v>
      </c>
      <c r="BO1418">
        <v>0</v>
      </c>
      <c r="BP1418">
        <v>0</v>
      </c>
    </row>
    <row r="1419" spans="1:68" x14ac:dyDescent="0.35">
      <c r="A1419" s="26" t="str">
        <f>Orders!A1419</f>
        <v>ORD-01418</v>
      </c>
      <c r="B1419" s="33">
        <f>Orders!B1419</f>
        <v>45611</v>
      </c>
      <c r="C1419" t="str">
        <f>Orders!C1419</f>
        <v>CUST-0164</v>
      </c>
      <c r="D1419" t="str">
        <f>Orders!D1419</f>
        <v>PROD-050</v>
      </c>
      <c r="E1419" t="str">
        <f>Orders!E1419</f>
        <v>R030</v>
      </c>
      <c r="F1419">
        <f>Orders!F1419</f>
        <v>1</v>
      </c>
      <c r="G1419" s="35">
        <f>Orders!G1419</f>
        <v>6080</v>
      </c>
      <c r="H1419" s="37">
        <f>Orders!H1419</f>
        <v>4.4000000000000004</v>
      </c>
      <c r="I1419" s="39">
        <f>Orders!I1419</f>
        <v>5812.48</v>
      </c>
      <c r="J1419" t="str">
        <f>Orders!J1419</f>
        <v>Cancelled</v>
      </c>
      <c r="K1419" t="str">
        <f>Orders!K1419</f>
        <v>Chennai</v>
      </c>
      <c r="L1419" t="str">
        <f>IFERROR(VLOOKUP(D1419,Products!$A$2:$F$61,3,FALSE),"")</f>
        <v>Beauty</v>
      </c>
      <c r="M1419">
        <f>IFERROR(VLOOKUP(D1419,Products!$A$2:$F$61,4,FALSE),"")</f>
        <v>2617</v>
      </c>
      <c r="N1419" t="str">
        <f>IFERROR(VLOOKUP(E1419,Sales_Reps!$A$2:$E$31,3,FALSE),"")</f>
        <v>West</v>
      </c>
      <c r="O1419" t="str">
        <f>IFERROR(VLOOKUP(C1419,Customers!$A$2:$F$301,5,FALSE),"")</f>
        <v>Retail</v>
      </c>
      <c r="P1419">
        <f>IFERROR(VLOOKUP(C1419,Customers!$A$2:$F$301,3,FALSE),"")</f>
        <v>60</v>
      </c>
      <c r="Q1419" s="41">
        <f t="shared" si="31"/>
        <v>0.56957236842105263</v>
      </c>
      <c r="R1419" t="str">
        <f>IFERROR(VLOOKUP(C1419,Customers!$A$2:$F$301,1,FALSE),"")</f>
        <v>CUST-0164</v>
      </c>
      <c r="S1419" s="27" t="b">
        <f>IFERROR(VLOOKUP(D1419,Products!$A$2:$F$61,6,FALSE),"")</f>
        <v>1</v>
      </c>
      <c r="BL1419">
        <v>0</v>
      </c>
      <c r="BO1419">
        <v>0</v>
      </c>
      <c r="BP1419">
        <v>0</v>
      </c>
    </row>
    <row r="1420" spans="1:68" x14ac:dyDescent="0.35">
      <c r="A1420" s="26" t="str">
        <f>Orders!A1420</f>
        <v>ORD-01419</v>
      </c>
      <c r="B1420" s="33">
        <f>Orders!B1420</f>
        <v>45524</v>
      </c>
      <c r="C1420" t="str">
        <f>Orders!C1420</f>
        <v>CUST-0003</v>
      </c>
      <c r="D1420" t="str">
        <f>Orders!D1420</f>
        <v>PROD-015</v>
      </c>
      <c r="E1420" t="str">
        <f>Orders!E1420</f>
        <v>R025</v>
      </c>
      <c r="F1420">
        <f>Orders!F1420</f>
        <v>5</v>
      </c>
      <c r="G1420" s="35">
        <f>Orders!G1420</f>
        <v>2720</v>
      </c>
      <c r="H1420" s="37">
        <f>Orders!H1420</f>
        <v>9.1999999999999993</v>
      </c>
      <c r="I1420" s="39">
        <f>Orders!I1420</f>
        <v>12348.8</v>
      </c>
      <c r="J1420" t="str">
        <f>Orders!J1420</f>
        <v>Completed</v>
      </c>
      <c r="K1420" t="str">
        <f>Orders!K1420</f>
        <v>Mumbai</v>
      </c>
      <c r="L1420" t="str">
        <f>IFERROR(VLOOKUP(D1420,Products!$A$2:$F$61,3,FALSE),"")</f>
        <v>Apparel</v>
      </c>
      <c r="M1420">
        <f>IFERROR(VLOOKUP(D1420,Products!$A$2:$F$61,4,FALSE),"")</f>
        <v>1962</v>
      </c>
      <c r="N1420" t="str">
        <f>IFERROR(VLOOKUP(E1420,Sales_Reps!$A$2:$E$31,3,FALSE),"")</f>
        <v>West</v>
      </c>
      <c r="O1420" t="str">
        <f>IFERROR(VLOOKUP(C1420,Customers!$A$2:$F$301,5,FALSE),"")</f>
        <v>Retail</v>
      </c>
      <c r="P1420">
        <f>IFERROR(VLOOKUP(C1420,Customers!$A$2:$F$301,3,FALSE),"")</f>
        <v>33</v>
      </c>
      <c r="Q1420" s="41">
        <f t="shared" si="31"/>
        <v>0.2786764705882353</v>
      </c>
      <c r="R1420" t="str">
        <f>IFERROR(VLOOKUP(C1420,Customers!$A$2:$F$301,1,FALSE),"")</f>
        <v>CUST-0003</v>
      </c>
      <c r="S1420" s="27" t="b">
        <f>IFERROR(VLOOKUP(D1420,Products!$A$2:$F$61,6,FALSE),"")</f>
        <v>1</v>
      </c>
      <c r="BL1420">
        <v>0</v>
      </c>
      <c r="BO1420">
        <v>0</v>
      </c>
      <c r="BP1420">
        <v>0</v>
      </c>
    </row>
    <row r="1421" spans="1:68" x14ac:dyDescent="0.35">
      <c r="A1421" s="26" t="str">
        <f>Orders!A1421</f>
        <v>ORD-01420</v>
      </c>
      <c r="B1421" s="33">
        <f>Orders!B1421</f>
        <v>45438</v>
      </c>
      <c r="C1421" t="str">
        <f>Orders!C1421</f>
        <v>CUST-0239</v>
      </c>
      <c r="D1421" t="str">
        <f>Orders!D1421</f>
        <v>PROD-011</v>
      </c>
      <c r="E1421" t="str">
        <f>Orders!E1421</f>
        <v>R023</v>
      </c>
      <c r="F1421">
        <f>Orders!F1421</f>
        <v>1</v>
      </c>
      <c r="G1421" s="35">
        <f>Orders!G1421</f>
        <v>3450</v>
      </c>
      <c r="H1421" s="37">
        <f>Orders!H1421</f>
        <v>15.6</v>
      </c>
      <c r="I1421" s="39">
        <f>Orders!I1421</f>
        <v>2911.8</v>
      </c>
      <c r="J1421" t="str">
        <f>Orders!J1421</f>
        <v>Completed</v>
      </c>
      <c r="K1421" t="str">
        <f>Orders!K1421</f>
        <v>Mumbai</v>
      </c>
      <c r="L1421" t="str">
        <f>IFERROR(VLOOKUP(D1421,Products!$A$2:$F$61,3,FALSE),"")</f>
        <v>Apparel</v>
      </c>
      <c r="M1421">
        <f>IFERROR(VLOOKUP(D1421,Products!$A$2:$F$61,4,FALSE),"")</f>
        <v>1748</v>
      </c>
      <c r="N1421" t="str">
        <f>IFERROR(VLOOKUP(E1421,Sales_Reps!$A$2:$E$31,3,FALSE),"")</f>
        <v>East</v>
      </c>
      <c r="O1421" t="str">
        <f>IFERROR(VLOOKUP(C1421,Customers!$A$2:$F$301,5,FALSE),"")</f>
        <v>Retail</v>
      </c>
      <c r="P1421">
        <f>IFERROR(VLOOKUP(C1421,Customers!$A$2:$F$301,3,FALSE),"")</f>
        <v>61</v>
      </c>
      <c r="Q1421" s="41">
        <f t="shared" si="31"/>
        <v>0.49333333333333335</v>
      </c>
      <c r="R1421" t="str">
        <f>IFERROR(VLOOKUP(C1421,Customers!$A$2:$F$301,1,FALSE),"")</f>
        <v>CUST-0239</v>
      </c>
      <c r="S1421" s="27" t="b">
        <f>IFERROR(VLOOKUP(D1421,Products!$A$2:$F$61,6,FALSE),"")</f>
        <v>1</v>
      </c>
      <c r="BL1421">
        <v>0</v>
      </c>
      <c r="BO1421">
        <v>0</v>
      </c>
      <c r="BP1421">
        <v>0</v>
      </c>
    </row>
    <row r="1422" spans="1:68" x14ac:dyDescent="0.35">
      <c r="A1422" s="26" t="str">
        <f>Orders!A1422</f>
        <v>ORD-01421</v>
      </c>
      <c r="B1422" s="33">
        <f>Orders!B1422</f>
        <v>45484</v>
      </c>
      <c r="C1422" t="str">
        <f>Orders!C1422</f>
        <v>CUST-0116</v>
      </c>
      <c r="D1422" t="str">
        <f>Orders!D1422</f>
        <v>PROD-035</v>
      </c>
      <c r="E1422" t="str">
        <f>Orders!E1422</f>
        <v>R022</v>
      </c>
      <c r="F1422">
        <f>Orders!F1422</f>
        <v>2</v>
      </c>
      <c r="G1422" s="35">
        <f>Orders!G1422</f>
        <v>1090</v>
      </c>
      <c r="H1422" s="37">
        <f>Orders!H1422</f>
        <v>0.4</v>
      </c>
      <c r="I1422" s="39">
        <f>Orders!I1422</f>
        <v>2171.2800000000002</v>
      </c>
      <c r="J1422" t="str">
        <f>Orders!J1422</f>
        <v>Refunded</v>
      </c>
      <c r="K1422" t="str">
        <f>Orders!K1422</f>
        <v>Bengaluru</v>
      </c>
      <c r="L1422" t="str">
        <f>IFERROR(VLOOKUP(D1422,Products!$A$2:$F$61,3,FALSE),"")</f>
        <v>Home</v>
      </c>
      <c r="M1422">
        <f>IFERROR(VLOOKUP(D1422,Products!$A$2:$F$61,4,FALSE),"")</f>
        <v>464</v>
      </c>
      <c r="N1422" t="str">
        <f>IFERROR(VLOOKUP(E1422,Sales_Reps!$A$2:$E$31,3,FALSE),"")</f>
        <v>East</v>
      </c>
      <c r="O1422" t="str">
        <f>IFERROR(VLOOKUP(C1422,Customers!$A$2:$F$301,5,FALSE),"")</f>
        <v>Retail</v>
      </c>
      <c r="P1422">
        <f>IFERROR(VLOOKUP(C1422,Customers!$A$2:$F$301,3,FALSE),"")</f>
        <v>53</v>
      </c>
      <c r="Q1422" s="41">
        <f t="shared" si="31"/>
        <v>0.57431192660550456</v>
      </c>
      <c r="R1422" t="str">
        <f>IFERROR(VLOOKUP(C1422,Customers!$A$2:$F$301,1,FALSE),"")</f>
        <v>CUST-0116</v>
      </c>
      <c r="S1422" s="27" t="b">
        <f>IFERROR(VLOOKUP(D1422,Products!$A$2:$F$61,6,FALSE),"")</f>
        <v>1</v>
      </c>
      <c r="BL1422">
        <v>0</v>
      </c>
      <c r="BO1422">
        <v>0</v>
      </c>
      <c r="BP1422">
        <v>0</v>
      </c>
    </row>
    <row r="1423" spans="1:68" x14ac:dyDescent="0.35">
      <c r="A1423" s="26" t="str">
        <f>Orders!A1423</f>
        <v>ORD-01422</v>
      </c>
      <c r="B1423" s="33">
        <f>Orders!B1423</f>
        <v>45643</v>
      </c>
      <c r="C1423" t="str">
        <f>Orders!C1423</f>
        <v>CUST-0232</v>
      </c>
      <c r="D1423" t="str">
        <f>Orders!D1423</f>
        <v>PROD-003</v>
      </c>
      <c r="E1423" t="str">
        <f>Orders!E1423</f>
        <v>R017</v>
      </c>
      <c r="F1423">
        <f>Orders!F1423</f>
        <v>2</v>
      </c>
      <c r="G1423" s="35">
        <f>Orders!G1423</f>
        <v>3570</v>
      </c>
      <c r="H1423" s="37">
        <f>Orders!H1423</f>
        <v>9</v>
      </c>
      <c r="I1423" s="39">
        <f>Orders!I1423</f>
        <v>6497.4</v>
      </c>
      <c r="J1423" t="str">
        <f>Orders!J1423</f>
        <v>Completed</v>
      </c>
      <c r="K1423" t="str">
        <f>Orders!K1423</f>
        <v>Hyderabad</v>
      </c>
      <c r="L1423" t="str">
        <f>IFERROR(VLOOKUP(D1423,Products!$A$2:$F$61,3,FALSE),"")</f>
        <v>Electronics</v>
      </c>
      <c r="M1423">
        <f>IFERROR(VLOOKUP(D1423,Products!$A$2:$F$61,4,FALSE),"")</f>
        <v>1665</v>
      </c>
      <c r="N1423" t="str">
        <f>IFERROR(VLOOKUP(E1423,Sales_Reps!$A$2:$E$31,3,FALSE),"")</f>
        <v>East</v>
      </c>
      <c r="O1423" t="str">
        <f>IFERROR(VLOOKUP(C1423,Customers!$A$2:$F$301,5,FALSE),"")</f>
        <v>Retail</v>
      </c>
      <c r="P1423">
        <f>IFERROR(VLOOKUP(C1423,Customers!$A$2:$F$301,3,FALSE),"")</f>
        <v>38</v>
      </c>
      <c r="Q1423" s="41">
        <f t="shared" si="31"/>
        <v>0.53361344537815125</v>
      </c>
      <c r="R1423" t="str">
        <f>IFERROR(VLOOKUP(C1423,Customers!$A$2:$F$301,1,FALSE),"")</f>
        <v>CUST-0232</v>
      </c>
      <c r="S1423" s="27" t="b">
        <f>IFERROR(VLOOKUP(D1423,Products!$A$2:$F$61,6,FALSE),"")</f>
        <v>1</v>
      </c>
      <c r="BL1423">
        <v>0</v>
      </c>
      <c r="BO1423">
        <v>0</v>
      </c>
      <c r="BP1423">
        <v>0</v>
      </c>
    </row>
    <row r="1424" spans="1:68" x14ac:dyDescent="0.35">
      <c r="A1424" s="26" t="str">
        <f>Orders!A1424</f>
        <v>ORD-01423</v>
      </c>
      <c r="B1424" s="33">
        <f>Orders!B1424</f>
        <v>45437</v>
      </c>
      <c r="C1424" t="str">
        <f>Orders!C1424</f>
        <v>CUST-0121</v>
      </c>
      <c r="D1424" t="str">
        <f>Orders!D1424</f>
        <v>PROD-019</v>
      </c>
      <c r="E1424" t="str">
        <f>Orders!E1424</f>
        <v>R014</v>
      </c>
      <c r="F1424">
        <f>Orders!F1424</f>
        <v>9</v>
      </c>
      <c r="G1424" s="35">
        <f>Orders!G1424</f>
        <v>2480</v>
      </c>
      <c r="H1424" s="37">
        <f>Orders!H1424</f>
        <v>3.6</v>
      </c>
      <c r="I1424" s="39">
        <f>Orders!I1424</f>
        <v>21516.48</v>
      </c>
      <c r="J1424" t="str">
        <f>Orders!J1424</f>
        <v>Pending</v>
      </c>
      <c r="K1424" t="str">
        <f>Orders!K1424</f>
        <v>Delhi</v>
      </c>
      <c r="L1424" t="str">
        <f>IFERROR(VLOOKUP(D1424,Products!$A$2:$F$61,3,FALSE),"")</f>
        <v>Apparel</v>
      </c>
      <c r="M1424">
        <f>IFERROR(VLOOKUP(D1424,Products!$A$2:$F$61,4,FALSE),"")</f>
        <v>1173</v>
      </c>
      <c r="N1424" t="str">
        <f>IFERROR(VLOOKUP(E1424,Sales_Reps!$A$2:$E$31,3,FALSE),"")</f>
        <v>South</v>
      </c>
      <c r="O1424" t="str">
        <f>IFERROR(VLOOKUP(C1424,Customers!$A$2:$F$301,5,FALSE),"")</f>
        <v>SMB</v>
      </c>
      <c r="P1424">
        <f>IFERROR(VLOOKUP(C1424,Customers!$A$2:$F$301,3,FALSE),"")</f>
        <v>55</v>
      </c>
      <c r="Q1424" s="41">
        <f t="shared" si="31"/>
        <v>0.52701612903225803</v>
      </c>
      <c r="R1424" t="str">
        <f>IFERROR(VLOOKUP(C1424,Customers!$A$2:$F$301,1,FALSE),"")</f>
        <v>CUST-0121</v>
      </c>
      <c r="S1424" s="27" t="b">
        <f>IFERROR(VLOOKUP(D1424,Products!$A$2:$F$61,6,FALSE),"")</f>
        <v>1</v>
      </c>
      <c r="BL1424">
        <v>0</v>
      </c>
      <c r="BO1424">
        <v>0</v>
      </c>
      <c r="BP1424">
        <v>0</v>
      </c>
    </row>
    <row r="1425" spans="1:68" x14ac:dyDescent="0.35">
      <c r="A1425" s="26" t="str">
        <f>Orders!A1425</f>
        <v>ORD-01424</v>
      </c>
      <c r="B1425" s="33">
        <f>Orders!B1425</f>
        <v>45303</v>
      </c>
      <c r="C1425" t="str">
        <f>Orders!C1425</f>
        <v>CUST-0178</v>
      </c>
      <c r="D1425" t="str">
        <f>Orders!D1425</f>
        <v>PROD-027</v>
      </c>
      <c r="E1425" t="str">
        <f>Orders!E1425</f>
        <v>R022</v>
      </c>
      <c r="F1425">
        <f>Orders!F1425</f>
        <v>9</v>
      </c>
      <c r="G1425" s="35">
        <f>Orders!G1425</f>
        <v>3780</v>
      </c>
      <c r="H1425" s="37">
        <f>Orders!H1425</f>
        <v>4.5</v>
      </c>
      <c r="I1425" s="39">
        <f>Orders!I1425</f>
        <v>32489.1</v>
      </c>
      <c r="J1425" t="str">
        <f>Orders!J1425</f>
        <v>Completed</v>
      </c>
      <c r="K1425" t="str">
        <f>Orders!K1425</f>
        <v>Hyderabad</v>
      </c>
      <c r="L1425" t="str">
        <f>IFERROR(VLOOKUP(D1425,Products!$A$2:$F$61,3,FALSE),"")</f>
        <v>Grocery</v>
      </c>
      <c r="M1425">
        <f>IFERROR(VLOOKUP(D1425,Products!$A$2:$F$61,4,FALSE),"")</f>
        <v>2436</v>
      </c>
      <c r="N1425" t="str">
        <f>IFERROR(VLOOKUP(E1425,Sales_Reps!$A$2:$E$31,3,FALSE),"")</f>
        <v>East</v>
      </c>
      <c r="O1425" t="str">
        <f>IFERROR(VLOOKUP(C1425,Customers!$A$2:$F$301,5,FALSE),"")</f>
        <v>Retail</v>
      </c>
      <c r="P1425">
        <f>IFERROR(VLOOKUP(C1425,Customers!$A$2:$F$301,3,FALSE),"")</f>
        <v>25</v>
      </c>
      <c r="Q1425" s="41">
        <f t="shared" si="31"/>
        <v>0.35555555555555557</v>
      </c>
      <c r="R1425" t="str">
        <f>IFERROR(VLOOKUP(C1425,Customers!$A$2:$F$301,1,FALSE),"")</f>
        <v>CUST-0178</v>
      </c>
      <c r="S1425" s="27" t="b">
        <f>IFERROR(VLOOKUP(D1425,Products!$A$2:$F$61,6,FALSE),"")</f>
        <v>1</v>
      </c>
      <c r="BL1425">
        <v>0</v>
      </c>
      <c r="BO1425">
        <v>0</v>
      </c>
      <c r="BP1425">
        <v>0</v>
      </c>
    </row>
    <row r="1426" spans="1:68" x14ac:dyDescent="0.35">
      <c r="A1426" s="26" t="str">
        <f>Orders!A1426</f>
        <v>ORD-01425</v>
      </c>
      <c r="B1426" s="33">
        <f>Orders!B1426</f>
        <v>45631</v>
      </c>
      <c r="C1426" t="str">
        <f>Orders!C1426</f>
        <v>CUST-0131</v>
      </c>
      <c r="D1426" t="str">
        <f>Orders!D1426</f>
        <v>PROD-025</v>
      </c>
      <c r="E1426" t="str">
        <f>Orders!E1426</f>
        <v>R010</v>
      </c>
      <c r="F1426">
        <f>Orders!F1426</f>
        <v>5</v>
      </c>
      <c r="G1426" s="35">
        <f>Orders!G1426</f>
        <v>4060</v>
      </c>
      <c r="H1426" s="37">
        <f>Orders!H1426</f>
        <v>2.7</v>
      </c>
      <c r="I1426" s="39">
        <f>Orders!I1426</f>
        <v>19751.900000000001</v>
      </c>
      <c r="J1426" t="str">
        <f>Orders!J1426</f>
        <v>Completed</v>
      </c>
      <c r="K1426" t="str">
        <f>Orders!K1426</f>
        <v>Delhi</v>
      </c>
      <c r="L1426" t="str">
        <f>IFERROR(VLOOKUP(D1426,Products!$A$2:$F$61,3,FALSE),"")</f>
        <v>Grocery</v>
      </c>
      <c r="M1426">
        <f>IFERROR(VLOOKUP(D1426,Products!$A$2:$F$61,4,FALSE),"")</f>
        <v>2911</v>
      </c>
      <c r="N1426" t="str">
        <f>IFERROR(VLOOKUP(E1426,Sales_Reps!$A$2:$E$31,3,FALSE),"")</f>
        <v>South</v>
      </c>
      <c r="O1426" t="str">
        <f>IFERROR(VLOOKUP(C1426,Customers!$A$2:$F$301,5,FALSE),"")</f>
        <v>SMB</v>
      </c>
      <c r="P1426">
        <f>IFERROR(VLOOKUP(C1426,Customers!$A$2:$F$301,3,FALSE),"")</f>
        <v>28</v>
      </c>
      <c r="Q1426" s="41">
        <f t="shared" si="31"/>
        <v>0.28300492610837441</v>
      </c>
      <c r="R1426" t="str">
        <f>IFERROR(VLOOKUP(C1426,Customers!$A$2:$F$301,1,FALSE),"")</f>
        <v>CUST-0131</v>
      </c>
      <c r="S1426" s="27" t="b">
        <f>IFERROR(VLOOKUP(D1426,Products!$A$2:$F$61,6,FALSE),"")</f>
        <v>1</v>
      </c>
      <c r="BL1426">
        <v>0</v>
      </c>
      <c r="BO1426">
        <v>0</v>
      </c>
      <c r="BP1426">
        <v>0</v>
      </c>
    </row>
    <row r="1427" spans="1:68" x14ac:dyDescent="0.35">
      <c r="A1427" s="26" t="str">
        <f>Orders!A1427</f>
        <v>ORD-01426</v>
      </c>
      <c r="B1427" s="33">
        <f>Orders!B1427</f>
        <v>45564</v>
      </c>
      <c r="C1427" t="str">
        <f>Orders!C1427</f>
        <v>CUST-0155</v>
      </c>
      <c r="D1427" t="str">
        <f>Orders!D1427</f>
        <v>PROD-005</v>
      </c>
      <c r="E1427" t="str">
        <f>Orders!E1427</f>
        <v>R002</v>
      </c>
      <c r="F1427">
        <f>Orders!F1427</f>
        <v>8</v>
      </c>
      <c r="G1427" s="35">
        <f>Orders!G1427</f>
        <v>300</v>
      </c>
      <c r="H1427" s="37">
        <f>Orders!H1427</f>
        <v>19.8</v>
      </c>
      <c r="I1427" s="39">
        <f>Orders!I1427</f>
        <v>1924.8</v>
      </c>
      <c r="J1427" t="str">
        <f>Orders!J1427</f>
        <v>Cancelled</v>
      </c>
      <c r="K1427" t="str">
        <f>Orders!K1427</f>
        <v>Pune</v>
      </c>
      <c r="L1427" t="str">
        <f>IFERROR(VLOOKUP(D1427,Products!$A$2:$F$61,3,FALSE),"")</f>
        <v>Electronics</v>
      </c>
      <c r="M1427">
        <f>IFERROR(VLOOKUP(D1427,Products!$A$2:$F$61,4,FALSE),"")</f>
        <v>128</v>
      </c>
      <c r="N1427" t="str">
        <f>IFERROR(VLOOKUP(E1427,Sales_Reps!$A$2:$E$31,3,FALSE),"")</f>
        <v>North</v>
      </c>
      <c r="O1427" t="str">
        <f>IFERROR(VLOOKUP(C1427,Customers!$A$2:$F$301,5,FALSE),"")</f>
        <v>Corporate</v>
      </c>
      <c r="P1427">
        <f>IFERROR(VLOOKUP(C1427,Customers!$A$2:$F$301,3,FALSE),"")</f>
        <v>40</v>
      </c>
      <c r="Q1427" s="41">
        <f t="shared" si="31"/>
        <v>0.57333333333333336</v>
      </c>
      <c r="R1427" t="str">
        <f>IFERROR(VLOOKUP(C1427,Customers!$A$2:$F$301,1,FALSE),"")</f>
        <v>CUST-0155</v>
      </c>
      <c r="S1427" s="27" t="b">
        <f>IFERROR(VLOOKUP(D1427,Products!$A$2:$F$61,6,FALSE),"")</f>
        <v>1</v>
      </c>
      <c r="BL1427">
        <v>0</v>
      </c>
      <c r="BO1427">
        <v>0</v>
      </c>
      <c r="BP1427">
        <v>0</v>
      </c>
    </row>
    <row r="1428" spans="1:68" x14ac:dyDescent="0.35">
      <c r="A1428" s="26" t="str">
        <f>Orders!A1428</f>
        <v>ORD-01427</v>
      </c>
      <c r="B1428" s="33">
        <f>Orders!B1428</f>
        <v>45454</v>
      </c>
      <c r="C1428" t="str">
        <f>Orders!C1428</f>
        <v>CUST-0170</v>
      </c>
      <c r="D1428" t="str">
        <f>Orders!D1428</f>
        <v>PROD-036</v>
      </c>
      <c r="E1428" t="str">
        <f>Orders!E1428</f>
        <v>R002</v>
      </c>
      <c r="F1428">
        <f>Orders!F1428</f>
        <v>10</v>
      </c>
      <c r="G1428" s="35">
        <f>Orders!G1428</f>
        <v>3250</v>
      </c>
      <c r="H1428" s="37">
        <f>Orders!H1428</f>
        <v>21.3</v>
      </c>
      <c r="I1428" s="39">
        <f>Orders!I1428</f>
        <v>25577.5</v>
      </c>
      <c r="J1428" t="str">
        <f>Orders!J1428</f>
        <v>Cancelled</v>
      </c>
      <c r="K1428" t="str">
        <f>Orders!K1428</f>
        <v>Mumbai</v>
      </c>
      <c r="L1428" t="str">
        <f>IFERROR(VLOOKUP(D1428,Products!$A$2:$F$61,3,FALSE),"")</f>
        <v>Home</v>
      </c>
      <c r="M1428">
        <f>IFERROR(VLOOKUP(D1428,Products!$A$2:$F$61,4,FALSE),"")</f>
        <v>1556</v>
      </c>
      <c r="N1428" t="str">
        <f>IFERROR(VLOOKUP(E1428,Sales_Reps!$A$2:$E$31,3,FALSE),"")</f>
        <v>North</v>
      </c>
      <c r="O1428" t="str">
        <f>IFERROR(VLOOKUP(C1428,Customers!$A$2:$F$301,5,FALSE),"")</f>
        <v>SMB</v>
      </c>
      <c r="P1428">
        <f>IFERROR(VLOOKUP(C1428,Customers!$A$2:$F$301,3,FALSE),"")</f>
        <v>22</v>
      </c>
      <c r="Q1428" s="41">
        <f t="shared" si="31"/>
        <v>0.52123076923076928</v>
      </c>
      <c r="R1428" t="str">
        <f>IFERROR(VLOOKUP(C1428,Customers!$A$2:$F$301,1,FALSE),"")</f>
        <v>CUST-0170</v>
      </c>
      <c r="S1428" s="27" t="b">
        <f>IFERROR(VLOOKUP(D1428,Products!$A$2:$F$61,6,FALSE),"")</f>
        <v>1</v>
      </c>
      <c r="BL1428">
        <v>0</v>
      </c>
      <c r="BO1428">
        <v>0</v>
      </c>
      <c r="BP1428">
        <v>0</v>
      </c>
    </row>
    <row r="1429" spans="1:68" x14ac:dyDescent="0.35">
      <c r="A1429" s="26" t="str">
        <f>Orders!A1429</f>
        <v>ORD-01428</v>
      </c>
      <c r="B1429" s="33">
        <f>Orders!B1429</f>
        <v>45616</v>
      </c>
      <c r="C1429" t="str">
        <f>Orders!C1429</f>
        <v>CUST-0180</v>
      </c>
      <c r="D1429" t="str">
        <f>Orders!D1429</f>
        <v>PROD-055</v>
      </c>
      <c r="E1429" t="str">
        <f>Orders!E1429</f>
        <v>R009</v>
      </c>
      <c r="F1429">
        <f>Orders!F1429</f>
        <v>2</v>
      </c>
      <c r="G1429" s="35">
        <f>Orders!G1429</f>
        <v>2860</v>
      </c>
      <c r="H1429" s="37">
        <f>Orders!H1429</f>
        <v>13.7</v>
      </c>
      <c r="I1429" s="39">
        <f>Orders!I1429</f>
        <v>4936.3599999999997</v>
      </c>
      <c r="J1429" t="str">
        <f>Orders!J1429</f>
        <v>Completed</v>
      </c>
      <c r="K1429" t="str">
        <f>Orders!K1429</f>
        <v>Chennai</v>
      </c>
      <c r="L1429" t="str">
        <f>IFERROR(VLOOKUP(D1429,Products!$A$2:$F$61,3,FALSE),"")</f>
        <v>Sports</v>
      </c>
      <c r="M1429">
        <f>IFERROR(VLOOKUP(D1429,Products!$A$2:$F$61,4,FALSE),"")</f>
        <v>2028</v>
      </c>
      <c r="N1429" t="str">
        <f>IFERROR(VLOOKUP(E1429,Sales_Reps!$A$2:$E$31,3,FALSE),"")</f>
        <v>South</v>
      </c>
      <c r="O1429" t="str">
        <f>IFERROR(VLOOKUP(C1429,Customers!$A$2:$F$301,5,FALSE),"")</f>
        <v>Retail</v>
      </c>
      <c r="P1429">
        <f>IFERROR(VLOOKUP(C1429,Customers!$A$2:$F$301,3,FALSE),"")</f>
        <v>36</v>
      </c>
      <c r="Q1429" s="41">
        <f t="shared" si="31"/>
        <v>0.29090909090909089</v>
      </c>
      <c r="R1429" t="str">
        <f>IFERROR(VLOOKUP(C1429,Customers!$A$2:$F$301,1,FALSE),"")</f>
        <v>CUST-0180</v>
      </c>
      <c r="S1429" s="27" t="b">
        <f>IFERROR(VLOOKUP(D1429,Products!$A$2:$F$61,6,FALSE),"")</f>
        <v>1</v>
      </c>
      <c r="BL1429">
        <v>0</v>
      </c>
      <c r="BO1429">
        <v>0</v>
      </c>
      <c r="BP1429">
        <v>0</v>
      </c>
    </row>
    <row r="1430" spans="1:68" x14ac:dyDescent="0.35">
      <c r="A1430" s="26" t="str">
        <f>Orders!A1430</f>
        <v>ORD-01429</v>
      </c>
      <c r="B1430" s="33">
        <f>Orders!B1430</f>
        <v>45523</v>
      </c>
      <c r="C1430" t="str">
        <f>Orders!C1430</f>
        <v>CUST-0066</v>
      </c>
      <c r="D1430" t="str">
        <f>Orders!D1430</f>
        <v>PROD-009</v>
      </c>
      <c r="E1430" t="str">
        <f>Orders!E1430</f>
        <v>R017</v>
      </c>
      <c r="F1430">
        <f>Orders!F1430</f>
        <v>10</v>
      </c>
      <c r="G1430" s="35">
        <f>Orders!G1430</f>
        <v>1220</v>
      </c>
      <c r="H1430" s="37">
        <f>Orders!H1430</f>
        <v>15.4</v>
      </c>
      <c r="I1430" s="39">
        <f>Orders!I1430</f>
        <v>10321.200000000001</v>
      </c>
      <c r="J1430" t="str">
        <f>Orders!J1430</f>
        <v>Completed</v>
      </c>
      <c r="K1430" t="str">
        <f>Orders!K1430</f>
        <v>Delhi</v>
      </c>
      <c r="L1430" t="str">
        <f>IFERROR(VLOOKUP(D1430,Products!$A$2:$F$61,3,FALSE),"")</f>
        <v>Electronics</v>
      </c>
      <c r="M1430">
        <f>IFERROR(VLOOKUP(D1430,Products!$A$2:$F$61,4,FALSE),"")</f>
        <v>517</v>
      </c>
      <c r="N1430" t="str">
        <f>IFERROR(VLOOKUP(E1430,Sales_Reps!$A$2:$E$31,3,FALSE),"")</f>
        <v>East</v>
      </c>
      <c r="O1430" t="str">
        <f>IFERROR(VLOOKUP(C1430,Customers!$A$2:$F$301,5,FALSE),"")</f>
        <v>Retail</v>
      </c>
      <c r="P1430">
        <f>IFERROR(VLOOKUP(C1430,Customers!$A$2:$F$301,3,FALSE),"")</f>
        <v>24</v>
      </c>
      <c r="Q1430" s="41">
        <f t="shared" si="31"/>
        <v>0.57622950819672136</v>
      </c>
      <c r="R1430" t="str">
        <f>IFERROR(VLOOKUP(C1430,Customers!$A$2:$F$301,1,FALSE),"")</f>
        <v>CUST-0066</v>
      </c>
      <c r="S1430" s="27" t="b">
        <f>IFERROR(VLOOKUP(D1430,Products!$A$2:$F$61,6,FALSE),"")</f>
        <v>1</v>
      </c>
      <c r="BL1430">
        <v>0</v>
      </c>
      <c r="BO1430">
        <v>0</v>
      </c>
      <c r="BP1430">
        <v>0</v>
      </c>
    </row>
    <row r="1431" spans="1:68" x14ac:dyDescent="0.35">
      <c r="A1431" s="26" t="str">
        <f>Orders!A1431</f>
        <v>ORD-01430</v>
      </c>
      <c r="B1431" s="33">
        <f>Orders!B1431</f>
        <v>45439</v>
      </c>
      <c r="C1431" t="str">
        <f>Orders!C1431</f>
        <v>CUST-0267</v>
      </c>
      <c r="D1431" t="str">
        <f>Orders!D1431</f>
        <v>PROD-027</v>
      </c>
      <c r="E1431" t="str">
        <f>Orders!E1431</f>
        <v>R010</v>
      </c>
      <c r="F1431">
        <f>Orders!F1431</f>
        <v>3</v>
      </c>
      <c r="G1431" s="35">
        <f>Orders!G1431</f>
        <v>3780</v>
      </c>
      <c r="H1431" s="37">
        <f>Orders!H1431</f>
        <v>1.9</v>
      </c>
      <c r="I1431" s="39">
        <f>Orders!I1431</f>
        <v>11124.54</v>
      </c>
      <c r="J1431" t="str">
        <f>Orders!J1431</f>
        <v>Completed</v>
      </c>
      <c r="K1431" t="str">
        <f>Orders!K1431</f>
        <v>Hyderabad</v>
      </c>
      <c r="L1431" t="str">
        <f>IFERROR(VLOOKUP(D1431,Products!$A$2:$F$61,3,FALSE),"")</f>
        <v>Grocery</v>
      </c>
      <c r="M1431">
        <f>IFERROR(VLOOKUP(D1431,Products!$A$2:$F$61,4,FALSE),"")</f>
        <v>2436</v>
      </c>
      <c r="N1431" t="str">
        <f>IFERROR(VLOOKUP(E1431,Sales_Reps!$A$2:$E$31,3,FALSE),"")</f>
        <v>South</v>
      </c>
      <c r="O1431" t="str">
        <f>IFERROR(VLOOKUP(C1431,Customers!$A$2:$F$301,5,FALSE),"")</f>
        <v>Retail</v>
      </c>
      <c r="P1431">
        <f>IFERROR(VLOOKUP(C1431,Customers!$A$2:$F$301,3,FALSE),"")</f>
        <v>27</v>
      </c>
      <c r="Q1431" s="41">
        <f t="shared" si="31"/>
        <v>0.35555555555555557</v>
      </c>
      <c r="R1431" t="str">
        <f>IFERROR(VLOOKUP(C1431,Customers!$A$2:$F$301,1,FALSE),"")</f>
        <v>CUST-0267</v>
      </c>
      <c r="S1431" s="27" t="b">
        <f>IFERROR(VLOOKUP(D1431,Products!$A$2:$F$61,6,FALSE),"")</f>
        <v>1</v>
      </c>
      <c r="BL1431">
        <v>0</v>
      </c>
      <c r="BO1431">
        <v>0</v>
      </c>
      <c r="BP1431">
        <v>0</v>
      </c>
    </row>
    <row r="1432" spans="1:68" x14ac:dyDescent="0.35">
      <c r="A1432" s="26" t="str">
        <f>Orders!A1432</f>
        <v>ORD-01431</v>
      </c>
      <c r="B1432" s="33">
        <f>Orders!B1432</f>
        <v>45579</v>
      </c>
      <c r="C1432" t="str">
        <f>Orders!C1432</f>
        <v>CUST-0034</v>
      </c>
      <c r="D1432" t="str">
        <f>Orders!D1432</f>
        <v>PROD-038</v>
      </c>
      <c r="E1432" t="str">
        <f>Orders!E1432</f>
        <v>R018</v>
      </c>
      <c r="F1432">
        <f>Orders!F1432</f>
        <v>6</v>
      </c>
      <c r="G1432" s="35">
        <f>Orders!G1432</f>
        <v>5490</v>
      </c>
      <c r="H1432" s="37">
        <f>Orders!H1432</f>
        <v>0.5</v>
      </c>
      <c r="I1432" s="39">
        <f>Orders!I1432</f>
        <v>32775.300000000003</v>
      </c>
      <c r="J1432" t="str">
        <f>Orders!J1432</f>
        <v>Pending</v>
      </c>
      <c r="K1432" t="str">
        <f>Orders!K1432</f>
        <v>Delhi</v>
      </c>
      <c r="L1432" t="str">
        <f>IFERROR(VLOOKUP(D1432,Products!$A$2:$F$61,3,FALSE),"")</f>
        <v>Home</v>
      </c>
      <c r="M1432">
        <f>IFERROR(VLOOKUP(D1432,Products!$A$2:$F$61,4,FALSE),"")</f>
        <v>2549</v>
      </c>
      <c r="N1432" t="str">
        <f>IFERROR(VLOOKUP(E1432,Sales_Reps!$A$2:$E$31,3,FALSE),"")</f>
        <v>East</v>
      </c>
      <c r="O1432" t="str">
        <f>IFERROR(VLOOKUP(C1432,Customers!$A$2:$F$301,5,FALSE),"")</f>
        <v>Retail</v>
      </c>
      <c r="P1432">
        <f>IFERROR(VLOOKUP(C1432,Customers!$A$2:$F$301,3,FALSE),"")</f>
        <v>47</v>
      </c>
      <c r="Q1432" s="41">
        <f t="shared" si="31"/>
        <v>0.53570127504553733</v>
      </c>
      <c r="R1432" t="str">
        <f>IFERROR(VLOOKUP(C1432,Customers!$A$2:$F$301,1,FALSE),"")</f>
        <v>CUST-0034</v>
      </c>
      <c r="S1432" s="27" t="b">
        <f>IFERROR(VLOOKUP(D1432,Products!$A$2:$F$61,6,FALSE),"")</f>
        <v>1</v>
      </c>
      <c r="BL1432">
        <v>0</v>
      </c>
      <c r="BO1432">
        <v>0</v>
      </c>
      <c r="BP1432">
        <v>0</v>
      </c>
    </row>
    <row r="1433" spans="1:68" x14ac:dyDescent="0.35">
      <c r="A1433" s="26" t="str">
        <f>Orders!A1433</f>
        <v>ORD-01432</v>
      </c>
      <c r="B1433" s="33">
        <f>Orders!B1433</f>
        <v>45495</v>
      </c>
      <c r="C1433" t="str">
        <f>Orders!C1433</f>
        <v>CUST-0029</v>
      </c>
      <c r="D1433" t="str">
        <f>Orders!D1433</f>
        <v>PROD-022</v>
      </c>
      <c r="E1433" t="str">
        <f>Orders!E1433</f>
        <v>R029</v>
      </c>
      <c r="F1433">
        <f>Orders!F1433</f>
        <v>6</v>
      </c>
      <c r="G1433" s="35">
        <f>Orders!G1433</f>
        <v>2270</v>
      </c>
      <c r="H1433" s="37">
        <f>Orders!H1433</f>
        <v>21.5</v>
      </c>
      <c r="I1433" s="39">
        <f>Orders!I1433</f>
        <v>10691.7</v>
      </c>
      <c r="J1433" t="str">
        <f>Orders!J1433</f>
        <v>Completed</v>
      </c>
      <c r="K1433" t="str">
        <f>Orders!K1433</f>
        <v>Chennai</v>
      </c>
      <c r="L1433" t="str">
        <f>IFERROR(VLOOKUP(D1433,Products!$A$2:$F$61,3,FALSE),"")</f>
        <v>Grocery</v>
      </c>
      <c r="M1433">
        <f>IFERROR(VLOOKUP(D1433,Products!$A$2:$F$61,4,FALSE),"")</f>
        <v>1412</v>
      </c>
      <c r="N1433" t="str">
        <f>IFERROR(VLOOKUP(E1433,Sales_Reps!$A$2:$E$31,3,FALSE),"")</f>
        <v>West</v>
      </c>
      <c r="O1433" t="str">
        <f>IFERROR(VLOOKUP(C1433,Customers!$A$2:$F$301,5,FALSE),"")</f>
        <v>Corporate</v>
      </c>
      <c r="P1433">
        <f>IFERROR(VLOOKUP(C1433,Customers!$A$2:$F$301,3,FALSE),"")</f>
        <v>54</v>
      </c>
      <c r="Q1433" s="41">
        <f t="shared" si="31"/>
        <v>0.37797356828193834</v>
      </c>
      <c r="R1433" t="str">
        <f>IFERROR(VLOOKUP(C1433,Customers!$A$2:$F$301,1,FALSE),"")</f>
        <v>CUST-0029</v>
      </c>
      <c r="S1433" s="27" t="b">
        <f>IFERROR(VLOOKUP(D1433,Products!$A$2:$F$61,6,FALSE),"")</f>
        <v>1</v>
      </c>
      <c r="BL1433">
        <v>0</v>
      </c>
      <c r="BO1433">
        <v>0</v>
      </c>
      <c r="BP1433">
        <v>0</v>
      </c>
    </row>
    <row r="1434" spans="1:68" x14ac:dyDescent="0.35">
      <c r="A1434" s="26" t="str">
        <f>Orders!A1434</f>
        <v>ORD-01433</v>
      </c>
      <c r="B1434" s="33">
        <f>Orders!B1434</f>
        <v>45600</v>
      </c>
      <c r="C1434" t="str">
        <f>Orders!C1434</f>
        <v>CUST-0224</v>
      </c>
      <c r="D1434" t="str">
        <f>Orders!D1434</f>
        <v>PROD-029</v>
      </c>
      <c r="E1434" t="str">
        <f>Orders!E1434</f>
        <v>R023</v>
      </c>
      <c r="F1434">
        <f>Orders!F1434</f>
        <v>7</v>
      </c>
      <c r="G1434" s="35">
        <f>Orders!G1434</f>
        <v>2210</v>
      </c>
      <c r="H1434" s="37">
        <f>Orders!H1434</f>
        <v>10.3</v>
      </c>
      <c r="I1434" s="39">
        <f>Orders!I1434</f>
        <v>13876.59</v>
      </c>
      <c r="J1434" t="str">
        <f>Orders!J1434</f>
        <v>Completed</v>
      </c>
      <c r="K1434" t="str">
        <f>Orders!K1434</f>
        <v>Chennai</v>
      </c>
      <c r="L1434" t="str">
        <f>IFERROR(VLOOKUP(D1434,Products!$A$2:$F$61,3,FALSE),"")</f>
        <v>Grocery</v>
      </c>
      <c r="M1434">
        <f>IFERROR(VLOOKUP(D1434,Products!$A$2:$F$61,4,FALSE),"")</f>
        <v>1010</v>
      </c>
      <c r="N1434" t="str">
        <f>IFERROR(VLOOKUP(E1434,Sales_Reps!$A$2:$E$31,3,FALSE),"")</f>
        <v>East</v>
      </c>
      <c r="O1434" t="str">
        <f>IFERROR(VLOOKUP(C1434,Customers!$A$2:$F$301,5,FALSE),"")</f>
        <v>Corporate</v>
      </c>
      <c r="P1434">
        <f>IFERROR(VLOOKUP(C1434,Customers!$A$2:$F$301,3,FALSE),"")</f>
        <v>24</v>
      </c>
      <c r="Q1434" s="41">
        <f t="shared" si="31"/>
        <v>0.54298642533936647</v>
      </c>
      <c r="R1434" t="str">
        <f>IFERROR(VLOOKUP(C1434,Customers!$A$2:$F$301,1,FALSE),"")</f>
        <v>CUST-0224</v>
      </c>
      <c r="S1434" s="27" t="b">
        <f>IFERROR(VLOOKUP(D1434,Products!$A$2:$F$61,6,FALSE),"")</f>
        <v>1</v>
      </c>
      <c r="BL1434">
        <v>0</v>
      </c>
      <c r="BO1434">
        <v>0</v>
      </c>
      <c r="BP1434">
        <v>0</v>
      </c>
    </row>
    <row r="1435" spans="1:68" x14ac:dyDescent="0.35">
      <c r="A1435" s="26" t="str">
        <f>Orders!A1435</f>
        <v>ORD-01434</v>
      </c>
      <c r="B1435" s="33">
        <f>Orders!B1435</f>
        <v>45605</v>
      </c>
      <c r="C1435" t="str">
        <f>Orders!C1435</f>
        <v>CUST-9889</v>
      </c>
      <c r="D1435" t="str">
        <f>Orders!D1435</f>
        <v>PROD-035</v>
      </c>
      <c r="E1435" t="str">
        <f>Orders!E1435</f>
        <v>R009</v>
      </c>
      <c r="F1435">
        <f>Orders!F1435</f>
        <v>8</v>
      </c>
      <c r="G1435" s="35">
        <f>Orders!G1435</f>
        <v>1090</v>
      </c>
      <c r="H1435" s="37">
        <f>Orders!H1435</f>
        <v>21.7</v>
      </c>
      <c r="I1435" s="39">
        <f>Orders!I1435</f>
        <v>6827.76</v>
      </c>
      <c r="J1435" t="str">
        <f>Orders!J1435</f>
        <v>Completed</v>
      </c>
      <c r="K1435" t="str">
        <f>Orders!K1435</f>
        <v>Pune</v>
      </c>
      <c r="L1435" t="str">
        <f>IFERROR(VLOOKUP(D1435,Products!$A$2:$F$61,3,FALSE),"")</f>
        <v>Home</v>
      </c>
      <c r="M1435">
        <f>IFERROR(VLOOKUP(D1435,Products!$A$2:$F$61,4,FALSE),"")</f>
        <v>464</v>
      </c>
      <c r="N1435" t="str">
        <f>IFERROR(VLOOKUP(E1435,Sales_Reps!$A$2:$E$31,3,FALSE),"")</f>
        <v>South</v>
      </c>
      <c r="O1435" t="str">
        <f>IFERROR(VLOOKUP(C1435,Customers!$A$2:$F$301,5,FALSE),"")</f>
        <v/>
      </c>
      <c r="P1435" t="str">
        <f>IFERROR(VLOOKUP(C1435,Customers!$A$2:$F$301,3,FALSE),"")</f>
        <v/>
      </c>
      <c r="Q1435" s="41">
        <f t="shared" si="31"/>
        <v>0.57431192660550456</v>
      </c>
      <c r="R1435" t="str">
        <f>IFERROR(VLOOKUP(C1435,Customers!$A$2:$F$301,1,FALSE),"")</f>
        <v/>
      </c>
      <c r="S1435" s="27" t="b">
        <f>IFERROR(VLOOKUP(D1435,Products!$A$2:$F$61,6,FALSE),"")</f>
        <v>1</v>
      </c>
      <c r="BL1435">
        <v>0</v>
      </c>
      <c r="BO1435">
        <v>1</v>
      </c>
      <c r="BP1435">
        <v>0</v>
      </c>
    </row>
    <row r="1436" spans="1:68" x14ac:dyDescent="0.35">
      <c r="A1436" s="26" t="str">
        <f>Orders!A1436</f>
        <v>ORD-01435</v>
      </c>
      <c r="B1436" s="33">
        <f>Orders!B1436</f>
        <v>45598</v>
      </c>
      <c r="C1436" t="str">
        <f>Orders!C1436</f>
        <v>CUST-0130</v>
      </c>
      <c r="D1436" t="str">
        <f>Orders!D1436</f>
        <v>PROD-018</v>
      </c>
      <c r="E1436" t="str">
        <f>Orders!E1436</f>
        <v>R002</v>
      </c>
      <c r="F1436">
        <f>Orders!F1436</f>
        <v>5</v>
      </c>
      <c r="G1436" s="35">
        <f>Orders!G1436</f>
        <v>3560</v>
      </c>
      <c r="H1436" s="37">
        <f>Orders!H1436</f>
        <v>19.399999999999999</v>
      </c>
      <c r="I1436" s="39">
        <f>Orders!I1436</f>
        <v>14346.8</v>
      </c>
      <c r="J1436" t="str">
        <f>Orders!J1436</f>
        <v>Pending</v>
      </c>
      <c r="K1436" t="str">
        <f>Orders!K1436</f>
        <v>Bengaluru</v>
      </c>
      <c r="L1436" t="str">
        <f>IFERROR(VLOOKUP(D1436,Products!$A$2:$F$61,3,FALSE),"")</f>
        <v>Apparel</v>
      </c>
      <c r="M1436">
        <f>IFERROR(VLOOKUP(D1436,Products!$A$2:$F$61,4,FALSE),"")</f>
        <v>2629</v>
      </c>
      <c r="N1436" t="str">
        <f>IFERROR(VLOOKUP(E1436,Sales_Reps!$A$2:$E$31,3,FALSE),"")</f>
        <v>North</v>
      </c>
      <c r="O1436" t="str">
        <f>IFERROR(VLOOKUP(C1436,Customers!$A$2:$F$301,5,FALSE),"")</f>
        <v>Corporate</v>
      </c>
      <c r="P1436">
        <f>IFERROR(VLOOKUP(C1436,Customers!$A$2:$F$301,3,FALSE),"")</f>
        <v>41</v>
      </c>
      <c r="Q1436" s="41">
        <f t="shared" si="31"/>
        <v>0.26151685393258428</v>
      </c>
      <c r="R1436" t="str">
        <f>IFERROR(VLOOKUP(C1436,Customers!$A$2:$F$301,1,FALSE),"")</f>
        <v>CUST-0130</v>
      </c>
      <c r="S1436" s="27" t="b">
        <f>IFERROR(VLOOKUP(D1436,Products!$A$2:$F$61,6,FALSE),"")</f>
        <v>1</v>
      </c>
      <c r="BL1436">
        <v>0</v>
      </c>
      <c r="BO1436">
        <v>0</v>
      </c>
      <c r="BP1436">
        <v>0</v>
      </c>
    </row>
    <row r="1437" spans="1:68" x14ac:dyDescent="0.35">
      <c r="A1437" s="26" t="str">
        <f>Orders!A1437</f>
        <v>ORD-01436</v>
      </c>
      <c r="B1437" s="33">
        <f>Orders!B1437</f>
        <v>45452</v>
      </c>
      <c r="C1437" t="str">
        <f>Orders!C1437</f>
        <v>CUST-0060</v>
      </c>
      <c r="D1437" t="str">
        <f>Orders!D1437</f>
        <v>PROD-054</v>
      </c>
      <c r="E1437" t="str">
        <f>Orders!E1437</f>
        <v>R028</v>
      </c>
      <c r="F1437">
        <f>Orders!F1437</f>
        <v>7</v>
      </c>
      <c r="G1437" s="35">
        <f>Orders!G1437</f>
        <v>1010</v>
      </c>
      <c r="H1437" s="37">
        <f>Orders!H1437</f>
        <v>28.2</v>
      </c>
      <c r="I1437" s="39">
        <f>Orders!I1437</f>
        <v>5076.26</v>
      </c>
      <c r="J1437" t="str">
        <f>Orders!J1437</f>
        <v>Completed</v>
      </c>
      <c r="K1437" t="str">
        <f>Orders!K1437</f>
        <v>Pune</v>
      </c>
      <c r="L1437" t="str">
        <f>IFERROR(VLOOKUP(D1437,Products!$A$2:$F$61,3,FALSE),"")</f>
        <v>Sports</v>
      </c>
      <c r="M1437">
        <f>IFERROR(VLOOKUP(D1437,Products!$A$2:$F$61,4,FALSE),"")</f>
        <v>516</v>
      </c>
      <c r="N1437" t="str">
        <f>IFERROR(VLOOKUP(E1437,Sales_Reps!$A$2:$E$31,3,FALSE),"")</f>
        <v>West</v>
      </c>
      <c r="O1437" t="str">
        <f>IFERROR(VLOOKUP(C1437,Customers!$A$2:$F$301,5,FALSE),"")</f>
        <v>Retail</v>
      </c>
      <c r="P1437">
        <f>IFERROR(VLOOKUP(C1437,Customers!$A$2:$F$301,3,FALSE),"")</f>
        <v>39</v>
      </c>
      <c r="Q1437" s="41">
        <f t="shared" si="31"/>
        <v>0.4891089108910891</v>
      </c>
      <c r="R1437" t="str">
        <f>IFERROR(VLOOKUP(C1437,Customers!$A$2:$F$301,1,FALSE),"")</f>
        <v>CUST-0060</v>
      </c>
      <c r="S1437" s="27" t="b">
        <f>IFERROR(VLOOKUP(D1437,Products!$A$2:$F$61,6,FALSE),"")</f>
        <v>1</v>
      </c>
      <c r="BL1437">
        <v>0</v>
      </c>
      <c r="BO1437">
        <v>0</v>
      </c>
      <c r="BP1437">
        <v>0</v>
      </c>
    </row>
    <row r="1438" spans="1:68" x14ac:dyDescent="0.35">
      <c r="A1438" s="26" t="str">
        <f>Orders!A1438</f>
        <v>ORD-01437</v>
      </c>
      <c r="B1438" s="33">
        <f>Orders!B1438</f>
        <v>45470</v>
      </c>
      <c r="C1438" t="str">
        <f>Orders!C1438</f>
        <v>CUST-0299</v>
      </c>
      <c r="D1438" t="str">
        <f>Orders!D1438</f>
        <v>PROD-033</v>
      </c>
      <c r="E1438" t="str">
        <f>Orders!E1438</f>
        <v>R015</v>
      </c>
      <c r="F1438">
        <f>Orders!F1438</f>
        <v>2</v>
      </c>
      <c r="G1438" s="35">
        <f>Orders!G1438</f>
        <v>2030</v>
      </c>
      <c r="H1438" s="37">
        <f>Orders!H1438</f>
        <v>27.3</v>
      </c>
      <c r="I1438" s="39">
        <f>Orders!I1438</f>
        <v>2951.62</v>
      </c>
      <c r="J1438" t="str">
        <f>Orders!J1438</f>
        <v>Refunded</v>
      </c>
      <c r="K1438" t="str">
        <f>Orders!K1438</f>
        <v>Mumbai</v>
      </c>
      <c r="L1438" t="str">
        <f>IFERROR(VLOOKUP(D1438,Products!$A$2:$F$61,3,FALSE),"")</f>
        <v>Home</v>
      </c>
      <c r="M1438">
        <f>IFERROR(VLOOKUP(D1438,Products!$A$2:$F$61,4,FALSE),"")</f>
        <v>1143</v>
      </c>
      <c r="N1438" t="str">
        <f>IFERROR(VLOOKUP(E1438,Sales_Reps!$A$2:$E$31,3,FALSE),"")</f>
        <v>South</v>
      </c>
      <c r="O1438" t="str">
        <f>IFERROR(VLOOKUP(C1438,Customers!$A$2:$F$301,5,FALSE),"")</f>
        <v>Corporate</v>
      </c>
      <c r="P1438">
        <f>IFERROR(VLOOKUP(C1438,Customers!$A$2:$F$301,3,FALSE),"")</f>
        <v>51</v>
      </c>
      <c r="Q1438" s="41">
        <f t="shared" si="31"/>
        <v>0.43694581280788175</v>
      </c>
      <c r="R1438" t="str">
        <f>IFERROR(VLOOKUP(C1438,Customers!$A$2:$F$301,1,FALSE),"")</f>
        <v>CUST-0299</v>
      </c>
      <c r="S1438" s="27" t="b">
        <f>IFERROR(VLOOKUP(D1438,Products!$A$2:$F$61,6,FALSE),"")</f>
        <v>1</v>
      </c>
      <c r="BL1438">
        <v>0</v>
      </c>
      <c r="BO1438">
        <v>0</v>
      </c>
      <c r="BP1438">
        <v>0</v>
      </c>
    </row>
    <row r="1439" spans="1:68" x14ac:dyDescent="0.35">
      <c r="A1439" s="26" t="str">
        <f>Orders!A1439</f>
        <v>ORD-01438</v>
      </c>
      <c r="B1439" s="33">
        <f>Orders!B1439</f>
        <v>45350</v>
      </c>
      <c r="C1439" t="str">
        <f>Orders!C1439</f>
        <v>CUST-0013</v>
      </c>
      <c r="D1439" t="str">
        <f>Orders!D1439</f>
        <v>PROD-001</v>
      </c>
      <c r="E1439" t="str">
        <f>Orders!E1439</f>
        <v>R012</v>
      </c>
      <c r="F1439">
        <f>Orders!F1439</f>
        <v>6</v>
      </c>
      <c r="G1439" s="35">
        <f>Orders!G1439</f>
        <v>5330</v>
      </c>
      <c r="H1439" s="37">
        <f>Orders!H1439</f>
        <v>0.6</v>
      </c>
      <c r="I1439" s="39">
        <f>Orders!I1439</f>
        <v>31788.12</v>
      </c>
      <c r="J1439" t="str">
        <f>Orders!J1439</f>
        <v>Completed</v>
      </c>
      <c r="K1439" t="str">
        <f>Orders!K1439</f>
        <v>Delhi</v>
      </c>
      <c r="L1439" t="str">
        <f>IFERROR(VLOOKUP(D1439,Products!$A$2:$F$61,3,FALSE),"")</f>
        <v>Electronics</v>
      </c>
      <c r="M1439">
        <f>IFERROR(VLOOKUP(D1439,Products!$A$2:$F$61,4,FALSE),"")</f>
        <v>2405</v>
      </c>
      <c r="N1439" t="str">
        <f>IFERROR(VLOOKUP(E1439,Sales_Reps!$A$2:$E$31,3,FALSE),"")</f>
        <v>South</v>
      </c>
      <c r="O1439" t="str">
        <f>IFERROR(VLOOKUP(C1439,Customers!$A$2:$F$301,5,FALSE),"")</f>
        <v>Retail</v>
      </c>
      <c r="P1439">
        <f>IFERROR(VLOOKUP(C1439,Customers!$A$2:$F$301,3,FALSE),"")</f>
        <v>41</v>
      </c>
      <c r="Q1439" s="41">
        <f t="shared" si="31"/>
        <v>0.54878048780487809</v>
      </c>
      <c r="R1439" t="str">
        <f>IFERROR(VLOOKUP(C1439,Customers!$A$2:$F$301,1,FALSE),"")</f>
        <v>CUST-0013</v>
      </c>
      <c r="S1439" s="27" t="b">
        <f>IFERROR(VLOOKUP(D1439,Products!$A$2:$F$61,6,FALSE),"")</f>
        <v>1</v>
      </c>
      <c r="BL1439">
        <v>0</v>
      </c>
      <c r="BO1439">
        <v>0</v>
      </c>
      <c r="BP1439">
        <v>0</v>
      </c>
    </row>
    <row r="1440" spans="1:68" x14ac:dyDescent="0.35">
      <c r="A1440" s="26" t="str">
        <f>Orders!A1440</f>
        <v>ORD-01439</v>
      </c>
      <c r="B1440" s="33">
        <f>Orders!B1440</f>
        <v>45514</v>
      </c>
      <c r="C1440" t="str">
        <f>Orders!C1440</f>
        <v>CUST-0193</v>
      </c>
      <c r="D1440" t="str">
        <f>Orders!D1440</f>
        <v>PROD-010</v>
      </c>
      <c r="E1440" t="str">
        <f>Orders!E1440</f>
        <v>R007</v>
      </c>
      <c r="F1440">
        <f>Orders!F1440</f>
        <v>2</v>
      </c>
      <c r="G1440" s="35">
        <f>Orders!G1440</f>
        <v>2640</v>
      </c>
      <c r="H1440" s="37">
        <f>Orders!H1440</f>
        <v>26</v>
      </c>
      <c r="I1440" s="39">
        <f>Orders!I1440</f>
        <v>3907.2</v>
      </c>
      <c r="J1440" t="str">
        <f>Orders!J1440</f>
        <v>Pending</v>
      </c>
      <c r="K1440" t="str">
        <f>Orders!K1440</f>
        <v>Bengaluru</v>
      </c>
      <c r="L1440" t="str">
        <f>IFERROR(VLOOKUP(D1440,Products!$A$2:$F$61,3,FALSE),"")</f>
        <v>Electronics</v>
      </c>
      <c r="M1440">
        <f>IFERROR(VLOOKUP(D1440,Products!$A$2:$F$61,4,FALSE),"")</f>
        <v>1149</v>
      </c>
      <c r="N1440" t="str">
        <f>IFERROR(VLOOKUP(E1440,Sales_Reps!$A$2:$E$31,3,FALSE),"")</f>
        <v>North</v>
      </c>
      <c r="O1440" t="str">
        <f>IFERROR(VLOOKUP(C1440,Customers!$A$2:$F$301,5,FALSE),"")</f>
        <v>Retail</v>
      </c>
      <c r="P1440">
        <f>IFERROR(VLOOKUP(C1440,Customers!$A$2:$F$301,3,FALSE),"")</f>
        <v>42</v>
      </c>
      <c r="Q1440" s="41">
        <f t="shared" si="31"/>
        <v>0.56477272727272732</v>
      </c>
      <c r="R1440" t="str">
        <f>IFERROR(VLOOKUP(C1440,Customers!$A$2:$F$301,1,FALSE),"")</f>
        <v>CUST-0193</v>
      </c>
      <c r="S1440" s="27" t="b">
        <f>IFERROR(VLOOKUP(D1440,Products!$A$2:$F$61,6,FALSE),"")</f>
        <v>1</v>
      </c>
      <c r="BL1440">
        <v>0</v>
      </c>
      <c r="BO1440">
        <v>0</v>
      </c>
      <c r="BP1440">
        <v>0</v>
      </c>
    </row>
    <row r="1441" spans="1:68" x14ac:dyDescent="0.35">
      <c r="A1441" s="26" t="str">
        <f>Orders!A1441</f>
        <v>ORD-01440</v>
      </c>
      <c r="B1441" s="33">
        <f>Orders!B1441</f>
        <v>45447</v>
      </c>
      <c r="C1441" t="str">
        <f>Orders!C1441</f>
        <v>CUST-0170</v>
      </c>
      <c r="D1441" t="str">
        <f>Orders!D1441</f>
        <v>PROD-008</v>
      </c>
      <c r="E1441" t="str">
        <f>Orders!E1441</f>
        <v>R012</v>
      </c>
      <c r="F1441">
        <f>Orders!F1441</f>
        <v>8</v>
      </c>
      <c r="G1441" s="35">
        <f>Orders!G1441</f>
        <v>2660</v>
      </c>
      <c r="H1441" s="37">
        <f>Orders!H1441</f>
        <v>2.9</v>
      </c>
      <c r="I1441" s="39">
        <f>Orders!I1441</f>
        <v>20662.88</v>
      </c>
      <c r="J1441" t="str">
        <f>Orders!J1441</f>
        <v>Completed</v>
      </c>
      <c r="K1441" t="str">
        <f>Orders!K1441</f>
        <v>Mumbai</v>
      </c>
      <c r="L1441" t="str">
        <f>IFERROR(VLOOKUP(D1441,Products!$A$2:$F$61,3,FALSE),"")</f>
        <v>Electronics</v>
      </c>
      <c r="M1441">
        <f>IFERROR(VLOOKUP(D1441,Products!$A$2:$F$61,4,FALSE),"")</f>
        <v>1259</v>
      </c>
      <c r="N1441" t="str">
        <f>IFERROR(VLOOKUP(E1441,Sales_Reps!$A$2:$E$31,3,FALSE),"")</f>
        <v>South</v>
      </c>
      <c r="O1441" t="str">
        <f>IFERROR(VLOOKUP(C1441,Customers!$A$2:$F$301,5,FALSE),"")</f>
        <v>SMB</v>
      </c>
      <c r="P1441">
        <f>IFERROR(VLOOKUP(C1441,Customers!$A$2:$F$301,3,FALSE),"")</f>
        <v>22</v>
      </c>
      <c r="Q1441" s="41">
        <f t="shared" si="31"/>
        <v>0.52669172932330832</v>
      </c>
      <c r="R1441" t="str">
        <f>IFERROR(VLOOKUP(C1441,Customers!$A$2:$F$301,1,FALSE),"")</f>
        <v>CUST-0170</v>
      </c>
      <c r="S1441" s="27" t="b">
        <f>IFERROR(VLOOKUP(D1441,Products!$A$2:$F$61,6,FALSE),"")</f>
        <v>0</v>
      </c>
      <c r="BL1441">
        <v>0</v>
      </c>
      <c r="BO1441">
        <v>0</v>
      </c>
      <c r="BP1441">
        <v>1</v>
      </c>
    </row>
    <row r="1442" spans="1:68" x14ac:dyDescent="0.35">
      <c r="A1442" s="26" t="str">
        <f>Orders!A1442</f>
        <v>ORD-01441</v>
      </c>
      <c r="B1442" s="33">
        <f>Orders!B1442</f>
        <v>45390</v>
      </c>
      <c r="C1442" t="str">
        <f>Orders!C1442</f>
        <v>CUST-0063</v>
      </c>
      <c r="D1442" t="str">
        <f>Orders!D1442</f>
        <v>PROD-036</v>
      </c>
      <c r="E1442" t="str">
        <f>Orders!E1442</f>
        <v>R023</v>
      </c>
      <c r="F1442">
        <f>Orders!F1442</f>
        <v>6</v>
      </c>
      <c r="G1442" s="35">
        <f>Orders!G1442</f>
        <v>3250</v>
      </c>
      <c r="H1442" s="37">
        <f>Orders!H1442</f>
        <v>11.1</v>
      </c>
      <c r="I1442" s="39">
        <f>Orders!I1442</f>
        <v>17335.5</v>
      </c>
      <c r="J1442" t="str">
        <f>Orders!J1442</f>
        <v>Completed</v>
      </c>
      <c r="K1442" t="str">
        <f>Orders!K1442</f>
        <v>Mumbai</v>
      </c>
      <c r="L1442" t="str">
        <f>IFERROR(VLOOKUP(D1442,Products!$A$2:$F$61,3,FALSE),"")</f>
        <v>Home</v>
      </c>
      <c r="M1442">
        <f>IFERROR(VLOOKUP(D1442,Products!$A$2:$F$61,4,FALSE),"")</f>
        <v>1556</v>
      </c>
      <c r="N1442" t="str">
        <f>IFERROR(VLOOKUP(E1442,Sales_Reps!$A$2:$E$31,3,FALSE),"")</f>
        <v>East</v>
      </c>
      <c r="O1442" t="str">
        <f>IFERROR(VLOOKUP(C1442,Customers!$A$2:$F$301,5,FALSE),"")</f>
        <v>SMB</v>
      </c>
      <c r="P1442">
        <f>IFERROR(VLOOKUP(C1442,Customers!$A$2:$F$301,3,FALSE),"")</f>
        <v>53</v>
      </c>
      <c r="Q1442" s="41">
        <f t="shared" si="31"/>
        <v>0.52123076923076928</v>
      </c>
      <c r="R1442" t="str">
        <f>IFERROR(VLOOKUP(C1442,Customers!$A$2:$F$301,1,FALSE),"")</f>
        <v>CUST-0063</v>
      </c>
      <c r="S1442" s="27" t="b">
        <f>IFERROR(VLOOKUP(D1442,Products!$A$2:$F$61,6,FALSE),"")</f>
        <v>1</v>
      </c>
      <c r="BL1442">
        <v>0</v>
      </c>
      <c r="BO1442">
        <v>0</v>
      </c>
      <c r="BP1442">
        <v>0</v>
      </c>
    </row>
    <row r="1443" spans="1:68" x14ac:dyDescent="0.35">
      <c r="A1443" s="26" t="str">
        <f>Orders!A1443</f>
        <v>ORD-01442</v>
      </c>
      <c r="B1443" s="33">
        <f>Orders!B1443</f>
        <v>45307</v>
      </c>
      <c r="C1443" t="str">
        <f>Orders!C1443</f>
        <v>CUST-0168</v>
      </c>
      <c r="D1443" t="str">
        <f>Orders!D1443</f>
        <v>PROD-029</v>
      </c>
      <c r="E1443" t="str">
        <f>Orders!E1443</f>
        <v>R004</v>
      </c>
      <c r="F1443">
        <f>Orders!F1443</f>
        <v>1</v>
      </c>
      <c r="G1443" s="35">
        <f>Orders!G1443</f>
        <v>2210</v>
      </c>
      <c r="H1443" s="37">
        <f>Orders!H1443</f>
        <v>3.5</v>
      </c>
      <c r="I1443" s="39">
        <f>Orders!I1443</f>
        <v>2132.65</v>
      </c>
      <c r="J1443" t="str">
        <f>Orders!J1443</f>
        <v>Completed</v>
      </c>
      <c r="K1443" t="str">
        <f>Orders!K1443</f>
        <v>Pune</v>
      </c>
      <c r="L1443" t="str">
        <f>IFERROR(VLOOKUP(D1443,Products!$A$2:$F$61,3,FALSE),"")</f>
        <v>Grocery</v>
      </c>
      <c r="M1443">
        <f>IFERROR(VLOOKUP(D1443,Products!$A$2:$F$61,4,FALSE),"")</f>
        <v>1010</v>
      </c>
      <c r="N1443" t="str">
        <f>IFERROR(VLOOKUP(E1443,Sales_Reps!$A$2:$E$31,3,FALSE),"")</f>
        <v>North</v>
      </c>
      <c r="O1443" t="str">
        <f>IFERROR(VLOOKUP(C1443,Customers!$A$2:$F$301,5,FALSE),"")</f>
        <v>Retail</v>
      </c>
      <c r="P1443">
        <f>IFERROR(VLOOKUP(C1443,Customers!$A$2:$F$301,3,FALSE),"")</f>
        <v>25</v>
      </c>
      <c r="Q1443" s="41">
        <f t="shared" si="31"/>
        <v>0.54298642533936647</v>
      </c>
      <c r="R1443" t="str">
        <f>IFERROR(VLOOKUP(C1443,Customers!$A$2:$F$301,1,FALSE),"")</f>
        <v>CUST-0168</v>
      </c>
      <c r="S1443" s="27" t="b">
        <f>IFERROR(VLOOKUP(D1443,Products!$A$2:$F$61,6,FALSE),"")</f>
        <v>1</v>
      </c>
      <c r="BL1443">
        <v>0</v>
      </c>
      <c r="BO1443">
        <v>0</v>
      </c>
      <c r="BP1443">
        <v>0</v>
      </c>
    </row>
    <row r="1444" spans="1:68" x14ac:dyDescent="0.35">
      <c r="A1444" s="26" t="str">
        <f>Orders!A1444</f>
        <v>ORD-01443</v>
      </c>
      <c r="B1444" s="33">
        <f>Orders!B1444</f>
        <v>45432</v>
      </c>
      <c r="C1444" t="str">
        <f>Orders!C1444</f>
        <v>CUST-0124</v>
      </c>
      <c r="D1444" t="str">
        <f>Orders!D1444</f>
        <v>PROD-032</v>
      </c>
      <c r="E1444" t="str">
        <f>Orders!E1444</f>
        <v>R019</v>
      </c>
      <c r="F1444">
        <f>Orders!F1444</f>
        <v>9</v>
      </c>
      <c r="G1444" s="35">
        <f>Orders!G1444</f>
        <v>370</v>
      </c>
      <c r="H1444" s="37">
        <f>Orders!H1444</f>
        <v>12.4</v>
      </c>
      <c r="I1444" s="39">
        <f>Orders!I1444</f>
        <v>2917.08</v>
      </c>
      <c r="J1444" t="str">
        <f>Orders!J1444</f>
        <v>Completed</v>
      </c>
      <c r="K1444" t="str">
        <f>Orders!K1444</f>
        <v>Pune</v>
      </c>
      <c r="L1444" t="str">
        <f>IFERROR(VLOOKUP(D1444,Products!$A$2:$F$61,3,FALSE),"")</f>
        <v>Home</v>
      </c>
      <c r="M1444">
        <f>IFERROR(VLOOKUP(D1444,Products!$A$2:$F$61,4,FALSE),"")</f>
        <v>288</v>
      </c>
      <c r="N1444" t="str">
        <f>IFERROR(VLOOKUP(E1444,Sales_Reps!$A$2:$E$31,3,FALSE),"")</f>
        <v>East</v>
      </c>
      <c r="O1444" t="str">
        <f>IFERROR(VLOOKUP(C1444,Customers!$A$2:$F$301,5,FALSE),"")</f>
        <v>Retail</v>
      </c>
      <c r="P1444">
        <f>IFERROR(VLOOKUP(C1444,Customers!$A$2:$F$301,3,FALSE),"")</f>
        <v>57</v>
      </c>
      <c r="Q1444" s="41">
        <f t="shared" si="31"/>
        <v>0.22162162162162163</v>
      </c>
      <c r="R1444" t="str">
        <f>IFERROR(VLOOKUP(C1444,Customers!$A$2:$F$301,1,FALSE),"")</f>
        <v>CUST-0124</v>
      </c>
      <c r="S1444" s="27" t="b">
        <f>IFERROR(VLOOKUP(D1444,Products!$A$2:$F$61,6,FALSE),"")</f>
        <v>1</v>
      </c>
      <c r="BL1444">
        <v>0</v>
      </c>
      <c r="BO1444">
        <v>0</v>
      </c>
      <c r="BP1444">
        <v>0</v>
      </c>
    </row>
    <row r="1445" spans="1:68" x14ac:dyDescent="0.35">
      <c r="A1445" s="26" t="str">
        <f>Orders!A1445</f>
        <v>ORD-01444</v>
      </c>
      <c r="B1445" s="33">
        <f>Orders!B1445</f>
        <v>45453</v>
      </c>
      <c r="C1445" t="str">
        <f>Orders!C1445</f>
        <v>CUST-0138</v>
      </c>
      <c r="D1445" t="str">
        <f>Orders!D1445</f>
        <v>PROD-059</v>
      </c>
      <c r="E1445" t="str">
        <f>Orders!E1445</f>
        <v>R022</v>
      </c>
      <c r="F1445">
        <f>Orders!F1445</f>
        <v>3</v>
      </c>
      <c r="G1445" s="35">
        <f>Orders!G1445</f>
        <v>3780</v>
      </c>
      <c r="H1445" s="37">
        <f>Orders!H1445</f>
        <v>8.5</v>
      </c>
      <c r="I1445" s="39">
        <f>Orders!I1445</f>
        <v>10376.1</v>
      </c>
      <c r="J1445" t="str">
        <f>Orders!J1445</f>
        <v>Pending</v>
      </c>
      <c r="K1445" t="str">
        <f>Orders!K1445</f>
        <v>Chennai</v>
      </c>
      <c r="L1445" t="str">
        <f>IFERROR(VLOOKUP(D1445,Products!$A$2:$F$61,3,FALSE),"")</f>
        <v>Sports</v>
      </c>
      <c r="M1445">
        <f>IFERROR(VLOOKUP(D1445,Products!$A$2:$F$61,4,FALSE),"")</f>
        <v>1860</v>
      </c>
      <c r="N1445" t="str">
        <f>IFERROR(VLOOKUP(E1445,Sales_Reps!$A$2:$E$31,3,FALSE),"")</f>
        <v>East</v>
      </c>
      <c r="O1445" t="str">
        <f>IFERROR(VLOOKUP(C1445,Customers!$A$2:$F$301,5,FALSE),"")</f>
        <v>Retail</v>
      </c>
      <c r="P1445">
        <f>IFERROR(VLOOKUP(C1445,Customers!$A$2:$F$301,3,FALSE),"")</f>
        <v>24</v>
      </c>
      <c r="Q1445" s="41">
        <f t="shared" si="31"/>
        <v>0.50793650793650791</v>
      </c>
      <c r="R1445" t="str">
        <f>IFERROR(VLOOKUP(C1445,Customers!$A$2:$F$301,1,FALSE),"")</f>
        <v>CUST-0138</v>
      </c>
      <c r="S1445" s="27" t="b">
        <f>IFERROR(VLOOKUP(D1445,Products!$A$2:$F$61,6,FALSE),"")</f>
        <v>1</v>
      </c>
      <c r="BL1445">
        <v>0</v>
      </c>
      <c r="BO1445">
        <v>0</v>
      </c>
      <c r="BP1445">
        <v>0</v>
      </c>
    </row>
    <row r="1446" spans="1:68" x14ac:dyDescent="0.35">
      <c r="A1446" s="26" t="str">
        <f>Orders!A1446</f>
        <v>ORD-01445</v>
      </c>
      <c r="B1446" s="33">
        <f>Orders!B1446</f>
        <v>45397</v>
      </c>
      <c r="C1446" t="str">
        <f>Orders!C1446</f>
        <v>CUST-0146</v>
      </c>
      <c r="D1446" t="str">
        <f>Orders!D1446</f>
        <v>PROD-054</v>
      </c>
      <c r="E1446" t="str">
        <f>Orders!E1446</f>
        <v>R002</v>
      </c>
      <c r="F1446">
        <f>Orders!F1446</f>
        <v>2</v>
      </c>
      <c r="G1446" s="35">
        <f>Orders!G1446</f>
        <v>1010</v>
      </c>
      <c r="H1446" s="37">
        <f>Orders!H1446</f>
        <v>2.7</v>
      </c>
      <c r="I1446" s="39">
        <f>Orders!I1446</f>
        <v>1965.46</v>
      </c>
      <c r="J1446" t="str">
        <f>Orders!J1446</f>
        <v>Completed</v>
      </c>
      <c r="K1446" t="str">
        <f>Orders!K1446</f>
        <v>Hyderabad</v>
      </c>
      <c r="L1446" t="str">
        <f>IFERROR(VLOOKUP(D1446,Products!$A$2:$F$61,3,FALSE),"")</f>
        <v>Sports</v>
      </c>
      <c r="M1446">
        <f>IFERROR(VLOOKUP(D1446,Products!$A$2:$F$61,4,FALSE),"")</f>
        <v>516</v>
      </c>
      <c r="N1446" t="str">
        <f>IFERROR(VLOOKUP(E1446,Sales_Reps!$A$2:$E$31,3,FALSE),"")</f>
        <v>North</v>
      </c>
      <c r="O1446" t="str">
        <f>IFERROR(VLOOKUP(C1446,Customers!$A$2:$F$301,5,FALSE),"")</f>
        <v>Retail</v>
      </c>
      <c r="P1446">
        <f>IFERROR(VLOOKUP(C1446,Customers!$A$2:$F$301,3,FALSE),"")</f>
        <v>22</v>
      </c>
      <c r="Q1446" s="41">
        <f t="shared" si="31"/>
        <v>0.4891089108910891</v>
      </c>
      <c r="R1446" t="str">
        <f>IFERROR(VLOOKUP(C1446,Customers!$A$2:$F$301,1,FALSE),"")</f>
        <v>CUST-0146</v>
      </c>
      <c r="S1446" s="27" t="b">
        <f>IFERROR(VLOOKUP(D1446,Products!$A$2:$F$61,6,FALSE),"")</f>
        <v>1</v>
      </c>
      <c r="BL1446">
        <v>0.5</v>
      </c>
      <c r="BO1446">
        <v>0</v>
      </c>
      <c r="BP1446">
        <v>0</v>
      </c>
    </row>
    <row r="1447" spans="1:68" x14ac:dyDescent="0.35">
      <c r="A1447" s="26" t="str">
        <f>Orders!A1447</f>
        <v>ORD-01446</v>
      </c>
      <c r="B1447" s="33">
        <f>Orders!B1447</f>
        <v>45639</v>
      </c>
      <c r="C1447" t="str">
        <f>Orders!C1447</f>
        <v>CUST-0244</v>
      </c>
      <c r="D1447" t="str">
        <f>Orders!D1447</f>
        <v>PROD-020</v>
      </c>
      <c r="E1447" t="str">
        <f>Orders!E1447</f>
        <v>R012</v>
      </c>
      <c r="F1447">
        <f>Orders!F1447</f>
        <v>2</v>
      </c>
      <c r="G1447" s="35">
        <f>Orders!G1447</f>
        <v>820</v>
      </c>
      <c r="H1447" s="37">
        <f>Orders!H1447</f>
        <v>13.2</v>
      </c>
      <c r="I1447" s="39">
        <f>Orders!I1447</f>
        <v>1423.52</v>
      </c>
      <c r="J1447" t="str">
        <f>Orders!J1447</f>
        <v>Pending</v>
      </c>
      <c r="K1447" t="str">
        <f>Orders!K1447</f>
        <v>Bengaluru</v>
      </c>
      <c r="L1447" t="str">
        <f>IFERROR(VLOOKUP(D1447,Products!$A$2:$F$61,3,FALSE),"")</f>
        <v>Apparel</v>
      </c>
      <c r="M1447">
        <f>IFERROR(VLOOKUP(D1447,Products!$A$2:$F$61,4,FALSE),"")</f>
        <v>391</v>
      </c>
      <c r="N1447" t="str">
        <f>IFERROR(VLOOKUP(E1447,Sales_Reps!$A$2:$E$31,3,FALSE),"")</f>
        <v>South</v>
      </c>
      <c r="O1447" t="str">
        <f>IFERROR(VLOOKUP(C1447,Customers!$A$2:$F$301,5,FALSE),"")</f>
        <v>Retail</v>
      </c>
      <c r="P1447">
        <f>IFERROR(VLOOKUP(C1447,Customers!$A$2:$F$301,3,FALSE),"")</f>
        <v>61</v>
      </c>
      <c r="Q1447" s="41">
        <f t="shared" si="31"/>
        <v>0.52317073170731709</v>
      </c>
      <c r="R1447" t="str">
        <f>IFERROR(VLOOKUP(C1447,Customers!$A$2:$F$301,1,FALSE),"")</f>
        <v>CUST-0244</v>
      </c>
      <c r="S1447" s="27" t="b">
        <f>IFERROR(VLOOKUP(D1447,Products!$A$2:$F$61,6,FALSE),"")</f>
        <v>1</v>
      </c>
      <c r="BL1447">
        <v>0</v>
      </c>
      <c r="BO1447">
        <v>0</v>
      </c>
      <c r="BP1447">
        <v>0</v>
      </c>
    </row>
    <row r="1448" spans="1:68" x14ac:dyDescent="0.35">
      <c r="A1448" s="26" t="str">
        <f>Orders!A1448</f>
        <v>ORD-01447</v>
      </c>
      <c r="B1448" s="33">
        <f>Orders!B1448</f>
        <v>45482</v>
      </c>
      <c r="C1448" t="str">
        <f>Orders!C1448</f>
        <v>CUST-0291</v>
      </c>
      <c r="D1448" t="str">
        <f>Orders!D1448</f>
        <v>PROD-028</v>
      </c>
      <c r="E1448" t="str">
        <f>Orders!E1448</f>
        <v>R012</v>
      </c>
      <c r="F1448">
        <f>Orders!F1448</f>
        <v>1</v>
      </c>
      <c r="G1448" s="35">
        <f>Orders!G1448</f>
        <v>3660</v>
      </c>
      <c r="H1448" s="37">
        <f>Orders!H1448</f>
        <v>14</v>
      </c>
      <c r="I1448" s="39">
        <f>Orders!I1448</f>
        <v>3147.6</v>
      </c>
      <c r="J1448" t="str">
        <f>Orders!J1448</f>
        <v>Refunded</v>
      </c>
      <c r="K1448" t="str">
        <f>Orders!K1448</f>
        <v>Pune</v>
      </c>
      <c r="L1448" t="str">
        <f>IFERROR(VLOOKUP(D1448,Products!$A$2:$F$61,3,FALSE),"")</f>
        <v>Grocery</v>
      </c>
      <c r="M1448">
        <f>IFERROR(VLOOKUP(D1448,Products!$A$2:$F$61,4,FALSE),"")</f>
        <v>2214</v>
      </c>
      <c r="N1448" t="str">
        <f>IFERROR(VLOOKUP(E1448,Sales_Reps!$A$2:$E$31,3,FALSE),"")</f>
        <v>South</v>
      </c>
      <c r="O1448" t="str">
        <f>IFERROR(VLOOKUP(C1448,Customers!$A$2:$F$301,5,FALSE),"")</f>
        <v>SMB</v>
      </c>
      <c r="P1448">
        <f>IFERROR(VLOOKUP(C1448,Customers!$A$2:$F$301,3,FALSE),"")</f>
        <v>29</v>
      </c>
      <c r="Q1448" s="41">
        <f t="shared" si="31"/>
        <v>0.39508196721311473</v>
      </c>
      <c r="R1448" t="str">
        <f>IFERROR(VLOOKUP(C1448,Customers!$A$2:$F$301,1,FALSE),"")</f>
        <v>CUST-0291</v>
      </c>
      <c r="S1448" s="27" t="b">
        <f>IFERROR(VLOOKUP(D1448,Products!$A$2:$F$61,6,FALSE),"")</f>
        <v>0</v>
      </c>
      <c r="BL1448">
        <v>0</v>
      </c>
      <c r="BO1448">
        <v>0</v>
      </c>
      <c r="BP1448">
        <v>1</v>
      </c>
    </row>
    <row r="1449" spans="1:68" x14ac:dyDescent="0.35">
      <c r="A1449" s="26" t="str">
        <f>Orders!A1449</f>
        <v>ORD-01448</v>
      </c>
      <c r="B1449" s="33">
        <f>Orders!B1449</f>
        <v>45447</v>
      </c>
      <c r="C1449" t="str">
        <f>Orders!C1449</f>
        <v>CUST-0222</v>
      </c>
      <c r="D1449" t="str">
        <f>Orders!D1449</f>
        <v>PROD-022</v>
      </c>
      <c r="E1449" t="str">
        <f>Orders!E1449</f>
        <v>R017</v>
      </c>
      <c r="F1449">
        <f>Orders!F1449</f>
        <v>6</v>
      </c>
      <c r="G1449" s="35">
        <f>Orders!G1449</f>
        <v>2270</v>
      </c>
      <c r="H1449" s="37">
        <f>Orders!H1449</f>
        <v>16</v>
      </c>
      <c r="I1449" s="39">
        <f>Orders!I1449</f>
        <v>11440.8</v>
      </c>
      <c r="J1449" t="str">
        <f>Orders!J1449</f>
        <v>Completed</v>
      </c>
      <c r="K1449" t="str">
        <f>Orders!K1449</f>
        <v>Chennai</v>
      </c>
      <c r="L1449" t="str">
        <f>IFERROR(VLOOKUP(D1449,Products!$A$2:$F$61,3,FALSE),"")</f>
        <v>Grocery</v>
      </c>
      <c r="M1449">
        <f>IFERROR(VLOOKUP(D1449,Products!$A$2:$F$61,4,FALSE),"")</f>
        <v>1412</v>
      </c>
      <c r="N1449" t="str">
        <f>IFERROR(VLOOKUP(E1449,Sales_Reps!$A$2:$E$31,3,FALSE),"")</f>
        <v>East</v>
      </c>
      <c r="O1449" t="str">
        <f>IFERROR(VLOOKUP(C1449,Customers!$A$2:$F$301,5,FALSE),"")</f>
        <v>Retail</v>
      </c>
      <c r="P1449">
        <f>IFERROR(VLOOKUP(C1449,Customers!$A$2:$F$301,3,FALSE),"")</f>
        <v>37</v>
      </c>
      <c r="Q1449" s="41">
        <f t="shared" si="31"/>
        <v>0.37797356828193834</v>
      </c>
      <c r="R1449" t="str">
        <f>IFERROR(VLOOKUP(C1449,Customers!$A$2:$F$301,1,FALSE),"")</f>
        <v>CUST-0222</v>
      </c>
      <c r="S1449" s="27" t="b">
        <f>IFERROR(VLOOKUP(D1449,Products!$A$2:$F$61,6,FALSE),"")</f>
        <v>1</v>
      </c>
      <c r="BL1449">
        <v>0</v>
      </c>
      <c r="BO1449">
        <v>0</v>
      </c>
      <c r="BP1449">
        <v>0</v>
      </c>
    </row>
    <row r="1450" spans="1:68" x14ac:dyDescent="0.35">
      <c r="A1450" s="26" t="str">
        <f>Orders!A1450</f>
        <v>ORD-01449</v>
      </c>
      <c r="B1450" s="33">
        <f>Orders!B1450</f>
        <v>45598</v>
      </c>
      <c r="C1450" t="str">
        <f>Orders!C1450</f>
        <v>CUST-0137</v>
      </c>
      <c r="D1450" t="str">
        <f>Orders!D1450</f>
        <v>PROD-049</v>
      </c>
      <c r="E1450" t="str">
        <f>Orders!E1450</f>
        <v>R019</v>
      </c>
      <c r="F1450">
        <f>Orders!F1450</f>
        <v>7</v>
      </c>
      <c r="G1450" s="35">
        <f>Orders!G1450</f>
        <v>960</v>
      </c>
      <c r="H1450" s="37">
        <f>Orders!H1450</f>
        <v>28.8</v>
      </c>
      <c r="I1450" s="39">
        <f>Orders!I1450</f>
        <v>4784.6400000000003</v>
      </c>
      <c r="J1450" t="str">
        <f>Orders!J1450</f>
        <v>Refunded</v>
      </c>
      <c r="K1450" t="str">
        <f>Orders!K1450</f>
        <v>Mumbai</v>
      </c>
      <c r="L1450" t="str">
        <f>IFERROR(VLOOKUP(D1450,Products!$A$2:$F$61,3,FALSE),"")</f>
        <v>Beauty</v>
      </c>
      <c r="M1450">
        <f>IFERROR(VLOOKUP(D1450,Products!$A$2:$F$61,4,FALSE),"")</f>
        <v>675</v>
      </c>
      <c r="N1450" t="str">
        <f>IFERROR(VLOOKUP(E1450,Sales_Reps!$A$2:$E$31,3,FALSE),"")</f>
        <v>East</v>
      </c>
      <c r="O1450" t="str">
        <f>IFERROR(VLOOKUP(C1450,Customers!$A$2:$F$301,5,FALSE),"")</f>
        <v>Retail</v>
      </c>
      <c r="P1450">
        <f>IFERROR(VLOOKUP(C1450,Customers!$A$2:$F$301,3,FALSE),"")</f>
        <v>41</v>
      </c>
      <c r="Q1450" s="41">
        <f t="shared" si="31"/>
        <v>0.296875</v>
      </c>
      <c r="R1450" t="str">
        <f>IFERROR(VLOOKUP(C1450,Customers!$A$2:$F$301,1,FALSE),"")</f>
        <v>CUST-0137</v>
      </c>
      <c r="S1450" s="27" t="b">
        <f>IFERROR(VLOOKUP(D1450,Products!$A$2:$F$61,6,FALSE),"")</f>
        <v>1</v>
      </c>
      <c r="BL1450">
        <v>0</v>
      </c>
      <c r="BO1450">
        <v>0</v>
      </c>
      <c r="BP1450">
        <v>0</v>
      </c>
    </row>
    <row r="1451" spans="1:68" x14ac:dyDescent="0.35">
      <c r="A1451" s="26" t="str">
        <f>Orders!A1451</f>
        <v>ORD-01450</v>
      </c>
      <c r="B1451" s="33">
        <f>Orders!B1451</f>
        <v>45645</v>
      </c>
      <c r="C1451" t="str">
        <f>Orders!C1451</f>
        <v>CUST-0150</v>
      </c>
      <c r="D1451" t="str">
        <f>Orders!D1451</f>
        <v>PROD-033</v>
      </c>
      <c r="E1451" t="str">
        <f>Orders!E1451</f>
        <v>R025</v>
      </c>
      <c r="F1451">
        <f>Orders!F1451</f>
        <v>9</v>
      </c>
      <c r="G1451" s="35">
        <f>Orders!G1451</f>
        <v>2030</v>
      </c>
      <c r="H1451" s="37">
        <f>Orders!H1451</f>
        <v>3.4</v>
      </c>
      <c r="I1451" s="39">
        <f>Orders!I1451</f>
        <v>17648.82</v>
      </c>
      <c r="J1451" t="str">
        <f>Orders!J1451</f>
        <v>Completed</v>
      </c>
      <c r="K1451" t="str">
        <f>Orders!K1451</f>
        <v>Pune</v>
      </c>
      <c r="L1451" t="str">
        <f>IFERROR(VLOOKUP(D1451,Products!$A$2:$F$61,3,FALSE),"")</f>
        <v>Home</v>
      </c>
      <c r="M1451">
        <f>IFERROR(VLOOKUP(D1451,Products!$A$2:$F$61,4,FALSE),"")</f>
        <v>1143</v>
      </c>
      <c r="N1451" t="str">
        <f>IFERROR(VLOOKUP(E1451,Sales_Reps!$A$2:$E$31,3,FALSE),"")</f>
        <v>West</v>
      </c>
      <c r="O1451" t="str">
        <f>IFERROR(VLOOKUP(C1451,Customers!$A$2:$F$301,5,FALSE),"")</f>
        <v>SMB</v>
      </c>
      <c r="P1451">
        <f>IFERROR(VLOOKUP(C1451,Customers!$A$2:$F$301,3,FALSE),"")</f>
        <v>53</v>
      </c>
      <c r="Q1451" s="41">
        <f t="shared" si="31"/>
        <v>0.43694581280788175</v>
      </c>
      <c r="R1451" t="str">
        <f>IFERROR(VLOOKUP(C1451,Customers!$A$2:$F$301,1,FALSE),"")</f>
        <v>CUST-0150</v>
      </c>
      <c r="S1451" s="27" t="b">
        <f>IFERROR(VLOOKUP(D1451,Products!$A$2:$F$61,6,FALSE),"")</f>
        <v>1</v>
      </c>
      <c r="BL1451">
        <v>0</v>
      </c>
      <c r="BO1451">
        <v>0</v>
      </c>
      <c r="BP1451">
        <v>0</v>
      </c>
    </row>
    <row r="1452" spans="1:68" x14ac:dyDescent="0.35">
      <c r="A1452" s="26" t="str">
        <f>Orders!A1452</f>
        <v>ORD-01451</v>
      </c>
      <c r="B1452" s="33">
        <f>Orders!B1452</f>
        <v>45299</v>
      </c>
      <c r="C1452" t="str">
        <f>Orders!C1452</f>
        <v>CUST-0058</v>
      </c>
      <c r="D1452" t="str">
        <f>Orders!D1452</f>
        <v>PROD-023</v>
      </c>
      <c r="E1452" t="str">
        <f>Orders!E1452</f>
        <v>R005</v>
      </c>
      <c r="F1452">
        <f>Orders!F1452</f>
        <v>6</v>
      </c>
      <c r="G1452" s="35">
        <f>Orders!G1452</f>
        <v>2380</v>
      </c>
      <c r="H1452" s="37">
        <f>Orders!H1452</f>
        <v>13.2</v>
      </c>
      <c r="I1452" s="39">
        <f>Orders!I1452</f>
        <v>12395.04</v>
      </c>
      <c r="J1452" t="str">
        <f>Orders!J1452</f>
        <v>Completed</v>
      </c>
      <c r="K1452" t="str">
        <f>Orders!K1452</f>
        <v>Bengaluru</v>
      </c>
      <c r="L1452" t="str">
        <f>IFERROR(VLOOKUP(D1452,Products!$A$2:$F$61,3,FALSE),"")</f>
        <v>Grocery</v>
      </c>
      <c r="M1452">
        <f>IFERROR(VLOOKUP(D1452,Products!$A$2:$F$61,4,FALSE),"")</f>
        <v>1182</v>
      </c>
      <c r="N1452" t="str">
        <f>IFERROR(VLOOKUP(E1452,Sales_Reps!$A$2:$E$31,3,FALSE),"")</f>
        <v>North</v>
      </c>
      <c r="O1452" t="str">
        <f>IFERROR(VLOOKUP(C1452,Customers!$A$2:$F$301,5,FALSE),"")</f>
        <v>SMB</v>
      </c>
      <c r="P1452">
        <f>IFERROR(VLOOKUP(C1452,Customers!$A$2:$F$301,3,FALSE),"")</f>
        <v>49</v>
      </c>
      <c r="Q1452" s="41">
        <f t="shared" si="31"/>
        <v>0.50336134453781511</v>
      </c>
      <c r="R1452" t="str">
        <f>IFERROR(VLOOKUP(C1452,Customers!$A$2:$F$301,1,FALSE),"")</f>
        <v>CUST-0058</v>
      </c>
      <c r="S1452" s="27" t="b">
        <f>IFERROR(VLOOKUP(D1452,Products!$A$2:$F$61,6,FALSE),"")</f>
        <v>1</v>
      </c>
      <c r="BL1452">
        <v>0</v>
      </c>
      <c r="BO1452">
        <v>0</v>
      </c>
      <c r="BP1452">
        <v>0</v>
      </c>
    </row>
    <row r="1453" spans="1:68" x14ac:dyDescent="0.35">
      <c r="A1453" s="26" t="str">
        <f>Orders!A1453</f>
        <v>ORD-01452</v>
      </c>
      <c r="B1453" s="33">
        <f>Orders!B1453</f>
        <v>45308</v>
      </c>
      <c r="C1453" t="str">
        <f>Orders!C1453</f>
        <v>CUST-0187</v>
      </c>
      <c r="D1453" t="str">
        <f>Orders!D1453</f>
        <v>PROD-047</v>
      </c>
      <c r="E1453" t="str">
        <f>Orders!E1453</f>
        <v>R009</v>
      </c>
      <c r="F1453">
        <f>Orders!F1453</f>
        <v>10</v>
      </c>
      <c r="G1453" s="35">
        <f>Orders!G1453</f>
        <v>3450</v>
      </c>
      <c r="H1453" s="37">
        <f>Orders!H1453</f>
        <v>8.6999999999999993</v>
      </c>
      <c r="I1453" s="39">
        <f>Orders!I1453</f>
        <v>31498.5</v>
      </c>
      <c r="J1453" t="str">
        <f>Orders!J1453</f>
        <v>Completed</v>
      </c>
      <c r="K1453" t="str">
        <f>Orders!K1453</f>
        <v>Chennai</v>
      </c>
      <c r="L1453" t="str">
        <f>IFERROR(VLOOKUP(D1453,Products!$A$2:$F$61,3,FALSE),"")</f>
        <v>Beauty</v>
      </c>
      <c r="M1453">
        <f>IFERROR(VLOOKUP(D1453,Products!$A$2:$F$61,4,FALSE),"")</f>
        <v>2420</v>
      </c>
      <c r="N1453" t="str">
        <f>IFERROR(VLOOKUP(E1453,Sales_Reps!$A$2:$E$31,3,FALSE),"")</f>
        <v>South</v>
      </c>
      <c r="O1453" t="str">
        <f>IFERROR(VLOOKUP(C1453,Customers!$A$2:$F$301,5,FALSE),"")</f>
        <v>SMB</v>
      </c>
      <c r="P1453">
        <f>IFERROR(VLOOKUP(C1453,Customers!$A$2:$F$301,3,FALSE),"")</f>
        <v>51</v>
      </c>
      <c r="Q1453" s="41">
        <f t="shared" si="31"/>
        <v>0.29855072463768118</v>
      </c>
      <c r="R1453" t="str">
        <f>IFERROR(VLOOKUP(C1453,Customers!$A$2:$F$301,1,FALSE),"")</f>
        <v>CUST-0187</v>
      </c>
      <c r="S1453" s="27" t="b">
        <f>IFERROR(VLOOKUP(D1453,Products!$A$2:$F$61,6,FALSE),"")</f>
        <v>1</v>
      </c>
      <c r="BL1453">
        <v>0</v>
      </c>
      <c r="BO1453">
        <v>0</v>
      </c>
      <c r="BP1453">
        <v>0</v>
      </c>
    </row>
    <row r="1454" spans="1:68" x14ac:dyDescent="0.35">
      <c r="A1454" s="26" t="str">
        <f>Orders!A1454</f>
        <v>ORD-01453</v>
      </c>
      <c r="B1454" s="33">
        <f>Orders!B1454</f>
        <v>45487</v>
      </c>
      <c r="C1454" t="str">
        <f>Orders!C1454</f>
        <v>CUST-0116</v>
      </c>
      <c r="D1454" t="str">
        <f>Orders!D1454</f>
        <v>PROD-049</v>
      </c>
      <c r="E1454" t="str">
        <f>Orders!E1454</f>
        <v>R021</v>
      </c>
      <c r="F1454">
        <f>Orders!F1454</f>
        <v>6</v>
      </c>
      <c r="G1454" s="35">
        <f>Orders!G1454</f>
        <v>960</v>
      </c>
      <c r="H1454" s="37">
        <f>Orders!H1454</f>
        <v>20.6</v>
      </c>
      <c r="I1454" s="39">
        <f>Orders!I1454</f>
        <v>4573.4399999999996</v>
      </c>
      <c r="J1454" t="str">
        <f>Orders!J1454</f>
        <v>Pending</v>
      </c>
      <c r="K1454" t="str">
        <f>Orders!K1454</f>
        <v>Bengaluru</v>
      </c>
      <c r="L1454" t="str">
        <f>IFERROR(VLOOKUP(D1454,Products!$A$2:$F$61,3,FALSE),"")</f>
        <v>Beauty</v>
      </c>
      <c r="M1454">
        <f>IFERROR(VLOOKUP(D1454,Products!$A$2:$F$61,4,FALSE),"")</f>
        <v>675</v>
      </c>
      <c r="N1454" t="str">
        <f>IFERROR(VLOOKUP(E1454,Sales_Reps!$A$2:$E$31,3,FALSE),"")</f>
        <v>East</v>
      </c>
      <c r="O1454" t="str">
        <f>IFERROR(VLOOKUP(C1454,Customers!$A$2:$F$301,5,FALSE),"")</f>
        <v>Retail</v>
      </c>
      <c r="P1454">
        <f>IFERROR(VLOOKUP(C1454,Customers!$A$2:$F$301,3,FALSE),"")</f>
        <v>53</v>
      </c>
      <c r="Q1454" s="41">
        <f t="shared" si="31"/>
        <v>0.296875</v>
      </c>
      <c r="R1454" t="str">
        <f>IFERROR(VLOOKUP(C1454,Customers!$A$2:$F$301,1,FALSE),"")</f>
        <v>CUST-0116</v>
      </c>
      <c r="S1454" s="27" t="b">
        <f>IFERROR(VLOOKUP(D1454,Products!$A$2:$F$61,6,FALSE),"")</f>
        <v>1</v>
      </c>
      <c r="BL1454">
        <v>0</v>
      </c>
      <c r="BO1454">
        <v>0</v>
      </c>
      <c r="BP1454">
        <v>0</v>
      </c>
    </row>
    <row r="1455" spans="1:68" x14ac:dyDescent="0.35">
      <c r="A1455" s="26" t="str">
        <f>Orders!A1455</f>
        <v>ORD-01454</v>
      </c>
      <c r="B1455" s="33">
        <f>Orders!B1455</f>
        <v>45341</v>
      </c>
      <c r="C1455" t="str">
        <f>Orders!C1455</f>
        <v>CUST-0290</v>
      </c>
      <c r="D1455" t="str">
        <f>Orders!D1455</f>
        <v>PROD-018</v>
      </c>
      <c r="E1455" t="str">
        <f>Orders!E1455</f>
        <v>R013</v>
      </c>
      <c r="F1455">
        <f>Orders!F1455</f>
        <v>10</v>
      </c>
      <c r="G1455" s="35">
        <f>Orders!G1455</f>
        <v>3560</v>
      </c>
      <c r="H1455" s="37">
        <f>Orders!H1455</f>
        <v>1.4</v>
      </c>
      <c r="I1455" s="39">
        <f>Orders!I1455</f>
        <v>35101.599999999999</v>
      </c>
      <c r="J1455" t="str">
        <f>Orders!J1455</f>
        <v>Pending</v>
      </c>
      <c r="K1455" t="str">
        <f>Orders!K1455</f>
        <v>Delhi</v>
      </c>
      <c r="L1455" t="str">
        <f>IFERROR(VLOOKUP(D1455,Products!$A$2:$F$61,3,FALSE),"")</f>
        <v>Apparel</v>
      </c>
      <c r="M1455">
        <f>IFERROR(VLOOKUP(D1455,Products!$A$2:$F$61,4,FALSE),"")</f>
        <v>2629</v>
      </c>
      <c r="N1455" t="str">
        <f>IFERROR(VLOOKUP(E1455,Sales_Reps!$A$2:$E$31,3,FALSE),"")</f>
        <v>South</v>
      </c>
      <c r="O1455" t="str">
        <f>IFERROR(VLOOKUP(C1455,Customers!$A$2:$F$301,5,FALSE),"")</f>
        <v>Retail</v>
      </c>
      <c r="P1455">
        <f>IFERROR(VLOOKUP(C1455,Customers!$A$2:$F$301,3,FALSE),"")</f>
        <v>63</v>
      </c>
      <c r="Q1455" s="41">
        <f t="shared" si="31"/>
        <v>0.26151685393258428</v>
      </c>
      <c r="R1455" t="str">
        <f>IFERROR(VLOOKUP(C1455,Customers!$A$2:$F$301,1,FALSE),"")</f>
        <v>CUST-0290</v>
      </c>
      <c r="S1455" s="27" t="b">
        <f>IFERROR(VLOOKUP(D1455,Products!$A$2:$F$61,6,FALSE),"")</f>
        <v>1</v>
      </c>
      <c r="BL1455">
        <v>0</v>
      </c>
      <c r="BO1455">
        <v>0</v>
      </c>
      <c r="BP1455">
        <v>0</v>
      </c>
    </row>
    <row r="1456" spans="1:68" x14ac:dyDescent="0.35">
      <c r="A1456" s="26" t="str">
        <f>Orders!A1456</f>
        <v>ORD-01455</v>
      </c>
      <c r="B1456" s="33">
        <f>Orders!B1456</f>
        <v>45354</v>
      </c>
      <c r="C1456" t="str">
        <f>Orders!C1456</f>
        <v>CUST-0053</v>
      </c>
      <c r="D1456" t="str">
        <f>Orders!D1456</f>
        <v>PROD-015</v>
      </c>
      <c r="E1456" t="str">
        <f>Orders!E1456</f>
        <v>R014</v>
      </c>
      <c r="F1456">
        <f>Orders!F1456</f>
        <v>4</v>
      </c>
      <c r="G1456" s="35">
        <f>Orders!G1456</f>
        <v>2720</v>
      </c>
      <c r="H1456" s="37">
        <f>Orders!H1456</f>
        <v>19.399999999999999</v>
      </c>
      <c r="I1456" s="39">
        <f>Orders!I1456</f>
        <v>8769.2800000000007</v>
      </c>
      <c r="J1456" t="str">
        <f>Orders!J1456</f>
        <v>Refunded</v>
      </c>
      <c r="K1456" t="str">
        <f>Orders!K1456</f>
        <v>Delhi</v>
      </c>
      <c r="L1456" t="str">
        <f>IFERROR(VLOOKUP(D1456,Products!$A$2:$F$61,3,FALSE),"")</f>
        <v>Apparel</v>
      </c>
      <c r="M1456">
        <f>IFERROR(VLOOKUP(D1456,Products!$A$2:$F$61,4,FALSE),"")</f>
        <v>1962</v>
      </c>
      <c r="N1456" t="str">
        <f>IFERROR(VLOOKUP(E1456,Sales_Reps!$A$2:$E$31,3,FALSE),"")</f>
        <v>South</v>
      </c>
      <c r="O1456" t="str">
        <f>IFERROR(VLOOKUP(C1456,Customers!$A$2:$F$301,5,FALSE),"")</f>
        <v>Retail</v>
      </c>
      <c r="P1456">
        <f>IFERROR(VLOOKUP(C1456,Customers!$A$2:$F$301,3,FALSE),"")</f>
        <v>53</v>
      </c>
      <c r="Q1456" s="41">
        <f t="shared" si="31"/>
        <v>0.2786764705882353</v>
      </c>
      <c r="R1456" t="str">
        <f>IFERROR(VLOOKUP(C1456,Customers!$A$2:$F$301,1,FALSE),"")</f>
        <v>CUST-0053</v>
      </c>
      <c r="S1456" s="27" t="b">
        <f>IFERROR(VLOOKUP(D1456,Products!$A$2:$F$61,6,FALSE),"")</f>
        <v>1</v>
      </c>
      <c r="BL1456">
        <v>0</v>
      </c>
      <c r="BO1456">
        <v>0</v>
      </c>
      <c r="BP1456">
        <v>0</v>
      </c>
    </row>
    <row r="1457" spans="1:68" x14ac:dyDescent="0.35">
      <c r="A1457" s="26" t="str">
        <f>Orders!A1457</f>
        <v>ORD-01456</v>
      </c>
      <c r="B1457" s="33">
        <f>Orders!B1457</f>
        <v>45458</v>
      </c>
      <c r="C1457" t="str">
        <f>Orders!C1457</f>
        <v>CUST-0044</v>
      </c>
      <c r="D1457" t="str">
        <f>Orders!D1457</f>
        <v>PROD-009</v>
      </c>
      <c r="E1457" t="str">
        <f>Orders!E1457</f>
        <v>R029</v>
      </c>
      <c r="F1457">
        <f>Orders!F1457</f>
        <v>5</v>
      </c>
      <c r="G1457" s="35">
        <f>Orders!G1457</f>
        <v>1220</v>
      </c>
      <c r="H1457" s="37">
        <f>Orders!H1457</f>
        <v>15.6</v>
      </c>
      <c r="I1457" s="39">
        <f>Orders!I1457</f>
        <v>5148.3999999999996</v>
      </c>
      <c r="J1457" t="str">
        <f>Orders!J1457</f>
        <v>Completed</v>
      </c>
      <c r="K1457" t="str">
        <f>Orders!K1457</f>
        <v>Hyderabad</v>
      </c>
      <c r="L1457" t="str">
        <f>IFERROR(VLOOKUP(D1457,Products!$A$2:$F$61,3,FALSE),"")</f>
        <v>Electronics</v>
      </c>
      <c r="M1457">
        <f>IFERROR(VLOOKUP(D1457,Products!$A$2:$F$61,4,FALSE),"")</f>
        <v>517</v>
      </c>
      <c r="N1457" t="str">
        <f>IFERROR(VLOOKUP(E1457,Sales_Reps!$A$2:$E$31,3,FALSE),"")</f>
        <v>West</v>
      </c>
      <c r="O1457" t="str">
        <f>IFERROR(VLOOKUP(C1457,Customers!$A$2:$F$301,5,FALSE),"")</f>
        <v>SMB</v>
      </c>
      <c r="P1457">
        <f>IFERROR(VLOOKUP(C1457,Customers!$A$2:$F$301,3,FALSE),"")</f>
        <v>29</v>
      </c>
      <c r="Q1457" s="41">
        <f t="shared" si="31"/>
        <v>0.57622950819672136</v>
      </c>
      <c r="R1457" t="str">
        <f>IFERROR(VLOOKUP(C1457,Customers!$A$2:$F$301,1,FALSE),"")</f>
        <v>CUST-0044</v>
      </c>
      <c r="S1457" s="27" t="b">
        <f>IFERROR(VLOOKUP(D1457,Products!$A$2:$F$61,6,FALSE),"")</f>
        <v>1</v>
      </c>
      <c r="BL1457">
        <v>0</v>
      </c>
      <c r="BO1457">
        <v>0</v>
      </c>
      <c r="BP1457">
        <v>0</v>
      </c>
    </row>
    <row r="1458" spans="1:68" x14ac:dyDescent="0.35">
      <c r="A1458" s="26" t="str">
        <f>Orders!A1458</f>
        <v>ORD-01457</v>
      </c>
      <c r="B1458" s="33">
        <f>Orders!B1458</f>
        <v>45364</v>
      </c>
      <c r="C1458" t="str">
        <f>Orders!C1458</f>
        <v>CUST-0267</v>
      </c>
      <c r="D1458" t="str">
        <f>Orders!D1458</f>
        <v>PROD-035</v>
      </c>
      <c r="E1458" t="str">
        <f>Orders!E1458</f>
        <v>R026</v>
      </c>
      <c r="F1458">
        <f>Orders!F1458</f>
        <v>5</v>
      </c>
      <c r="G1458" s="35">
        <f>Orders!G1458</f>
        <v>1090</v>
      </c>
      <c r="H1458" s="37">
        <f>Orders!H1458</f>
        <v>15</v>
      </c>
      <c r="I1458" s="39">
        <f>Orders!I1458</f>
        <v>4632.5</v>
      </c>
      <c r="J1458" t="str">
        <f>Orders!J1458</f>
        <v>Completed</v>
      </c>
      <c r="K1458" t="str">
        <f>Orders!K1458</f>
        <v>Hyderabad</v>
      </c>
      <c r="L1458" t="str">
        <f>IFERROR(VLOOKUP(D1458,Products!$A$2:$F$61,3,FALSE),"")</f>
        <v>Home</v>
      </c>
      <c r="M1458">
        <f>IFERROR(VLOOKUP(D1458,Products!$A$2:$F$61,4,FALSE),"")</f>
        <v>464</v>
      </c>
      <c r="N1458" t="str">
        <f>IFERROR(VLOOKUP(E1458,Sales_Reps!$A$2:$E$31,3,FALSE),"")</f>
        <v>West</v>
      </c>
      <c r="O1458" t="str">
        <f>IFERROR(VLOOKUP(C1458,Customers!$A$2:$F$301,5,FALSE),"")</f>
        <v>Retail</v>
      </c>
      <c r="P1458">
        <f>IFERROR(VLOOKUP(C1458,Customers!$A$2:$F$301,3,FALSE),"")</f>
        <v>27</v>
      </c>
      <c r="Q1458" s="41">
        <f t="shared" si="31"/>
        <v>0.57431192660550456</v>
      </c>
      <c r="R1458" t="str">
        <f>IFERROR(VLOOKUP(C1458,Customers!$A$2:$F$301,1,FALSE),"")</f>
        <v>CUST-0267</v>
      </c>
      <c r="S1458" s="27" t="b">
        <f>IFERROR(VLOOKUP(D1458,Products!$A$2:$F$61,6,FALSE),"")</f>
        <v>1</v>
      </c>
      <c r="BL1458">
        <v>0</v>
      </c>
      <c r="BO1458">
        <v>0</v>
      </c>
      <c r="BP1458">
        <v>0</v>
      </c>
    </row>
    <row r="1459" spans="1:68" x14ac:dyDescent="0.35">
      <c r="A1459" s="26" t="str">
        <f>Orders!A1459</f>
        <v>ORD-01458</v>
      </c>
      <c r="B1459" s="33">
        <f>Orders!B1459</f>
        <v>45618</v>
      </c>
      <c r="C1459" t="str">
        <f>Orders!C1459</f>
        <v>CUST-0179</v>
      </c>
      <c r="D1459" t="str">
        <f>Orders!D1459</f>
        <v>PROD-032</v>
      </c>
      <c r="E1459" t="str">
        <f>Orders!E1459</f>
        <v>R029</v>
      </c>
      <c r="F1459">
        <f>Orders!F1459</f>
        <v>9</v>
      </c>
      <c r="G1459" s="35">
        <f>Orders!G1459</f>
        <v>370</v>
      </c>
      <c r="H1459" s="37">
        <f>Orders!H1459</f>
        <v>25.4</v>
      </c>
      <c r="I1459" s="39">
        <f>Orders!I1459</f>
        <v>2484.1799999999998</v>
      </c>
      <c r="J1459" t="str">
        <f>Orders!J1459</f>
        <v>Completed</v>
      </c>
      <c r="K1459" t="str">
        <f>Orders!K1459</f>
        <v>Mumbai</v>
      </c>
      <c r="L1459" t="str">
        <f>IFERROR(VLOOKUP(D1459,Products!$A$2:$F$61,3,FALSE),"")</f>
        <v>Home</v>
      </c>
      <c r="M1459">
        <f>IFERROR(VLOOKUP(D1459,Products!$A$2:$F$61,4,FALSE),"")</f>
        <v>288</v>
      </c>
      <c r="N1459" t="str">
        <f>IFERROR(VLOOKUP(E1459,Sales_Reps!$A$2:$E$31,3,FALSE),"")</f>
        <v>West</v>
      </c>
      <c r="O1459" t="str">
        <f>IFERROR(VLOOKUP(C1459,Customers!$A$2:$F$301,5,FALSE),"")</f>
        <v>SMB</v>
      </c>
      <c r="P1459">
        <f>IFERROR(VLOOKUP(C1459,Customers!$A$2:$F$301,3,FALSE),"")</f>
        <v>54</v>
      </c>
      <c r="Q1459" s="41">
        <f t="shared" si="31"/>
        <v>0.22162162162162163</v>
      </c>
      <c r="R1459" t="str">
        <f>IFERROR(VLOOKUP(C1459,Customers!$A$2:$F$301,1,FALSE),"")</f>
        <v>CUST-0179</v>
      </c>
      <c r="S1459" s="27" t="b">
        <f>IFERROR(VLOOKUP(D1459,Products!$A$2:$F$61,6,FALSE),"")</f>
        <v>1</v>
      </c>
      <c r="BL1459">
        <v>0</v>
      </c>
      <c r="BO1459">
        <v>0</v>
      </c>
      <c r="BP1459">
        <v>0</v>
      </c>
    </row>
    <row r="1460" spans="1:68" x14ac:dyDescent="0.35">
      <c r="A1460" s="26" t="str">
        <f>Orders!A1460</f>
        <v>ORD-01459</v>
      </c>
      <c r="B1460" s="33">
        <f>Orders!B1460</f>
        <v>45456</v>
      </c>
      <c r="C1460" t="str">
        <f>Orders!C1460</f>
        <v>CUST-0089</v>
      </c>
      <c r="D1460" t="str">
        <f>Orders!D1460</f>
        <v>PROD-055</v>
      </c>
      <c r="E1460" t="str">
        <f>Orders!E1460</f>
        <v>R007</v>
      </c>
      <c r="F1460">
        <f>Orders!F1460</f>
        <v>7</v>
      </c>
      <c r="G1460" s="35">
        <f>Orders!G1460</f>
        <v>2860</v>
      </c>
      <c r="H1460" s="37">
        <f>Orders!H1460</f>
        <v>14</v>
      </c>
      <c r="I1460" s="39">
        <f>Orders!I1460</f>
        <v>17217.2</v>
      </c>
      <c r="J1460" t="str">
        <f>Orders!J1460</f>
        <v>Completed</v>
      </c>
      <c r="K1460" t="str">
        <f>Orders!K1460</f>
        <v>Mumbai</v>
      </c>
      <c r="L1460" t="str">
        <f>IFERROR(VLOOKUP(D1460,Products!$A$2:$F$61,3,FALSE),"")</f>
        <v>Sports</v>
      </c>
      <c r="M1460">
        <f>IFERROR(VLOOKUP(D1460,Products!$A$2:$F$61,4,FALSE),"")</f>
        <v>2028</v>
      </c>
      <c r="N1460" t="str">
        <f>IFERROR(VLOOKUP(E1460,Sales_Reps!$A$2:$E$31,3,FALSE),"")</f>
        <v>North</v>
      </c>
      <c r="O1460" t="str">
        <f>IFERROR(VLOOKUP(C1460,Customers!$A$2:$F$301,5,FALSE),"")</f>
        <v>SMB</v>
      </c>
      <c r="P1460">
        <f>IFERROR(VLOOKUP(C1460,Customers!$A$2:$F$301,3,FALSE),"")</f>
        <v>43</v>
      </c>
      <c r="Q1460" s="41">
        <f t="shared" si="31"/>
        <v>0.29090909090909089</v>
      </c>
      <c r="R1460" t="str">
        <f>IFERROR(VLOOKUP(C1460,Customers!$A$2:$F$301,1,FALSE),"")</f>
        <v>CUST-0089</v>
      </c>
      <c r="S1460" s="27" t="b">
        <f>IFERROR(VLOOKUP(D1460,Products!$A$2:$F$61,6,FALSE),"")</f>
        <v>1</v>
      </c>
      <c r="BL1460">
        <v>0</v>
      </c>
      <c r="BO1460">
        <v>0</v>
      </c>
      <c r="BP1460">
        <v>0</v>
      </c>
    </row>
    <row r="1461" spans="1:68" x14ac:dyDescent="0.35">
      <c r="A1461" s="26" t="str">
        <f>Orders!A1461</f>
        <v>ORD-01460</v>
      </c>
      <c r="B1461" s="33">
        <f>Orders!B1461</f>
        <v>45490</v>
      </c>
      <c r="C1461" t="str">
        <f>Orders!C1461</f>
        <v>CUST-0090</v>
      </c>
      <c r="D1461" t="str">
        <f>Orders!D1461</f>
        <v>PROD-029</v>
      </c>
      <c r="E1461" t="str">
        <f>Orders!E1461</f>
        <v>R026</v>
      </c>
      <c r="F1461">
        <f>Orders!F1461</f>
        <v>1</v>
      </c>
      <c r="G1461" s="35">
        <f>Orders!G1461</f>
        <v>2210</v>
      </c>
      <c r="H1461" s="37">
        <f>Orders!H1461</f>
        <v>1.7</v>
      </c>
      <c r="I1461" s="39">
        <f>Orders!I1461</f>
        <v>2172.4299999999998</v>
      </c>
      <c r="J1461" t="str">
        <f>Orders!J1461</f>
        <v>Completed</v>
      </c>
      <c r="K1461" t="str">
        <f>Orders!K1461</f>
        <v>Bengaluru</v>
      </c>
      <c r="L1461" t="str">
        <f>IFERROR(VLOOKUP(D1461,Products!$A$2:$F$61,3,FALSE),"")</f>
        <v>Grocery</v>
      </c>
      <c r="M1461">
        <f>IFERROR(VLOOKUP(D1461,Products!$A$2:$F$61,4,FALSE),"")</f>
        <v>1010</v>
      </c>
      <c r="N1461" t="str">
        <f>IFERROR(VLOOKUP(E1461,Sales_Reps!$A$2:$E$31,3,FALSE),"")</f>
        <v>West</v>
      </c>
      <c r="O1461" t="str">
        <f>IFERROR(VLOOKUP(C1461,Customers!$A$2:$F$301,5,FALSE),"")</f>
        <v>Corporate</v>
      </c>
      <c r="P1461">
        <f>IFERROR(VLOOKUP(C1461,Customers!$A$2:$F$301,3,FALSE),"")</f>
        <v>26</v>
      </c>
      <c r="Q1461" s="41">
        <f t="shared" si="31"/>
        <v>0.54298642533936647</v>
      </c>
      <c r="R1461" t="str">
        <f>IFERROR(VLOOKUP(C1461,Customers!$A$2:$F$301,1,FALSE),"")</f>
        <v>CUST-0090</v>
      </c>
      <c r="S1461" s="27" t="b">
        <f>IFERROR(VLOOKUP(D1461,Products!$A$2:$F$61,6,FALSE),"")</f>
        <v>1</v>
      </c>
      <c r="BL1461">
        <v>0</v>
      </c>
      <c r="BO1461">
        <v>0</v>
      </c>
      <c r="BP1461">
        <v>0</v>
      </c>
    </row>
    <row r="1462" spans="1:68" x14ac:dyDescent="0.35">
      <c r="A1462" s="26" t="str">
        <f>Orders!A1462</f>
        <v>ORD-01461</v>
      </c>
      <c r="B1462" s="33">
        <f>Orders!B1462</f>
        <v>45584</v>
      </c>
      <c r="C1462" t="str">
        <f>Orders!C1462</f>
        <v>CUST-0135</v>
      </c>
      <c r="D1462" t="str">
        <f>Orders!D1462</f>
        <v>PROD-030</v>
      </c>
      <c r="E1462" t="str">
        <f>Orders!E1462</f>
        <v>R025</v>
      </c>
      <c r="F1462">
        <f>Orders!F1462</f>
        <v>3</v>
      </c>
      <c r="G1462" s="35">
        <f>Orders!G1462</f>
        <v>970</v>
      </c>
      <c r="H1462" s="37">
        <f>Orders!H1462</f>
        <v>20.3</v>
      </c>
      <c r="I1462" s="39">
        <f>Orders!I1462</f>
        <v>2319.27</v>
      </c>
      <c r="J1462" t="str">
        <f>Orders!J1462</f>
        <v>Pending</v>
      </c>
      <c r="K1462" t="str">
        <f>Orders!K1462</f>
        <v>Pune</v>
      </c>
      <c r="L1462" t="str">
        <f>IFERROR(VLOOKUP(D1462,Products!$A$2:$F$61,3,FALSE),"")</f>
        <v>Grocery</v>
      </c>
      <c r="M1462">
        <f>IFERROR(VLOOKUP(D1462,Products!$A$2:$F$61,4,FALSE),"")</f>
        <v>434</v>
      </c>
      <c r="N1462" t="str">
        <f>IFERROR(VLOOKUP(E1462,Sales_Reps!$A$2:$E$31,3,FALSE),"")</f>
        <v>West</v>
      </c>
      <c r="O1462" t="str">
        <f>IFERROR(VLOOKUP(C1462,Customers!$A$2:$F$301,5,FALSE),"")</f>
        <v>SMB</v>
      </c>
      <c r="P1462">
        <f>IFERROR(VLOOKUP(C1462,Customers!$A$2:$F$301,3,FALSE),"")</f>
        <v>24</v>
      </c>
      <c r="Q1462" s="41">
        <f t="shared" si="31"/>
        <v>0.5525773195876289</v>
      </c>
      <c r="R1462" t="str">
        <f>IFERROR(VLOOKUP(C1462,Customers!$A$2:$F$301,1,FALSE),"")</f>
        <v>CUST-0135</v>
      </c>
      <c r="S1462" s="27" t="b">
        <f>IFERROR(VLOOKUP(D1462,Products!$A$2:$F$61,6,FALSE),"")</f>
        <v>1</v>
      </c>
      <c r="BL1462">
        <v>0</v>
      </c>
      <c r="BO1462">
        <v>0</v>
      </c>
      <c r="BP1462">
        <v>0</v>
      </c>
    </row>
    <row r="1463" spans="1:68" x14ac:dyDescent="0.35">
      <c r="A1463" s="26" t="str">
        <f>Orders!A1463</f>
        <v>ORD-01462</v>
      </c>
      <c r="B1463" s="33">
        <f>Orders!B1463</f>
        <v>45476</v>
      </c>
      <c r="C1463" t="str">
        <f>Orders!C1463</f>
        <v>CUST-0252</v>
      </c>
      <c r="D1463" t="str">
        <f>Orders!D1463</f>
        <v>PROD-018</v>
      </c>
      <c r="E1463" t="str">
        <f>Orders!E1463</f>
        <v>R021</v>
      </c>
      <c r="F1463">
        <f>Orders!F1463</f>
        <v>5</v>
      </c>
      <c r="G1463" s="35">
        <f>Orders!G1463</f>
        <v>3560</v>
      </c>
      <c r="H1463" s="37">
        <f>Orders!H1463</f>
        <v>17.100000000000001</v>
      </c>
      <c r="I1463" s="39">
        <f>Orders!I1463</f>
        <v>14756.2</v>
      </c>
      <c r="J1463" t="str">
        <f>Orders!J1463</f>
        <v>Completed</v>
      </c>
      <c r="K1463" t="str">
        <f>Orders!K1463</f>
        <v>Bengaluru</v>
      </c>
      <c r="L1463" t="str">
        <f>IFERROR(VLOOKUP(D1463,Products!$A$2:$F$61,3,FALSE),"")</f>
        <v>Apparel</v>
      </c>
      <c r="M1463">
        <f>IFERROR(VLOOKUP(D1463,Products!$A$2:$F$61,4,FALSE),"")</f>
        <v>2629</v>
      </c>
      <c r="N1463" t="str">
        <f>IFERROR(VLOOKUP(E1463,Sales_Reps!$A$2:$E$31,3,FALSE),"")</f>
        <v>East</v>
      </c>
      <c r="O1463" t="str">
        <f>IFERROR(VLOOKUP(C1463,Customers!$A$2:$F$301,5,FALSE),"")</f>
        <v>Retail</v>
      </c>
      <c r="P1463">
        <f>IFERROR(VLOOKUP(C1463,Customers!$A$2:$F$301,3,FALSE),"")</f>
        <v>27</v>
      </c>
      <c r="Q1463" s="41">
        <f t="shared" si="31"/>
        <v>0.26151685393258428</v>
      </c>
      <c r="R1463" t="str">
        <f>IFERROR(VLOOKUP(C1463,Customers!$A$2:$F$301,1,FALSE),"")</f>
        <v>CUST-0252</v>
      </c>
      <c r="S1463" s="27" t="b">
        <f>IFERROR(VLOOKUP(D1463,Products!$A$2:$F$61,6,FALSE),"")</f>
        <v>1</v>
      </c>
      <c r="BL1463">
        <v>0</v>
      </c>
      <c r="BO1463">
        <v>0</v>
      </c>
      <c r="BP1463">
        <v>0</v>
      </c>
    </row>
    <row r="1464" spans="1:68" x14ac:dyDescent="0.35">
      <c r="A1464" s="26" t="str">
        <f>Orders!A1464</f>
        <v>ORD-01463</v>
      </c>
      <c r="B1464" s="33">
        <f>Orders!B1464</f>
        <v>45387</v>
      </c>
      <c r="C1464" t="str">
        <f>Orders!C1464</f>
        <v>CUST-0086</v>
      </c>
      <c r="D1464" t="str">
        <f>Orders!D1464</f>
        <v>PROD-040</v>
      </c>
      <c r="E1464" t="str">
        <f>Orders!E1464</f>
        <v>R023</v>
      </c>
      <c r="F1464">
        <f>Orders!F1464</f>
        <v>10</v>
      </c>
      <c r="G1464" s="35">
        <f>Orders!G1464</f>
        <v>1080</v>
      </c>
      <c r="H1464" s="37">
        <f>Orders!H1464</f>
        <v>12.8</v>
      </c>
      <c r="I1464" s="39">
        <f>Orders!I1464</f>
        <v>9417.6</v>
      </c>
      <c r="J1464" t="str">
        <f>Orders!J1464</f>
        <v>Completed</v>
      </c>
      <c r="K1464" t="str">
        <f>Orders!K1464</f>
        <v>Hyderabad</v>
      </c>
      <c r="L1464" t="str">
        <f>IFERROR(VLOOKUP(D1464,Products!$A$2:$F$61,3,FALSE),"")</f>
        <v>Home</v>
      </c>
      <c r="M1464">
        <f>IFERROR(VLOOKUP(D1464,Products!$A$2:$F$61,4,FALSE),"")</f>
        <v>519</v>
      </c>
      <c r="N1464" t="str">
        <f>IFERROR(VLOOKUP(E1464,Sales_Reps!$A$2:$E$31,3,FALSE),"")</f>
        <v>East</v>
      </c>
      <c r="O1464" t="str">
        <f>IFERROR(VLOOKUP(C1464,Customers!$A$2:$F$301,5,FALSE),"")</f>
        <v>Corporate</v>
      </c>
      <c r="P1464">
        <f>IFERROR(VLOOKUP(C1464,Customers!$A$2:$F$301,3,FALSE),"")</f>
        <v>56</v>
      </c>
      <c r="Q1464" s="41">
        <f t="shared" si="31"/>
        <v>0.51944444444444449</v>
      </c>
      <c r="R1464" t="str">
        <f>IFERROR(VLOOKUP(C1464,Customers!$A$2:$F$301,1,FALSE),"")</f>
        <v>CUST-0086</v>
      </c>
      <c r="S1464" s="27" t="b">
        <f>IFERROR(VLOOKUP(D1464,Products!$A$2:$F$61,6,FALSE),"")</f>
        <v>1</v>
      </c>
      <c r="BL1464">
        <v>0</v>
      </c>
      <c r="BO1464">
        <v>0</v>
      </c>
      <c r="BP1464">
        <v>0</v>
      </c>
    </row>
    <row r="1465" spans="1:68" x14ac:dyDescent="0.35">
      <c r="A1465" s="26" t="str">
        <f>Orders!A1465</f>
        <v>ORD-01464</v>
      </c>
      <c r="B1465" s="33">
        <f>Orders!B1465</f>
        <v>45324</v>
      </c>
      <c r="C1465" t="str">
        <f>Orders!C1465</f>
        <v>CUST-0264</v>
      </c>
      <c r="D1465" t="str">
        <f>Orders!D1465</f>
        <v>PROD-009</v>
      </c>
      <c r="E1465" t="str">
        <f>Orders!E1465</f>
        <v>R011</v>
      </c>
      <c r="F1465">
        <f>Orders!F1465</f>
        <v>3</v>
      </c>
      <c r="G1465" s="35">
        <f>Orders!G1465</f>
        <v>1220</v>
      </c>
      <c r="H1465" s="37">
        <f>Orders!H1465</f>
        <v>1.9</v>
      </c>
      <c r="I1465" s="39">
        <f>Orders!I1465</f>
        <v>3590.46</v>
      </c>
      <c r="J1465" t="str">
        <f>Orders!J1465</f>
        <v>Completed</v>
      </c>
      <c r="K1465" t="str">
        <f>Orders!K1465</f>
        <v>Pune</v>
      </c>
      <c r="L1465" t="str">
        <f>IFERROR(VLOOKUP(D1465,Products!$A$2:$F$61,3,FALSE),"")</f>
        <v>Electronics</v>
      </c>
      <c r="M1465">
        <f>IFERROR(VLOOKUP(D1465,Products!$A$2:$F$61,4,FALSE),"")</f>
        <v>517</v>
      </c>
      <c r="N1465" t="str">
        <f>IFERROR(VLOOKUP(E1465,Sales_Reps!$A$2:$E$31,3,FALSE),"")</f>
        <v>South</v>
      </c>
      <c r="O1465" t="str">
        <f>IFERROR(VLOOKUP(C1465,Customers!$A$2:$F$301,5,FALSE),"")</f>
        <v>Retail</v>
      </c>
      <c r="P1465">
        <f>IFERROR(VLOOKUP(C1465,Customers!$A$2:$F$301,3,FALSE),"")</f>
        <v>59</v>
      </c>
      <c r="Q1465" s="41">
        <f t="shared" si="31"/>
        <v>0.57622950819672136</v>
      </c>
      <c r="R1465" t="str">
        <f>IFERROR(VLOOKUP(C1465,Customers!$A$2:$F$301,1,FALSE),"")</f>
        <v>CUST-0264</v>
      </c>
      <c r="S1465" s="27" t="b">
        <f>IFERROR(VLOOKUP(D1465,Products!$A$2:$F$61,6,FALSE),"")</f>
        <v>1</v>
      </c>
      <c r="BL1465">
        <v>0</v>
      </c>
      <c r="BO1465">
        <v>0</v>
      </c>
      <c r="BP1465">
        <v>0</v>
      </c>
    </row>
    <row r="1466" spans="1:68" x14ac:dyDescent="0.35">
      <c r="A1466" s="26" t="str">
        <f>Orders!A1466</f>
        <v>ORD-01465</v>
      </c>
      <c r="B1466" s="33">
        <f>Orders!B1466</f>
        <v>45479</v>
      </c>
      <c r="C1466" t="str">
        <f>Orders!C1466</f>
        <v>CUST-9851</v>
      </c>
      <c r="D1466" t="str">
        <f>Orders!D1466</f>
        <v>PROD-031</v>
      </c>
      <c r="E1466" t="str">
        <f>Orders!E1466</f>
        <v>R009</v>
      </c>
      <c r="F1466">
        <f>Orders!F1466</f>
        <v>1</v>
      </c>
      <c r="G1466" s="35">
        <f>Orders!G1466</f>
        <v>3730</v>
      </c>
      <c r="H1466" s="37">
        <f>Orders!H1466</f>
        <v>14.7</v>
      </c>
      <c r="I1466" s="39">
        <f>Orders!I1466</f>
        <v>3181.69</v>
      </c>
      <c r="J1466" t="str">
        <f>Orders!J1466</f>
        <v>Pending</v>
      </c>
      <c r="K1466" t="str">
        <f>Orders!K1466</f>
        <v>Pune</v>
      </c>
      <c r="L1466" t="str">
        <f>IFERROR(VLOOKUP(D1466,Products!$A$2:$F$61,3,FALSE),"")</f>
        <v>Home</v>
      </c>
      <c r="M1466">
        <f>IFERROR(VLOOKUP(D1466,Products!$A$2:$F$61,4,FALSE),"")</f>
        <v>2135</v>
      </c>
      <c r="N1466" t="str">
        <f>IFERROR(VLOOKUP(E1466,Sales_Reps!$A$2:$E$31,3,FALSE),"")</f>
        <v>South</v>
      </c>
      <c r="O1466" t="str">
        <f>IFERROR(VLOOKUP(C1466,Customers!$A$2:$F$301,5,FALSE),"")</f>
        <v/>
      </c>
      <c r="P1466" t="str">
        <f>IFERROR(VLOOKUP(C1466,Customers!$A$2:$F$301,3,FALSE),"")</f>
        <v/>
      </c>
      <c r="Q1466" s="41">
        <f t="shared" si="31"/>
        <v>0.42761394101876676</v>
      </c>
      <c r="R1466" t="str">
        <f>IFERROR(VLOOKUP(C1466,Customers!$A$2:$F$301,1,FALSE),"")</f>
        <v/>
      </c>
      <c r="S1466" s="27" t="b">
        <f>IFERROR(VLOOKUP(D1466,Products!$A$2:$F$61,6,FALSE),"")</f>
        <v>1</v>
      </c>
      <c r="BL1466">
        <v>0</v>
      </c>
      <c r="BO1466">
        <v>1</v>
      </c>
      <c r="BP1466">
        <v>0</v>
      </c>
    </row>
    <row r="1467" spans="1:68" x14ac:dyDescent="0.35">
      <c r="A1467" s="26" t="str">
        <f>Orders!A1467</f>
        <v>ORD-01466</v>
      </c>
      <c r="B1467" s="33">
        <f>Orders!B1467</f>
        <v>45628</v>
      </c>
      <c r="C1467" t="str">
        <f>Orders!C1467</f>
        <v>CUST-0143</v>
      </c>
      <c r="D1467" t="str">
        <f>Orders!D1467</f>
        <v>PROD-007</v>
      </c>
      <c r="E1467" t="str">
        <f>Orders!E1467</f>
        <v>R001</v>
      </c>
      <c r="F1467">
        <f>Orders!F1467</f>
        <v>3</v>
      </c>
      <c r="G1467" s="35">
        <f>Orders!G1467</f>
        <v>1430</v>
      </c>
      <c r="H1467" s="37">
        <f>Orders!H1467</f>
        <v>13.2</v>
      </c>
      <c r="I1467" s="39">
        <f>Orders!I1467</f>
        <v>3723.72</v>
      </c>
      <c r="J1467" t="str">
        <f>Orders!J1467</f>
        <v>Completed</v>
      </c>
      <c r="K1467" t="str">
        <f>Orders!K1467</f>
        <v>Chennai</v>
      </c>
      <c r="L1467" t="str">
        <f>IFERROR(VLOOKUP(D1467,Products!$A$2:$F$61,3,FALSE),"")</f>
        <v>Electronics</v>
      </c>
      <c r="M1467">
        <f>IFERROR(VLOOKUP(D1467,Products!$A$2:$F$61,4,FALSE),"")</f>
        <v>861</v>
      </c>
      <c r="N1467" t="str">
        <f>IFERROR(VLOOKUP(E1467,Sales_Reps!$A$2:$E$31,3,FALSE),"")</f>
        <v>North</v>
      </c>
      <c r="O1467" t="str">
        <f>IFERROR(VLOOKUP(C1467,Customers!$A$2:$F$301,5,FALSE),"")</f>
        <v>SMB</v>
      </c>
      <c r="P1467">
        <f>IFERROR(VLOOKUP(C1467,Customers!$A$2:$F$301,3,FALSE),"")</f>
        <v>52</v>
      </c>
      <c r="Q1467" s="41">
        <f t="shared" si="31"/>
        <v>0.39790209790209791</v>
      </c>
      <c r="R1467" t="str">
        <f>IFERROR(VLOOKUP(C1467,Customers!$A$2:$F$301,1,FALSE),"")</f>
        <v>CUST-0143</v>
      </c>
      <c r="S1467" s="27" t="b">
        <f>IFERROR(VLOOKUP(D1467,Products!$A$2:$F$61,6,FALSE),"")</f>
        <v>1</v>
      </c>
      <c r="BL1467">
        <v>0</v>
      </c>
      <c r="BO1467">
        <v>0</v>
      </c>
      <c r="BP1467">
        <v>0</v>
      </c>
    </row>
    <row r="1468" spans="1:68" x14ac:dyDescent="0.35">
      <c r="A1468" s="26" t="str">
        <f>Orders!A1468</f>
        <v>ORD-01467</v>
      </c>
      <c r="B1468" s="33">
        <f>Orders!B1468</f>
        <v>45413</v>
      </c>
      <c r="C1468" t="str">
        <f>Orders!C1468</f>
        <v>CUST-0086</v>
      </c>
      <c r="D1468" t="str">
        <f>Orders!D1468</f>
        <v>PROD-050</v>
      </c>
      <c r="E1468" t="str">
        <f>Orders!E1468</f>
        <v>R018</v>
      </c>
      <c r="F1468">
        <f>Orders!F1468</f>
        <v>2</v>
      </c>
      <c r="G1468" s="35">
        <f>Orders!G1468</f>
        <v>6080</v>
      </c>
      <c r="H1468" s="37">
        <f>Orders!H1468</f>
        <v>21.8</v>
      </c>
      <c r="I1468" s="39">
        <f>Orders!I1468</f>
        <v>9509.1200000000008</v>
      </c>
      <c r="J1468" t="str">
        <f>Orders!J1468</f>
        <v>Cancelled</v>
      </c>
      <c r="K1468" t="str">
        <f>Orders!K1468</f>
        <v>Hyderabad</v>
      </c>
      <c r="L1468" t="str">
        <f>IFERROR(VLOOKUP(D1468,Products!$A$2:$F$61,3,FALSE),"")</f>
        <v>Beauty</v>
      </c>
      <c r="M1468">
        <f>IFERROR(VLOOKUP(D1468,Products!$A$2:$F$61,4,FALSE),"")</f>
        <v>2617</v>
      </c>
      <c r="N1468" t="str">
        <f>IFERROR(VLOOKUP(E1468,Sales_Reps!$A$2:$E$31,3,FALSE),"")</f>
        <v>East</v>
      </c>
      <c r="O1468" t="str">
        <f>IFERROR(VLOOKUP(C1468,Customers!$A$2:$F$301,5,FALSE),"")</f>
        <v>Corporate</v>
      </c>
      <c r="P1468">
        <f>IFERROR(VLOOKUP(C1468,Customers!$A$2:$F$301,3,FALSE),"")</f>
        <v>56</v>
      </c>
      <c r="Q1468" s="41">
        <f t="shared" si="31"/>
        <v>0.56957236842105263</v>
      </c>
      <c r="R1468" t="str">
        <f>IFERROR(VLOOKUP(C1468,Customers!$A$2:$F$301,1,FALSE),"")</f>
        <v>CUST-0086</v>
      </c>
      <c r="S1468" s="27" t="b">
        <f>IFERROR(VLOOKUP(D1468,Products!$A$2:$F$61,6,FALSE),"")</f>
        <v>1</v>
      </c>
      <c r="BL1468">
        <v>0</v>
      </c>
      <c r="BO1468">
        <v>0</v>
      </c>
      <c r="BP1468">
        <v>0</v>
      </c>
    </row>
    <row r="1469" spans="1:68" x14ac:dyDescent="0.35">
      <c r="A1469" s="26" t="str">
        <f>Orders!A1469</f>
        <v>ORD-01468</v>
      </c>
      <c r="B1469" s="33">
        <f>Orders!B1469</f>
        <v>45343</v>
      </c>
      <c r="C1469" t="str">
        <f>Orders!C1469</f>
        <v>CUST-0196</v>
      </c>
      <c r="D1469" t="str">
        <f>Orders!D1469</f>
        <v>PROD-048</v>
      </c>
      <c r="E1469" t="str">
        <f>Orders!E1469</f>
        <v>R015</v>
      </c>
      <c r="F1469">
        <f>Orders!F1469</f>
        <v>9</v>
      </c>
      <c r="G1469" s="35">
        <f>Orders!G1469</f>
        <v>5100</v>
      </c>
      <c r="H1469" s="37">
        <f>Orders!H1469</f>
        <v>29.3</v>
      </c>
      <c r="I1469" s="39">
        <f>Orders!I1469</f>
        <v>32451.3</v>
      </c>
      <c r="J1469" t="str">
        <f>Orders!J1469</f>
        <v>Completed</v>
      </c>
      <c r="K1469" t="str">
        <f>Orders!K1469</f>
        <v>Chennai</v>
      </c>
      <c r="L1469" t="str">
        <f>IFERROR(VLOOKUP(D1469,Products!$A$2:$F$61,3,FALSE),"")</f>
        <v>Beauty</v>
      </c>
      <c r="M1469">
        <f>IFERROR(VLOOKUP(D1469,Products!$A$2:$F$61,4,FALSE),"")</f>
        <v>2237</v>
      </c>
      <c r="N1469" t="str">
        <f>IFERROR(VLOOKUP(E1469,Sales_Reps!$A$2:$E$31,3,FALSE),"")</f>
        <v>South</v>
      </c>
      <c r="O1469" t="str">
        <f>IFERROR(VLOOKUP(C1469,Customers!$A$2:$F$301,5,FALSE),"")</f>
        <v>Retail</v>
      </c>
      <c r="P1469">
        <f>IFERROR(VLOOKUP(C1469,Customers!$A$2:$F$301,3,FALSE),"")</f>
        <v>26</v>
      </c>
      <c r="Q1469" s="41">
        <f t="shared" si="31"/>
        <v>0.56137254901960787</v>
      </c>
      <c r="R1469" t="str">
        <f>IFERROR(VLOOKUP(C1469,Customers!$A$2:$F$301,1,FALSE),"")</f>
        <v>CUST-0196</v>
      </c>
      <c r="S1469" s="27" t="b">
        <f>IFERROR(VLOOKUP(D1469,Products!$A$2:$F$61,6,FALSE),"")</f>
        <v>1</v>
      </c>
      <c r="BL1469">
        <v>0</v>
      </c>
      <c r="BO1469">
        <v>0</v>
      </c>
      <c r="BP1469">
        <v>0</v>
      </c>
    </row>
    <row r="1470" spans="1:68" x14ac:dyDescent="0.35">
      <c r="A1470" s="26" t="str">
        <f>Orders!A1470</f>
        <v>ORD-01469</v>
      </c>
      <c r="B1470" s="33">
        <f>Orders!B1470</f>
        <v>45424</v>
      </c>
      <c r="C1470" t="str">
        <f>Orders!C1470</f>
        <v>CUST-0089</v>
      </c>
      <c r="D1470" t="str">
        <f>Orders!D1470</f>
        <v>PROD-011</v>
      </c>
      <c r="E1470" t="str">
        <f>Orders!E1470</f>
        <v>R014</v>
      </c>
      <c r="F1470">
        <f>Orders!F1470</f>
        <v>5</v>
      </c>
      <c r="G1470" s="35">
        <f>Orders!G1470</f>
        <v>3450</v>
      </c>
      <c r="H1470" s="37">
        <f>Orders!H1470</f>
        <v>5.3</v>
      </c>
      <c r="I1470" s="39">
        <f>Orders!I1470</f>
        <v>16335.75</v>
      </c>
      <c r="J1470" t="str">
        <f>Orders!J1470</f>
        <v>Completed</v>
      </c>
      <c r="K1470" t="str">
        <f>Orders!K1470</f>
        <v>Mumbai</v>
      </c>
      <c r="L1470" t="str">
        <f>IFERROR(VLOOKUP(D1470,Products!$A$2:$F$61,3,FALSE),"")</f>
        <v>Apparel</v>
      </c>
      <c r="M1470">
        <f>IFERROR(VLOOKUP(D1470,Products!$A$2:$F$61,4,FALSE),"")</f>
        <v>1748</v>
      </c>
      <c r="N1470" t="str">
        <f>IFERROR(VLOOKUP(E1470,Sales_Reps!$A$2:$E$31,3,FALSE),"")</f>
        <v>South</v>
      </c>
      <c r="O1470" t="str">
        <f>IFERROR(VLOOKUP(C1470,Customers!$A$2:$F$301,5,FALSE),"")</f>
        <v>SMB</v>
      </c>
      <c r="P1470">
        <f>IFERROR(VLOOKUP(C1470,Customers!$A$2:$F$301,3,FALSE),"")</f>
        <v>43</v>
      </c>
      <c r="Q1470" s="41">
        <f t="shared" si="31"/>
        <v>0.49333333333333335</v>
      </c>
      <c r="R1470" t="str">
        <f>IFERROR(VLOOKUP(C1470,Customers!$A$2:$F$301,1,FALSE),"")</f>
        <v>CUST-0089</v>
      </c>
      <c r="S1470" s="27" t="b">
        <f>IFERROR(VLOOKUP(D1470,Products!$A$2:$F$61,6,FALSE),"")</f>
        <v>1</v>
      </c>
      <c r="BL1470">
        <v>0</v>
      </c>
      <c r="BO1470">
        <v>0</v>
      </c>
      <c r="BP1470">
        <v>0</v>
      </c>
    </row>
    <row r="1471" spans="1:68" x14ac:dyDescent="0.35">
      <c r="A1471" s="26" t="str">
        <f>Orders!A1471</f>
        <v>ORD-01470</v>
      </c>
      <c r="B1471" s="33">
        <f>Orders!B1471</f>
        <v>45632</v>
      </c>
      <c r="C1471" t="str">
        <f>Orders!C1471</f>
        <v>CUST-0149</v>
      </c>
      <c r="D1471" t="str">
        <f>Orders!D1471</f>
        <v>PROD-003</v>
      </c>
      <c r="E1471" t="str">
        <f>Orders!E1471</f>
        <v>R002</v>
      </c>
      <c r="F1471">
        <f>Orders!F1471</f>
        <v>6</v>
      </c>
      <c r="G1471" s="35">
        <f>Orders!G1471</f>
        <v>3570</v>
      </c>
      <c r="H1471" s="37">
        <f>Orders!H1471</f>
        <v>17.3</v>
      </c>
      <c r="I1471" s="39">
        <f>Orders!I1471</f>
        <v>17714.34</v>
      </c>
      <c r="J1471" t="str">
        <f>Orders!J1471</f>
        <v>Completed</v>
      </c>
      <c r="K1471" t="str">
        <f>Orders!K1471</f>
        <v>Hyderabad</v>
      </c>
      <c r="L1471" t="str">
        <f>IFERROR(VLOOKUP(D1471,Products!$A$2:$F$61,3,FALSE),"")</f>
        <v>Electronics</v>
      </c>
      <c r="M1471">
        <f>IFERROR(VLOOKUP(D1471,Products!$A$2:$F$61,4,FALSE),"")</f>
        <v>1665</v>
      </c>
      <c r="N1471" t="str">
        <f>IFERROR(VLOOKUP(E1471,Sales_Reps!$A$2:$E$31,3,FALSE),"")</f>
        <v>North</v>
      </c>
      <c r="O1471" t="str">
        <f>IFERROR(VLOOKUP(C1471,Customers!$A$2:$F$301,5,FALSE),"")</f>
        <v>Retail</v>
      </c>
      <c r="P1471">
        <f>IFERROR(VLOOKUP(C1471,Customers!$A$2:$F$301,3,FALSE),"")</f>
        <v>44</v>
      </c>
      <c r="Q1471" s="41">
        <f t="shared" si="31"/>
        <v>0.53361344537815125</v>
      </c>
      <c r="R1471" t="str">
        <f>IFERROR(VLOOKUP(C1471,Customers!$A$2:$F$301,1,FALSE),"")</f>
        <v>CUST-0149</v>
      </c>
      <c r="S1471" s="27" t="b">
        <f>IFERROR(VLOOKUP(D1471,Products!$A$2:$F$61,6,FALSE),"")</f>
        <v>1</v>
      </c>
      <c r="BL1471">
        <v>0</v>
      </c>
      <c r="BO1471">
        <v>0</v>
      </c>
      <c r="BP1471">
        <v>0</v>
      </c>
    </row>
    <row r="1472" spans="1:68" x14ac:dyDescent="0.35">
      <c r="A1472" s="26" t="str">
        <f>Orders!A1472</f>
        <v>ORD-01471</v>
      </c>
      <c r="B1472" s="33">
        <f>Orders!B1472</f>
        <v>45444</v>
      </c>
      <c r="C1472" t="str">
        <f>Orders!C1472</f>
        <v>CUST-0161</v>
      </c>
      <c r="D1472" t="str">
        <f>Orders!D1472</f>
        <v>PROD-031</v>
      </c>
      <c r="E1472" t="str">
        <f>Orders!E1472</f>
        <v>R018</v>
      </c>
      <c r="F1472">
        <f>Orders!F1472</f>
        <v>6</v>
      </c>
      <c r="G1472" s="35">
        <f>Orders!G1472</f>
        <v>3730</v>
      </c>
      <c r="H1472" s="37">
        <f>Orders!H1472</f>
        <v>1</v>
      </c>
      <c r="I1472" s="39">
        <f>Orders!I1472</f>
        <v>22156.2</v>
      </c>
      <c r="J1472" t="str">
        <f>Orders!J1472</f>
        <v>Completed</v>
      </c>
      <c r="K1472" t="str">
        <f>Orders!K1472</f>
        <v>Chennai</v>
      </c>
      <c r="L1472" t="str">
        <f>IFERROR(VLOOKUP(D1472,Products!$A$2:$F$61,3,FALSE),"")</f>
        <v>Home</v>
      </c>
      <c r="M1472">
        <f>IFERROR(VLOOKUP(D1472,Products!$A$2:$F$61,4,FALSE),"")</f>
        <v>2135</v>
      </c>
      <c r="N1472" t="str">
        <f>IFERROR(VLOOKUP(E1472,Sales_Reps!$A$2:$E$31,3,FALSE),"")</f>
        <v>East</v>
      </c>
      <c r="O1472" t="str">
        <f>IFERROR(VLOOKUP(C1472,Customers!$A$2:$F$301,5,FALSE),"")</f>
        <v>Retail</v>
      </c>
      <c r="P1472">
        <f>IFERROR(VLOOKUP(C1472,Customers!$A$2:$F$301,3,FALSE),"")</f>
        <v>38</v>
      </c>
      <c r="Q1472" s="41">
        <f t="shared" si="31"/>
        <v>0.42761394101876676</v>
      </c>
      <c r="R1472" t="str">
        <f>IFERROR(VLOOKUP(C1472,Customers!$A$2:$F$301,1,FALSE),"")</f>
        <v>CUST-0161</v>
      </c>
      <c r="S1472" s="27" t="b">
        <f>IFERROR(VLOOKUP(D1472,Products!$A$2:$F$61,6,FALSE),"")</f>
        <v>1</v>
      </c>
      <c r="BL1472">
        <v>0</v>
      </c>
      <c r="BO1472">
        <v>0</v>
      </c>
      <c r="BP1472">
        <v>0</v>
      </c>
    </row>
    <row r="1473" spans="1:68" x14ac:dyDescent="0.35">
      <c r="A1473" s="26" t="str">
        <f>Orders!A1473</f>
        <v>ORD-01472</v>
      </c>
      <c r="B1473" s="33">
        <f>Orders!B1473</f>
        <v>45545</v>
      </c>
      <c r="C1473" t="str">
        <f>Orders!C1473</f>
        <v>CUST-0022</v>
      </c>
      <c r="D1473" t="str">
        <f>Orders!D1473</f>
        <v>PROD-059</v>
      </c>
      <c r="E1473" t="str">
        <f>Orders!E1473</f>
        <v>R019</v>
      </c>
      <c r="F1473">
        <f>Orders!F1473</f>
        <v>4</v>
      </c>
      <c r="G1473" s="35">
        <f>Orders!G1473</f>
        <v>3780</v>
      </c>
      <c r="H1473" s="37">
        <f>Orders!H1473</f>
        <v>13.1</v>
      </c>
      <c r="I1473" s="39">
        <f>Orders!I1473</f>
        <v>13139.28</v>
      </c>
      <c r="J1473" t="str">
        <f>Orders!J1473</f>
        <v>Completed</v>
      </c>
      <c r="K1473" t="str">
        <f>Orders!K1473</f>
        <v>Bengaluru</v>
      </c>
      <c r="L1473" t="str">
        <f>IFERROR(VLOOKUP(D1473,Products!$A$2:$F$61,3,FALSE),"")</f>
        <v>Sports</v>
      </c>
      <c r="M1473">
        <f>IFERROR(VLOOKUP(D1473,Products!$A$2:$F$61,4,FALSE),"")</f>
        <v>1860</v>
      </c>
      <c r="N1473" t="str">
        <f>IFERROR(VLOOKUP(E1473,Sales_Reps!$A$2:$E$31,3,FALSE),"")</f>
        <v>East</v>
      </c>
      <c r="O1473" t="str">
        <f>IFERROR(VLOOKUP(C1473,Customers!$A$2:$F$301,5,FALSE),"")</f>
        <v>Corporate</v>
      </c>
      <c r="P1473">
        <f>IFERROR(VLOOKUP(C1473,Customers!$A$2:$F$301,3,FALSE),"")</f>
        <v>55</v>
      </c>
      <c r="Q1473" s="41">
        <f t="shared" si="31"/>
        <v>0.50793650793650791</v>
      </c>
      <c r="R1473" t="str">
        <f>IFERROR(VLOOKUP(C1473,Customers!$A$2:$F$301,1,FALSE),"")</f>
        <v>CUST-0022</v>
      </c>
      <c r="S1473" s="27" t="b">
        <f>IFERROR(VLOOKUP(D1473,Products!$A$2:$F$61,6,FALSE),"")</f>
        <v>1</v>
      </c>
      <c r="BL1473">
        <v>0</v>
      </c>
      <c r="BO1473">
        <v>0</v>
      </c>
      <c r="BP1473">
        <v>0</v>
      </c>
    </row>
    <row r="1474" spans="1:68" x14ac:dyDescent="0.35">
      <c r="A1474" s="26" t="str">
        <f>Orders!A1474</f>
        <v>ORD-01473</v>
      </c>
      <c r="B1474" s="33">
        <f>Orders!B1474</f>
        <v>45511</v>
      </c>
      <c r="C1474" t="str">
        <f>Orders!C1474</f>
        <v>CUST-0169</v>
      </c>
      <c r="D1474" t="str">
        <f>Orders!D1474</f>
        <v>PROD-017</v>
      </c>
      <c r="E1474" t="str">
        <f>Orders!E1474</f>
        <v>R011</v>
      </c>
      <c r="F1474">
        <f>Orders!F1474</f>
        <v>1</v>
      </c>
      <c r="G1474" s="35">
        <f>Orders!G1474</f>
        <v>2510</v>
      </c>
      <c r="H1474" s="37">
        <f>Orders!H1474</f>
        <v>27.8</v>
      </c>
      <c r="I1474" s="39">
        <f>Orders!I1474</f>
        <v>1812.22</v>
      </c>
      <c r="J1474" t="str">
        <f>Orders!J1474</f>
        <v>Cancelled</v>
      </c>
      <c r="K1474" t="str">
        <f>Orders!K1474</f>
        <v>Bengaluru</v>
      </c>
      <c r="L1474" t="str">
        <f>IFERROR(VLOOKUP(D1474,Products!$A$2:$F$61,3,FALSE),"")</f>
        <v>Apparel</v>
      </c>
      <c r="M1474">
        <f>IFERROR(VLOOKUP(D1474,Products!$A$2:$F$61,4,FALSE),"")</f>
        <v>1075</v>
      </c>
      <c r="N1474" t="str">
        <f>IFERROR(VLOOKUP(E1474,Sales_Reps!$A$2:$E$31,3,FALSE),"")</f>
        <v>South</v>
      </c>
      <c r="O1474" t="str">
        <f>IFERROR(VLOOKUP(C1474,Customers!$A$2:$F$301,5,FALSE),"")</f>
        <v>SMB</v>
      </c>
      <c r="P1474">
        <f>IFERROR(VLOOKUP(C1474,Customers!$A$2:$F$301,3,FALSE),"")</f>
        <v>42</v>
      </c>
      <c r="Q1474" s="41">
        <f t="shared" ref="Q1474:Q1537" si="32">IFERROR((G1474-M1474)/G1474,0)</f>
        <v>0.57171314741035861</v>
      </c>
      <c r="R1474" t="str">
        <f>IFERROR(VLOOKUP(C1474,Customers!$A$2:$F$301,1,FALSE),"")</f>
        <v>CUST-0169</v>
      </c>
      <c r="S1474" s="27" t="b">
        <f>IFERROR(VLOOKUP(D1474,Products!$A$2:$F$61,6,FALSE),"")</f>
        <v>0</v>
      </c>
      <c r="BL1474">
        <v>0</v>
      </c>
      <c r="BO1474">
        <v>0</v>
      </c>
      <c r="BP1474">
        <v>1</v>
      </c>
    </row>
    <row r="1475" spans="1:68" x14ac:dyDescent="0.35">
      <c r="A1475" s="26" t="str">
        <f>Orders!A1475</f>
        <v>ORD-01474</v>
      </c>
      <c r="B1475" s="33">
        <f>Orders!B1475</f>
        <v>45577</v>
      </c>
      <c r="C1475" t="str">
        <f>Orders!C1475</f>
        <v>CUST-0290</v>
      </c>
      <c r="D1475" t="str">
        <f>Orders!D1475</f>
        <v>PROD-037</v>
      </c>
      <c r="E1475" t="str">
        <f>Orders!E1475</f>
        <v>R007</v>
      </c>
      <c r="F1475">
        <f>Orders!F1475</f>
        <v>9</v>
      </c>
      <c r="G1475" s="35">
        <f>Orders!G1475</f>
        <v>660</v>
      </c>
      <c r="H1475" s="37">
        <f>Orders!H1475</f>
        <v>29.3</v>
      </c>
      <c r="I1475" s="39">
        <f>Orders!I1475</f>
        <v>4199.58</v>
      </c>
      <c r="J1475" t="str">
        <f>Orders!J1475</f>
        <v>Completed</v>
      </c>
      <c r="K1475" t="str">
        <f>Orders!K1475</f>
        <v>Delhi</v>
      </c>
      <c r="L1475" t="str">
        <f>IFERROR(VLOOKUP(D1475,Products!$A$2:$F$61,3,FALSE),"")</f>
        <v>Home</v>
      </c>
      <c r="M1475">
        <f>IFERROR(VLOOKUP(D1475,Products!$A$2:$F$61,4,FALSE),"")</f>
        <v>329</v>
      </c>
      <c r="N1475" t="str">
        <f>IFERROR(VLOOKUP(E1475,Sales_Reps!$A$2:$E$31,3,FALSE),"")</f>
        <v>North</v>
      </c>
      <c r="O1475" t="str">
        <f>IFERROR(VLOOKUP(C1475,Customers!$A$2:$F$301,5,FALSE),"")</f>
        <v>Retail</v>
      </c>
      <c r="P1475">
        <f>IFERROR(VLOOKUP(C1475,Customers!$A$2:$F$301,3,FALSE),"")</f>
        <v>63</v>
      </c>
      <c r="Q1475" s="41">
        <f t="shared" si="32"/>
        <v>0.50151515151515147</v>
      </c>
      <c r="R1475" t="str">
        <f>IFERROR(VLOOKUP(C1475,Customers!$A$2:$F$301,1,FALSE),"")</f>
        <v>CUST-0290</v>
      </c>
      <c r="S1475" s="27" t="b">
        <f>IFERROR(VLOOKUP(D1475,Products!$A$2:$F$61,6,FALSE),"")</f>
        <v>1</v>
      </c>
      <c r="BL1475">
        <v>0</v>
      </c>
      <c r="BO1475">
        <v>0</v>
      </c>
      <c r="BP1475">
        <v>0</v>
      </c>
    </row>
    <row r="1476" spans="1:68" x14ac:dyDescent="0.35">
      <c r="A1476" s="26" t="str">
        <f>Orders!A1476</f>
        <v>ORD-01475</v>
      </c>
      <c r="B1476" s="33">
        <f>Orders!B1476</f>
        <v>45507</v>
      </c>
      <c r="C1476" t="str">
        <f>Orders!C1476</f>
        <v>CUST-0156</v>
      </c>
      <c r="D1476" t="str">
        <f>Orders!D1476</f>
        <v>PROD-013</v>
      </c>
      <c r="E1476" t="str">
        <f>Orders!E1476</f>
        <v>R030</v>
      </c>
      <c r="F1476">
        <f>Orders!F1476</f>
        <v>7</v>
      </c>
      <c r="G1476" s="35">
        <f>Orders!G1476</f>
        <v>3640</v>
      </c>
      <c r="H1476" s="37">
        <f>Orders!H1476</f>
        <v>11.6</v>
      </c>
      <c r="I1476" s="39">
        <f>Orders!I1476</f>
        <v>22524.32</v>
      </c>
      <c r="J1476" t="str">
        <f>Orders!J1476</f>
        <v>Completed</v>
      </c>
      <c r="K1476" t="str">
        <f>Orders!K1476</f>
        <v>Mumbai</v>
      </c>
      <c r="L1476" t="str">
        <f>IFERROR(VLOOKUP(D1476,Products!$A$2:$F$61,3,FALSE),"")</f>
        <v>Apparel</v>
      </c>
      <c r="M1476">
        <f>IFERROR(VLOOKUP(D1476,Products!$A$2:$F$61,4,FALSE),"")</f>
        <v>2611</v>
      </c>
      <c r="N1476" t="str">
        <f>IFERROR(VLOOKUP(E1476,Sales_Reps!$A$2:$E$31,3,FALSE),"")</f>
        <v>West</v>
      </c>
      <c r="O1476" t="str">
        <f>IFERROR(VLOOKUP(C1476,Customers!$A$2:$F$301,5,FALSE),"")</f>
        <v>Retail</v>
      </c>
      <c r="P1476">
        <f>IFERROR(VLOOKUP(C1476,Customers!$A$2:$F$301,3,FALSE),"")</f>
        <v>33</v>
      </c>
      <c r="Q1476" s="41">
        <f t="shared" si="32"/>
        <v>0.28269230769230769</v>
      </c>
      <c r="R1476" t="str">
        <f>IFERROR(VLOOKUP(C1476,Customers!$A$2:$F$301,1,FALSE),"")</f>
        <v>CUST-0156</v>
      </c>
      <c r="S1476" s="27" t="b">
        <f>IFERROR(VLOOKUP(D1476,Products!$A$2:$F$61,6,FALSE),"")</f>
        <v>1</v>
      </c>
      <c r="BL1476">
        <v>0</v>
      </c>
      <c r="BO1476">
        <v>0</v>
      </c>
      <c r="BP1476">
        <v>0</v>
      </c>
    </row>
    <row r="1477" spans="1:68" x14ac:dyDescent="0.35">
      <c r="A1477" s="26" t="str">
        <f>Orders!A1477</f>
        <v>ORD-01476</v>
      </c>
      <c r="B1477" s="33">
        <f>Orders!B1477</f>
        <v>45415</v>
      </c>
      <c r="C1477" t="str">
        <f>Orders!C1477</f>
        <v>CUST-0005</v>
      </c>
      <c r="D1477" t="str">
        <f>Orders!D1477</f>
        <v>PROD-052</v>
      </c>
      <c r="E1477" t="str">
        <f>Orders!E1477</f>
        <v>R019</v>
      </c>
      <c r="F1477">
        <f>Orders!F1477</f>
        <v>8</v>
      </c>
      <c r="G1477" s="35">
        <f>Orders!G1477</f>
        <v>5410</v>
      </c>
      <c r="H1477" s="37">
        <f>Orders!H1477</f>
        <v>25.6</v>
      </c>
      <c r="I1477" s="39">
        <f>Orders!I1477</f>
        <v>32200.32</v>
      </c>
      <c r="J1477" t="str">
        <f>Orders!J1477</f>
        <v>Completed</v>
      </c>
      <c r="K1477" t="str">
        <f>Orders!K1477</f>
        <v>Chennai</v>
      </c>
      <c r="L1477" t="str">
        <f>IFERROR(VLOOKUP(D1477,Products!$A$2:$F$61,3,FALSE),"")</f>
        <v>Sports</v>
      </c>
      <c r="M1477">
        <f>IFERROR(VLOOKUP(D1477,Products!$A$2:$F$61,4,FALSE),"")</f>
        <v>2265</v>
      </c>
      <c r="N1477" t="str">
        <f>IFERROR(VLOOKUP(E1477,Sales_Reps!$A$2:$E$31,3,FALSE),"")</f>
        <v>East</v>
      </c>
      <c r="O1477" t="str">
        <f>IFERROR(VLOOKUP(C1477,Customers!$A$2:$F$301,5,FALSE),"")</f>
        <v>Corporate</v>
      </c>
      <c r="P1477">
        <f>IFERROR(VLOOKUP(C1477,Customers!$A$2:$F$301,3,FALSE),"")</f>
        <v>52</v>
      </c>
      <c r="Q1477" s="41">
        <f t="shared" si="32"/>
        <v>0.58133086876155271</v>
      </c>
      <c r="R1477" t="str">
        <f>IFERROR(VLOOKUP(C1477,Customers!$A$2:$F$301,1,FALSE),"")</f>
        <v>CUST-0005</v>
      </c>
      <c r="S1477" s="27" t="b">
        <f>IFERROR(VLOOKUP(D1477,Products!$A$2:$F$61,6,FALSE),"")</f>
        <v>1</v>
      </c>
      <c r="BL1477">
        <v>0</v>
      </c>
      <c r="BO1477">
        <v>0</v>
      </c>
      <c r="BP1477">
        <v>0</v>
      </c>
    </row>
    <row r="1478" spans="1:68" x14ac:dyDescent="0.35">
      <c r="A1478" s="26" t="str">
        <f>Orders!A1478</f>
        <v>ORD-01477</v>
      </c>
      <c r="B1478" s="33">
        <f>Orders!B1478</f>
        <v>45342</v>
      </c>
      <c r="C1478" t="str">
        <f>Orders!C1478</f>
        <v>CUST-0206</v>
      </c>
      <c r="D1478" t="str">
        <f>Orders!D1478</f>
        <v>PROD-058</v>
      </c>
      <c r="E1478" t="str">
        <f>Orders!E1478</f>
        <v>R008</v>
      </c>
      <c r="F1478">
        <f>Orders!F1478</f>
        <v>4</v>
      </c>
      <c r="G1478" s="35">
        <f>Orders!G1478</f>
        <v>2400</v>
      </c>
      <c r="H1478" s="37">
        <f>Orders!H1478</f>
        <v>10.4</v>
      </c>
      <c r="I1478" s="39">
        <f>Orders!I1478</f>
        <v>8601.6</v>
      </c>
      <c r="J1478" t="str">
        <f>Orders!J1478</f>
        <v>Completed</v>
      </c>
      <c r="K1478" t="str">
        <f>Orders!K1478</f>
        <v>Mumbai</v>
      </c>
      <c r="L1478" t="str">
        <f>IFERROR(VLOOKUP(D1478,Products!$A$2:$F$61,3,FALSE),"")</f>
        <v>Sports</v>
      </c>
      <c r="M1478">
        <f>IFERROR(VLOOKUP(D1478,Products!$A$2:$F$61,4,FALSE),"")</f>
        <v>974</v>
      </c>
      <c r="N1478" t="str">
        <f>IFERROR(VLOOKUP(E1478,Sales_Reps!$A$2:$E$31,3,FALSE),"")</f>
        <v>North</v>
      </c>
      <c r="O1478" t="str">
        <f>IFERROR(VLOOKUP(C1478,Customers!$A$2:$F$301,5,FALSE),"")</f>
        <v>Retail</v>
      </c>
      <c r="P1478">
        <f>IFERROR(VLOOKUP(C1478,Customers!$A$2:$F$301,3,FALSE),"")</f>
        <v>40</v>
      </c>
      <c r="Q1478" s="41">
        <f t="shared" si="32"/>
        <v>0.59416666666666662</v>
      </c>
      <c r="R1478" t="str">
        <f>IFERROR(VLOOKUP(C1478,Customers!$A$2:$F$301,1,FALSE),"")</f>
        <v>CUST-0206</v>
      </c>
      <c r="S1478" s="27" t="b">
        <f>IFERROR(VLOOKUP(D1478,Products!$A$2:$F$61,6,FALSE),"")</f>
        <v>1</v>
      </c>
      <c r="BL1478">
        <v>0</v>
      </c>
      <c r="BO1478">
        <v>0</v>
      </c>
      <c r="BP1478">
        <v>0</v>
      </c>
    </row>
    <row r="1479" spans="1:68" x14ac:dyDescent="0.35">
      <c r="A1479" s="26" t="str">
        <f>Orders!A1479</f>
        <v>ORD-01478</v>
      </c>
      <c r="B1479" s="33">
        <f>Orders!B1479</f>
        <v>45333</v>
      </c>
      <c r="C1479" t="str">
        <f>Orders!C1479</f>
        <v>CUST-0240</v>
      </c>
      <c r="D1479" t="str">
        <f>Orders!D1479</f>
        <v>PROD-038</v>
      </c>
      <c r="E1479" t="str">
        <f>Orders!E1479</f>
        <v>R028</v>
      </c>
      <c r="F1479">
        <f>Orders!F1479</f>
        <v>2</v>
      </c>
      <c r="G1479" s="35">
        <f>Orders!G1479</f>
        <v>5490</v>
      </c>
      <c r="H1479" s="37">
        <f>Orders!H1479</f>
        <v>5.4</v>
      </c>
      <c r="I1479" s="39">
        <f>Orders!I1479</f>
        <v>10387.08</v>
      </c>
      <c r="J1479" t="str">
        <f>Orders!J1479</f>
        <v>Completed</v>
      </c>
      <c r="K1479" t="str">
        <f>Orders!K1479</f>
        <v>Chennai</v>
      </c>
      <c r="L1479" t="str">
        <f>IFERROR(VLOOKUP(D1479,Products!$A$2:$F$61,3,FALSE),"")</f>
        <v>Home</v>
      </c>
      <c r="M1479">
        <f>IFERROR(VLOOKUP(D1479,Products!$A$2:$F$61,4,FALSE),"")</f>
        <v>2549</v>
      </c>
      <c r="N1479" t="str">
        <f>IFERROR(VLOOKUP(E1479,Sales_Reps!$A$2:$E$31,3,FALSE),"")</f>
        <v>West</v>
      </c>
      <c r="O1479" t="str">
        <f>IFERROR(VLOOKUP(C1479,Customers!$A$2:$F$301,5,FALSE),"")</f>
        <v>Corporate</v>
      </c>
      <c r="P1479">
        <f>IFERROR(VLOOKUP(C1479,Customers!$A$2:$F$301,3,FALSE),"")</f>
        <v>35</v>
      </c>
      <c r="Q1479" s="41">
        <f t="shared" si="32"/>
        <v>0.53570127504553733</v>
      </c>
      <c r="R1479" t="str">
        <f>IFERROR(VLOOKUP(C1479,Customers!$A$2:$F$301,1,FALSE),"")</f>
        <v>CUST-0240</v>
      </c>
      <c r="S1479" s="27" t="b">
        <f>IFERROR(VLOOKUP(D1479,Products!$A$2:$F$61,6,FALSE),"")</f>
        <v>1</v>
      </c>
      <c r="BL1479">
        <v>0</v>
      </c>
      <c r="BO1479">
        <v>0</v>
      </c>
      <c r="BP1479">
        <v>0</v>
      </c>
    </row>
    <row r="1480" spans="1:68" x14ac:dyDescent="0.35">
      <c r="A1480" s="26" t="str">
        <f>Orders!A1480</f>
        <v>ORD-01479</v>
      </c>
      <c r="B1480" s="33">
        <f>Orders!B1480</f>
        <v>45516</v>
      </c>
      <c r="C1480" t="str">
        <f>Orders!C1480</f>
        <v>CUST-0109</v>
      </c>
      <c r="D1480" t="str">
        <f>Orders!D1480</f>
        <v>PROD-041</v>
      </c>
      <c r="E1480" t="str">
        <f>Orders!E1480</f>
        <v>R016</v>
      </c>
      <c r="F1480">
        <f>Orders!F1480</f>
        <v>6</v>
      </c>
      <c r="G1480" s="35">
        <f>Orders!G1480</f>
        <v>1540</v>
      </c>
      <c r="H1480" s="37">
        <f>Orders!H1480</f>
        <v>0.6</v>
      </c>
      <c r="I1480" s="39">
        <f>Orders!I1480</f>
        <v>9184.56</v>
      </c>
      <c r="J1480" t="str">
        <f>Orders!J1480</f>
        <v>Completed</v>
      </c>
      <c r="K1480" t="str">
        <f>Orders!K1480</f>
        <v>Pune</v>
      </c>
      <c r="L1480" t="str">
        <f>IFERROR(VLOOKUP(D1480,Products!$A$2:$F$61,3,FALSE),"")</f>
        <v>Beauty</v>
      </c>
      <c r="M1480">
        <f>IFERROR(VLOOKUP(D1480,Products!$A$2:$F$61,4,FALSE),"")</f>
        <v>647</v>
      </c>
      <c r="N1480" t="str">
        <f>IFERROR(VLOOKUP(E1480,Sales_Reps!$A$2:$E$31,3,FALSE),"")</f>
        <v>South</v>
      </c>
      <c r="O1480" t="str">
        <f>IFERROR(VLOOKUP(C1480,Customers!$A$2:$F$301,5,FALSE),"")</f>
        <v>Retail</v>
      </c>
      <c r="P1480">
        <f>IFERROR(VLOOKUP(C1480,Customers!$A$2:$F$301,3,FALSE),"")</f>
        <v>42</v>
      </c>
      <c r="Q1480" s="41">
        <f t="shared" si="32"/>
        <v>0.57987012987012987</v>
      </c>
      <c r="R1480" t="str">
        <f>IFERROR(VLOOKUP(C1480,Customers!$A$2:$F$301,1,FALSE),"")</f>
        <v>CUST-0109</v>
      </c>
      <c r="S1480" s="27" t="b">
        <f>IFERROR(VLOOKUP(D1480,Products!$A$2:$F$61,6,FALSE),"")</f>
        <v>0</v>
      </c>
      <c r="BL1480">
        <v>0</v>
      </c>
      <c r="BO1480">
        <v>0</v>
      </c>
      <c r="BP1480">
        <v>1</v>
      </c>
    </row>
    <row r="1481" spans="1:68" x14ac:dyDescent="0.35">
      <c r="A1481" s="26" t="str">
        <f>Orders!A1481</f>
        <v>ORD-01480</v>
      </c>
      <c r="B1481" s="33">
        <f>Orders!B1481</f>
        <v>45343</v>
      </c>
      <c r="C1481" t="str">
        <f>Orders!C1481</f>
        <v>CUST-0201</v>
      </c>
      <c r="D1481" t="str">
        <f>Orders!D1481</f>
        <v>PROD-001</v>
      </c>
      <c r="E1481" t="str">
        <f>Orders!E1481</f>
        <v>R001</v>
      </c>
      <c r="F1481">
        <f>Orders!F1481</f>
        <v>3</v>
      </c>
      <c r="G1481" s="35">
        <f>Orders!G1481</f>
        <v>5330</v>
      </c>
      <c r="H1481" s="37">
        <f>Orders!H1481</f>
        <v>1</v>
      </c>
      <c r="I1481" s="39">
        <f>Orders!I1481</f>
        <v>15830.1</v>
      </c>
      <c r="J1481" t="str">
        <f>Orders!J1481</f>
        <v>Pending</v>
      </c>
      <c r="K1481" t="str">
        <f>Orders!K1481</f>
        <v>Hyderabad</v>
      </c>
      <c r="L1481" t="str">
        <f>IFERROR(VLOOKUP(D1481,Products!$A$2:$F$61,3,FALSE),"")</f>
        <v>Electronics</v>
      </c>
      <c r="M1481">
        <f>IFERROR(VLOOKUP(D1481,Products!$A$2:$F$61,4,FALSE),"")</f>
        <v>2405</v>
      </c>
      <c r="N1481" t="str">
        <f>IFERROR(VLOOKUP(E1481,Sales_Reps!$A$2:$E$31,3,FALSE),"")</f>
        <v>North</v>
      </c>
      <c r="O1481" t="str">
        <f>IFERROR(VLOOKUP(C1481,Customers!$A$2:$F$301,5,FALSE),"")</f>
        <v>Retail</v>
      </c>
      <c r="P1481">
        <f>IFERROR(VLOOKUP(C1481,Customers!$A$2:$F$301,3,FALSE),"")</f>
        <v>31</v>
      </c>
      <c r="Q1481" s="41">
        <f t="shared" si="32"/>
        <v>0.54878048780487809</v>
      </c>
      <c r="R1481" t="str">
        <f>IFERROR(VLOOKUP(C1481,Customers!$A$2:$F$301,1,FALSE),"")</f>
        <v>CUST-0201</v>
      </c>
      <c r="S1481" s="27" t="b">
        <f>IFERROR(VLOOKUP(D1481,Products!$A$2:$F$61,6,FALSE),"")</f>
        <v>1</v>
      </c>
      <c r="BL1481">
        <v>0</v>
      </c>
      <c r="BO1481">
        <v>0</v>
      </c>
      <c r="BP1481">
        <v>0</v>
      </c>
    </row>
    <row r="1482" spans="1:68" x14ac:dyDescent="0.35">
      <c r="A1482" s="26" t="str">
        <f>Orders!A1482</f>
        <v>ORD-01481</v>
      </c>
      <c r="B1482" s="33">
        <f>Orders!B1482</f>
        <v>45522</v>
      </c>
      <c r="C1482" t="str">
        <f>Orders!C1482</f>
        <v>CUST-0100</v>
      </c>
      <c r="D1482" t="str">
        <f>Orders!D1482</f>
        <v>PROD-055</v>
      </c>
      <c r="E1482" t="str">
        <f>Orders!E1482</f>
        <v>R012</v>
      </c>
      <c r="F1482">
        <f>Orders!F1482</f>
        <v>6</v>
      </c>
      <c r="G1482" s="35">
        <f>Orders!G1482</f>
        <v>2860</v>
      </c>
      <c r="H1482" s="37">
        <f>Orders!H1482</f>
        <v>13.3</v>
      </c>
      <c r="I1482" s="39">
        <f>Orders!I1482</f>
        <v>14877.72</v>
      </c>
      <c r="J1482" t="str">
        <f>Orders!J1482</f>
        <v>Completed</v>
      </c>
      <c r="K1482" t="str">
        <f>Orders!K1482</f>
        <v>Hyderabad</v>
      </c>
      <c r="L1482" t="str">
        <f>IFERROR(VLOOKUP(D1482,Products!$A$2:$F$61,3,FALSE),"")</f>
        <v>Sports</v>
      </c>
      <c r="M1482">
        <f>IFERROR(VLOOKUP(D1482,Products!$A$2:$F$61,4,FALSE),"")</f>
        <v>2028</v>
      </c>
      <c r="N1482" t="str">
        <f>IFERROR(VLOOKUP(E1482,Sales_Reps!$A$2:$E$31,3,FALSE),"")</f>
        <v>South</v>
      </c>
      <c r="O1482" t="str">
        <f>IFERROR(VLOOKUP(C1482,Customers!$A$2:$F$301,5,FALSE),"")</f>
        <v>Corporate</v>
      </c>
      <c r="P1482">
        <f>IFERROR(VLOOKUP(C1482,Customers!$A$2:$F$301,3,FALSE),"")</f>
        <v>60</v>
      </c>
      <c r="Q1482" s="41">
        <f t="shared" si="32"/>
        <v>0.29090909090909089</v>
      </c>
      <c r="R1482" t="str">
        <f>IFERROR(VLOOKUP(C1482,Customers!$A$2:$F$301,1,FALSE),"")</f>
        <v>CUST-0100</v>
      </c>
      <c r="S1482" s="27" t="b">
        <f>IFERROR(VLOOKUP(D1482,Products!$A$2:$F$61,6,FALSE),"")</f>
        <v>1</v>
      </c>
      <c r="BL1482">
        <v>0</v>
      </c>
      <c r="BO1482">
        <v>0</v>
      </c>
      <c r="BP1482">
        <v>0</v>
      </c>
    </row>
    <row r="1483" spans="1:68" x14ac:dyDescent="0.35">
      <c r="A1483" s="26" t="str">
        <f>Orders!A1483</f>
        <v>ORD-01482</v>
      </c>
      <c r="B1483" s="33">
        <f>Orders!B1483</f>
        <v>45305</v>
      </c>
      <c r="C1483" t="str">
        <f>Orders!C1483</f>
        <v>CUST-0262</v>
      </c>
      <c r="D1483" t="str">
        <f>Orders!D1483</f>
        <v>PROD-046</v>
      </c>
      <c r="E1483" t="str">
        <f>Orders!E1483</f>
        <v>R006</v>
      </c>
      <c r="F1483">
        <f>Orders!F1483</f>
        <v>3</v>
      </c>
      <c r="G1483" s="35">
        <f>Orders!G1483</f>
        <v>4880</v>
      </c>
      <c r="H1483" s="37">
        <f>Orders!H1483</f>
        <v>12.1</v>
      </c>
      <c r="I1483" s="39">
        <f>Orders!I1483</f>
        <v>12868.56</v>
      </c>
      <c r="J1483" t="str">
        <f>Orders!J1483</f>
        <v>Completed</v>
      </c>
      <c r="K1483" t="str">
        <f>Orders!K1483</f>
        <v>Mumbai</v>
      </c>
      <c r="L1483" t="str">
        <f>IFERROR(VLOOKUP(D1483,Products!$A$2:$F$61,3,FALSE),"")</f>
        <v>Beauty</v>
      </c>
      <c r="M1483">
        <f>IFERROR(VLOOKUP(D1483,Products!$A$2:$F$61,4,FALSE),"")</f>
        <v>2768</v>
      </c>
      <c r="N1483" t="str">
        <f>IFERROR(VLOOKUP(E1483,Sales_Reps!$A$2:$E$31,3,FALSE),"")</f>
        <v>North</v>
      </c>
      <c r="O1483" t="str">
        <f>IFERROR(VLOOKUP(C1483,Customers!$A$2:$F$301,5,FALSE),"")</f>
        <v>Retail</v>
      </c>
      <c r="P1483">
        <f>IFERROR(VLOOKUP(C1483,Customers!$A$2:$F$301,3,FALSE),"")</f>
        <v>52</v>
      </c>
      <c r="Q1483" s="41">
        <f t="shared" si="32"/>
        <v>0.43278688524590164</v>
      </c>
      <c r="R1483" t="str">
        <f>IFERROR(VLOOKUP(C1483,Customers!$A$2:$F$301,1,FALSE),"")</f>
        <v>CUST-0262</v>
      </c>
      <c r="S1483" s="27" t="b">
        <f>IFERROR(VLOOKUP(D1483,Products!$A$2:$F$61,6,FALSE),"")</f>
        <v>1</v>
      </c>
      <c r="BL1483">
        <v>0</v>
      </c>
      <c r="BO1483">
        <v>0</v>
      </c>
      <c r="BP1483">
        <v>0</v>
      </c>
    </row>
    <row r="1484" spans="1:68" x14ac:dyDescent="0.35">
      <c r="A1484" s="26" t="str">
        <f>Orders!A1484</f>
        <v>ORD-01483</v>
      </c>
      <c r="B1484" s="33">
        <f>Orders!B1484</f>
        <v>45353</v>
      </c>
      <c r="C1484" t="str">
        <f>Orders!C1484</f>
        <v>CUST-0067</v>
      </c>
      <c r="D1484" t="str">
        <f>Orders!D1484</f>
        <v>PROD-017</v>
      </c>
      <c r="E1484" t="str">
        <f>Orders!E1484</f>
        <v>R005</v>
      </c>
      <c r="F1484">
        <f>Orders!F1484</f>
        <v>5</v>
      </c>
      <c r="G1484" s="35">
        <f>Orders!G1484</f>
        <v>2510</v>
      </c>
      <c r="H1484" s="37">
        <f>Orders!H1484</f>
        <v>2.9</v>
      </c>
      <c r="I1484" s="39">
        <f>Orders!I1484</f>
        <v>12186.05</v>
      </c>
      <c r="J1484" t="str">
        <f>Orders!J1484</f>
        <v>Pending</v>
      </c>
      <c r="K1484" t="str">
        <f>Orders!K1484</f>
        <v>Delhi</v>
      </c>
      <c r="L1484" t="str">
        <f>IFERROR(VLOOKUP(D1484,Products!$A$2:$F$61,3,FALSE),"")</f>
        <v>Apparel</v>
      </c>
      <c r="M1484">
        <f>IFERROR(VLOOKUP(D1484,Products!$A$2:$F$61,4,FALSE),"")</f>
        <v>1075</v>
      </c>
      <c r="N1484" t="str">
        <f>IFERROR(VLOOKUP(E1484,Sales_Reps!$A$2:$E$31,3,FALSE),"")</f>
        <v>North</v>
      </c>
      <c r="O1484" t="str">
        <f>IFERROR(VLOOKUP(C1484,Customers!$A$2:$F$301,5,FALSE),"")</f>
        <v>SMB</v>
      </c>
      <c r="P1484">
        <f>IFERROR(VLOOKUP(C1484,Customers!$A$2:$F$301,3,FALSE),"")</f>
        <v>59</v>
      </c>
      <c r="Q1484" s="41">
        <f t="shared" si="32"/>
        <v>0.57171314741035861</v>
      </c>
      <c r="R1484" t="str">
        <f>IFERROR(VLOOKUP(C1484,Customers!$A$2:$F$301,1,FALSE),"")</f>
        <v>CUST-0067</v>
      </c>
      <c r="S1484" s="27" t="b">
        <f>IFERROR(VLOOKUP(D1484,Products!$A$2:$F$61,6,FALSE),"")</f>
        <v>0</v>
      </c>
      <c r="BL1484">
        <v>0</v>
      </c>
      <c r="BO1484">
        <v>0</v>
      </c>
      <c r="BP1484">
        <v>1</v>
      </c>
    </row>
    <row r="1485" spans="1:68" x14ac:dyDescent="0.35">
      <c r="A1485" s="26" t="str">
        <f>Orders!A1485</f>
        <v>ORD-01484</v>
      </c>
      <c r="B1485" s="33">
        <f>Orders!B1485</f>
        <v>45525</v>
      </c>
      <c r="C1485" t="str">
        <f>Orders!C1485</f>
        <v>CUST-9844</v>
      </c>
      <c r="D1485" t="str">
        <f>Orders!D1485</f>
        <v>PROD-006</v>
      </c>
      <c r="E1485" t="str">
        <f>Orders!E1485</f>
        <v>R020</v>
      </c>
      <c r="F1485">
        <f>Orders!F1485</f>
        <v>9</v>
      </c>
      <c r="G1485" s="35">
        <f>Orders!G1485</f>
        <v>3970</v>
      </c>
      <c r="H1485" s="37">
        <f>Orders!H1485</f>
        <v>28</v>
      </c>
      <c r="I1485" s="39">
        <f>Orders!I1485</f>
        <v>25725.599999999999</v>
      </c>
      <c r="J1485" t="str">
        <f>Orders!J1485</f>
        <v>Completed</v>
      </c>
      <c r="K1485" t="str">
        <f>Orders!K1485</f>
        <v>Pune</v>
      </c>
      <c r="L1485" t="str">
        <f>IFERROR(VLOOKUP(D1485,Products!$A$2:$F$61,3,FALSE),"")</f>
        <v>Electronics</v>
      </c>
      <c r="M1485">
        <f>IFERROR(VLOOKUP(D1485,Products!$A$2:$F$61,4,FALSE),"")</f>
        <v>2865</v>
      </c>
      <c r="N1485" t="str">
        <f>IFERROR(VLOOKUP(E1485,Sales_Reps!$A$2:$E$31,3,FALSE),"")</f>
        <v>East</v>
      </c>
      <c r="O1485" t="str">
        <f>IFERROR(VLOOKUP(C1485,Customers!$A$2:$F$301,5,FALSE),"")</f>
        <v/>
      </c>
      <c r="P1485" t="str">
        <f>IFERROR(VLOOKUP(C1485,Customers!$A$2:$F$301,3,FALSE),"")</f>
        <v/>
      </c>
      <c r="Q1485" s="41">
        <f t="shared" si="32"/>
        <v>0.27833753148614609</v>
      </c>
      <c r="R1485" t="str">
        <f>IFERROR(VLOOKUP(C1485,Customers!$A$2:$F$301,1,FALSE),"")</f>
        <v/>
      </c>
      <c r="S1485" s="27" t="b">
        <f>IFERROR(VLOOKUP(D1485,Products!$A$2:$F$61,6,FALSE),"")</f>
        <v>1</v>
      </c>
      <c r="BL1485">
        <v>0</v>
      </c>
      <c r="BO1485">
        <v>1</v>
      </c>
      <c r="BP1485">
        <v>0</v>
      </c>
    </row>
    <row r="1486" spans="1:68" x14ac:dyDescent="0.35">
      <c r="A1486" s="26" t="str">
        <f>Orders!A1486</f>
        <v>ORD-01485</v>
      </c>
      <c r="B1486" s="33">
        <f>Orders!B1486</f>
        <v>45593</v>
      </c>
      <c r="C1486" t="str">
        <f>Orders!C1486</f>
        <v>CUST-0122</v>
      </c>
      <c r="D1486" t="str">
        <f>Orders!D1486</f>
        <v>PROD-053</v>
      </c>
      <c r="E1486" t="str">
        <f>Orders!E1486</f>
        <v>R027</v>
      </c>
      <c r="F1486">
        <f>Orders!F1486</f>
        <v>4</v>
      </c>
      <c r="G1486" s="35">
        <f>Orders!G1486</f>
        <v>470</v>
      </c>
      <c r="H1486" s="37">
        <f>Orders!H1486</f>
        <v>19.100000000000001</v>
      </c>
      <c r="I1486" s="39">
        <f>Orders!I1486</f>
        <v>1520.92</v>
      </c>
      <c r="J1486" t="str">
        <f>Orders!J1486</f>
        <v>Pending</v>
      </c>
      <c r="K1486" t="str">
        <f>Orders!K1486</f>
        <v>Mumbai</v>
      </c>
      <c r="L1486" t="str">
        <f>IFERROR(VLOOKUP(D1486,Products!$A$2:$F$61,3,FALSE),"")</f>
        <v>Sports</v>
      </c>
      <c r="M1486">
        <f>IFERROR(VLOOKUP(D1486,Products!$A$2:$F$61,4,FALSE),"")</f>
        <v>302</v>
      </c>
      <c r="N1486" t="str">
        <f>IFERROR(VLOOKUP(E1486,Sales_Reps!$A$2:$E$31,3,FALSE),"")</f>
        <v>West</v>
      </c>
      <c r="O1486" t="str">
        <f>IFERROR(VLOOKUP(C1486,Customers!$A$2:$F$301,5,FALSE),"")</f>
        <v>Retail</v>
      </c>
      <c r="P1486">
        <f>IFERROR(VLOOKUP(C1486,Customers!$A$2:$F$301,3,FALSE),"")</f>
        <v>44</v>
      </c>
      <c r="Q1486" s="41">
        <f t="shared" si="32"/>
        <v>0.35744680851063831</v>
      </c>
      <c r="R1486" t="str">
        <f>IFERROR(VLOOKUP(C1486,Customers!$A$2:$F$301,1,FALSE),"")</f>
        <v>CUST-0122</v>
      </c>
      <c r="S1486" s="27" t="b">
        <f>IFERROR(VLOOKUP(D1486,Products!$A$2:$F$61,6,FALSE),"")</f>
        <v>0</v>
      </c>
      <c r="BL1486">
        <v>0</v>
      </c>
      <c r="BO1486">
        <v>0</v>
      </c>
      <c r="BP1486">
        <v>1</v>
      </c>
    </row>
    <row r="1487" spans="1:68" x14ac:dyDescent="0.35">
      <c r="A1487" s="26" t="str">
        <f>Orders!A1487</f>
        <v>ORD-01486</v>
      </c>
      <c r="B1487" s="33">
        <f>Orders!B1487</f>
        <v>45550</v>
      </c>
      <c r="C1487" t="str">
        <f>Orders!C1487</f>
        <v>CUST-0129</v>
      </c>
      <c r="D1487" t="str">
        <f>Orders!D1487</f>
        <v>PROD-001</v>
      </c>
      <c r="E1487" t="str">
        <f>Orders!E1487</f>
        <v>R025</v>
      </c>
      <c r="F1487">
        <f>Orders!F1487</f>
        <v>7</v>
      </c>
      <c r="G1487" s="35">
        <f>Orders!G1487</f>
        <v>5330</v>
      </c>
      <c r="H1487" s="37">
        <f>Orders!H1487</f>
        <v>17.2</v>
      </c>
      <c r="I1487" s="39">
        <f>Orders!I1487</f>
        <v>30892.68</v>
      </c>
      <c r="J1487" t="str">
        <f>Orders!J1487</f>
        <v>Cancelled</v>
      </c>
      <c r="K1487" t="str">
        <f>Orders!K1487</f>
        <v>Hyderabad</v>
      </c>
      <c r="L1487" t="str">
        <f>IFERROR(VLOOKUP(D1487,Products!$A$2:$F$61,3,FALSE),"")</f>
        <v>Electronics</v>
      </c>
      <c r="M1487">
        <f>IFERROR(VLOOKUP(D1487,Products!$A$2:$F$61,4,FALSE),"")</f>
        <v>2405</v>
      </c>
      <c r="N1487" t="str">
        <f>IFERROR(VLOOKUP(E1487,Sales_Reps!$A$2:$E$31,3,FALSE),"")</f>
        <v>West</v>
      </c>
      <c r="O1487" t="str">
        <f>IFERROR(VLOOKUP(C1487,Customers!$A$2:$F$301,5,FALSE),"")</f>
        <v>Retail</v>
      </c>
      <c r="P1487">
        <f>IFERROR(VLOOKUP(C1487,Customers!$A$2:$F$301,3,FALSE),"")</f>
        <v>29</v>
      </c>
      <c r="Q1487" s="41">
        <f t="shared" si="32"/>
        <v>0.54878048780487809</v>
      </c>
      <c r="R1487" t="str">
        <f>IFERROR(VLOOKUP(C1487,Customers!$A$2:$F$301,1,FALSE),"")</f>
        <v>CUST-0129</v>
      </c>
      <c r="S1487" s="27" t="b">
        <f>IFERROR(VLOOKUP(D1487,Products!$A$2:$F$61,6,FALSE),"")</f>
        <v>1</v>
      </c>
      <c r="BL1487">
        <v>0</v>
      </c>
      <c r="BO1487">
        <v>0</v>
      </c>
      <c r="BP1487">
        <v>0</v>
      </c>
    </row>
    <row r="1488" spans="1:68" x14ac:dyDescent="0.35">
      <c r="A1488" s="26" t="str">
        <f>Orders!A1488</f>
        <v>ORD-01487</v>
      </c>
      <c r="B1488" s="33">
        <f>Orders!B1488</f>
        <v>45511</v>
      </c>
      <c r="C1488" t="str">
        <f>Orders!C1488</f>
        <v>CUST-0056</v>
      </c>
      <c r="D1488" t="str">
        <f>Orders!D1488</f>
        <v>PROD-035</v>
      </c>
      <c r="E1488" t="str">
        <f>Orders!E1488</f>
        <v>R012</v>
      </c>
      <c r="F1488">
        <f>Orders!F1488</f>
        <v>4</v>
      </c>
      <c r="G1488" s="35">
        <f>Orders!G1488</f>
        <v>1090</v>
      </c>
      <c r="H1488" s="37">
        <f>Orders!H1488</f>
        <v>4.9000000000000004</v>
      </c>
      <c r="I1488" s="39">
        <f>Orders!I1488</f>
        <v>4146.3599999999997</v>
      </c>
      <c r="J1488" t="str">
        <f>Orders!J1488</f>
        <v>Cancelled</v>
      </c>
      <c r="K1488" t="str">
        <f>Orders!K1488</f>
        <v>Bengaluru</v>
      </c>
      <c r="L1488" t="str">
        <f>IFERROR(VLOOKUP(D1488,Products!$A$2:$F$61,3,FALSE),"")</f>
        <v>Home</v>
      </c>
      <c r="M1488">
        <f>IFERROR(VLOOKUP(D1488,Products!$A$2:$F$61,4,FALSE),"")</f>
        <v>464</v>
      </c>
      <c r="N1488" t="str">
        <f>IFERROR(VLOOKUP(E1488,Sales_Reps!$A$2:$E$31,3,FALSE),"")</f>
        <v>South</v>
      </c>
      <c r="O1488" t="str">
        <f>IFERROR(VLOOKUP(C1488,Customers!$A$2:$F$301,5,FALSE),"")</f>
        <v>SMB</v>
      </c>
      <c r="P1488">
        <f>IFERROR(VLOOKUP(C1488,Customers!$A$2:$F$301,3,FALSE),"")</f>
        <v>46</v>
      </c>
      <c r="Q1488" s="41">
        <f t="shared" si="32"/>
        <v>0.57431192660550456</v>
      </c>
      <c r="R1488" t="str">
        <f>IFERROR(VLOOKUP(C1488,Customers!$A$2:$F$301,1,FALSE),"")</f>
        <v>CUST-0056</v>
      </c>
      <c r="S1488" s="27" t="b">
        <f>IFERROR(VLOOKUP(D1488,Products!$A$2:$F$61,6,FALSE),"")</f>
        <v>1</v>
      </c>
      <c r="BL1488">
        <v>0</v>
      </c>
      <c r="BO1488">
        <v>0</v>
      </c>
      <c r="BP1488">
        <v>0</v>
      </c>
    </row>
    <row r="1489" spans="1:68" x14ac:dyDescent="0.35">
      <c r="A1489" s="26" t="str">
        <f>Orders!A1489</f>
        <v>ORD-01488</v>
      </c>
      <c r="B1489" s="33">
        <f>Orders!B1489</f>
        <v>45456</v>
      </c>
      <c r="C1489" t="str">
        <f>Orders!C1489</f>
        <v>CUST-0080</v>
      </c>
      <c r="D1489" t="str">
        <f>Orders!D1489</f>
        <v>PROD-054</v>
      </c>
      <c r="E1489" t="str">
        <f>Orders!E1489</f>
        <v>R009</v>
      </c>
      <c r="F1489">
        <f>Orders!F1489</f>
        <v>2</v>
      </c>
      <c r="G1489" s="35">
        <f>Orders!G1489</f>
        <v>1010</v>
      </c>
      <c r="H1489" s="37">
        <f>Orders!H1489</f>
        <v>14</v>
      </c>
      <c r="I1489" s="39">
        <f>Orders!I1489</f>
        <v>1737.2</v>
      </c>
      <c r="J1489" t="str">
        <f>Orders!J1489</f>
        <v>Completed</v>
      </c>
      <c r="K1489" t="str">
        <f>Orders!K1489</f>
        <v>Pune</v>
      </c>
      <c r="L1489" t="str">
        <f>IFERROR(VLOOKUP(D1489,Products!$A$2:$F$61,3,FALSE),"")</f>
        <v>Sports</v>
      </c>
      <c r="M1489">
        <f>IFERROR(VLOOKUP(D1489,Products!$A$2:$F$61,4,FALSE),"")</f>
        <v>516</v>
      </c>
      <c r="N1489" t="str">
        <f>IFERROR(VLOOKUP(E1489,Sales_Reps!$A$2:$E$31,3,FALSE),"")</f>
        <v>South</v>
      </c>
      <c r="O1489" t="str">
        <f>IFERROR(VLOOKUP(C1489,Customers!$A$2:$F$301,5,FALSE),"")</f>
        <v>SMB</v>
      </c>
      <c r="P1489">
        <f>IFERROR(VLOOKUP(C1489,Customers!$A$2:$F$301,3,FALSE),"")</f>
        <v>30</v>
      </c>
      <c r="Q1489" s="41">
        <f t="shared" si="32"/>
        <v>0.4891089108910891</v>
      </c>
      <c r="R1489" t="str">
        <f>IFERROR(VLOOKUP(C1489,Customers!$A$2:$F$301,1,FALSE),"")</f>
        <v>CUST-0080</v>
      </c>
      <c r="S1489" s="27" t="b">
        <f>IFERROR(VLOOKUP(D1489,Products!$A$2:$F$61,6,FALSE),"")</f>
        <v>1</v>
      </c>
      <c r="BL1489">
        <v>0</v>
      </c>
      <c r="BO1489">
        <v>0</v>
      </c>
      <c r="BP1489">
        <v>0</v>
      </c>
    </row>
    <row r="1490" spans="1:68" x14ac:dyDescent="0.35">
      <c r="A1490" s="26" t="str">
        <f>Orders!A1490</f>
        <v>ORD-01489</v>
      </c>
      <c r="B1490" s="33">
        <f>Orders!B1490</f>
        <v>45343</v>
      </c>
      <c r="C1490" t="str">
        <f>Orders!C1490</f>
        <v>CUST-0155</v>
      </c>
      <c r="D1490" t="str">
        <f>Orders!D1490</f>
        <v>PROD-004</v>
      </c>
      <c r="E1490" t="str">
        <f>Orders!E1490</f>
        <v>R016</v>
      </c>
      <c r="F1490">
        <f>Orders!F1490</f>
        <v>9</v>
      </c>
      <c r="G1490" s="35">
        <f>Orders!G1490</f>
        <v>3870</v>
      </c>
      <c r="H1490" s="37">
        <f>Orders!H1490</f>
        <v>8.1999999999999993</v>
      </c>
      <c r="I1490" s="39">
        <f>Orders!I1490</f>
        <v>31973.94</v>
      </c>
      <c r="J1490" t="str">
        <f>Orders!J1490</f>
        <v>Completed</v>
      </c>
      <c r="K1490" t="str">
        <f>Orders!K1490</f>
        <v>pune</v>
      </c>
      <c r="L1490" t="str">
        <f>IFERROR(VLOOKUP(D1490,Products!$A$2:$F$61,3,FALSE),"")</f>
        <v>Electronics</v>
      </c>
      <c r="M1490">
        <f>IFERROR(VLOOKUP(D1490,Products!$A$2:$F$61,4,FALSE),"")</f>
        <v>1559</v>
      </c>
      <c r="N1490" t="str">
        <f>IFERROR(VLOOKUP(E1490,Sales_Reps!$A$2:$E$31,3,FALSE),"")</f>
        <v>South</v>
      </c>
      <c r="O1490" t="str">
        <f>IFERROR(VLOOKUP(C1490,Customers!$A$2:$F$301,5,FALSE),"")</f>
        <v>Corporate</v>
      </c>
      <c r="P1490">
        <f>IFERROR(VLOOKUP(C1490,Customers!$A$2:$F$301,3,FALSE),"")</f>
        <v>40</v>
      </c>
      <c r="Q1490" s="41">
        <f t="shared" si="32"/>
        <v>0.59715762273901807</v>
      </c>
      <c r="R1490" t="str">
        <f>IFERROR(VLOOKUP(C1490,Customers!$A$2:$F$301,1,FALSE),"")</f>
        <v>CUST-0155</v>
      </c>
      <c r="S1490" s="27" t="b">
        <f>IFERROR(VLOOKUP(D1490,Products!$A$2:$F$61,6,FALSE),"")</f>
        <v>1</v>
      </c>
      <c r="BL1490">
        <v>0</v>
      </c>
      <c r="BO1490">
        <v>0</v>
      </c>
      <c r="BP1490">
        <v>0</v>
      </c>
    </row>
    <row r="1491" spans="1:68" x14ac:dyDescent="0.35">
      <c r="A1491" s="26" t="str">
        <f>Orders!A1491</f>
        <v>ORD-01490</v>
      </c>
      <c r="B1491" s="33">
        <f>Orders!B1491</f>
        <v>45491</v>
      </c>
      <c r="C1491" t="str">
        <f>Orders!C1491</f>
        <v>CUST-0278</v>
      </c>
      <c r="D1491" t="str">
        <f>Orders!D1491</f>
        <v>PROD-008</v>
      </c>
      <c r="E1491" t="str">
        <f>Orders!E1491</f>
        <v>R013</v>
      </c>
      <c r="F1491">
        <f>Orders!F1491</f>
        <v>7</v>
      </c>
      <c r="G1491" s="35">
        <f>Orders!G1491</f>
        <v>2660</v>
      </c>
      <c r="H1491" s="37">
        <f>Orders!H1491</f>
        <v>15.9</v>
      </c>
      <c r="I1491" s="39">
        <f>Orders!I1491</f>
        <v>15659.42</v>
      </c>
      <c r="J1491" t="str">
        <f>Orders!J1491</f>
        <v>Completed</v>
      </c>
      <c r="K1491" t="str">
        <f>Orders!K1491</f>
        <v>Hyderabad</v>
      </c>
      <c r="L1491" t="str">
        <f>IFERROR(VLOOKUP(D1491,Products!$A$2:$F$61,3,FALSE),"")</f>
        <v>Electronics</v>
      </c>
      <c r="M1491">
        <f>IFERROR(VLOOKUP(D1491,Products!$A$2:$F$61,4,FALSE),"")</f>
        <v>1259</v>
      </c>
      <c r="N1491" t="str">
        <f>IFERROR(VLOOKUP(E1491,Sales_Reps!$A$2:$E$31,3,FALSE),"")</f>
        <v>South</v>
      </c>
      <c r="O1491" t="str">
        <f>IFERROR(VLOOKUP(C1491,Customers!$A$2:$F$301,5,FALSE),"")</f>
        <v>Retail</v>
      </c>
      <c r="P1491">
        <f>IFERROR(VLOOKUP(C1491,Customers!$A$2:$F$301,3,FALSE),"")</f>
        <v>41</v>
      </c>
      <c r="Q1491" s="41">
        <f t="shared" si="32"/>
        <v>0.52669172932330832</v>
      </c>
      <c r="R1491" t="str">
        <f>IFERROR(VLOOKUP(C1491,Customers!$A$2:$F$301,1,FALSE),"")</f>
        <v>CUST-0278</v>
      </c>
      <c r="S1491" s="27" t="b">
        <f>IFERROR(VLOOKUP(D1491,Products!$A$2:$F$61,6,FALSE),"")</f>
        <v>0</v>
      </c>
      <c r="BL1491">
        <v>0</v>
      </c>
      <c r="BO1491">
        <v>0</v>
      </c>
      <c r="BP1491">
        <v>1</v>
      </c>
    </row>
    <row r="1492" spans="1:68" x14ac:dyDescent="0.35">
      <c r="A1492" s="26" t="str">
        <f>Orders!A1492</f>
        <v>ORD-01491</v>
      </c>
      <c r="B1492" s="33">
        <f>Orders!B1492</f>
        <v>45619</v>
      </c>
      <c r="C1492" t="str">
        <f>Orders!C1492</f>
        <v>CUST-0075</v>
      </c>
      <c r="D1492" t="str">
        <f>Orders!D1492</f>
        <v>PROD-007</v>
      </c>
      <c r="E1492" t="str">
        <f>Orders!E1492</f>
        <v>R019</v>
      </c>
      <c r="F1492">
        <f>Orders!F1492</f>
        <v>4</v>
      </c>
      <c r="G1492" s="35">
        <f>Orders!G1492</f>
        <v>1430</v>
      </c>
      <c r="H1492" s="37">
        <f>Orders!H1492</f>
        <v>25.6</v>
      </c>
      <c r="I1492" s="39">
        <f>Orders!I1492</f>
        <v>4255.68</v>
      </c>
      <c r="J1492" t="str">
        <f>Orders!J1492</f>
        <v>Completed</v>
      </c>
      <c r="K1492" t="str">
        <f>Orders!K1492</f>
        <v>Mumbai</v>
      </c>
      <c r="L1492" t="str">
        <f>IFERROR(VLOOKUP(D1492,Products!$A$2:$F$61,3,FALSE),"")</f>
        <v>Electronics</v>
      </c>
      <c r="M1492">
        <f>IFERROR(VLOOKUP(D1492,Products!$A$2:$F$61,4,FALSE),"")</f>
        <v>861</v>
      </c>
      <c r="N1492" t="str">
        <f>IFERROR(VLOOKUP(E1492,Sales_Reps!$A$2:$E$31,3,FALSE),"")</f>
        <v>East</v>
      </c>
      <c r="O1492" t="str">
        <f>IFERROR(VLOOKUP(C1492,Customers!$A$2:$F$301,5,FALSE),"")</f>
        <v>Corporate</v>
      </c>
      <c r="P1492">
        <f>IFERROR(VLOOKUP(C1492,Customers!$A$2:$F$301,3,FALSE),"")</f>
        <v>55</v>
      </c>
      <c r="Q1492" s="41">
        <f t="shared" si="32"/>
        <v>0.39790209790209791</v>
      </c>
      <c r="R1492" t="str">
        <f>IFERROR(VLOOKUP(C1492,Customers!$A$2:$F$301,1,FALSE),"")</f>
        <v>CUST-0075</v>
      </c>
      <c r="S1492" s="27" t="b">
        <f>IFERROR(VLOOKUP(D1492,Products!$A$2:$F$61,6,FALSE),"")</f>
        <v>1</v>
      </c>
      <c r="BL1492">
        <v>0</v>
      </c>
      <c r="BO1492">
        <v>0</v>
      </c>
      <c r="BP1492">
        <v>0</v>
      </c>
    </row>
    <row r="1493" spans="1:68" x14ac:dyDescent="0.35">
      <c r="A1493" s="26" t="str">
        <f>Orders!A1493</f>
        <v>ORD-01492</v>
      </c>
      <c r="B1493" s="33">
        <f>Orders!B1493</f>
        <v>45374</v>
      </c>
      <c r="C1493" t="str">
        <f>Orders!C1493</f>
        <v>CUST-0274</v>
      </c>
      <c r="D1493" t="str">
        <f>Orders!D1493</f>
        <v>PROD-046</v>
      </c>
      <c r="E1493" t="str">
        <f>Orders!E1493</f>
        <v>R023</v>
      </c>
      <c r="F1493">
        <f>Orders!F1493</f>
        <v>4</v>
      </c>
      <c r="G1493" s="35">
        <f>Orders!G1493</f>
        <v>4880</v>
      </c>
      <c r="H1493" s="37">
        <f>Orders!H1493</f>
        <v>19.399999999999999</v>
      </c>
      <c r="I1493" s="39">
        <f>Orders!I1493</f>
        <v>15733.12</v>
      </c>
      <c r="J1493" t="str">
        <f>Orders!J1493</f>
        <v>Cancelled</v>
      </c>
      <c r="K1493" t="str">
        <f>Orders!K1493</f>
        <v>Bengaluru</v>
      </c>
      <c r="L1493" t="str">
        <f>IFERROR(VLOOKUP(D1493,Products!$A$2:$F$61,3,FALSE),"")</f>
        <v>Beauty</v>
      </c>
      <c r="M1493">
        <f>IFERROR(VLOOKUP(D1493,Products!$A$2:$F$61,4,FALSE),"")</f>
        <v>2768</v>
      </c>
      <c r="N1493" t="str">
        <f>IFERROR(VLOOKUP(E1493,Sales_Reps!$A$2:$E$31,3,FALSE),"")</f>
        <v>East</v>
      </c>
      <c r="O1493" t="str">
        <f>IFERROR(VLOOKUP(C1493,Customers!$A$2:$F$301,5,FALSE),"")</f>
        <v>Corporate</v>
      </c>
      <c r="P1493">
        <f>IFERROR(VLOOKUP(C1493,Customers!$A$2:$F$301,3,FALSE),"")</f>
        <v>36</v>
      </c>
      <c r="Q1493" s="41">
        <f t="shared" si="32"/>
        <v>0.43278688524590164</v>
      </c>
      <c r="R1493" t="str">
        <f>IFERROR(VLOOKUP(C1493,Customers!$A$2:$F$301,1,FALSE),"")</f>
        <v>CUST-0274</v>
      </c>
      <c r="S1493" s="27" t="b">
        <f>IFERROR(VLOOKUP(D1493,Products!$A$2:$F$61,6,FALSE),"")</f>
        <v>1</v>
      </c>
      <c r="BL1493">
        <v>0</v>
      </c>
      <c r="BO1493">
        <v>0</v>
      </c>
      <c r="BP1493">
        <v>0</v>
      </c>
    </row>
    <row r="1494" spans="1:68" x14ac:dyDescent="0.35">
      <c r="A1494" s="26" t="str">
        <f>Orders!A1494</f>
        <v>ORD-01493</v>
      </c>
      <c r="B1494" s="33">
        <f>Orders!B1494</f>
        <v>45566</v>
      </c>
      <c r="C1494" t="str">
        <f>Orders!C1494</f>
        <v>CUST-0197</v>
      </c>
      <c r="D1494" t="str">
        <f>Orders!D1494</f>
        <v>PROD-060</v>
      </c>
      <c r="E1494" t="str">
        <f>Orders!E1494</f>
        <v>R001</v>
      </c>
      <c r="F1494">
        <f>Orders!F1494</f>
        <v>2</v>
      </c>
      <c r="G1494" s="35">
        <f>Orders!G1494</f>
        <v>190</v>
      </c>
      <c r="H1494" s="37">
        <f>Orders!H1494</f>
        <v>9</v>
      </c>
      <c r="I1494" s="39">
        <f>Orders!I1494</f>
        <v>345.8</v>
      </c>
      <c r="J1494" t="str">
        <f>Orders!J1494</f>
        <v>Completed</v>
      </c>
      <c r="K1494" t="str">
        <f>Orders!K1494</f>
        <v>Bengaluru</v>
      </c>
      <c r="L1494" t="str">
        <f>IFERROR(VLOOKUP(D1494,Products!$A$2:$F$61,3,FALSE),"")</f>
        <v>Sports</v>
      </c>
      <c r="M1494">
        <f>IFERROR(VLOOKUP(D1494,Products!$A$2:$F$61,4,FALSE),"")</f>
        <v>147</v>
      </c>
      <c r="N1494" t="str">
        <f>IFERROR(VLOOKUP(E1494,Sales_Reps!$A$2:$E$31,3,FALSE),"")</f>
        <v>North</v>
      </c>
      <c r="O1494" t="str">
        <f>IFERROR(VLOOKUP(C1494,Customers!$A$2:$F$301,5,FALSE),"")</f>
        <v>Retail</v>
      </c>
      <c r="P1494">
        <f>IFERROR(VLOOKUP(C1494,Customers!$A$2:$F$301,3,FALSE),"")</f>
        <v>55</v>
      </c>
      <c r="Q1494" s="41">
        <f t="shared" si="32"/>
        <v>0.22631578947368422</v>
      </c>
      <c r="R1494" t="str">
        <f>IFERROR(VLOOKUP(C1494,Customers!$A$2:$F$301,1,FALSE),"")</f>
        <v>CUST-0197</v>
      </c>
      <c r="S1494" s="27" t="b">
        <f>IFERROR(VLOOKUP(D1494,Products!$A$2:$F$61,6,FALSE),"")</f>
        <v>1</v>
      </c>
      <c r="BL1494">
        <v>0</v>
      </c>
      <c r="BO1494">
        <v>0</v>
      </c>
      <c r="BP1494">
        <v>0</v>
      </c>
    </row>
    <row r="1495" spans="1:68" x14ac:dyDescent="0.35">
      <c r="A1495" s="26" t="str">
        <f>Orders!A1495</f>
        <v>ORD-01494</v>
      </c>
      <c r="B1495" s="33">
        <f>Orders!B1495</f>
        <v>45415</v>
      </c>
      <c r="C1495" t="str">
        <f>Orders!C1495</f>
        <v>CUST-0294</v>
      </c>
      <c r="D1495" t="str">
        <f>Orders!D1495</f>
        <v>PROD-045</v>
      </c>
      <c r="E1495" t="str">
        <f>Orders!E1495</f>
        <v>R019</v>
      </c>
      <c r="F1495">
        <f>Orders!F1495</f>
        <v>1</v>
      </c>
      <c r="G1495" s="35">
        <f>Orders!G1495</f>
        <v>3020</v>
      </c>
      <c r="H1495" s="37">
        <f>Orders!H1495</f>
        <v>3.6</v>
      </c>
      <c r="I1495" s="39">
        <f>Orders!I1495</f>
        <v>2911.28</v>
      </c>
      <c r="J1495" t="str">
        <f>Orders!J1495</f>
        <v>Refunded</v>
      </c>
      <c r="K1495" t="str">
        <f>Orders!K1495</f>
        <v>Delhi</v>
      </c>
      <c r="L1495" t="str">
        <f>IFERROR(VLOOKUP(D1495,Products!$A$2:$F$61,3,FALSE),"")</f>
        <v>Beauty</v>
      </c>
      <c r="M1495">
        <f>IFERROR(VLOOKUP(D1495,Products!$A$2:$F$61,4,FALSE),"")</f>
        <v>1626</v>
      </c>
      <c r="N1495" t="str">
        <f>IFERROR(VLOOKUP(E1495,Sales_Reps!$A$2:$E$31,3,FALSE),"")</f>
        <v>East</v>
      </c>
      <c r="O1495" t="str">
        <f>IFERROR(VLOOKUP(C1495,Customers!$A$2:$F$301,5,FALSE),"")</f>
        <v>Corporate</v>
      </c>
      <c r="P1495">
        <f>IFERROR(VLOOKUP(C1495,Customers!$A$2:$F$301,3,FALSE),"")</f>
        <v>31</v>
      </c>
      <c r="Q1495" s="41">
        <f t="shared" si="32"/>
        <v>0.46158940397350995</v>
      </c>
      <c r="R1495" t="str">
        <f>IFERROR(VLOOKUP(C1495,Customers!$A$2:$F$301,1,FALSE),"")</f>
        <v>CUST-0294</v>
      </c>
      <c r="S1495" s="27" t="b">
        <f>IFERROR(VLOOKUP(D1495,Products!$A$2:$F$61,6,FALSE),"")</f>
        <v>1</v>
      </c>
      <c r="BL1495">
        <v>0</v>
      </c>
      <c r="BO1495">
        <v>0</v>
      </c>
      <c r="BP1495">
        <v>0</v>
      </c>
    </row>
    <row r="1496" spans="1:68" x14ac:dyDescent="0.35">
      <c r="A1496" s="26" t="str">
        <f>Orders!A1496</f>
        <v>ORD-01495</v>
      </c>
      <c r="B1496" s="33">
        <f>Orders!B1496</f>
        <v>45601</v>
      </c>
      <c r="C1496" t="str">
        <f>Orders!C1496</f>
        <v>CUST-0281</v>
      </c>
      <c r="D1496" t="str">
        <f>Orders!D1496</f>
        <v>PROD-046</v>
      </c>
      <c r="E1496" t="str">
        <f>Orders!E1496</f>
        <v>R019</v>
      </c>
      <c r="F1496">
        <f>Orders!F1496</f>
        <v>2</v>
      </c>
      <c r="G1496" s="35">
        <f>Orders!G1496</f>
        <v>4880</v>
      </c>
      <c r="H1496" s="37">
        <f>Orders!H1496</f>
        <v>2</v>
      </c>
      <c r="I1496" s="39">
        <f>Orders!I1496</f>
        <v>9564.7999999999993</v>
      </c>
      <c r="J1496" t="str">
        <f>Orders!J1496</f>
        <v>Cancelled</v>
      </c>
      <c r="K1496" t="str">
        <f>Orders!K1496</f>
        <v>Bengaluru</v>
      </c>
      <c r="L1496" t="str">
        <f>IFERROR(VLOOKUP(D1496,Products!$A$2:$F$61,3,FALSE),"")</f>
        <v>Beauty</v>
      </c>
      <c r="M1496">
        <f>IFERROR(VLOOKUP(D1496,Products!$A$2:$F$61,4,FALSE),"")</f>
        <v>2768</v>
      </c>
      <c r="N1496" t="str">
        <f>IFERROR(VLOOKUP(E1496,Sales_Reps!$A$2:$E$31,3,FALSE),"")</f>
        <v>East</v>
      </c>
      <c r="O1496" t="str">
        <f>IFERROR(VLOOKUP(C1496,Customers!$A$2:$F$301,5,FALSE),"")</f>
        <v>Corporate</v>
      </c>
      <c r="P1496">
        <f>IFERROR(VLOOKUP(C1496,Customers!$A$2:$F$301,3,FALSE),"")</f>
        <v>57</v>
      </c>
      <c r="Q1496" s="41">
        <f t="shared" si="32"/>
        <v>0.43278688524590164</v>
      </c>
      <c r="R1496" t="str">
        <f>IFERROR(VLOOKUP(C1496,Customers!$A$2:$F$301,1,FALSE),"")</f>
        <v>CUST-0281</v>
      </c>
      <c r="S1496" s="27" t="b">
        <f>IFERROR(VLOOKUP(D1496,Products!$A$2:$F$61,6,FALSE),"")</f>
        <v>1</v>
      </c>
      <c r="BL1496">
        <v>0</v>
      </c>
      <c r="BO1496">
        <v>0</v>
      </c>
      <c r="BP1496">
        <v>0</v>
      </c>
    </row>
    <row r="1497" spans="1:68" x14ac:dyDescent="0.35">
      <c r="A1497" s="26" t="str">
        <f>Orders!A1497</f>
        <v>ORD-01496</v>
      </c>
      <c r="B1497" s="33">
        <f>Orders!B1497</f>
        <v>45319</v>
      </c>
      <c r="C1497" t="str">
        <f>Orders!C1497</f>
        <v>CUST-0130</v>
      </c>
      <c r="D1497" t="str">
        <f>Orders!D1497</f>
        <v>PROD-058</v>
      </c>
      <c r="E1497" t="str">
        <f>Orders!E1497</f>
        <v>R027</v>
      </c>
      <c r="F1497">
        <f>Orders!F1497</f>
        <v>4</v>
      </c>
      <c r="G1497" s="35">
        <f>Orders!G1497</f>
        <v>2400</v>
      </c>
      <c r="H1497" s="37">
        <f>Orders!H1497</f>
        <v>11.5</v>
      </c>
      <c r="I1497" s="39">
        <f>Orders!I1497</f>
        <v>8496</v>
      </c>
      <c r="J1497" t="str">
        <f>Orders!J1497</f>
        <v>Completed</v>
      </c>
      <c r="K1497" t="str">
        <f>Orders!K1497</f>
        <v>Bengaluru</v>
      </c>
      <c r="L1497" t="str">
        <f>IFERROR(VLOOKUP(D1497,Products!$A$2:$F$61,3,FALSE),"")</f>
        <v>Sports</v>
      </c>
      <c r="M1497">
        <f>IFERROR(VLOOKUP(D1497,Products!$A$2:$F$61,4,FALSE),"")</f>
        <v>974</v>
      </c>
      <c r="N1497" t="str">
        <f>IFERROR(VLOOKUP(E1497,Sales_Reps!$A$2:$E$31,3,FALSE),"")</f>
        <v>West</v>
      </c>
      <c r="O1497" t="str">
        <f>IFERROR(VLOOKUP(C1497,Customers!$A$2:$F$301,5,FALSE),"")</f>
        <v>Corporate</v>
      </c>
      <c r="P1497">
        <f>IFERROR(VLOOKUP(C1497,Customers!$A$2:$F$301,3,FALSE),"")</f>
        <v>41</v>
      </c>
      <c r="Q1497" s="41">
        <f t="shared" si="32"/>
        <v>0.59416666666666662</v>
      </c>
      <c r="R1497" t="str">
        <f>IFERROR(VLOOKUP(C1497,Customers!$A$2:$F$301,1,FALSE),"")</f>
        <v>CUST-0130</v>
      </c>
      <c r="S1497" s="27" t="b">
        <f>IFERROR(VLOOKUP(D1497,Products!$A$2:$F$61,6,FALSE),"")</f>
        <v>1</v>
      </c>
      <c r="BL1497">
        <v>0</v>
      </c>
      <c r="BO1497">
        <v>0</v>
      </c>
      <c r="BP1497">
        <v>0</v>
      </c>
    </row>
    <row r="1498" spans="1:68" x14ac:dyDescent="0.35">
      <c r="A1498" s="26" t="str">
        <f>Orders!A1498</f>
        <v>ORD-01497</v>
      </c>
      <c r="B1498" s="33">
        <f>Orders!B1498</f>
        <v>45357</v>
      </c>
      <c r="C1498" t="str">
        <f>Orders!C1498</f>
        <v>CUST-0097</v>
      </c>
      <c r="D1498" t="str">
        <f>Orders!D1498</f>
        <v>PROD-050</v>
      </c>
      <c r="E1498" t="str">
        <f>Orders!E1498</f>
        <v>R002</v>
      </c>
      <c r="F1498">
        <f>Orders!F1498</f>
        <v>2</v>
      </c>
      <c r="G1498" s="35">
        <f>Orders!G1498</f>
        <v>6080</v>
      </c>
      <c r="H1498" s="37">
        <f>Orders!H1498</f>
        <v>0.5</v>
      </c>
      <c r="I1498" s="39">
        <f>Orders!I1498</f>
        <v>12099.2</v>
      </c>
      <c r="J1498" t="str">
        <f>Orders!J1498</f>
        <v>Cancelled</v>
      </c>
      <c r="K1498" t="str">
        <f>Orders!K1498</f>
        <v>Mumbai</v>
      </c>
      <c r="L1498" t="str">
        <f>IFERROR(VLOOKUP(D1498,Products!$A$2:$F$61,3,FALSE),"")</f>
        <v>Beauty</v>
      </c>
      <c r="M1498">
        <f>IFERROR(VLOOKUP(D1498,Products!$A$2:$F$61,4,FALSE),"")</f>
        <v>2617</v>
      </c>
      <c r="N1498" t="str">
        <f>IFERROR(VLOOKUP(E1498,Sales_Reps!$A$2:$E$31,3,FALSE),"")</f>
        <v>North</v>
      </c>
      <c r="O1498" t="str">
        <f>IFERROR(VLOOKUP(C1498,Customers!$A$2:$F$301,5,FALSE),"")</f>
        <v>Retail</v>
      </c>
      <c r="P1498">
        <f>IFERROR(VLOOKUP(C1498,Customers!$A$2:$F$301,3,FALSE),"")</f>
        <v>65</v>
      </c>
      <c r="Q1498" s="41">
        <f t="shared" si="32"/>
        <v>0.56957236842105263</v>
      </c>
      <c r="R1498" t="str">
        <f>IFERROR(VLOOKUP(C1498,Customers!$A$2:$F$301,1,FALSE),"")</f>
        <v>CUST-0097</v>
      </c>
      <c r="S1498" s="27" t="b">
        <f>IFERROR(VLOOKUP(D1498,Products!$A$2:$F$61,6,FALSE),"")</f>
        <v>1</v>
      </c>
      <c r="BL1498">
        <v>0</v>
      </c>
      <c r="BO1498">
        <v>0</v>
      </c>
      <c r="BP1498">
        <v>0</v>
      </c>
    </row>
    <row r="1499" spans="1:68" x14ac:dyDescent="0.35">
      <c r="A1499" s="26" t="str">
        <f>Orders!A1499</f>
        <v>ORD-01498</v>
      </c>
      <c r="B1499" s="33">
        <f>Orders!B1499</f>
        <v>45384</v>
      </c>
      <c r="C1499" t="str">
        <f>Orders!C1499</f>
        <v>CUST-0148</v>
      </c>
      <c r="D1499" t="str">
        <f>Orders!D1499</f>
        <v>PROD-023</v>
      </c>
      <c r="E1499" t="str">
        <f>Orders!E1499</f>
        <v>R023</v>
      </c>
      <c r="F1499">
        <f>Orders!F1499</f>
        <v>7</v>
      </c>
      <c r="G1499" s="35">
        <f>Orders!G1499</f>
        <v>2380</v>
      </c>
      <c r="H1499" s="37">
        <f>Orders!H1499</f>
        <v>12.3</v>
      </c>
      <c r="I1499" s="39">
        <f>Orders!I1499</f>
        <v>14610.82</v>
      </c>
      <c r="J1499" t="str">
        <f>Orders!J1499</f>
        <v>Completed</v>
      </c>
      <c r="K1499" t="str">
        <f>Orders!K1499</f>
        <v>Chennai</v>
      </c>
      <c r="L1499" t="str">
        <f>IFERROR(VLOOKUP(D1499,Products!$A$2:$F$61,3,FALSE),"")</f>
        <v>Grocery</v>
      </c>
      <c r="M1499">
        <f>IFERROR(VLOOKUP(D1499,Products!$A$2:$F$61,4,FALSE),"")</f>
        <v>1182</v>
      </c>
      <c r="N1499" t="str">
        <f>IFERROR(VLOOKUP(E1499,Sales_Reps!$A$2:$E$31,3,FALSE),"")</f>
        <v>East</v>
      </c>
      <c r="O1499" t="str">
        <f>IFERROR(VLOOKUP(C1499,Customers!$A$2:$F$301,5,FALSE),"")</f>
        <v>Retail</v>
      </c>
      <c r="P1499">
        <f>IFERROR(VLOOKUP(C1499,Customers!$A$2:$F$301,3,FALSE),"")</f>
        <v>32</v>
      </c>
      <c r="Q1499" s="41">
        <f t="shared" si="32"/>
        <v>0.50336134453781511</v>
      </c>
      <c r="R1499" t="str">
        <f>IFERROR(VLOOKUP(C1499,Customers!$A$2:$F$301,1,FALSE),"")</f>
        <v>CUST-0148</v>
      </c>
      <c r="S1499" s="27" t="b">
        <f>IFERROR(VLOOKUP(D1499,Products!$A$2:$F$61,6,FALSE),"")</f>
        <v>1</v>
      </c>
      <c r="BL1499">
        <v>0</v>
      </c>
      <c r="BO1499">
        <v>0</v>
      </c>
      <c r="BP1499">
        <v>0</v>
      </c>
    </row>
    <row r="1500" spans="1:68" x14ac:dyDescent="0.35">
      <c r="A1500" s="26" t="str">
        <f>Orders!A1500</f>
        <v>ORD-01499</v>
      </c>
      <c r="B1500" s="33">
        <f>Orders!B1500</f>
        <v>45509</v>
      </c>
      <c r="C1500" t="str">
        <f>Orders!C1500</f>
        <v>CUST-0102</v>
      </c>
      <c r="D1500" t="str">
        <f>Orders!D1500</f>
        <v>PROD-041</v>
      </c>
      <c r="E1500" t="str">
        <f>Orders!E1500</f>
        <v>R001</v>
      </c>
      <c r="F1500">
        <f>Orders!F1500</f>
        <v>10</v>
      </c>
      <c r="G1500" s="35">
        <f>Orders!G1500</f>
        <v>1540</v>
      </c>
      <c r="H1500" s="37">
        <f>Orders!H1500</f>
        <v>20.6</v>
      </c>
      <c r="I1500" s="39">
        <f>Orders!I1500</f>
        <v>12227.6</v>
      </c>
      <c r="J1500" t="str">
        <f>Orders!J1500</f>
        <v>Completed</v>
      </c>
      <c r="K1500" t="str">
        <f>Orders!K1500</f>
        <v>Chennai</v>
      </c>
      <c r="L1500" t="str">
        <f>IFERROR(VLOOKUP(D1500,Products!$A$2:$F$61,3,FALSE),"")</f>
        <v>Beauty</v>
      </c>
      <c r="M1500">
        <f>IFERROR(VLOOKUP(D1500,Products!$A$2:$F$61,4,FALSE),"")</f>
        <v>647</v>
      </c>
      <c r="N1500" t="str">
        <f>IFERROR(VLOOKUP(E1500,Sales_Reps!$A$2:$E$31,3,FALSE),"")</f>
        <v>North</v>
      </c>
      <c r="O1500" t="str">
        <f>IFERROR(VLOOKUP(C1500,Customers!$A$2:$F$301,5,FALSE),"")</f>
        <v>SMB</v>
      </c>
      <c r="P1500">
        <f>IFERROR(VLOOKUP(C1500,Customers!$A$2:$F$301,3,FALSE),"")</f>
        <v>62</v>
      </c>
      <c r="Q1500" s="41">
        <f t="shared" si="32"/>
        <v>0.57987012987012987</v>
      </c>
      <c r="R1500" t="str">
        <f>IFERROR(VLOOKUP(C1500,Customers!$A$2:$F$301,1,FALSE),"")</f>
        <v>CUST-0102</v>
      </c>
      <c r="S1500" s="27" t="b">
        <f>IFERROR(VLOOKUP(D1500,Products!$A$2:$F$61,6,FALSE),"")</f>
        <v>0</v>
      </c>
      <c r="BL1500">
        <v>0</v>
      </c>
      <c r="BO1500">
        <v>0</v>
      </c>
      <c r="BP1500">
        <v>1</v>
      </c>
    </row>
    <row r="1501" spans="1:68" x14ac:dyDescent="0.35">
      <c r="A1501" s="26" t="str">
        <f>Orders!A1501</f>
        <v>ORD-01500</v>
      </c>
      <c r="B1501" s="33">
        <f>Orders!B1501</f>
        <v>45520</v>
      </c>
      <c r="C1501" t="str">
        <f>Orders!C1501</f>
        <v>CUST-0265</v>
      </c>
      <c r="D1501" t="str">
        <f>Orders!D1501</f>
        <v>PROD-004</v>
      </c>
      <c r="E1501" t="str">
        <f>Orders!E1501</f>
        <v>R028</v>
      </c>
      <c r="F1501">
        <f>Orders!F1501</f>
        <v>7</v>
      </c>
      <c r="G1501" s="35">
        <f>Orders!G1501</f>
        <v>3870</v>
      </c>
      <c r="H1501" s="37">
        <f>Orders!H1501</f>
        <v>6.1</v>
      </c>
      <c r="I1501" s="39">
        <f>Orders!I1501</f>
        <v>25437.51</v>
      </c>
      <c r="J1501" t="str">
        <f>Orders!J1501</f>
        <v>Completed</v>
      </c>
      <c r="K1501" t="str">
        <f>Orders!K1501</f>
        <v>Chennai</v>
      </c>
      <c r="L1501" t="str">
        <f>IFERROR(VLOOKUP(D1501,Products!$A$2:$F$61,3,FALSE),"")</f>
        <v>Electronics</v>
      </c>
      <c r="M1501">
        <f>IFERROR(VLOOKUP(D1501,Products!$A$2:$F$61,4,FALSE),"")</f>
        <v>1559</v>
      </c>
      <c r="N1501" t="str">
        <f>IFERROR(VLOOKUP(E1501,Sales_Reps!$A$2:$E$31,3,FALSE),"")</f>
        <v>West</v>
      </c>
      <c r="O1501" t="str">
        <f>IFERROR(VLOOKUP(C1501,Customers!$A$2:$F$301,5,FALSE),"")</f>
        <v>Retail</v>
      </c>
      <c r="P1501">
        <f>IFERROR(VLOOKUP(C1501,Customers!$A$2:$F$301,3,FALSE),"")</f>
        <v>49</v>
      </c>
      <c r="Q1501" s="41">
        <f t="shared" si="32"/>
        <v>0.59715762273901807</v>
      </c>
      <c r="R1501" t="str">
        <f>IFERROR(VLOOKUP(C1501,Customers!$A$2:$F$301,1,FALSE),"")</f>
        <v>CUST-0265</v>
      </c>
      <c r="S1501" s="27" t="b">
        <f>IFERROR(VLOOKUP(D1501,Products!$A$2:$F$61,6,FALSE),"")</f>
        <v>1</v>
      </c>
      <c r="BL1501">
        <v>0</v>
      </c>
      <c r="BO1501">
        <v>0</v>
      </c>
      <c r="BP1501">
        <v>0</v>
      </c>
    </row>
    <row r="1502" spans="1:68" x14ac:dyDescent="0.35">
      <c r="A1502" s="26" t="str">
        <f>Orders!A1502</f>
        <v>ORD-01501</v>
      </c>
      <c r="B1502" s="33">
        <f>Orders!B1502</f>
        <v>45383</v>
      </c>
      <c r="C1502" t="str">
        <f>Orders!C1502</f>
        <v>CUST-0073</v>
      </c>
      <c r="D1502" t="str">
        <f>Orders!D1502</f>
        <v>PROD-032</v>
      </c>
      <c r="E1502" t="str">
        <f>Orders!E1502</f>
        <v>R021</v>
      </c>
      <c r="F1502">
        <f>Orders!F1502</f>
        <v>3</v>
      </c>
      <c r="G1502" s="35">
        <f>Orders!G1502</f>
        <v>370</v>
      </c>
      <c r="H1502" s="37">
        <f>Orders!H1502</f>
        <v>13.7</v>
      </c>
      <c r="I1502" s="39">
        <f>Orders!I1502</f>
        <v>957.93</v>
      </c>
      <c r="J1502" t="str">
        <f>Orders!J1502</f>
        <v>Completed</v>
      </c>
      <c r="K1502" t="str">
        <f>Orders!K1502</f>
        <v>Pune</v>
      </c>
      <c r="L1502" t="str">
        <f>IFERROR(VLOOKUP(D1502,Products!$A$2:$F$61,3,FALSE),"")</f>
        <v>Home</v>
      </c>
      <c r="M1502">
        <f>IFERROR(VLOOKUP(D1502,Products!$A$2:$F$61,4,FALSE),"")</f>
        <v>288</v>
      </c>
      <c r="N1502" t="str">
        <f>IFERROR(VLOOKUP(E1502,Sales_Reps!$A$2:$E$31,3,FALSE),"")</f>
        <v>East</v>
      </c>
      <c r="O1502" t="str">
        <f>IFERROR(VLOOKUP(C1502,Customers!$A$2:$F$301,5,FALSE),"")</f>
        <v>Corporate</v>
      </c>
      <c r="P1502">
        <f>IFERROR(VLOOKUP(C1502,Customers!$A$2:$F$301,3,FALSE),"")</f>
        <v>40</v>
      </c>
      <c r="Q1502" s="41">
        <f t="shared" si="32"/>
        <v>0.22162162162162163</v>
      </c>
      <c r="R1502" t="str">
        <f>IFERROR(VLOOKUP(C1502,Customers!$A$2:$F$301,1,FALSE),"")</f>
        <v>CUST-0073</v>
      </c>
      <c r="S1502" s="27" t="b">
        <f>IFERROR(VLOOKUP(D1502,Products!$A$2:$F$61,6,FALSE),"")</f>
        <v>1</v>
      </c>
      <c r="BL1502">
        <v>0</v>
      </c>
      <c r="BO1502">
        <v>0</v>
      </c>
      <c r="BP1502">
        <v>0</v>
      </c>
    </row>
    <row r="1503" spans="1:68" x14ac:dyDescent="0.35">
      <c r="A1503" s="26" t="str">
        <f>Orders!A1503</f>
        <v>ORD-01502</v>
      </c>
      <c r="B1503" s="33">
        <f>Orders!B1503</f>
        <v>45328</v>
      </c>
      <c r="C1503" t="str">
        <f>Orders!C1503</f>
        <v>CUST-0070</v>
      </c>
      <c r="D1503" t="str">
        <f>Orders!D1503</f>
        <v>PROD-060</v>
      </c>
      <c r="E1503" t="str">
        <f>Orders!E1503</f>
        <v>R027</v>
      </c>
      <c r="F1503">
        <f>Orders!F1503</f>
        <v>8</v>
      </c>
      <c r="G1503" s="35">
        <f>Orders!G1503</f>
        <v>190</v>
      </c>
      <c r="H1503" s="37">
        <f>Orders!H1503</f>
        <v>0.2</v>
      </c>
      <c r="I1503" s="39">
        <f>Orders!I1503</f>
        <v>1516.96</v>
      </c>
      <c r="J1503" t="str">
        <f>Orders!J1503</f>
        <v>Completed</v>
      </c>
      <c r="K1503" t="str">
        <f>Orders!K1503</f>
        <v>Mumbai</v>
      </c>
      <c r="L1503" t="str">
        <f>IFERROR(VLOOKUP(D1503,Products!$A$2:$F$61,3,FALSE),"")</f>
        <v>Sports</v>
      </c>
      <c r="M1503">
        <f>IFERROR(VLOOKUP(D1503,Products!$A$2:$F$61,4,FALSE),"")</f>
        <v>147</v>
      </c>
      <c r="N1503" t="str">
        <f>IFERROR(VLOOKUP(E1503,Sales_Reps!$A$2:$E$31,3,FALSE),"")</f>
        <v>West</v>
      </c>
      <c r="O1503" t="str">
        <f>IFERROR(VLOOKUP(C1503,Customers!$A$2:$F$301,5,FALSE),"")</f>
        <v>Retail</v>
      </c>
      <c r="P1503">
        <f>IFERROR(VLOOKUP(C1503,Customers!$A$2:$F$301,3,FALSE),"")</f>
        <v>42</v>
      </c>
      <c r="Q1503" s="41">
        <f t="shared" si="32"/>
        <v>0.22631578947368422</v>
      </c>
      <c r="R1503" t="str">
        <f>IFERROR(VLOOKUP(C1503,Customers!$A$2:$F$301,1,FALSE),"")</f>
        <v>CUST-0070</v>
      </c>
      <c r="S1503" s="27" t="b">
        <f>IFERROR(VLOOKUP(D1503,Products!$A$2:$F$61,6,FALSE),"")</f>
        <v>1</v>
      </c>
      <c r="BL1503">
        <v>0</v>
      </c>
      <c r="BO1503">
        <v>0</v>
      </c>
      <c r="BP1503">
        <v>0</v>
      </c>
    </row>
    <row r="1504" spans="1:68" x14ac:dyDescent="0.35">
      <c r="A1504" s="26" t="str">
        <f>Orders!A1504</f>
        <v>ORD-01503</v>
      </c>
      <c r="B1504" s="33">
        <f>Orders!B1504</f>
        <v>45501</v>
      </c>
      <c r="C1504" t="str">
        <f>Orders!C1504</f>
        <v>CUST-0202</v>
      </c>
      <c r="D1504" t="str">
        <f>Orders!D1504</f>
        <v>PROD-007</v>
      </c>
      <c r="E1504" t="str">
        <f>Orders!E1504</f>
        <v>R011</v>
      </c>
      <c r="F1504">
        <f>Orders!F1504</f>
        <v>6</v>
      </c>
      <c r="G1504" s="35">
        <f>Orders!G1504</f>
        <v>1430</v>
      </c>
      <c r="H1504" s="37">
        <f>Orders!H1504</f>
        <v>0.1</v>
      </c>
      <c r="I1504" s="39">
        <f>Orders!I1504</f>
        <v>8571.42</v>
      </c>
      <c r="J1504" t="str">
        <f>Orders!J1504</f>
        <v>Completed</v>
      </c>
      <c r="K1504" t="str">
        <f>Orders!K1504</f>
        <v>Chennai</v>
      </c>
      <c r="L1504" t="str">
        <f>IFERROR(VLOOKUP(D1504,Products!$A$2:$F$61,3,FALSE),"")</f>
        <v>Electronics</v>
      </c>
      <c r="M1504">
        <f>IFERROR(VLOOKUP(D1504,Products!$A$2:$F$61,4,FALSE),"")</f>
        <v>861</v>
      </c>
      <c r="N1504" t="str">
        <f>IFERROR(VLOOKUP(E1504,Sales_Reps!$A$2:$E$31,3,FALSE),"")</f>
        <v>South</v>
      </c>
      <c r="O1504" t="str">
        <f>IFERROR(VLOOKUP(C1504,Customers!$A$2:$F$301,5,FALSE),"")</f>
        <v>Retail</v>
      </c>
      <c r="P1504">
        <f>IFERROR(VLOOKUP(C1504,Customers!$A$2:$F$301,3,FALSE),"")</f>
        <v>39</v>
      </c>
      <c r="Q1504" s="41">
        <f t="shared" si="32"/>
        <v>0.39790209790209791</v>
      </c>
      <c r="R1504" t="str">
        <f>IFERROR(VLOOKUP(C1504,Customers!$A$2:$F$301,1,FALSE),"")</f>
        <v>CUST-0202</v>
      </c>
      <c r="S1504" s="27" t="b">
        <f>IFERROR(VLOOKUP(D1504,Products!$A$2:$F$61,6,FALSE),"")</f>
        <v>1</v>
      </c>
      <c r="BL1504">
        <v>0</v>
      </c>
      <c r="BO1504">
        <v>0</v>
      </c>
      <c r="BP1504">
        <v>0</v>
      </c>
    </row>
    <row r="1505" spans="1:68" x14ac:dyDescent="0.35">
      <c r="A1505" s="26" t="str">
        <f>Orders!A1505</f>
        <v>ORD-01504</v>
      </c>
      <c r="B1505" s="33">
        <f>Orders!B1505</f>
        <v>45346</v>
      </c>
      <c r="C1505" t="str">
        <f>Orders!C1505</f>
        <v>CUST-0240</v>
      </c>
      <c r="D1505" t="str">
        <f>Orders!D1505</f>
        <v>PROD-053</v>
      </c>
      <c r="E1505" t="str">
        <f>Orders!E1505</f>
        <v>R020</v>
      </c>
      <c r="F1505">
        <f>Orders!F1505</f>
        <v>4</v>
      </c>
      <c r="G1505" s="35">
        <f>Orders!G1505</f>
        <v>470</v>
      </c>
      <c r="H1505" s="37">
        <f>Orders!H1505</f>
        <v>3</v>
      </c>
      <c r="I1505" s="39">
        <f>Orders!I1505</f>
        <v>1823.6</v>
      </c>
      <c r="J1505" t="str">
        <f>Orders!J1505</f>
        <v>Completed</v>
      </c>
      <c r="K1505" t="str">
        <f>Orders!K1505</f>
        <v>Chennai</v>
      </c>
      <c r="L1505" t="str">
        <f>IFERROR(VLOOKUP(D1505,Products!$A$2:$F$61,3,FALSE),"")</f>
        <v>Sports</v>
      </c>
      <c r="M1505">
        <f>IFERROR(VLOOKUP(D1505,Products!$A$2:$F$61,4,FALSE),"")</f>
        <v>302</v>
      </c>
      <c r="N1505" t="str">
        <f>IFERROR(VLOOKUP(E1505,Sales_Reps!$A$2:$E$31,3,FALSE),"")</f>
        <v>East</v>
      </c>
      <c r="O1505" t="str">
        <f>IFERROR(VLOOKUP(C1505,Customers!$A$2:$F$301,5,FALSE),"")</f>
        <v>Corporate</v>
      </c>
      <c r="P1505">
        <f>IFERROR(VLOOKUP(C1505,Customers!$A$2:$F$301,3,FALSE),"")</f>
        <v>35</v>
      </c>
      <c r="Q1505" s="41">
        <f t="shared" si="32"/>
        <v>0.35744680851063831</v>
      </c>
      <c r="R1505" t="str">
        <f>IFERROR(VLOOKUP(C1505,Customers!$A$2:$F$301,1,FALSE),"")</f>
        <v>CUST-0240</v>
      </c>
      <c r="S1505" s="27" t="b">
        <f>IFERROR(VLOOKUP(D1505,Products!$A$2:$F$61,6,FALSE),"")</f>
        <v>0</v>
      </c>
      <c r="BL1505">
        <v>0</v>
      </c>
      <c r="BO1505">
        <v>0</v>
      </c>
      <c r="BP1505">
        <v>1</v>
      </c>
    </row>
    <row r="1506" spans="1:68" x14ac:dyDescent="0.35">
      <c r="A1506" s="26" t="str">
        <f>Orders!A1506</f>
        <v>ORD-01505</v>
      </c>
      <c r="B1506" s="33">
        <f>Orders!B1506</f>
        <v>45446</v>
      </c>
      <c r="C1506" t="str">
        <f>Orders!C1506</f>
        <v>CUST-0163</v>
      </c>
      <c r="D1506" t="str">
        <f>Orders!D1506</f>
        <v>PROD-018</v>
      </c>
      <c r="E1506" t="str">
        <f>Orders!E1506</f>
        <v>R004</v>
      </c>
      <c r="F1506">
        <f>Orders!F1506</f>
        <v>4</v>
      </c>
      <c r="G1506" s="35">
        <f>Orders!G1506</f>
        <v>3560</v>
      </c>
      <c r="H1506" s="37">
        <f>Orders!H1506</f>
        <v>1.1000000000000001</v>
      </c>
      <c r="I1506" s="39">
        <f>Orders!I1506</f>
        <v>14083.36</v>
      </c>
      <c r="J1506" t="str">
        <f>Orders!J1506</f>
        <v>Completed</v>
      </c>
      <c r="K1506" t="str">
        <f>Orders!K1506</f>
        <v>Pune</v>
      </c>
      <c r="L1506" t="str">
        <f>IFERROR(VLOOKUP(D1506,Products!$A$2:$F$61,3,FALSE),"")</f>
        <v>Apparel</v>
      </c>
      <c r="M1506">
        <f>IFERROR(VLOOKUP(D1506,Products!$A$2:$F$61,4,FALSE),"")</f>
        <v>2629</v>
      </c>
      <c r="N1506" t="str">
        <f>IFERROR(VLOOKUP(E1506,Sales_Reps!$A$2:$E$31,3,FALSE),"")</f>
        <v>North</v>
      </c>
      <c r="O1506" t="str">
        <f>IFERROR(VLOOKUP(C1506,Customers!$A$2:$F$301,5,FALSE),"")</f>
        <v>Retail</v>
      </c>
      <c r="P1506">
        <f>IFERROR(VLOOKUP(C1506,Customers!$A$2:$F$301,3,FALSE),"")</f>
        <v>49</v>
      </c>
      <c r="Q1506" s="41">
        <f t="shared" si="32"/>
        <v>0.26151685393258428</v>
      </c>
      <c r="R1506" t="str">
        <f>IFERROR(VLOOKUP(C1506,Customers!$A$2:$F$301,1,FALSE),"")</f>
        <v>CUST-0163</v>
      </c>
      <c r="S1506" s="27" t="b">
        <f>IFERROR(VLOOKUP(D1506,Products!$A$2:$F$61,6,FALSE),"")</f>
        <v>1</v>
      </c>
      <c r="BL1506">
        <v>0</v>
      </c>
      <c r="BO1506">
        <v>0</v>
      </c>
      <c r="BP1506">
        <v>0</v>
      </c>
    </row>
    <row r="1507" spans="1:68" x14ac:dyDescent="0.35">
      <c r="A1507" s="26" t="str">
        <f>Orders!A1507</f>
        <v>ORD-01506</v>
      </c>
      <c r="B1507" s="33">
        <f>Orders!B1507</f>
        <v>45521</v>
      </c>
      <c r="C1507" t="str">
        <f>Orders!C1507</f>
        <v>CUST-0238</v>
      </c>
      <c r="D1507" t="str">
        <f>Orders!D1507</f>
        <v>PROD-046</v>
      </c>
      <c r="E1507" t="str">
        <f>Orders!E1507</f>
        <v>R012</v>
      </c>
      <c r="F1507">
        <f>Orders!F1507</f>
        <v>5</v>
      </c>
      <c r="G1507" s="35">
        <f>Orders!G1507</f>
        <v>4880</v>
      </c>
      <c r="H1507" s="37">
        <f>Orders!H1507</f>
        <v>17</v>
      </c>
      <c r="I1507" s="39">
        <f>Orders!I1507</f>
        <v>20252</v>
      </c>
      <c r="J1507" t="str">
        <f>Orders!J1507</f>
        <v>Completed</v>
      </c>
      <c r="K1507" t="str">
        <f>Orders!K1507</f>
        <v>Delhi</v>
      </c>
      <c r="L1507" t="str">
        <f>IFERROR(VLOOKUP(D1507,Products!$A$2:$F$61,3,FALSE),"")</f>
        <v>Beauty</v>
      </c>
      <c r="M1507">
        <f>IFERROR(VLOOKUP(D1507,Products!$A$2:$F$61,4,FALSE),"")</f>
        <v>2768</v>
      </c>
      <c r="N1507" t="str">
        <f>IFERROR(VLOOKUP(E1507,Sales_Reps!$A$2:$E$31,3,FALSE),"")</f>
        <v>South</v>
      </c>
      <c r="O1507" t="str">
        <f>IFERROR(VLOOKUP(C1507,Customers!$A$2:$F$301,5,FALSE),"")</f>
        <v>Retail</v>
      </c>
      <c r="P1507">
        <f>IFERROR(VLOOKUP(C1507,Customers!$A$2:$F$301,3,FALSE),"")</f>
        <v>49</v>
      </c>
      <c r="Q1507" s="41">
        <f t="shared" si="32"/>
        <v>0.43278688524590164</v>
      </c>
      <c r="R1507" t="str">
        <f>IFERROR(VLOOKUP(C1507,Customers!$A$2:$F$301,1,FALSE),"")</f>
        <v>CUST-0238</v>
      </c>
      <c r="S1507" s="27" t="b">
        <f>IFERROR(VLOOKUP(D1507,Products!$A$2:$F$61,6,FALSE),"")</f>
        <v>1</v>
      </c>
      <c r="BL1507">
        <v>0</v>
      </c>
      <c r="BO1507">
        <v>0</v>
      </c>
      <c r="BP1507">
        <v>0</v>
      </c>
    </row>
    <row r="1508" spans="1:68" x14ac:dyDescent="0.35">
      <c r="A1508" s="26" t="str">
        <f>Orders!A1508</f>
        <v>ORD-01507</v>
      </c>
      <c r="B1508" s="33">
        <f>Orders!B1508</f>
        <v>45483</v>
      </c>
      <c r="C1508" t="str">
        <f>Orders!C1508</f>
        <v>CUST-0196</v>
      </c>
      <c r="D1508" t="str">
        <f>Orders!D1508</f>
        <v>PROD-003</v>
      </c>
      <c r="E1508" t="str">
        <f>Orders!E1508</f>
        <v>R009</v>
      </c>
      <c r="F1508">
        <f>Orders!F1508</f>
        <v>9</v>
      </c>
      <c r="G1508" s="35">
        <f>Orders!G1508</f>
        <v>3570</v>
      </c>
      <c r="H1508" s="37">
        <f>Orders!H1508</f>
        <v>12</v>
      </c>
      <c r="I1508" s="39">
        <f>Orders!I1508</f>
        <v>28274.400000000001</v>
      </c>
      <c r="J1508" t="str">
        <f>Orders!J1508</f>
        <v>Completed</v>
      </c>
      <c r="K1508" t="str">
        <f>Orders!K1508</f>
        <v>Chennai</v>
      </c>
      <c r="L1508" t="str">
        <f>IFERROR(VLOOKUP(D1508,Products!$A$2:$F$61,3,FALSE),"")</f>
        <v>Electronics</v>
      </c>
      <c r="M1508">
        <f>IFERROR(VLOOKUP(D1508,Products!$A$2:$F$61,4,FALSE),"")</f>
        <v>1665</v>
      </c>
      <c r="N1508" t="str">
        <f>IFERROR(VLOOKUP(E1508,Sales_Reps!$A$2:$E$31,3,FALSE),"")</f>
        <v>South</v>
      </c>
      <c r="O1508" t="str">
        <f>IFERROR(VLOOKUP(C1508,Customers!$A$2:$F$301,5,FALSE),"")</f>
        <v>Retail</v>
      </c>
      <c r="P1508">
        <f>IFERROR(VLOOKUP(C1508,Customers!$A$2:$F$301,3,FALSE),"")</f>
        <v>26</v>
      </c>
      <c r="Q1508" s="41">
        <f t="shared" si="32"/>
        <v>0.53361344537815125</v>
      </c>
      <c r="R1508" t="str">
        <f>IFERROR(VLOOKUP(C1508,Customers!$A$2:$F$301,1,FALSE),"")</f>
        <v>CUST-0196</v>
      </c>
      <c r="S1508" s="27" t="b">
        <f>IFERROR(VLOOKUP(D1508,Products!$A$2:$F$61,6,FALSE),"")</f>
        <v>1</v>
      </c>
      <c r="BL1508">
        <v>0</v>
      </c>
      <c r="BO1508">
        <v>0</v>
      </c>
      <c r="BP1508">
        <v>0</v>
      </c>
    </row>
    <row r="1509" spans="1:68" x14ac:dyDescent="0.35">
      <c r="A1509" s="26" t="str">
        <f>Orders!A1509</f>
        <v>ORD-01508</v>
      </c>
      <c r="B1509" s="33">
        <f>Orders!B1509</f>
        <v>45370</v>
      </c>
      <c r="C1509" t="str">
        <f>Orders!C1509</f>
        <v>CUST-0220</v>
      </c>
      <c r="D1509" t="str">
        <f>Orders!D1509</f>
        <v>PROD-051</v>
      </c>
      <c r="E1509" t="str">
        <f>Orders!E1509</f>
        <v>R025</v>
      </c>
      <c r="F1509">
        <f>Orders!F1509</f>
        <v>6</v>
      </c>
      <c r="G1509" s="35">
        <f>Orders!G1509</f>
        <v>3450</v>
      </c>
      <c r="H1509" s="37">
        <f>Orders!H1509</f>
        <v>22.7</v>
      </c>
      <c r="I1509" s="39">
        <f>Orders!I1509</f>
        <v>16001.1</v>
      </c>
      <c r="J1509" t="str">
        <f>Orders!J1509</f>
        <v>Cancelled</v>
      </c>
      <c r="K1509" t="str">
        <f>Orders!K1509</f>
        <v>Chennai</v>
      </c>
      <c r="L1509" t="str">
        <f>IFERROR(VLOOKUP(D1509,Products!$A$2:$F$61,3,FALSE),"")</f>
        <v>Sports</v>
      </c>
      <c r="M1509">
        <f>IFERROR(VLOOKUP(D1509,Products!$A$2:$F$61,4,FALSE),"")</f>
        <v>2467</v>
      </c>
      <c r="N1509" t="str">
        <f>IFERROR(VLOOKUP(E1509,Sales_Reps!$A$2:$E$31,3,FALSE),"")</f>
        <v>West</v>
      </c>
      <c r="O1509" t="str">
        <f>IFERROR(VLOOKUP(C1509,Customers!$A$2:$F$301,5,FALSE),"")</f>
        <v>Retail</v>
      </c>
      <c r="P1509">
        <f>IFERROR(VLOOKUP(C1509,Customers!$A$2:$F$301,3,FALSE),"")</f>
        <v>34</v>
      </c>
      <c r="Q1509" s="41">
        <f t="shared" si="32"/>
        <v>0.28492753623188405</v>
      </c>
      <c r="R1509" t="str">
        <f>IFERROR(VLOOKUP(C1509,Customers!$A$2:$F$301,1,FALSE),"")</f>
        <v>CUST-0220</v>
      </c>
      <c r="S1509" s="27" t="b">
        <f>IFERROR(VLOOKUP(D1509,Products!$A$2:$F$61,6,FALSE),"")</f>
        <v>1</v>
      </c>
      <c r="BL1509">
        <v>0</v>
      </c>
      <c r="BO1509">
        <v>0</v>
      </c>
      <c r="BP1509">
        <v>0</v>
      </c>
    </row>
    <row r="1510" spans="1:68" x14ac:dyDescent="0.35">
      <c r="A1510" s="26" t="str">
        <f>Orders!A1510</f>
        <v>ORD-01509</v>
      </c>
      <c r="B1510" s="33">
        <f>Orders!B1510</f>
        <v>45456</v>
      </c>
      <c r="C1510" t="str">
        <f>Orders!C1510</f>
        <v>CUST-0142</v>
      </c>
      <c r="D1510" t="str">
        <f>Orders!D1510</f>
        <v>PROD-040</v>
      </c>
      <c r="E1510" t="str">
        <f>Orders!E1510</f>
        <v>R002</v>
      </c>
      <c r="F1510">
        <f>Orders!F1510</f>
        <v>10</v>
      </c>
      <c r="G1510" s="35">
        <f>Orders!G1510</f>
        <v>1080</v>
      </c>
      <c r="H1510" s="37">
        <f>Orders!H1510</f>
        <v>27.4</v>
      </c>
      <c r="I1510" s="39">
        <f>Orders!I1510</f>
        <v>7840.8</v>
      </c>
      <c r="J1510" t="str">
        <f>Orders!J1510</f>
        <v>Completed</v>
      </c>
      <c r="K1510" t="str">
        <f>Orders!K1510</f>
        <v>Chennai</v>
      </c>
      <c r="L1510" t="str">
        <f>IFERROR(VLOOKUP(D1510,Products!$A$2:$F$61,3,FALSE),"")</f>
        <v>Home</v>
      </c>
      <c r="M1510">
        <f>IFERROR(VLOOKUP(D1510,Products!$A$2:$F$61,4,FALSE),"")</f>
        <v>519</v>
      </c>
      <c r="N1510" t="str">
        <f>IFERROR(VLOOKUP(E1510,Sales_Reps!$A$2:$E$31,3,FALSE),"")</f>
        <v>North</v>
      </c>
      <c r="O1510" t="str">
        <f>IFERROR(VLOOKUP(C1510,Customers!$A$2:$F$301,5,FALSE),"")</f>
        <v>Corporate</v>
      </c>
      <c r="P1510">
        <f>IFERROR(VLOOKUP(C1510,Customers!$A$2:$F$301,3,FALSE),"")</f>
        <v>55</v>
      </c>
      <c r="Q1510" s="41">
        <f t="shared" si="32"/>
        <v>0.51944444444444449</v>
      </c>
      <c r="R1510" t="str">
        <f>IFERROR(VLOOKUP(C1510,Customers!$A$2:$F$301,1,FALSE),"")</f>
        <v>CUST-0142</v>
      </c>
      <c r="S1510" s="27" t="b">
        <f>IFERROR(VLOOKUP(D1510,Products!$A$2:$F$61,6,FALSE),"")</f>
        <v>1</v>
      </c>
      <c r="BL1510">
        <v>0</v>
      </c>
      <c r="BO1510">
        <v>0</v>
      </c>
      <c r="BP1510">
        <v>0</v>
      </c>
    </row>
    <row r="1511" spans="1:68" x14ac:dyDescent="0.35">
      <c r="A1511" s="26" t="str">
        <f>Orders!A1511</f>
        <v>ORD-01510</v>
      </c>
      <c r="B1511" s="33">
        <f>Orders!B1511</f>
        <v>45605</v>
      </c>
      <c r="C1511" t="str">
        <f>Orders!C1511</f>
        <v>CUST-0217</v>
      </c>
      <c r="D1511" t="str">
        <f>Orders!D1511</f>
        <v>PROD-041</v>
      </c>
      <c r="E1511" t="str">
        <f>Orders!E1511</f>
        <v>R025</v>
      </c>
      <c r="F1511">
        <f>Orders!F1511</f>
        <v>6</v>
      </c>
      <c r="G1511" s="35">
        <f>Orders!G1511</f>
        <v>1540</v>
      </c>
      <c r="H1511" s="37">
        <f>Orders!H1511</f>
        <v>17.100000000000001</v>
      </c>
      <c r="I1511" s="39">
        <f>Orders!I1511</f>
        <v>7659.96</v>
      </c>
      <c r="J1511" t="str">
        <f>Orders!J1511</f>
        <v>Completed</v>
      </c>
      <c r="K1511" t="str">
        <f>Orders!K1511</f>
        <v>Pune</v>
      </c>
      <c r="L1511" t="str">
        <f>IFERROR(VLOOKUP(D1511,Products!$A$2:$F$61,3,FALSE),"")</f>
        <v>Beauty</v>
      </c>
      <c r="M1511">
        <f>IFERROR(VLOOKUP(D1511,Products!$A$2:$F$61,4,FALSE),"")</f>
        <v>647</v>
      </c>
      <c r="N1511" t="str">
        <f>IFERROR(VLOOKUP(E1511,Sales_Reps!$A$2:$E$31,3,FALSE),"")</f>
        <v>West</v>
      </c>
      <c r="O1511" t="str">
        <f>IFERROR(VLOOKUP(C1511,Customers!$A$2:$F$301,5,FALSE),"")</f>
        <v>SMB</v>
      </c>
      <c r="P1511">
        <f>IFERROR(VLOOKUP(C1511,Customers!$A$2:$F$301,3,FALSE),"")</f>
        <v>59</v>
      </c>
      <c r="Q1511" s="41">
        <f t="shared" si="32"/>
        <v>0.57987012987012987</v>
      </c>
      <c r="R1511" t="str">
        <f>IFERROR(VLOOKUP(C1511,Customers!$A$2:$F$301,1,FALSE),"")</f>
        <v>CUST-0217</v>
      </c>
      <c r="S1511" s="27" t="b">
        <f>IFERROR(VLOOKUP(D1511,Products!$A$2:$F$61,6,FALSE),"")</f>
        <v>0</v>
      </c>
      <c r="BL1511">
        <v>0</v>
      </c>
      <c r="BO1511">
        <v>0</v>
      </c>
      <c r="BP1511">
        <v>1</v>
      </c>
    </row>
    <row r="1512" spans="1:68" x14ac:dyDescent="0.35">
      <c r="A1512" s="26" t="str">
        <f>Orders!A1512</f>
        <v>ORD-01511</v>
      </c>
      <c r="B1512" s="33">
        <f>Orders!B1512</f>
        <v>45556</v>
      </c>
      <c r="C1512" t="str">
        <f>Orders!C1512</f>
        <v>CUST-9582</v>
      </c>
      <c r="D1512" t="str">
        <f>Orders!D1512</f>
        <v>PROD-015</v>
      </c>
      <c r="E1512" t="str">
        <f>Orders!E1512</f>
        <v>R013</v>
      </c>
      <c r="F1512">
        <f>Orders!F1512</f>
        <v>6</v>
      </c>
      <c r="G1512" s="35">
        <f>Orders!G1512</f>
        <v>2720</v>
      </c>
      <c r="H1512" s="37">
        <f>Orders!H1512</f>
        <v>28.1</v>
      </c>
      <c r="I1512" s="39">
        <f>Orders!I1512</f>
        <v>11734.08</v>
      </c>
      <c r="J1512" t="str">
        <f>Orders!J1512</f>
        <v>Completed</v>
      </c>
      <c r="K1512" t="str">
        <f>Orders!K1512</f>
        <v>Mumbai</v>
      </c>
      <c r="L1512" t="str">
        <f>IFERROR(VLOOKUP(D1512,Products!$A$2:$F$61,3,FALSE),"")</f>
        <v>Apparel</v>
      </c>
      <c r="M1512">
        <f>IFERROR(VLOOKUP(D1512,Products!$A$2:$F$61,4,FALSE),"")</f>
        <v>1962</v>
      </c>
      <c r="N1512" t="str">
        <f>IFERROR(VLOOKUP(E1512,Sales_Reps!$A$2:$E$31,3,FALSE),"")</f>
        <v>South</v>
      </c>
      <c r="O1512" t="str">
        <f>IFERROR(VLOOKUP(C1512,Customers!$A$2:$F$301,5,FALSE),"")</f>
        <v/>
      </c>
      <c r="P1512" t="str">
        <f>IFERROR(VLOOKUP(C1512,Customers!$A$2:$F$301,3,FALSE),"")</f>
        <v/>
      </c>
      <c r="Q1512" s="41">
        <f t="shared" si="32"/>
        <v>0.2786764705882353</v>
      </c>
      <c r="R1512" t="str">
        <f>IFERROR(VLOOKUP(C1512,Customers!$A$2:$F$301,1,FALSE),"")</f>
        <v/>
      </c>
      <c r="S1512" s="27" t="b">
        <f>IFERROR(VLOOKUP(D1512,Products!$A$2:$F$61,6,FALSE),"")</f>
        <v>1</v>
      </c>
      <c r="BL1512">
        <v>0</v>
      </c>
      <c r="BO1512">
        <v>1</v>
      </c>
      <c r="BP1512">
        <v>0</v>
      </c>
    </row>
    <row r="1513" spans="1:68" x14ac:dyDescent="0.35">
      <c r="A1513" s="26" t="str">
        <f>Orders!A1513</f>
        <v>ORD-01512</v>
      </c>
      <c r="B1513" s="33">
        <f>Orders!B1513</f>
        <v>45569</v>
      </c>
      <c r="C1513" t="str">
        <f>Orders!C1513</f>
        <v>CUST-0267</v>
      </c>
      <c r="D1513" t="str">
        <f>Orders!D1513</f>
        <v>PROD-034</v>
      </c>
      <c r="E1513" t="str">
        <f>Orders!E1513</f>
        <v>R005</v>
      </c>
      <c r="F1513">
        <f>Orders!F1513</f>
        <v>2</v>
      </c>
      <c r="G1513" s="35">
        <f>Orders!G1513</f>
        <v>5080</v>
      </c>
      <c r="H1513" s="37">
        <f>Orders!H1513</f>
        <v>11.1</v>
      </c>
      <c r="I1513" s="39">
        <f>Orders!I1513</f>
        <v>9032.24</v>
      </c>
      <c r="J1513" t="str">
        <f>Orders!J1513</f>
        <v>Completed</v>
      </c>
      <c r="K1513" t="str">
        <f>Orders!K1513</f>
        <v>Hyderabad</v>
      </c>
      <c r="L1513" t="str">
        <f>IFERROR(VLOOKUP(D1513,Products!$A$2:$F$61,3,FALSE),"")</f>
        <v>Home</v>
      </c>
      <c r="M1513">
        <f>IFERROR(VLOOKUP(D1513,Products!$A$2:$F$61,4,FALSE),"")</f>
        <v>2459</v>
      </c>
      <c r="N1513" t="str">
        <f>IFERROR(VLOOKUP(E1513,Sales_Reps!$A$2:$E$31,3,FALSE),"")</f>
        <v>North</v>
      </c>
      <c r="O1513" t="str">
        <f>IFERROR(VLOOKUP(C1513,Customers!$A$2:$F$301,5,FALSE),"")</f>
        <v>Retail</v>
      </c>
      <c r="P1513">
        <f>IFERROR(VLOOKUP(C1513,Customers!$A$2:$F$301,3,FALSE),"")</f>
        <v>27</v>
      </c>
      <c r="Q1513" s="41">
        <f t="shared" si="32"/>
        <v>0.51594488188976373</v>
      </c>
      <c r="R1513" t="str">
        <f>IFERROR(VLOOKUP(C1513,Customers!$A$2:$F$301,1,FALSE),"")</f>
        <v>CUST-0267</v>
      </c>
      <c r="S1513" s="27" t="b">
        <f>IFERROR(VLOOKUP(D1513,Products!$A$2:$F$61,6,FALSE),"")</f>
        <v>1</v>
      </c>
      <c r="BL1513">
        <v>0</v>
      </c>
      <c r="BO1513">
        <v>0</v>
      </c>
      <c r="BP1513">
        <v>0</v>
      </c>
    </row>
    <row r="1514" spans="1:68" x14ac:dyDescent="0.35">
      <c r="A1514" s="26" t="str">
        <f>Orders!A1514</f>
        <v>ORD-01513</v>
      </c>
      <c r="B1514" s="33">
        <f>Orders!B1514</f>
        <v>45329</v>
      </c>
      <c r="C1514" t="str">
        <f>Orders!C1514</f>
        <v>CUST-9565</v>
      </c>
      <c r="D1514" t="str">
        <f>Orders!D1514</f>
        <v>PROD-016</v>
      </c>
      <c r="E1514" t="str">
        <f>Orders!E1514</f>
        <v>R008</v>
      </c>
      <c r="F1514">
        <f>Orders!F1514</f>
        <v>5</v>
      </c>
      <c r="G1514" s="35">
        <f>Orders!G1514</f>
        <v>620</v>
      </c>
      <c r="H1514" s="37">
        <f>Orders!H1514</f>
        <v>10.9</v>
      </c>
      <c r="I1514" s="39">
        <f>Orders!I1514</f>
        <v>2762.1</v>
      </c>
      <c r="J1514" t="str">
        <f>Orders!J1514</f>
        <v>Pending</v>
      </c>
      <c r="K1514" t="str">
        <f>Orders!K1514</f>
        <v>Chennai</v>
      </c>
      <c r="L1514" t="str">
        <f>IFERROR(VLOOKUP(D1514,Products!$A$2:$F$61,3,FALSE),"")</f>
        <v>Apparel</v>
      </c>
      <c r="M1514">
        <f>IFERROR(VLOOKUP(D1514,Products!$A$2:$F$61,4,FALSE),"")</f>
        <v>396</v>
      </c>
      <c r="N1514" t="str">
        <f>IFERROR(VLOOKUP(E1514,Sales_Reps!$A$2:$E$31,3,FALSE),"")</f>
        <v>North</v>
      </c>
      <c r="O1514" t="str">
        <f>IFERROR(VLOOKUP(C1514,Customers!$A$2:$F$301,5,FALSE),"")</f>
        <v/>
      </c>
      <c r="P1514" t="str">
        <f>IFERROR(VLOOKUP(C1514,Customers!$A$2:$F$301,3,FALSE),"")</f>
        <v/>
      </c>
      <c r="Q1514" s="41">
        <f t="shared" si="32"/>
        <v>0.36129032258064514</v>
      </c>
      <c r="R1514" t="str">
        <f>IFERROR(VLOOKUP(C1514,Customers!$A$2:$F$301,1,FALSE),"")</f>
        <v/>
      </c>
      <c r="S1514" s="27" t="b">
        <f>IFERROR(VLOOKUP(D1514,Products!$A$2:$F$61,6,FALSE),"")</f>
        <v>1</v>
      </c>
      <c r="BL1514">
        <v>0</v>
      </c>
      <c r="BO1514">
        <v>1</v>
      </c>
      <c r="BP1514">
        <v>0</v>
      </c>
    </row>
    <row r="1515" spans="1:68" x14ac:dyDescent="0.35">
      <c r="A1515" s="26" t="str">
        <f>Orders!A1515</f>
        <v>ORD-01514</v>
      </c>
      <c r="B1515" s="33">
        <f>Orders!B1515</f>
        <v>45377</v>
      </c>
      <c r="C1515" t="str">
        <f>Orders!C1515</f>
        <v>CUST-0051</v>
      </c>
      <c r="D1515" t="str">
        <f>Orders!D1515</f>
        <v>PROD-019</v>
      </c>
      <c r="E1515" t="str">
        <f>Orders!E1515</f>
        <v>R003</v>
      </c>
      <c r="F1515">
        <f>Orders!F1515</f>
        <v>3</v>
      </c>
      <c r="G1515" s="35">
        <f>Orders!G1515</f>
        <v>2480</v>
      </c>
      <c r="H1515" s="37">
        <f>Orders!H1515</f>
        <v>5</v>
      </c>
      <c r="I1515" s="39">
        <f>Orders!I1515</f>
        <v>7068</v>
      </c>
      <c r="J1515" t="str">
        <f>Orders!J1515</f>
        <v>Completed</v>
      </c>
      <c r="K1515" t="str">
        <f>Orders!K1515</f>
        <v>Pune</v>
      </c>
      <c r="L1515" t="str">
        <f>IFERROR(VLOOKUP(D1515,Products!$A$2:$F$61,3,FALSE),"")</f>
        <v>Apparel</v>
      </c>
      <c r="M1515">
        <f>IFERROR(VLOOKUP(D1515,Products!$A$2:$F$61,4,FALSE),"")</f>
        <v>1173</v>
      </c>
      <c r="N1515" t="str">
        <f>IFERROR(VLOOKUP(E1515,Sales_Reps!$A$2:$E$31,3,FALSE),"")</f>
        <v>North</v>
      </c>
      <c r="O1515" t="str">
        <f>IFERROR(VLOOKUP(C1515,Customers!$A$2:$F$301,5,FALSE),"")</f>
        <v>SMB</v>
      </c>
      <c r="P1515">
        <f>IFERROR(VLOOKUP(C1515,Customers!$A$2:$F$301,3,FALSE),"")</f>
        <v>54</v>
      </c>
      <c r="Q1515" s="41">
        <f t="shared" si="32"/>
        <v>0.52701612903225803</v>
      </c>
      <c r="R1515" t="str">
        <f>IFERROR(VLOOKUP(C1515,Customers!$A$2:$F$301,1,FALSE),"")</f>
        <v>CUST-0051</v>
      </c>
      <c r="S1515" s="27" t="b">
        <f>IFERROR(VLOOKUP(D1515,Products!$A$2:$F$61,6,FALSE),"")</f>
        <v>1</v>
      </c>
      <c r="BL1515">
        <v>0</v>
      </c>
      <c r="BO1515">
        <v>0</v>
      </c>
      <c r="BP1515">
        <v>0</v>
      </c>
    </row>
    <row r="1516" spans="1:68" x14ac:dyDescent="0.35">
      <c r="A1516" s="26" t="str">
        <f>Orders!A1516</f>
        <v>ORD-01515</v>
      </c>
      <c r="B1516" s="33">
        <f>Orders!B1516</f>
        <v>45537</v>
      </c>
      <c r="C1516" t="str">
        <f>Orders!C1516</f>
        <v>CUST-0075</v>
      </c>
      <c r="D1516" t="str">
        <f>Orders!D1516</f>
        <v>PROD-054</v>
      </c>
      <c r="E1516" t="str">
        <f>Orders!E1516</f>
        <v>R005</v>
      </c>
      <c r="F1516">
        <f>Orders!F1516</f>
        <v>9</v>
      </c>
      <c r="G1516" s="35">
        <f>Orders!G1516</f>
        <v>1010</v>
      </c>
      <c r="H1516" s="37">
        <f>Orders!H1516</f>
        <v>21.9</v>
      </c>
      <c r="I1516" s="39">
        <f>Orders!I1516</f>
        <v>7099.29</v>
      </c>
      <c r="J1516" t="str">
        <f>Orders!J1516</f>
        <v>Completed</v>
      </c>
      <c r="K1516" t="str">
        <f>Orders!K1516</f>
        <v>Mumbai</v>
      </c>
      <c r="L1516" t="str">
        <f>IFERROR(VLOOKUP(D1516,Products!$A$2:$F$61,3,FALSE),"")</f>
        <v>Sports</v>
      </c>
      <c r="M1516">
        <f>IFERROR(VLOOKUP(D1516,Products!$A$2:$F$61,4,FALSE),"")</f>
        <v>516</v>
      </c>
      <c r="N1516" t="str">
        <f>IFERROR(VLOOKUP(E1516,Sales_Reps!$A$2:$E$31,3,FALSE),"")</f>
        <v>North</v>
      </c>
      <c r="O1516" t="str">
        <f>IFERROR(VLOOKUP(C1516,Customers!$A$2:$F$301,5,FALSE),"")</f>
        <v>Corporate</v>
      </c>
      <c r="P1516">
        <f>IFERROR(VLOOKUP(C1516,Customers!$A$2:$F$301,3,FALSE),"")</f>
        <v>55</v>
      </c>
      <c r="Q1516" s="41">
        <f t="shared" si="32"/>
        <v>0.4891089108910891</v>
      </c>
      <c r="R1516" t="str">
        <f>IFERROR(VLOOKUP(C1516,Customers!$A$2:$F$301,1,FALSE),"")</f>
        <v>CUST-0075</v>
      </c>
      <c r="S1516" s="27" t="b">
        <f>IFERROR(VLOOKUP(D1516,Products!$A$2:$F$61,6,FALSE),"")</f>
        <v>1</v>
      </c>
      <c r="BL1516">
        <v>0</v>
      </c>
      <c r="BO1516">
        <v>0</v>
      </c>
      <c r="BP1516">
        <v>0</v>
      </c>
    </row>
    <row r="1517" spans="1:68" x14ac:dyDescent="0.35">
      <c r="A1517" s="26" t="str">
        <f>Orders!A1517</f>
        <v>ORD-01516</v>
      </c>
      <c r="B1517" s="33">
        <f>Orders!B1517</f>
        <v>45550</v>
      </c>
      <c r="C1517" t="str">
        <f>Orders!C1517</f>
        <v>CUST-0106</v>
      </c>
      <c r="D1517" t="str">
        <f>Orders!D1517</f>
        <v>PROD-040</v>
      </c>
      <c r="E1517" t="str">
        <f>Orders!E1517</f>
        <v>R004</v>
      </c>
      <c r="F1517">
        <f>Orders!F1517</f>
        <v>2</v>
      </c>
      <c r="G1517" s="35">
        <f>Orders!G1517</f>
        <v>1080</v>
      </c>
      <c r="H1517" s="37">
        <f>Orders!H1517</f>
        <v>8.5</v>
      </c>
      <c r="I1517" s="39">
        <f>Orders!I1517</f>
        <v>1976.4</v>
      </c>
      <c r="J1517" t="str">
        <f>Orders!J1517</f>
        <v>Completed</v>
      </c>
      <c r="K1517" t="str">
        <f>Orders!K1517</f>
        <v>Pune</v>
      </c>
      <c r="L1517" t="str">
        <f>IFERROR(VLOOKUP(D1517,Products!$A$2:$F$61,3,FALSE),"")</f>
        <v>Home</v>
      </c>
      <c r="M1517">
        <f>IFERROR(VLOOKUP(D1517,Products!$A$2:$F$61,4,FALSE),"")</f>
        <v>519</v>
      </c>
      <c r="N1517" t="str">
        <f>IFERROR(VLOOKUP(E1517,Sales_Reps!$A$2:$E$31,3,FALSE),"")</f>
        <v>North</v>
      </c>
      <c r="O1517" t="str">
        <f>IFERROR(VLOOKUP(C1517,Customers!$A$2:$F$301,5,FALSE),"")</f>
        <v>Retail</v>
      </c>
      <c r="P1517">
        <f>IFERROR(VLOOKUP(C1517,Customers!$A$2:$F$301,3,FALSE),"")</f>
        <v>22</v>
      </c>
      <c r="Q1517" s="41">
        <f t="shared" si="32"/>
        <v>0.51944444444444449</v>
      </c>
      <c r="R1517" t="str">
        <f>IFERROR(VLOOKUP(C1517,Customers!$A$2:$F$301,1,FALSE),"")</f>
        <v>CUST-0106</v>
      </c>
      <c r="S1517" s="27" t="b">
        <f>IFERROR(VLOOKUP(D1517,Products!$A$2:$F$61,6,FALSE),"")</f>
        <v>1</v>
      </c>
      <c r="BL1517">
        <v>0</v>
      </c>
      <c r="BO1517">
        <v>0</v>
      </c>
      <c r="BP1517">
        <v>0</v>
      </c>
    </row>
    <row r="1518" spans="1:68" x14ac:dyDescent="0.35">
      <c r="A1518" s="26" t="str">
        <f>Orders!A1518</f>
        <v>ORD-01517</v>
      </c>
      <c r="B1518" s="33">
        <f>Orders!B1518</f>
        <v>45325</v>
      </c>
      <c r="C1518" t="str">
        <f>Orders!C1518</f>
        <v>CUST-0053</v>
      </c>
      <c r="D1518" t="str">
        <f>Orders!D1518</f>
        <v>PROD-053</v>
      </c>
      <c r="E1518" t="str">
        <f>Orders!E1518</f>
        <v>R025</v>
      </c>
      <c r="F1518">
        <f>Orders!F1518</f>
        <v>5</v>
      </c>
      <c r="G1518" s="35">
        <f>Orders!G1518</f>
        <v>470</v>
      </c>
      <c r="H1518" s="37">
        <f>Orders!H1518</f>
        <v>8</v>
      </c>
      <c r="I1518" s="39">
        <f>Orders!I1518</f>
        <v>2162</v>
      </c>
      <c r="J1518" t="str">
        <f>Orders!J1518</f>
        <v>Completed</v>
      </c>
      <c r="K1518" t="str">
        <f>Orders!K1518</f>
        <v>Delhi</v>
      </c>
      <c r="L1518" t="str">
        <f>IFERROR(VLOOKUP(D1518,Products!$A$2:$F$61,3,FALSE),"")</f>
        <v>Sports</v>
      </c>
      <c r="M1518">
        <f>IFERROR(VLOOKUP(D1518,Products!$A$2:$F$61,4,FALSE),"")</f>
        <v>302</v>
      </c>
      <c r="N1518" t="str">
        <f>IFERROR(VLOOKUP(E1518,Sales_Reps!$A$2:$E$31,3,FALSE),"")</f>
        <v>West</v>
      </c>
      <c r="O1518" t="str">
        <f>IFERROR(VLOOKUP(C1518,Customers!$A$2:$F$301,5,FALSE),"")</f>
        <v>Retail</v>
      </c>
      <c r="P1518">
        <f>IFERROR(VLOOKUP(C1518,Customers!$A$2:$F$301,3,FALSE),"")</f>
        <v>53</v>
      </c>
      <c r="Q1518" s="41">
        <f t="shared" si="32"/>
        <v>0.35744680851063831</v>
      </c>
      <c r="R1518" t="str">
        <f>IFERROR(VLOOKUP(C1518,Customers!$A$2:$F$301,1,FALSE),"")</f>
        <v>CUST-0053</v>
      </c>
      <c r="S1518" s="27" t="b">
        <f>IFERROR(VLOOKUP(D1518,Products!$A$2:$F$61,6,FALSE),"")</f>
        <v>0</v>
      </c>
      <c r="BL1518">
        <v>0</v>
      </c>
      <c r="BO1518">
        <v>0</v>
      </c>
      <c r="BP1518">
        <v>1</v>
      </c>
    </row>
    <row r="1519" spans="1:68" x14ac:dyDescent="0.35">
      <c r="A1519" s="26" t="str">
        <f>Orders!A1519</f>
        <v>ORD-01518</v>
      </c>
      <c r="B1519" s="33">
        <f>Orders!B1519</f>
        <v>45375</v>
      </c>
      <c r="C1519" t="str">
        <f>Orders!C1519</f>
        <v>CUST-0042</v>
      </c>
      <c r="D1519" t="str">
        <f>Orders!D1519</f>
        <v>PROD-006</v>
      </c>
      <c r="E1519" t="str">
        <f>Orders!E1519</f>
        <v>R020</v>
      </c>
      <c r="F1519">
        <f>Orders!F1519</f>
        <v>9</v>
      </c>
      <c r="G1519" s="35">
        <f>Orders!G1519</f>
        <v>3970</v>
      </c>
      <c r="H1519" s="37">
        <f>Orders!H1519</f>
        <v>18.5</v>
      </c>
      <c r="I1519" s="39">
        <f>Orders!I1519</f>
        <v>29119.95</v>
      </c>
      <c r="J1519" t="str">
        <f>Orders!J1519</f>
        <v>Completed</v>
      </c>
      <c r="K1519" t="str">
        <f>Orders!K1519</f>
        <v>Pune</v>
      </c>
      <c r="L1519" t="str">
        <f>IFERROR(VLOOKUP(D1519,Products!$A$2:$F$61,3,FALSE),"")</f>
        <v>Electronics</v>
      </c>
      <c r="M1519">
        <f>IFERROR(VLOOKUP(D1519,Products!$A$2:$F$61,4,FALSE),"")</f>
        <v>2865</v>
      </c>
      <c r="N1519" t="str">
        <f>IFERROR(VLOOKUP(E1519,Sales_Reps!$A$2:$E$31,3,FALSE),"")</f>
        <v>East</v>
      </c>
      <c r="O1519" t="str">
        <f>IFERROR(VLOOKUP(C1519,Customers!$A$2:$F$301,5,FALSE),"")</f>
        <v>Retail</v>
      </c>
      <c r="P1519">
        <f>IFERROR(VLOOKUP(C1519,Customers!$A$2:$F$301,3,FALSE),"")</f>
        <v>25</v>
      </c>
      <c r="Q1519" s="41">
        <f t="shared" si="32"/>
        <v>0.27833753148614609</v>
      </c>
      <c r="R1519" t="str">
        <f>IFERROR(VLOOKUP(C1519,Customers!$A$2:$F$301,1,FALSE),"")</f>
        <v>CUST-0042</v>
      </c>
      <c r="S1519" s="27" t="b">
        <f>IFERROR(VLOOKUP(D1519,Products!$A$2:$F$61,6,FALSE),"")</f>
        <v>1</v>
      </c>
      <c r="BL1519">
        <v>0</v>
      </c>
      <c r="BO1519">
        <v>0</v>
      </c>
      <c r="BP1519">
        <v>0</v>
      </c>
    </row>
    <row r="1520" spans="1:68" x14ac:dyDescent="0.35">
      <c r="A1520" s="26" t="str">
        <f>Orders!A1520</f>
        <v>ORD-01519</v>
      </c>
      <c r="B1520" s="33">
        <f>Orders!B1520</f>
        <v>45614</v>
      </c>
      <c r="C1520" t="str">
        <f>Orders!C1520</f>
        <v>CUST-0120</v>
      </c>
      <c r="D1520" t="str">
        <f>Orders!D1520</f>
        <v>PROD-044</v>
      </c>
      <c r="E1520" t="str">
        <f>Orders!E1520</f>
        <v>R010</v>
      </c>
      <c r="F1520">
        <f>Orders!F1520</f>
        <v>9</v>
      </c>
      <c r="G1520" s="35">
        <f>Orders!G1520</f>
        <v>1650</v>
      </c>
      <c r="H1520" s="37">
        <f>Orders!H1520</f>
        <v>19.5</v>
      </c>
      <c r="I1520" s="39">
        <f>Orders!I1520</f>
        <v>11954.25</v>
      </c>
      <c r="J1520" t="str">
        <f>Orders!J1520</f>
        <v>Completed</v>
      </c>
      <c r="K1520" t="str">
        <f>Orders!K1520</f>
        <v>Mumbai</v>
      </c>
      <c r="L1520" t="str">
        <f>IFERROR(VLOOKUP(D1520,Products!$A$2:$F$61,3,FALSE),"")</f>
        <v>Beauty</v>
      </c>
      <c r="M1520">
        <f>IFERROR(VLOOKUP(D1520,Products!$A$2:$F$61,4,FALSE),"")</f>
        <v>1222</v>
      </c>
      <c r="N1520" t="str">
        <f>IFERROR(VLOOKUP(E1520,Sales_Reps!$A$2:$E$31,3,FALSE),"")</f>
        <v>South</v>
      </c>
      <c r="O1520" t="str">
        <f>IFERROR(VLOOKUP(C1520,Customers!$A$2:$F$301,5,FALSE),"")</f>
        <v>Retail</v>
      </c>
      <c r="P1520">
        <f>IFERROR(VLOOKUP(C1520,Customers!$A$2:$F$301,3,FALSE),"")</f>
        <v>29</v>
      </c>
      <c r="Q1520" s="41">
        <f t="shared" si="32"/>
        <v>0.2593939393939394</v>
      </c>
      <c r="R1520" t="str">
        <f>IFERROR(VLOOKUP(C1520,Customers!$A$2:$F$301,1,FALSE),"")</f>
        <v>CUST-0120</v>
      </c>
      <c r="S1520" s="27" t="b">
        <f>IFERROR(VLOOKUP(D1520,Products!$A$2:$F$61,6,FALSE),"")</f>
        <v>1</v>
      </c>
      <c r="BL1520">
        <v>0</v>
      </c>
      <c r="BO1520">
        <v>0</v>
      </c>
      <c r="BP1520">
        <v>0</v>
      </c>
    </row>
    <row r="1521" spans="1:68" x14ac:dyDescent="0.35">
      <c r="A1521" s="26" t="str">
        <f>Orders!A1521</f>
        <v>ORD-01520</v>
      </c>
      <c r="B1521" s="33">
        <f>Orders!B1521</f>
        <v>45364</v>
      </c>
      <c r="C1521" t="str">
        <f>Orders!C1521</f>
        <v>CUST-0166</v>
      </c>
      <c r="D1521" t="str">
        <f>Orders!D1521</f>
        <v>PROD-043</v>
      </c>
      <c r="E1521" t="str">
        <f>Orders!E1521</f>
        <v>R006</v>
      </c>
      <c r="F1521">
        <f>Orders!F1521</f>
        <v>9</v>
      </c>
      <c r="G1521" s="35">
        <f>Orders!G1521</f>
        <v>3350</v>
      </c>
      <c r="H1521" s="37">
        <f>Orders!H1521</f>
        <v>4.0999999999999996</v>
      </c>
      <c r="I1521" s="39">
        <f>Orders!I1521</f>
        <v>28913.85</v>
      </c>
      <c r="J1521" t="str">
        <f>Orders!J1521</f>
        <v>Completed</v>
      </c>
      <c r="K1521" t="str">
        <f>Orders!K1521</f>
        <v>Hyderabad</v>
      </c>
      <c r="L1521" t="str">
        <f>IFERROR(VLOOKUP(D1521,Products!$A$2:$F$61,3,FALSE),"")</f>
        <v>Beauty</v>
      </c>
      <c r="M1521">
        <f>IFERROR(VLOOKUP(D1521,Products!$A$2:$F$61,4,FALSE),"")</f>
        <v>1728</v>
      </c>
      <c r="N1521" t="str">
        <f>IFERROR(VLOOKUP(E1521,Sales_Reps!$A$2:$E$31,3,FALSE),"")</f>
        <v>North</v>
      </c>
      <c r="O1521" t="str">
        <f>IFERROR(VLOOKUP(C1521,Customers!$A$2:$F$301,5,FALSE),"")</f>
        <v>Retail</v>
      </c>
      <c r="P1521">
        <f>IFERROR(VLOOKUP(C1521,Customers!$A$2:$F$301,3,FALSE),"")</f>
        <v>31</v>
      </c>
      <c r="Q1521" s="41">
        <f t="shared" si="32"/>
        <v>0.48417910447761192</v>
      </c>
      <c r="R1521" t="str">
        <f>IFERROR(VLOOKUP(C1521,Customers!$A$2:$F$301,1,FALSE),"")</f>
        <v>CUST-0166</v>
      </c>
      <c r="S1521" s="27" t="b">
        <f>IFERROR(VLOOKUP(D1521,Products!$A$2:$F$61,6,FALSE),"")</f>
        <v>1</v>
      </c>
      <c r="BL1521">
        <v>0</v>
      </c>
      <c r="BO1521">
        <v>0</v>
      </c>
      <c r="BP1521">
        <v>0</v>
      </c>
    </row>
    <row r="1522" spans="1:68" x14ac:dyDescent="0.35">
      <c r="A1522" s="26" t="str">
        <f>Orders!A1522</f>
        <v>ORD-01521</v>
      </c>
      <c r="B1522" s="33">
        <f>Orders!B1522</f>
        <v>45342</v>
      </c>
      <c r="C1522" t="str">
        <f>Orders!C1522</f>
        <v>CUST-0175</v>
      </c>
      <c r="D1522" t="str">
        <f>Orders!D1522</f>
        <v>PROD-006</v>
      </c>
      <c r="E1522" t="str">
        <f>Orders!E1522</f>
        <v>R023</v>
      </c>
      <c r="F1522">
        <f>Orders!F1522</f>
        <v>7</v>
      </c>
      <c r="G1522" s="35">
        <f>Orders!G1522</f>
        <v>3970</v>
      </c>
      <c r="H1522" s="37">
        <f>Orders!H1522</f>
        <v>15.6</v>
      </c>
      <c r="I1522" s="39">
        <f>Orders!I1522</f>
        <v>23454.76</v>
      </c>
      <c r="J1522" t="str">
        <f>Orders!J1522</f>
        <v>Completed</v>
      </c>
      <c r="K1522" t="str">
        <f>Orders!K1522</f>
        <v>Delhi</v>
      </c>
      <c r="L1522" t="str">
        <f>IFERROR(VLOOKUP(D1522,Products!$A$2:$F$61,3,FALSE),"")</f>
        <v>Electronics</v>
      </c>
      <c r="M1522">
        <f>IFERROR(VLOOKUP(D1522,Products!$A$2:$F$61,4,FALSE),"")</f>
        <v>2865</v>
      </c>
      <c r="N1522" t="str">
        <f>IFERROR(VLOOKUP(E1522,Sales_Reps!$A$2:$E$31,3,FALSE),"")</f>
        <v>East</v>
      </c>
      <c r="O1522" t="str">
        <f>IFERROR(VLOOKUP(C1522,Customers!$A$2:$F$301,5,FALSE),"")</f>
        <v>Corporate</v>
      </c>
      <c r="P1522">
        <f>IFERROR(VLOOKUP(C1522,Customers!$A$2:$F$301,3,FALSE),"")</f>
        <v>55</v>
      </c>
      <c r="Q1522" s="41">
        <f t="shared" si="32"/>
        <v>0.27833753148614609</v>
      </c>
      <c r="R1522" t="str">
        <f>IFERROR(VLOOKUP(C1522,Customers!$A$2:$F$301,1,FALSE),"")</f>
        <v>CUST-0175</v>
      </c>
      <c r="S1522" s="27" t="b">
        <f>IFERROR(VLOOKUP(D1522,Products!$A$2:$F$61,6,FALSE),"")</f>
        <v>1</v>
      </c>
      <c r="BL1522">
        <v>0</v>
      </c>
      <c r="BO1522">
        <v>0</v>
      </c>
      <c r="BP1522">
        <v>0</v>
      </c>
    </row>
    <row r="1523" spans="1:68" x14ac:dyDescent="0.35">
      <c r="A1523" s="26" t="str">
        <f>Orders!A1523</f>
        <v>ORD-01522</v>
      </c>
      <c r="B1523" s="33">
        <f>Orders!B1523</f>
        <v>45454</v>
      </c>
      <c r="C1523" t="str">
        <f>Orders!C1523</f>
        <v>CUST-0001</v>
      </c>
      <c r="D1523" t="str">
        <f>Orders!D1523</f>
        <v>PROD-027</v>
      </c>
      <c r="E1523" t="str">
        <f>Orders!E1523</f>
        <v>R018</v>
      </c>
      <c r="F1523">
        <f>Orders!F1523</f>
        <v>7</v>
      </c>
      <c r="G1523" s="35">
        <f>Orders!G1523</f>
        <v>3780</v>
      </c>
      <c r="H1523" s="37">
        <f>Orders!H1523</f>
        <v>18.7</v>
      </c>
      <c r="I1523" s="39">
        <f>Orders!I1523</f>
        <v>21511.98</v>
      </c>
      <c r="J1523" t="str">
        <f>Orders!J1523</f>
        <v>Completed</v>
      </c>
      <c r="K1523" t="str">
        <f>Orders!K1523</f>
        <v>Pune</v>
      </c>
      <c r="L1523" t="str">
        <f>IFERROR(VLOOKUP(D1523,Products!$A$2:$F$61,3,FALSE),"")</f>
        <v>Grocery</v>
      </c>
      <c r="M1523">
        <f>IFERROR(VLOOKUP(D1523,Products!$A$2:$F$61,4,FALSE),"")</f>
        <v>2436</v>
      </c>
      <c r="N1523" t="str">
        <f>IFERROR(VLOOKUP(E1523,Sales_Reps!$A$2:$E$31,3,FALSE),"")</f>
        <v>East</v>
      </c>
      <c r="O1523" t="str">
        <f>IFERROR(VLOOKUP(C1523,Customers!$A$2:$F$301,5,FALSE),"")</f>
        <v>Retail</v>
      </c>
      <c r="P1523">
        <f>IFERROR(VLOOKUP(C1523,Customers!$A$2:$F$301,3,FALSE),"")</f>
        <v>36</v>
      </c>
      <c r="Q1523" s="41">
        <f t="shared" si="32"/>
        <v>0.35555555555555557</v>
      </c>
      <c r="R1523" t="str">
        <f>IFERROR(VLOOKUP(C1523,Customers!$A$2:$F$301,1,FALSE),"")</f>
        <v>CUST-0001</v>
      </c>
      <c r="S1523" s="27" t="b">
        <f>IFERROR(VLOOKUP(D1523,Products!$A$2:$F$61,6,FALSE),"")</f>
        <v>1</v>
      </c>
      <c r="BL1523">
        <v>0</v>
      </c>
      <c r="BO1523">
        <v>0</v>
      </c>
      <c r="BP1523">
        <v>0</v>
      </c>
    </row>
    <row r="1524" spans="1:68" x14ac:dyDescent="0.35">
      <c r="A1524" s="26" t="str">
        <f>Orders!A1524</f>
        <v>ORD-01523</v>
      </c>
      <c r="B1524" s="33">
        <f>Orders!B1524</f>
        <v>45625</v>
      </c>
      <c r="C1524" t="str">
        <f>Orders!C1524</f>
        <v>CUST-0238</v>
      </c>
      <c r="D1524" t="str">
        <f>Orders!D1524</f>
        <v>PROD-020</v>
      </c>
      <c r="E1524" t="str">
        <f>Orders!E1524</f>
        <v>R013</v>
      </c>
      <c r="F1524">
        <f>Orders!F1524</f>
        <v>4</v>
      </c>
      <c r="G1524" s="35">
        <f>Orders!G1524</f>
        <v>820</v>
      </c>
      <c r="H1524" s="37">
        <f>Orders!H1524</f>
        <v>18.8</v>
      </c>
      <c r="I1524" s="39">
        <f>Orders!I1524</f>
        <v>2663.36</v>
      </c>
      <c r="J1524" t="str">
        <f>Orders!J1524</f>
        <v>Cancelled</v>
      </c>
      <c r="K1524" t="str">
        <f>Orders!K1524</f>
        <v>Delhi</v>
      </c>
      <c r="L1524" t="str">
        <f>IFERROR(VLOOKUP(D1524,Products!$A$2:$F$61,3,FALSE),"")</f>
        <v>Apparel</v>
      </c>
      <c r="M1524">
        <f>IFERROR(VLOOKUP(D1524,Products!$A$2:$F$61,4,FALSE),"")</f>
        <v>391</v>
      </c>
      <c r="N1524" t="str">
        <f>IFERROR(VLOOKUP(E1524,Sales_Reps!$A$2:$E$31,3,FALSE),"")</f>
        <v>South</v>
      </c>
      <c r="O1524" t="str">
        <f>IFERROR(VLOOKUP(C1524,Customers!$A$2:$F$301,5,FALSE),"")</f>
        <v>Retail</v>
      </c>
      <c r="P1524">
        <f>IFERROR(VLOOKUP(C1524,Customers!$A$2:$F$301,3,FALSE),"")</f>
        <v>49</v>
      </c>
      <c r="Q1524" s="41">
        <f t="shared" si="32"/>
        <v>0.52317073170731709</v>
      </c>
      <c r="R1524" t="str">
        <f>IFERROR(VLOOKUP(C1524,Customers!$A$2:$F$301,1,FALSE),"")</f>
        <v>CUST-0238</v>
      </c>
      <c r="S1524" s="27" t="b">
        <f>IFERROR(VLOOKUP(D1524,Products!$A$2:$F$61,6,FALSE),"")</f>
        <v>1</v>
      </c>
      <c r="BL1524">
        <v>0</v>
      </c>
      <c r="BO1524">
        <v>0</v>
      </c>
      <c r="BP1524">
        <v>0</v>
      </c>
    </row>
    <row r="1525" spans="1:68" x14ac:dyDescent="0.35">
      <c r="A1525" s="26" t="str">
        <f>Orders!A1525</f>
        <v>ORD-01524</v>
      </c>
      <c r="B1525" s="33">
        <f>Orders!B1525</f>
        <v>45600</v>
      </c>
      <c r="C1525" t="str">
        <f>Orders!C1525</f>
        <v>CUST-0279</v>
      </c>
      <c r="D1525" t="str">
        <f>Orders!D1525</f>
        <v>PROD-044</v>
      </c>
      <c r="E1525" t="str">
        <f>Orders!E1525</f>
        <v>R022</v>
      </c>
      <c r="F1525">
        <f>Orders!F1525</f>
        <v>1</v>
      </c>
      <c r="G1525" s="35">
        <f>Orders!G1525</f>
        <v>1650</v>
      </c>
      <c r="H1525" s="37">
        <f>Orders!H1525</f>
        <v>18.8</v>
      </c>
      <c r="I1525" s="39">
        <f>Orders!I1525</f>
        <v>1339.8</v>
      </c>
      <c r="J1525" t="str">
        <f>Orders!J1525</f>
        <v>Cancelled</v>
      </c>
      <c r="K1525" t="str">
        <f>Orders!K1525</f>
        <v>Mumbai</v>
      </c>
      <c r="L1525" t="str">
        <f>IFERROR(VLOOKUP(D1525,Products!$A$2:$F$61,3,FALSE),"")</f>
        <v>Beauty</v>
      </c>
      <c r="M1525">
        <f>IFERROR(VLOOKUP(D1525,Products!$A$2:$F$61,4,FALSE),"")</f>
        <v>1222</v>
      </c>
      <c r="N1525" t="str">
        <f>IFERROR(VLOOKUP(E1525,Sales_Reps!$A$2:$E$31,3,FALSE),"")</f>
        <v>East</v>
      </c>
      <c r="O1525" t="str">
        <f>IFERROR(VLOOKUP(C1525,Customers!$A$2:$F$301,5,FALSE),"")</f>
        <v>Retail</v>
      </c>
      <c r="P1525">
        <f>IFERROR(VLOOKUP(C1525,Customers!$A$2:$F$301,3,FALSE),"")</f>
        <v>56</v>
      </c>
      <c r="Q1525" s="41">
        <f t="shared" si="32"/>
        <v>0.2593939393939394</v>
      </c>
      <c r="R1525" t="str">
        <f>IFERROR(VLOOKUP(C1525,Customers!$A$2:$F$301,1,FALSE),"")</f>
        <v>CUST-0279</v>
      </c>
      <c r="S1525" s="27" t="b">
        <f>IFERROR(VLOOKUP(D1525,Products!$A$2:$F$61,6,FALSE),"")</f>
        <v>1</v>
      </c>
      <c r="BL1525">
        <v>0</v>
      </c>
      <c r="BO1525">
        <v>0</v>
      </c>
      <c r="BP1525">
        <v>0</v>
      </c>
    </row>
    <row r="1526" spans="1:68" x14ac:dyDescent="0.35">
      <c r="A1526" s="26" t="str">
        <f>Orders!A1526</f>
        <v>ORD-01525</v>
      </c>
      <c r="B1526" s="33">
        <f>Orders!B1526</f>
        <v>45397</v>
      </c>
      <c r="C1526" t="str">
        <f>Orders!C1526</f>
        <v>CUST-0042</v>
      </c>
      <c r="D1526" t="str">
        <f>Orders!D1526</f>
        <v>PROD-027</v>
      </c>
      <c r="E1526" t="str">
        <f>Orders!E1526</f>
        <v>R021</v>
      </c>
      <c r="F1526">
        <f>Orders!F1526</f>
        <v>2</v>
      </c>
      <c r="G1526" s="35">
        <f>Orders!G1526</f>
        <v>3780</v>
      </c>
      <c r="H1526" s="37">
        <f>Orders!H1526</f>
        <v>1</v>
      </c>
      <c r="I1526" s="39">
        <f>Orders!I1526</f>
        <v>7484.4</v>
      </c>
      <c r="J1526" t="str">
        <f>Orders!J1526</f>
        <v>Refunded</v>
      </c>
      <c r="K1526" t="str">
        <f>Orders!K1526</f>
        <v>Pune</v>
      </c>
      <c r="L1526" t="str">
        <f>IFERROR(VLOOKUP(D1526,Products!$A$2:$F$61,3,FALSE),"")</f>
        <v>Grocery</v>
      </c>
      <c r="M1526">
        <f>IFERROR(VLOOKUP(D1526,Products!$A$2:$F$61,4,FALSE),"")</f>
        <v>2436</v>
      </c>
      <c r="N1526" t="str">
        <f>IFERROR(VLOOKUP(E1526,Sales_Reps!$A$2:$E$31,3,FALSE),"")</f>
        <v>East</v>
      </c>
      <c r="O1526" t="str">
        <f>IFERROR(VLOOKUP(C1526,Customers!$A$2:$F$301,5,FALSE),"")</f>
        <v>Retail</v>
      </c>
      <c r="P1526">
        <f>IFERROR(VLOOKUP(C1526,Customers!$A$2:$F$301,3,FALSE),"")</f>
        <v>25</v>
      </c>
      <c r="Q1526" s="41">
        <f t="shared" si="32"/>
        <v>0.35555555555555557</v>
      </c>
      <c r="R1526" t="str">
        <f>IFERROR(VLOOKUP(C1526,Customers!$A$2:$F$301,1,FALSE),"")</f>
        <v>CUST-0042</v>
      </c>
      <c r="S1526" s="27" t="b">
        <f>IFERROR(VLOOKUP(D1526,Products!$A$2:$F$61,6,FALSE),"")</f>
        <v>1</v>
      </c>
      <c r="BL1526">
        <v>0</v>
      </c>
      <c r="BO1526">
        <v>0</v>
      </c>
      <c r="BP1526">
        <v>0</v>
      </c>
    </row>
    <row r="1527" spans="1:68" x14ac:dyDescent="0.35">
      <c r="A1527" s="26" t="str">
        <f>Orders!A1527</f>
        <v>ORD-01526</v>
      </c>
      <c r="B1527" s="33">
        <f>Orders!B1527</f>
        <v>45417</v>
      </c>
      <c r="C1527" t="str">
        <f>Orders!C1527</f>
        <v>CUST-0137</v>
      </c>
      <c r="D1527" t="str">
        <f>Orders!D1527</f>
        <v>PROD-029</v>
      </c>
      <c r="E1527" t="str">
        <f>Orders!E1527</f>
        <v>R027</v>
      </c>
      <c r="F1527">
        <f>Orders!F1527</f>
        <v>5</v>
      </c>
      <c r="G1527" s="35">
        <f>Orders!G1527</f>
        <v>2210</v>
      </c>
      <c r="H1527" s="37">
        <f>Orders!H1527</f>
        <v>16.600000000000001</v>
      </c>
      <c r="I1527" s="39">
        <f>Orders!I1527</f>
        <v>9215.7000000000007</v>
      </c>
      <c r="J1527" t="str">
        <f>Orders!J1527</f>
        <v>Completed</v>
      </c>
      <c r="K1527" t="str">
        <f>Orders!K1527</f>
        <v>Mumbai</v>
      </c>
      <c r="L1527" t="str">
        <f>IFERROR(VLOOKUP(D1527,Products!$A$2:$F$61,3,FALSE),"")</f>
        <v>Grocery</v>
      </c>
      <c r="M1527">
        <f>IFERROR(VLOOKUP(D1527,Products!$A$2:$F$61,4,FALSE),"")</f>
        <v>1010</v>
      </c>
      <c r="N1527" t="str">
        <f>IFERROR(VLOOKUP(E1527,Sales_Reps!$A$2:$E$31,3,FALSE),"")</f>
        <v>West</v>
      </c>
      <c r="O1527" t="str">
        <f>IFERROR(VLOOKUP(C1527,Customers!$A$2:$F$301,5,FALSE),"")</f>
        <v>Retail</v>
      </c>
      <c r="P1527">
        <f>IFERROR(VLOOKUP(C1527,Customers!$A$2:$F$301,3,FALSE),"")</f>
        <v>41</v>
      </c>
      <c r="Q1527" s="41">
        <f t="shared" si="32"/>
        <v>0.54298642533936647</v>
      </c>
      <c r="R1527" t="str">
        <f>IFERROR(VLOOKUP(C1527,Customers!$A$2:$F$301,1,FALSE),"")</f>
        <v>CUST-0137</v>
      </c>
      <c r="S1527" s="27" t="b">
        <f>IFERROR(VLOOKUP(D1527,Products!$A$2:$F$61,6,FALSE),"")</f>
        <v>1</v>
      </c>
      <c r="BL1527">
        <v>0</v>
      </c>
      <c r="BO1527">
        <v>0</v>
      </c>
      <c r="BP1527">
        <v>0</v>
      </c>
    </row>
    <row r="1528" spans="1:68" x14ac:dyDescent="0.35">
      <c r="A1528" s="26" t="str">
        <f>Orders!A1528</f>
        <v>ORD-01527</v>
      </c>
      <c r="B1528" s="33">
        <f>Orders!B1528</f>
        <v>45487</v>
      </c>
      <c r="C1528" t="str">
        <f>Orders!C1528</f>
        <v>CUST-0160</v>
      </c>
      <c r="D1528" t="str">
        <f>Orders!D1528</f>
        <v>PROD-056</v>
      </c>
      <c r="E1528" t="str">
        <f>Orders!E1528</f>
        <v>R010</v>
      </c>
      <c r="F1528">
        <f>Orders!F1528</f>
        <v>10</v>
      </c>
      <c r="G1528" s="35">
        <f>Orders!G1528</f>
        <v>6940</v>
      </c>
      <c r="H1528" s="37">
        <f>Orders!H1528</f>
        <v>10.6</v>
      </c>
      <c r="I1528" s="39">
        <f>Orders!I1528</f>
        <v>62043.6</v>
      </c>
      <c r="J1528" t="str">
        <f>Orders!J1528</f>
        <v>Completed</v>
      </c>
      <c r="K1528" t="str">
        <f>Orders!K1528</f>
        <v>Hyderabad</v>
      </c>
      <c r="L1528" t="str">
        <f>IFERROR(VLOOKUP(D1528,Products!$A$2:$F$61,3,FALSE),"")</f>
        <v>Sports</v>
      </c>
      <c r="M1528">
        <f>IFERROR(VLOOKUP(D1528,Products!$A$2:$F$61,4,FALSE),"")</f>
        <v>2827</v>
      </c>
      <c r="N1528" t="str">
        <f>IFERROR(VLOOKUP(E1528,Sales_Reps!$A$2:$E$31,3,FALSE),"")</f>
        <v>South</v>
      </c>
      <c r="O1528" t="str">
        <f>IFERROR(VLOOKUP(C1528,Customers!$A$2:$F$301,5,FALSE),"")</f>
        <v>Retail</v>
      </c>
      <c r="P1528">
        <f>IFERROR(VLOOKUP(C1528,Customers!$A$2:$F$301,3,FALSE),"")</f>
        <v>27</v>
      </c>
      <c r="Q1528" s="41">
        <f t="shared" si="32"/>
        <v>0.5926512968299712</v>
      </c>
      <c r="R1528" t="str">
        <f>IFERROR(VLOOKUP(C1528,Customers!$A$2:$F$301,1,FALSE),"")</f>
        <v>CUST-0160</v>
      </c>
      <c r="S1528" s="27" t="b">
        <f>IFERROR(VLOOKUP(D1528,Products!$A$2:$F$61,6,FALSE),"")</f>
        <v>1</v>
      </c>
      <c r="BL1528">
        <v>0</v>
      </c>
      <c r="BO1528">
        <v>0</v>
      </c>
      <c r="BP1528">
        <v>0</v>
      </c>
    </row>
    <row r="1529" spans="1:68" x14ac:dyDescent="0.35">
      <c r="A1529" s="26" t="str">
        <f>Orders!A1529</f>
        <v>ORD-01528</v>
      </c>
      <c r="B1529" s="33">
        <f>Orders!B1529</f>
        <v>45454</v>
      </c>
      <c r="C1529" t="str">
        <f>Orders!C1529</f>
        <v>CUST-0102</v>
      </c>
      <c r="D1529" t="str">
        <f>Orders!D1529</f>
        <v>PROD-042</v>
      </c>
      <c r="E1529" t="str">
        <f>Orders!E1529</f>
        <v>R005</v>
      </c>
      <c r="F1529">
        <f>Orders!F1529</f>
        <v>8</v>
      </c>
      <c r="G1529" s="35">
        <f>Orders!G1529</f>
        <v>2290</v>
      </c>
      <c r="H1529" s="37">
        <f>Orders!H1529</f>
        <v>12.2</v>
      </c>
      <c r="I1529" s="39">
        <f>Orders!I1529</f>
        <v>16084.96</v>
      </c>
      <c r="J1529" t="str">
        <f>Orders!J1529</f>
        <v>Completed</v>
      </c>
      <c r="K1529" t="str">
        <f>Orders!K1529</f>
        <v>Chennai</v>
      </c>
      <c r="L1529" t="str">
        <f>IFERROR(VLOOKUP(D1529,Products!$A$2:$F$61,3,FALSE),"")</f>
        <v>Beauty</v>
      </c>
      <c r="M1529">
        <f>IFERROR(VLOOKUP(D1529,Products!$A$2:$F$61,4,FALSE),"")</f>
        <v>1219</v>
      </c>
      <c r="N1529" t="str">
        <f>IFERROR(VLOOKUP(E1529,Sales_Reps!$A$2:$E$31,3,FALSE),"")</f>
        <v>North</v>
      </c>
      <c r="O1529" t="str">
        <f>IFERROR(VLOOKUP(C1529,Customers!$A$2:$F$301,5,FALSE),"")</f>
        <v>SMB</v>
      </c>
      <c r="P1529">
        <f>IFERROR(VLOOKUP(C1529,Customers!$A$2:$F$301,3,FALSE),"")</f>
        <v>62</v>
      </c>
      <c r="Q1529" s="41">
        <f t="shared" si="32"/>
        <v>0.46768558951965067</v>
      </c>
      <c r="R1529" t="str">
        <f>IFERROR(VLOOKUP(C1529,Customers!$A$2:$F$301,1,FALSE),"")</f>
        <v>CUST-0102</v>
      </c>
      <c r="S1529" s="27" t="b">
        <f>IFERROR(VLOOKUP(D1529,Products!$A$2:$F$61,6,FALSE),"")</f>
        <v>1</v>
      </c>
      <c r="BL1529">
        <v>0</v>
      </c>
      <c r="BO1529">
        <v>0</v>
      </c>
      <c r="BP1529">
        <v>0</v>
      </c>
    </row>
    <row r="1530" spans="1:68" x14ac:dyDescent="0.35">
      <c r="A1530" s="26" t="str">
        <f>Orders!A1530</f>
        <v>ORD-01529</v>
      </c>
      <c r="B1530" s="33">
        <f>Orders!B1530</f>
        <v>45529</v>
      </c>
      <c r="C1530" t="str">
        <f>Orders!C1530</f>
        <v>CUST-0133</v>
      </c>
      <c r="D1530" t="str">
        <f>Orders!D1530</f>
        <v>PROD-033</v>
      </c>
      <c r="E1530" t="str">
        <f>Orders!E1530</f>
        <v>R025</v>
      </c>
      <c r="F1530">
        <f>Orders!F1530</f>
        <v>5</v>
      </c>
      <c r="G1530" s="35">
        <f>Orders!G1530</f>
        <v>2030</v>
      </c>
      <c r="H1530" s="37">
        <f>Orders!H1530</f>
        <v>23.8</v>
      </c>
      <c r="I1530" s="39">
        <f>Orders!I1530</f>
        <v>7734.3</v>
      </c>
      <c r="J1530" t="str">
        <f>Orders!J1530</f>
        <v>Cancelled</v>
      </c>
      <c r="K1530" t="str">
        <f>Orders!K1530</f>
        <v>Chennai</v>
      </c>
      <c r="L1530" t="str">
        <f>IFERROR(VLOOKUP(D1530,Products!$A$2:$F$61,3,FALSE),"")</f>
        <v>Home</v>
      </c>
      <c r="M1530">
        <f>IFERROR(VLOOKUP(D1530,Products!$A$2:$F$61,4,FALSE),"")</f>
        <v>1143</v>
      </c>
      <c r="N1530" t="str">
        <f>IFERROR(VLOOKUP(E1530,Sales_Reps!$A$2:$E$31,3,FALSE),"")</f>
        <v>West</v>
      </c>
      <c r="O1530" t="str">
        <f>IFERROR(VLOOKUP(C1530,Customers!$A$2:$F$301,5,FALSE),"")</f>
        <v>Retail</v>
      </c>
      <c r="P1530">
        <f>IFERROR(VLOOKUP(C1530,Customers!$A$2:$F$301,3,FALSE),"")</f>
        <v>26</v>
      </c>
      <c r="Q1530" s="41">
        <f t="shared" si="32"/>
        <v>0.43694581280788175</v>
      </c>
      <c r="R1530" t="str">
        <f>IFERROR(VLOOKUP(C1530,Customers!$A$2:$F$301,1,FALSE),"")</f>
        <v>CUST-0133</v>
      </c>
      <c r="S1530" s="27" t="b">
        <f>IFERROR(VLOOKUP(D1530,Products!$A$2:$F$61,6,FALSE),"")</f>
        <v>1</v>
      </c>
      <c r="BL1530">
        <v>0</v>
      </c>
      <c r="BO1530">
        <v>0</v>
      </c>
      <c r="BP1530">
        <v>0</v>
      </c>
    </row>
    <row r="1531" spans="1:68" x14ac:dyDescent="0.35">
      <c r="A1531" s="26" t="str">
        <f>Orders!A1531</f>
        <v>ORD-01530</v>
      </c>
      <c r="B1531" s="33">
        <f>Orders!B1531</f>
        <v>45546</v>
      </c>
      <c r="C1531" t="str">
        <f>Orders!C1531</f>
        <v>CUST-0080</v>
      </c>
      <c r="D1531" t="str">
        <f>Orders!D1531</f>
        <v>PROD-006</v>
      </c>
      <c r="E1531" t="str">
        <f>Orders!E1531</f>
        <v>R029</v>
      </c>
      <c r="F1531">
        <f>Orders!F1531</f>
        <v>3</v>
      </c>
      <c r="G1531" s="35">
        <f>Orders!G1531</f>
        <v>3970</v>
      </c>
      <c r="H1531" s="37">
        <f>Orders!H1531</f>
        <v>7.7</v>
      </c>
      <c r="I1531" s="39">
        <f>Orders!I1531</f>
        <v>10992.93</v>
      </c>
      <c r="J1531" t="str">
        <f>Orders!J1531</f>
        <v>Completed</v>
      </c>
      <c r="K1531" t="str">
        <f>Orders!K1531</f>
        <v>Pune</v>
      </c>
      <c r="L1531" t="str">
        <f>IFERROR(VLOOKUP(D1531,Products!$A$2:$F$61,3,FALSE),"")</f>
        <v>Electronics</v>
      </c>
      <c r="M1531">
        <f>IFERROR(VLOOKUP(D1531,Products!$A$2:$F$61,4,FALSE),"")</f>
        <v>2865</v>
      </c>
      <c r="N1531" t="str">
        <f>IFERROR(VLOOKUP(E1531,Sales_Reps!$A$2:$E$31,3,FALSE),"")</f>
        <v>West</v>
      </c>
      <c r="O1531" t="str">
        <f>IFERROR(VLOOKUP(C1531,Customers!$A$2:$F$301,5,FALSE),"")</f>
        <v>SMB</v>
      </c>
      <c r="P1531">
        <f>IFERROR(VLOOKUP(C1531,Customers!$A$2:$F$301,3,FALSE),"")</f>
        <v>30</v>
      </c>
      <c r="Q1531" s="41">
        <f t="shared" si="32"/>
        <v>0.27833753148614609</v>
      </c>
      <c r="R1531" t="str">
        <f>IFERROR(VLOOKUP(C1531,Customers!$A$2:$F$301,1,FALSE),"")</f>
        <v>CUST-0080</v>
      </c>
      <c r="S1531" s="27" t="b">
        <f>IFERROR(VLOOKUP(D1531,Products!$A$2:$F$61,6,FALSE),"")</f>
        <v>1</v>
      </c>
      <c r="BL1531">
        <v>0</v>
      </c>
      <c r="BO1531">
        <v>0</v>
      </c>
      <c r="BP1531">
        <v>0</v>
      </c>
    </row>
    <row r="1532" spans="1:68" x14ac:dyDescent="0.35">
      <c r="A1532" s="26" t="str">
        <f>Orders!A1532</f>
        <v>ORD-01821</v>
      </c>
      <c r="B1532" s="33">
        <f>Orders!B1532</f>
        <v>45481</v>
      </c>
      <c r="C1532" t="str">
        <f>Orders!C1532</f>
        <v>CUST-0299</v>
      </c>
      <c r="D1532" t="str">
        <f>Orders!D1532</f>
        <v>PROD-020</v>
      </c>
      <c r="E1532" t="str">
        <f>Orders!E1532</f>
        <v>R016</v>
      </c>
      <c r="F1532">
        <f>Orders!F1532</f>
        <v>1</v>
      </c>
      <c r="G1532" s="35">
        <f>Orders!G1532</f>
        <v>820</v>
      </c>
      <c r="H1532" s="37">
        <f>Orders!H1532</f>
        <v>5.4</v>
      </c>
      <c r="I1532" s="39">
        <f>Orders!I1532</f>
        <v>775.72</v>
      </c>
      <c r="J1532" t="str">
        <f>Orders!J1532</f>
        <v>Completed</v>
      </c>
      <c r="K1532" t="str">
        <f>Orders!K1532</f>
        <v>Mumbai</v>
      </c>
      <c r="L1532" t="str">
        <f>IFERROR(VLOOKUP(D1532,Products!$A$2:$F$61,3,FALSE),"")</f>
        <v>Apparel</v>
      </c>
      <c r="M1532">
        <f>IFERROR(VLOOKUP(D1532,Products!$A$2:$F$61,4,FALSE),"")</f>
        <v>391</v>
      </c>
      <c r="N1532" t="str">
        <f>IFERROR(VLOOKUP(E1532,Sales_Reps!$A$2:$E$31,3,FALSE),"")</f>
        <v>South</v>
      </c>
      <c r="O1532" t="str">
        <f>IFERROR(VLOOKUP(C1532,Customers!$A$2:$F$301,5,FALSE),"")</f>
        <v>Corporate</v>
      </c>
      <c r="P1532">
        <f>IFERROR(VLOOKUP(C1532,Customers!$A$2:$F$301,3,FALSE),"")</f>
        <v>51</v>
      </c>
      <c r="Q1532" s="41">
        <f t="shared" si="32"/>
        <v>0.52317073170731709</v>
      </c>
      <c r="R1532" t="str">
        <f>IFERROR(VLOOKUP(C1532,Customers!$A$2:$F$301,1,FALSE),"")</f>
        <v>CUST-0299</v>
      </c>
      <c r="S1532" s="27" t="b">
        <f>IFERROR(VLOOKUP(D1532,Products!$A$2:$F$61,6,FALSE),"")</f>
        <v>1</v>
      </c>
      <c r="BL1532">
        <v>0.5</v>
      </c>
      <c r="BO1532">
        <v>0</v>
      </c>
      <c r="BP1532">
        <v>0</v>
      </c>
    </row>
    <row r="1533" spans="1:68" x14ac:dyDescent="0.35">
      <c r="A1533" s="26" t="str">
        <f>Orders!A1533</f>
        <v>ORD-01532</v>
      </c>
      <c r="B1533" s="33">
        <f>Orders!B1533</f>
        <v>45472</v>
      </c>
      <c r="C1533" t="str">
        <f>Orders!C1533</f>
        <v>CUST-0078</v>
      </c>
      <c r="D1533" t="str">
        <f>Orders!D1533</f>
        <v>PROD-004</v>
      </c>
      <c r="E1533" t="str">
        <f>Orders!E1533</f>
        <v>R025</v>
      </c>
      <c r="F1533">
        <f>Orders!F1533</f>
        <v>3</v>
      </c>
      <c r="G1533" s="35">
        <f>Orders!G1533</f>
        <v>3870</v>
      </c>
      <c r="H1533" s="37">
        <f>Orders!H1533</f>
        <v>1.9</v>
      </c>
      <c r="I1533" s="39">
        <f>Orders!I1533</f>
        <v>11389.41</v>
      </c>
      <c r="J1533" t="str">
        <f>Orders!J1533</f>
        <v>Completed</v>
      </c>
      <c r="K1533" t="str">
        <f>Orders!K1533</f>
        <v>Delhi</v>
      </c>
      <c r="L1533" t="str">
        <f>IFERROR(VLOOKUP(D1533,Products!$A$2:$F$61,3,FALSE),"")</f>
        <v>Electronics</v>
      </c>
      <c r="M1533">
        <f>IFERROR(VLOOKUP(D1533,Products!$A$2:$F$61,4,FALSE),"")</f>
        <v>1559</v>
      </c>
      <c r="N1533" t="str">
        <f>IFERROR(VLOOKUP(E1533,Sales_Reps!$A$2:$E$31,3,FALSE),"")</f>
        <v>West</v>
      </c>
      <c r="O1533" t="str">
        <f>IFERROR(VLOOKUP(C1533,Customers!$A$2:$F$301,5,FALSE),"")</f>
        <v>Retail</v>
      </c>
      <c r="P1533">
        <f>IFERROR(VLOOKUP(C1533,Customers!$A$2:$F$301,3,FALSE),"")</f>
        <v>31</v>
      </c>
      <c r="Q1533" s="41">
        <f t="shared" si="32"/>
        <v>0.59715762273901807</v>
      </c>
      <c r="R1533" t="str">
        <f>IFERROR(VLOOKUP(C1533,Customers!$A$2:$F$301,1,FALSE),"")</f>
        <v>CUST-0078</v>
      </c>
      <c r="S1533" s="27" t="b">
        <f>IFERROR(VLOOKUP(D1533,Products!$A$2:$F$61,6,FALSE),"")</f>
        <v>1</v>
      </c>
      <c r="BL1533">
        <v>0</v>
      </c>
      <c r="BO1533">
        <v>0</v>
      </c>
      <c r="BP1533">
        <v>0</v>
      </c>
    </row>
    <row r="1534" spans="1:68" x14ac:dyDescent="0.35">
      <c r="A1534" s="26" t="str">
        <f>Orders!A1534</f>
        <v>ORD-01533</v>
      </c>
      <c r="B1534" s="33">
        <f>Orders!B1534</f>
        <v>45296</v>
      </c>
      <c r="C1534" t="str">
        <f>Orders!C1534</f>
        <v>CUST-0251</v>
      </c>
      <c r="D1534" t="str">
        <f>Orders!D1534</f>
        <v>PROD-030</v>
      </c>
      <c r="E1534" t="str">
        <f>Orders!E1534</f>
        <v>R022</v>
      </c>
      <c r="F1534">
        <f>Orders!F1534</f>
        <v>6</v>
      </c>
      <c r="G1534" s="35">
        <f>Orders!G1534</f>
        <v>970</v>
      </c>
      <c r="H1534" s="37">
        <f>Orders!H1534</f>
        <v>27.1</v>
      </c>
      <c r="I1534" s="39">
        <f>Orders!I1534</f>
        <v>4242.78</v>
      </c>
      <c r="J1534" t="str">
        <f>Orders!J1534</f>
        <v>Completed</v>
      </c>
      <c r="K1534" t="str">
        <f>Orders!K1534</f>
        <v>Mumbai</v>
      </c>
      <c r="L1534" t="str">
        <f>IFERROR(VLOOKUP(D1534,Products!$A$2:$F$61,3,FALSE),"")</f>
        <v>Grocery</v>
      </c>
      <c r="M1534">
        <f>IFERROR(VLOOKUP(D1534,Products!$A$2:$F$61,4,FALSE),"")</f>
        <v>434</v>
      </c>
      <c r="N1534" t="str">
        <f>IFERROR(VLOOKUP(E1534,Sales_Reps!$A$2:$E$31,3,FALSE),"")</f>
        <v>East</v>
      </c>
      <c r="O1534" t="str">
        <f>IFERROR(VLOOKUP(C1534,Customers!$A$2:$F$301,5,FALSE),"")</f>
        <v>Retail</v>
      </c>
      <c r="P1534">
        <f>IFERROR(VLOOKUP(C1534,Customers!$A$2:$F$301,3,FALSE),"")</f>
        <v>44</v>
      </c>
      <c r="Q1534" s="41">
        <f t="shared" si="32"/>
        <v>0.5525773195876289</v>
      </c>
      <c r="R1534" t="str">
        <f>IFERROR(VLOOKUP(C1534,Customers!$A$2:$F$301,1,FALSE),"")</f>
        <v>CUST-0251</v>
      </c>
      <c r="S1534" s="27" t="b">
        <f>IFERROR(VLOOKUP(D1534,Products!$A$2:$F$61,6,FALSE),"")</f>
        <v>1</v>
      </c>
      <c r="BL1534">
        <v>0</v>
      </c>
      <c r="BO1534">
        <v>0</v>
      </c>
      <c r="BP1534">
        <v>0</v>
      </c>
    </row>
    <row r="1535" spans="1:68" x14ac:dyDescent="0.35">
      <c r="A1535" s="26" t="str">
        <f>Orders!A1535</f>
        <v>ORD-01534</v>
      </c>
      <c r="B1535" s="33">
        <f>Orders!B1535</f>
        <v>45567</v>
      </c>
      <c r="C1535" t="str">
        <f>Orders!C1535</f>
        <v>CUST-0191</v>
      </c>
      <c r="D1535" t="str">
        <f>Orders!D1535</f>
        <v>PROD-046</v>
      </c>
      <c r="E1535" t="str">
        <f>Orders!E1535</f>
        <v>R025</v>
      </c>
      <c r="F1535">
        <f>Orders!F1535</f>
        <v>1</v>
      </c>
      <c r="G1535" s="35">
        <f>Orders!G1535</f>
        <v>4880</v>
      </c>
      <c r="H1535" s="37">
        <f>Orders!H1535</f>
        <v>26.8</v>
      </c>
      <c r="I1535" s="39">
        <f>Orders!I1535</f>
        <v>3572.16</v>
      </c>
      <c r="J1535" t="str">
        <f>Orders!J1535</f>
        <v>Completed</v>
      </c>
      <c r="K1535" t="str">
        <f>Orders!K1535</f>
        <v>Hyderabad</v>
      </c>
      <c r="L1535" t="str">
        <f>IFERROR(VLOOKUP(D1535,Products!$A$2:$F$61,3,FALSE),"")</f>
        <v>Beauty</v>
      </c>
      <c r="M1535">
        <f>IFERROR(VLOOKUP(D1535,Products!$A$2:$F$61,4,FALSE),"")</f>
        <v>2768</v>
      </c>
      <c r="N1535" t="str">
        <f>IFERROR(VLOOKUP(E1535,Sales_Reps!$A$2:$E$31,3,FALSE),"")</f>
        <v>West</v>
      </c>
      <c r="O1535" t="str">
        <f>IFERROR(VLOOKUP(C1535,Customers!$A$2:$F$301,5,FALSE),"")</f>
        <v>SMB</v>
      </c>
      <c r="P1535">
        <f>IFERROR(VLOOKUP(C1535,Customers!$A$2:$F$301,3,FALSE),"")</f>
        <v>43</v>
      </c>
      <c r="Q1535" s="41">
        <f t="shared" si="32"/>
        <v>0.43278688524590164</v>
      </c>
      <c r="R1535" t="str">
        <f>IFERROR(VLOOKUP(C1535,Customers!$A$2:$F$301,1,FALSE),"")</f>
        <v>CUST-0191</v>
      </c>
      <c r="S1535" s="27" t="b">
        <f>IFERROR(VLOOKUP(D1535,Products!$A$2:$F$61,6,FALSE),"")</f>
        <v>1</v>
      </c>
      <c r="BL1535">
        <v>0</v>
      </c>
      <c r="BO1535">
        <v>0</v>
      </c>
      <c r="BP1535">
        <v>0</v>
      </c>
    </row>
    <row r="1536" spans="1:68" x14ac:dyDescent="0.35">
      <c r="A1536" s="26" t="str">
        <f>Orders!A1536</f>
        <v>ORD-01535</v>
      </c>
      <c r="B1536" s="33">
        <f>Orders!B1536</f>
        <v>45337</v>
      </c>
      <c r="C1536" t="str">
        <f>Orders!C1536</f>
        <v>CUST-0130</v>
      </c>
      <c r="D1536" t="str">
        <f>Orders!D1536</f>
        <v>PROD-022</v>
      </c>
      <c r="E1536" t="str">
        <f>Orders!E1536</f>
        <v>R023</v>
      </c>
      <c r="F1536">
        <f>Orders!F1536</f>
        <v>1</v>
      </c>
      <c r="G1536" s="35">
        <f>Orders!G1536</f>
        <v>2270</v>
      </c>
      <c r="H1536" s="37">
        <f>Orders!H1536</f>
        <v>22.2</v>
      </c>
      <c r="I1536" s="39">
        <f>Orders!I1536</f>
        <v>1766.06</v>
      </c>
      <c r="J1536" t="str">
        <f>Orders!J1536</f>
        <v>Completed</v>
      </c>
      <c r="K1536" t="str">
        <f>Orders!K1536</f>
        <v>Bengaluru</v>
      </c>
      <c r="L1536" t="str">
        <f>IFERROR(VLOOKUP(D1536,Products!$A$2:$F$61,3,FALSE),"")</f>
        <v>Grocery</v>
      </c>
      <c r="M1536">
        <f>IFERROR(VLOOKUP(D1536,Products!$A$2:$F$61,4,FALSE),"")</f>
        <v>1412</v>
      </c>
      <c r="N1536" t="str">
        <f>IFERROR(VLOOKUP(E1536,Sales_Reps!$A$2:$E$31,3,FALSE),"")</f>
        <v>East</v>
      </c>
      <c r="O1536" t="str">
        <f>IFERROR(VLOOKUP(C1536,Customers!$A$2:$F$301,5,FALSE),"")</f>
        <v>Corporate</v>
      </c>
      <c r="P1536">
        <f>IFERROR(VLOOKUP(C1536,Customers!$A$2:$F$301,3,FALSE),"")</f>
        <v>41</v>
      </c>
      <c r="Q1536" s="41">
        <f t="shared" si="32"/>
        <v>0.37797356828193834</v>
      </c>
      <c r="R1536" t="str">
        <f>IFERROR(VLOOKUP(C1536,Customers!$A$2:$F$301,1,FALSE),"")</f>
        <v>CUST-0130</v>
      </c>
      <c r="S1536" s="27" t="b">
        <f>IFERROR(VLOOKUP(D1536,Products!$A$2:$F$61,6,FALSE),"")</f>
        <v>1</v>
      </c>
      <c r="BL1536">
        <v>0</v>
      </c>
      <c r="BO1536">
        <v>0</v>
      </c>
      <c r="BP1536">
        <v>0</v>
      </c>
    </row>
    <row r="1537" spans="1:68" x14ac:dyDescent="0.35">
      <c r="A1537" s="26" t="str">
        <f>Orders!A1537</f>
        <v>ORD-01536</v>
      </c>
      <c r="B1537" s="33">
        <f>Orders!B1537</f>
        <v>45376</v>
      </c>
      <c r="C1537" t="str">
        <f>Orders!C1537</f>
        <v>CUST-0056</v>
      </c>
      <c r="D1537" t="str">
        <f>Orders!D1537</f>
        <v>PROD-047</v>
      </c>
      <c r="E1537" t="str">
        <f>Orders!E1537</f>
        <v>R026</v>
      </c>
      <c r="F1537">
        <f>Orders!F1537</f>
        <v>10</v>
      </c>
      <c r="G1537" s="35">
        <f>Orders!G1537</f>
        <v>3450</v>
      </c>
      <c r="H1537" s="37">
        <f>Orders!H1537</f>
        <v>21.9</v>
      </c>
      <c r="I1537" s="39">
        <f>Orders!I1537</f>
        <v>26944.5</v>
      </c>
      <c r="J1537" t="str">
        <f>Orders!J1537</f>
        <v>Completed</v>
      </c>
      <c r="K1537" t="str">
        <f>Orders!K1537</f>
        <v>Bengaluru</v>
      </c>
      <c r="L1537" t="str">
        <f>IFERROR(VLOOKUP(D1537,Products!$A$2:$F$61,3,FALSE),"")</f>
        <v>Beauty</v>
      </c>
      <c r="M1537">
        <f>IFERROR(VLOOKUP(D1537,Products!$A$2:$F$61,4,FALSE),"")</f>
        <v>2420</v>
      </c>
      <c r="N1537" t="str">
        <f>IFERROR(VLOOKUP(E1537,Sales_Reps!$A$2:$E$31,3,FALSE),"")</f>
        <v>West</v>
      </c>
      <c r="O1537" t="str">
        <f>IFERROR(VLOOKUP(C1537,Customers!$A$2:$F$301,5,FALSE),"")</f>
        <v>SMB</v>
      </c>
      <c r="P1537">
        <f>IFERROR(VLOOKUP(C1537,Customers!$A$2:$F$301,3,FALSE),"")</f>
        <v>46</v>
      </c>
      <c r="Q1537" s="41">
        <f t="shared" si="32"/>
        <v>0.29855072463768118</v>
      </c>
      <c r="R1537" t="str">
        <f>IFERROR(VLOOKUP(C1537,Customers!$A$2:$F$301,1,FALSE),"")</f>
        <v>CUST-0056</v>
      </c>
      <c r="S1537" s="27" t="b">
        <f>IFERROR(VLOOKUP(D1537,Products!$A$2:$F$61,6,FALSE),"")</f>
        <v>1</v>
      </c>
      <c r="BL1537">
        <v>0</v>
      </c>
      <c r="BO1537">
        <v>0</v>
      </c>
      <c r="BP1537">
        <v>0</v>
      </c>
    </row>
    <row r="1538" spans="1:68" x14ac:dyDescent="0.35">
      <c r="A1538" s="26" t="str">
        <f>Orders!A1538</f>
        <v>ORD-01537</v>
      </c>
      <c r="B1538" s="33">
        <f>Orders!B1538</f>
        <v>45616</v>
      </c>
      <c r="C1538" t="str">
        <f>Orders!C1538</f>
        <v>CUST-0185</v>
      </c>
      <c r="D1538" t="str">
        <f>Orders!D1538</f>
        <v>PROD-022</v>
      </c>
      <c r="E1538" t="str">
        <f>Orders!E1538</f>
        <v>R011</v>
      </c>
      <c r="F1538">
        <f>Orders!F1538</f>
        <v>3</v>
      </c>
      <c r="G1538" s="35">
        <f>Orders!G1538</f>
        <v>2270</v>
      </c>
      <c r="H1538" s="37">
        <f>Orders!H1538</f>
        <v>19.100000000000001</v>
      </c>
      <c r="I1538" s="39">
        <f>Orders!I1538</f>
        <v>5509.29</v>
      </c>
      <c r="J1538" t="str">
        <f>Orders!J1538</f>
        <v>Cancelled</v>
      </c>
      <c r="K1538" t="str">
        <f>Orders!K1538</f>
        <v>Hyderabad</v>
      </c>
      <c r="L1538" t="str">
        <f>IFERROR(VLOOKUP(D1538,Products!$A$2:$F$61,3,FALSE),"")</f>
        <v>Grocery</v>
      </c>
      <c r="M1538">
        <f>IFERROR(VLOOKUP(D1538,Products!$A$2:$F$61,4,FALSE),"")</f>
        <v>1412</v>
      </c>
      <c r="N1538" t="str">
        <f>IFERROR(VLOOKUP(E1538,Sales_Reps!$A$2:$E$31,3,FALSE),"")</f>
        <v>South</v>
      </c>
      <c r="O1538" t="str">
        <f>IFERROR(VLOOKUP(C1538,Customers!$A$2:$F$301,5,FALSE),"")</f>
        <v>SMB</v>
      </c>
      <c r="P1538">
        <f>IFERROR(VLOOKUP(C1538,Customers!$A$2:$F$301,3,FALSE),"")</f>
        <v>43</v>
      </c>
      <c r="Q1538" s="41">
        <f t="shared" ref="Q1538:Q1601" si="33">IFERROR((G1538-M1538)/G1538,0)</f>
        <v>0.37797356828193834</v>
      </c>
      <c r="R1538" t="str">
        <f>IFERROR(VLOOKUP(C1538,Customers!$A$2:$F$301,1,FALSE),"")</f>
        <v>CUST-0185</v>
      </c>
      <c r="S1538" s="27" t="b">
        <f>IFERROR(VLOOKUP(D1538,Products!$A$2:$F$61,6,FALSE),"")</f>
        <v>1</v>
      </c>
      <c r="BL1538">
        <v>0</v>
      </c>
      <c r="BO1538">
        <v>0</v>
      </c>
      <c r="BP1538">
        <v>0</v>
      </c>
    </row>
    <row r="1539" spans="1:68" x14ac:dyDescent="0.35">
      <c r="A1539" s="26" t="str">
        <f>Orders!A1539</f>
        <v>ORD-01538</v>
      </c>
      <c r="B1539" s="33">
        <f>Orders!B1539</f>
        <v>45360</v>
      </c>
      <c r="C1539" t="str">
        <f>Orders!C1539</f>
        <v>CUST-0195</v>
      </c>
      <c r="D1539" t="str">
        <f>Orders!D1539</f>
        <v>PROD-029</v>
      </c>
      <c r="E1539" t="str">
        <f>Orders!E1539</f>
        <v>R030</v>
      </c>
      <c r="F1539">
        <f>Orders!F1539</f>
        <v>10</v>
      </c>
      <c r="G1539" s="35">
        <f>Orders!G1539</f>
        <v>2210</v>
      </c>
      <c r="H1539" s="37">
        <f>Orders!H1539</f>
        <v>22.3</v>
      </c>
      <c r="I1539" s="39">
        <f>Orders!I1539</f>
        <v>17171.7</v>
      </c>
      <c r="J1539" t="str">
        <f>Orders!J1539</f>
        <v>Completed</v>
      </c>
      <c r="K1539" t="str">
        <f>Orders!K1539</f>
        <v>Bengaluru</v>
      </c>
      <c r="L1539" t="str">
        <f>IFERROR(VLOOKUP(D1539,Products!$A$2:$F$61,3,FALSE),"")</f>
        <v>Grocery</v>
      </c>
      <c r="M1539">
        <f>IFERROR(VLOOKUP(D1539,Products!$A$2:$F$61,4,FALSE),"")</f>
        <v>1010</v>
      </c>
      <c r="N1539" t="str">
        <f>IFERROR(VLOOKUP(E1539,Sales_Reps!$A$2:$E$31,3,FALSE),"")</f>
        <v>West</v>
      </c>
      <c r="O1539" t="str">
        <f>IFERROR(VLOOKUP(C1539,Customers!$A$2:$F$301,5,FALSE),"")</f>
        <v>Retail</v>
      </c>
      <c r="P1539">
        <f>IFERROR(VLOOKUP(C1539,Customers!$A$2:$F$301,3,FALSE),"")</f>
        <v>28</v>
      </c>
      <c r="Q1539" s="41">
        <f t="shared" si="33"/>
        <v>0.54298642533936647</v>
      </c>
      <c r="R1539" t="str">
        <f>IFERROR(VLOOKUP(C1539,Customers!$A$2:$F$301,1,FALSE),"")</f>
        <v>CUST-0195</v>
      </c>
      <c r="S1539" s="27" t="b">
        <f>IFERROR(VLOOKUP(D1539,Products!$A$2:$F$61,6,FALSE),"")</f>
        <v>1</v>
      </c>
      <c r="BL1539">
        <v>0</v>
      </c>
      <c r="BO1539">
        <v>0</v>
      </c>
      <c r="BP1539">
        <v>0</v>
      </c>
    </row>
    <row r="1540" spans="1:68" x14ac:dyDescent="0.35">
      <c r="A1540" s="26" t="str">
        <f>Orders!A1540</f>
        <v>ORD-01539</v>
      </c>
      <c r="B1540" s="33">
        <f>Orders!B1540</f>
        <v>45465</v>
      </c>
      <c r="C1540" t="str">
        <f>Orders!C1540</f>
        <v>CUST-0067</v>
      </c>
      <c r="D1540" t="str">
        <f>Orders!D1540</f>
        <v>PROD-033</v>
      </c>
      <c r="E1540" t="str">
        <f>Orders!E1540</f>
        <v>R011</v>
      </c>
      <c r="F1540">
        <f>Orders!F1540</f>
        <v>9</v>
      </c>
      <c r="G1540" s="35">
        <f>Orders!G1540</f>
        <v>2030</v>
      </c>
      <c r="H1540" s="37">
        <f>Orders!H1540</f>
        <v>24.8</v>
      </c>
      <c r="I1540" s="39">
        <f>Orders!I1540</f>
        <v>13739.04</v>
      </c>
      <c r="J1540" t="str">
        <f>Orders!J1540</f>
        <v>Completed</v>
      </c>
      <c r="K1540" t="str">
        <f>Orders!K1540</f>
        <v>Delhi</v>
      </c>
      <c r="L1540" t="str">
        <f>IFERROR(VLOOKUP(D1540,Products!$A$2:$F$61,3,FALSE),"")</f>
        <v>Home</v>
      </c>
      <c r="M1540">
        <f>IFERROR(VLOOKUP(D1540,Products!$A$2:$F$61,4,FALSE),"")</f>
        <v>1143</v>
      </c>
      <c r="N1540" t="str">
        <f>IFERROR(VLOOKUP(E1540,Sales_Reps!$A$2:$E$31,3,FALSE),"")</f>
        <v>South</v>
      </c>
      <c r="O1540" t="str">
        <f>IFERROR(VLOOKUP(C1540,Customers!$A$2:$F$301,5,FALSE),"")</f>
        <v>SMB</v>
      </c>
      <c r="P1540">
        <f>IFERROR(VLOOKUP(C1540,Customers!$A$2:$F$301,3,FALSE),"")</f>
        <v>59</v>
      </c>
      <c r="Q1540" s="41">
        <f t="shared" si="33"/>
        <v>0.43694581280788175</v>
      </c>
      <c r="R1540" t="str">
        <f>IFERROR(VLOOKUP(C1540,Customers!$A$2:$F$301,1,FALSE),"")</f>
        <v>CUST-0067</v>
      </c>
      <c r="S1540" s="27" t="b">
        <f>IFERROR(VLOOKUP(D1540,Products!$A$2:$F$61,6,FALSE),"")</f>
        <v>1</v>
      </c>
      <c r="BL1540">
        <v>0</v>
      </c>
      <c r="BO1540">
        <v>0</v>
      </c>
      <c r="BP1540">
        <v>0</v>
      </c>
    </row>
    <row r="1541" spans="1:68" x14ac:dyDescent="0.35">
      <c r="A1541" s="26" t="str">
        <f>Orders!A1541</f>
        <v>ORD-01540</v>
      </c>
      <c r="B1541" s="33">
        <f>Orders!B1541</f>
        <v>45380</v>
      </c>
      <c r="C1541" t="str">
        <f>Orders!C1541</f>
        <v>CUST-0149</v>
      </c>
      <c r="D1541" t="str">
        <f>Orders!D1541</f>
        <v>PROD-043</v>
      </c>
      <c r="E1541" t="str">
        <f>Orders!E1541</f>
        <v>R023</v>
      </c>
      <c r="F1541">
        <f>Orders!F1541</f>
        <v>5</v>
      </c>
      <c r="G1541" s="35">
        <f>Orders!G1541</f>
        <v>3350</v>
      </c>
      <c r="H1541" s="37">
        <f>Orders!H1541</f>
        <v>18.2</v>
      </c>
      <c r="I1541" s="39">
        <f>Orders!I1541</f>
        <v>13701.5</v>
      </c>
      <c r="J1541" t="str">
        <f>Orders!J1541</f>
        <v>Completed</v>
      </c>
      <c r="K1541" t="str">
        <f>Orders!K1541</f>
        <v>Hyderabad</v>
      </c>
      <c r="L1541" t="str">
        <f>IFERROR(VLOOKUP(D1541,Products!$A$2:$F$61,3,FALSE),"")</f>
        <v>Beauty</v>
      </c>
      <c r="M1541">
        <f>IFERROR(VLOOKUP(D1541,Products!$A$2:$F$61,4,FALSE),"")</f>
        <v>1728</v>
      </c>
      <c r="N1541" t="str">
        <f>IFERROR(VLOOKUP(E1541,Sales_Reps!$A$2:$E$31,3,FALSE),"")</f>
        <v>East</v>
      </c>
      <c r="O1541" t="str">
        <f>IFERROR(VLOOKUP(C1541,Customers!$A$2:$F$301,5,FALSE),"")</f>
        <v>Retail</v>
      </c>
      <c r="P1541">
        <f>IFERROR(VLOOKUP(C1541,Customers!$A$2:$F$301,3,FALSE),"")</f>
        <v>44</v>
      </c>
      <c r="Q1541" s="41">
        <f t="shared" si="33"/>
        <v>0.48417910447761192</v>
      </c>
      <c r="R1541" t="str">
        <f>IFERROR(VLOOKUP(C1541,Customers!$A$2:$F$301,1,FALSE),"")</f>
        <v>CUST-0149</v>
      </c>
      <c r="S1541" s="27" t="b">
        <f>IFERROR(VLOOKUP(D1541,Products!$A$2:$F$61,6,FALSE),"")</f>
        <v>1</v>
      </c>
      <c r="BL1541">
        <v>0</v>
      </c>
      <c r="BO1541">
        <v>0</v>
      </c>
      <c r="BP1541">
        <v>0</v>
      </c>
    </row>
    <row r="1542" spans="1:68" x14ac:dyDescent="0.35">
      <c r="A1542" s="26" t="str">
        <f>Orders!A1542</f>
        <v>ORD-01541</v>
      </c>
      <c r="B1542" s="33">
        <f>Orders!B1542</f>
        <v>45358</v>
      </c>
      <c r="C1542" t="str">
        <f>Orders!C1542</f>
        <v>CUST-0268</v>
      </c>
      <c r="D1542" t="str">
        <f>Orders!D1542</f>
        <v>PROD-013</v>
      </c>
      <c r="E1542" t="str">
        <f>Orders!E1542</f>
        <v>R008</v>
      </c>
      <c r="F1542">
        <f>Orders!F1542</f>
        <v>7</v>
      </c>
      <c r="G1542" s="35">
        <f>Orders!G1542</f>
        <v>3640</v>
      </c>
      <c r="H1542" s="37">
        <f>Orders!H1542</f>
        <v>14.4</v>
      </c>
      <c r="I1542" s="39">
        <f>Orders!I1542</f>
        <v>21810.880000000001</v>
      </c>
      <c r="J1542" t="str">
        <f>Orders!J1542</f>
        <v>Completed</v>
      </c>
      <c r="K1542" t="str">
        <f>Orders!K1542</f>
        <v>Chennai</v>
      </c>
      <c r="L1542" t="str">
        <f>IFERROR(VLOOKUP(D1542,Products!$A$2:$F$61,3,FALSE),"")</f>
        <v>Apparel</v>
      </c>
      <c r="M1542">
        <f>IFERROR(VLOOKUP(D1542,Products!$A$2:$F$61,4,FALSE),"")</f>
        <v>2611</v>
      </c>
      <c r="N1542" t="str">
        <f>IFERROR(VLOOKUP(E1542,Sales_Reps!$A$2:$E$31,3,FALSE),"")</f>
        <v>North</v>
      </c>
      <c r="O1542" t="str">
        <f>IFERROR(VLOOKUP(C1542,Customers!$A$2:$F$301,5,FALSE),"")</f>
        <v>Retail</v>
      </c>
      <c r="P1542">
        <f>IFERROR(VLOOKUP(C1542,Customers!$A$2:$F$301,3,FALSE),"")</f>
        <v>35</v>
      </c>
      <c r="Q1542" s="41">
        <f t="shared" si="33"/>
        <v>0.28269230769230769</v>
      </c>
      <c r="R1542" t="str">
        <f>IFERROR(VLOOKUP(C1542,Customers!$A$2:$F$301,1,FALSE),"")</f>
        <v>CUST-0268</v>
      </c>
      <c r="S1542" s="27" t="b">
        <f>IFERROR(VLOOKUP(D1542,Products!$A$2:$F$61,6,FALSE),"")</f>
        <v>1</v>
      </c>
      <c r="BL1542">
        <v>0</v>
      </c>
      <c r="BO1542">
        <v>0</v>
      </c>
      <c r="BP1542">
        <v>0</v>
      </c>
    </row>
    <row r="1543" spans="1:68" x14ac:dyDescent="0.35">
      <c r="A1543" s="26" t="str">
        <f>Orders!A1543</f>
        <v>ORD-01542</v>
      </c>
      <c r="B1543" s="33">
        <f>Orders!B1543</f>
        <v>45385</v>
      </c>
      <c r="C1543" t="str">
        <f>Orders!C1543</f>
        <v>CUST-0126</v>
      </c>
      <c r="D1543" t="str">
        <f>Orders!D1543</f>
        <v>PROD-051</v>
      </c>
      <c r="E1543" t="str">
        <f>Orders!E1543</f>
        <v>R018</v>
      </c>
      <c r="F1543">
        <f>Orders!F1543</f>
        <v>9</v>
      </c>
      <c r="G1543" s="35">
        <f>Orders!G1543</f>
        <v>3450</v>
      </c>
      <c r="H1543" s="37">
        <f>Orders!H1543</f>
        <v>20.100000000000001</v>
      </c>
      <c r="I1543" s="39">
        <f>Orders!I1543</f>
        <v>24808.95</v>
      </c>
      <c r="J1543" t="str">
        <f>Orders!J1543</f>
        <v>Completed</v>
      </c>
      <c r="K1543" t="str">
        <f>Orders!K1543</f>
        <v>Mumbai</v>
      </c>
      <c r="L1543" t="str">
        <f>IFERROR(VLOOKUP(D1543,Products!$A$2:$F$61,3,FALSE),"")</f>
        <v>Sports</v>
      </c>
      <c r="M1543">
        <f>IFERROR(VLOOKUP(D1543,Products!$A$2:$F$61,4,FALSE),"")</f>
        <v>2467</v>
      </c>
      <c r="N1543" t="str">
        <f>IFERROR(VLOOKUP(E1543,Sales_Reps!$A$2:$E$31,3,FALSE),"")</f>
        <v>East</v>
      </c>
      <c r="O1543" t="str">
        <f>IFERROR(VLOOKUP(C1543,Customers!$A$2:$F$301,5,FALSE),"")</f>
        <v>Retail</v>
      </c>
      <c r="P1543">
        <f>IFERROR(VLOOKUP(C1543,Customers!$A$2:$F$301,3,FALSE),"")</f>
        <v>37</v>
      </c>
      <c r="Q1543" s="41">
        <f t="shared" si="33"/>
        <v>0.28492753623188405</v>
      </c>
      <c r="R1543" t="str">
        <f>IFERROR(VLOOKUP(C1543,Customers!$A$2:$F$301,1,FALSE),"")</f>
        <v>CUST-0126</v>
      </c>
      <c r="S1543" s="27" t="b">
        <f>IFERROR(VLOOKUP(D1543,Products!$A$2:$F$61,6,FALSE),"")</f>
        <v>1</v>
      </c>
      <c r="BL1543">
        <v>0</v>
      </c>
      <c r="BO1543">
        <v>0</v>
      </c>
      <c r="BP1543">
        <v>0</v>
      </c>
    </row>
    <row r="1544" spans="1:68" x14ac:dyDescent="0.35">
      <c r="A1544" s="26" t="str">
        <f>Orders!A1544</f>
        <v>ORD-01543</v>
      </c>
      <c r="B1544" s="33">
        <f>Orders!B1544</f>
        <v>45443</v>
      </c>
      <c r="C1544" t="str">
        <f>Orders!C1544</f>
        <v>CUST-0017</v>
      </c>
      <c r="D1544" t="str">
        <f>Orders!D1544</f>
        <v>PROD-047</v>
      </c>
      <c r="E1544" t="str">
        <f>Orders!E1544</f>
        <v>R003</v>
      </c>
      <c r="F1544">
        <f>Orders!F1544</f>
        <v>6</v>
      </c>
      <c r="G1544" s="35">
        <f>Orders!G1544</f>
        <v>3450</v>
      </c>
      <c r="H1544" s="37">
        <f>Orders!H1544</f>
        <v>19.899999999999999</v>
      </c>
      <c r="I1544" s="39">
        <f>Orders!I1544</f>
        <v>16580.7</v>
      </c>
      <c r="J1544" t="str">
        <f>Orders!J1544</f>
        <v>Pending</v>
      </c>
      <c r="K1544" t="str">
        <f>Orders!K1544</f>
        <v>Delhi</v>
      </c>
      <c r="L1544" t="str">
        <f>IFERROR(VLOOKUP(D1544,Products!$A$2:$F$61,3,FALSE),"")</f>
        <v>Beauty</v>
      </c>
      <c r="M1544">
        <f>IFERROR(VLOOKUP(D1544,Products!$A$2:$F$61,4,FALSE),"")</f>
        <v>2420</v>
      </c>
      <c r="N1544" t="str">
        <f>IFERROR(VLOOKUP(E1544,Sales_Reps!$A$2:$E$31,3,FALSE),"")</f>
        <v>North</v>
      </c>
      <c r="O1544" t="str">
        <f>IFERROR(VLOOKUP(C1544,Customers!$A$2:$F$301,5,FALSE),"")</f>
        <v>SMB</v>
      </c>
      <c r="P1544">
        <f>IFERROR(VLOOKUP(C1544,Customers!$A$2:$F$301,3,FALSE),"")</f>
        <v>38</v>
      </c>
      <c r="Q1544" s="41">
        <f t="shared" si="33"/>
        <v>0.29855072463768118</v>
      </c>
      <c r="R1544" t="str">
        <f>IFERROR(VLOOKUP(C1544,Customers!$A$2:$F$301,1,FALSE),"")</f>
        <v>CUST-0017</v>
      </c>
      <c r="S1544" s="27" t="b">
        <f>IFERROR(VLOOKUP(D1544,Products!$A$2:$F$61,6,FALSE),"")</f>
        <v>1</v>
      </c>
      <c r="BL1544">
        <v>0</v>
      </c>
      <c r="BO1544">
        <v>0</v>
      </c>
      <c r="BP1544">
        <v>0</v>
      </c>
    </row>
    <row r="1545" spans="1:68" x14ac:dyDescent="0.35">
      <c r="A1545" s="26" t="str">
        <f>Orders!A1545</f>
        <v>ORD-01544</v>
      </c>
      <c r="B1545" s="33">
        <f>Orders!B1545</f>
        <v>45599</v>
      </c>
      <c r="C1545" t="str">
        <f>Orders!C1545</f>
        <v>CUST-0250</v>
      </c>
      <c r="D1545" t="str">
        <f>Orders!D1545</f>
        <v>PROD-042</v>
      </c>
      <c r="E1545" t="str">
        <f>Orders!E1545</f>
        <v>R022</v>
      </c>
      <c r="F1545">
        <f>Orders!F1545</f>
        <v>4</v>
      </c>
      <c r="G1545" s="35">
        <f>Orders!G1545</f>
        <v>2290</v>
      </c>
      <c r="H1545" s="37">
        <f>Orders!H1545</f>
        <v>4.8</v>
      </c>
      <c r="I1545" s="39">
        <f>Orders!I1545</f>
        <v>8720.32</v>
      </c>
      <c r="J1545" t="str">
        <f>Orders!J1545</f>
        <v>Pending</v>
      </c>
      <c r="K1545" t="str">
        <f>Orders!K1545</f>
        <v>Delhi</v>
      </c>
      <c r="L1545" t="str">
        <f>IFERROR(VLOOKUP(D1545,Products!$A$2:$F$61,3,FALSE),"")</f>
        <v>Beauty</v>
      </c>
      <c r="M1545">
        <f>IFERROR(VLOOKUP(D1545,Products!$A$2:$F$61,4,FALSE),"")</f>
        <v>1219</v>
      </c>
      <c r="N1545" t="str">
        <f>IFERROR(VLOOKUP(E1545,Sales_Reps!$A$2:$E$31,3,FALSE),"")</f>
        <v>East</v>
      </c>
      <c r="O1545" t="str">
        <f>IFERROR(VLOOKUP(C1545,Customers!$A$2:$F$301,5,FALSE),"")</f>
        <v>Retail</v>
      </c>
      <c r="P1545">
        <f>IFERROR(VLOOKUP(C1545,Customers!$A$2:$F$301,3,FALSE),"")</f>
        <v>31</v>
      </c>
      <c r="Q1545" s="41">
        <f t="shared" si="33"/>
        <v>0.46768558951965067</v>
      </c>
      <c r="R1545" t="str">
        <f>IFERROR(VLOOKUP(C1545,Customers!$A$2:$F$301,1,FALSE),"")</f>
        <v>CUST-0250</v>
      </c>
      <c r="S1545" s="27" t="b">
        <f>IFERROR(VLOOKUP(D1545,Products!$A$2:$F$61,6,FALSE),"")</f>
        <v>1</v>
      </c>
      <c r="BL1545">
        <v>0</v>
      </c>
      <c r="BO1545">
        <v>0</v>
      </c>
      <c r="BP1545">
        <v>0</v>
      </c>
    </row>
    <row r="1546" spans="1:68" x14ac:dyDescent="0.35">
      <c r="A1546" s="26" t="str">
        <f>Orders!A1546</f>
        <v>ORD-01545</v>
      </c>
      <c r="B1546" s="33">
        <f>Orders!B1546</f>
        <v>45479</v>
      </c>
      <c r="C1546" t="str">
        <f>Orders!C1546</f>
        <v>CUST-0245</v>
      </c>
      <c r="D1546" t="str">
        <f>Orders!D1546</f>
        <v>PROD-057</v>
      </c>
      <c r="E1546" t="str">
        <f>Orders!E1546</f>
        <v>R010</v>
      </c>
      <c r="F1546">
        <f>Orders!F1546</f>
        <v>9</v>
      </c>
      <c r="G1546" s="35">
        <f>Orders!G1546</f>
        <v>960</v>
      </c>
      <c r="H1546" s="37">
        <f>Orders!H1546</f>
        <v>2.4</v>
      </c>
      <c r="I1546" s="39">
        <f>Orders!I1546</f>
        <v>8432.64</v>
      </c>
      <c r="J1546" t="str">
        <f>Orders!J1546</f>
        <v>Completed</v>
      </c>
      <c r="K1546" t="str">
        <f>Orders!K1546</f>
        <v>Hyderabad</v>
      </c>
      <c r="L1546" t="str">
        <f>IFERROR(VLOOKUP(D1546,Products!$A$2:$F$61,3,FALSE),"")</f>
        <v>Sports</v>
      </c>
      <c r="M1546">
        <f>IFERROR(VLOOKUP(D1546,Products!$A$2:$F$61,4,FALSE),"")</f>
        <v>705</v>
      </c>
      <c r="N1546" t="str">
        <f>IFERROR(VLOOKUP(E1546,Sales_Reps!$A$2:$E$31,3,FALSE),"")</f>
        <v>South</v>
      </c>
      <c r="O1546" t="str">
        <f>IFERROR(VLOOKUP(C1546,Customers!$A$2:$F$301,5,FALSE),"")</f>
        <v>Retail</v>
      </c>
      <c r="P1546">
        <f>IFERROR(VLOOKUP(C1546,Customers!$A$2:$F$301,3,FALSE),"")</f>
        <v>65</v>
      </c>
      <c r="Q1546" s="41">
        <f t="shared" si="33"/>
        <v>0.265625</v>
      </c>
      <c r="R1546" t="str">
        <f>IFERROR(VLOOKUP(C1546,Customers!$A$2:$F$301,1,FALSE),"")</f>
        <v>CUST-0245</v>
      </c>
      <c r="S1546" s="27" t="b">
        <f>IFERROR(VLOOKUP(D1546,Products!$A$2:$F$61,6,FALSE),"")</f>
        <v>1</v>
      </c>
      <c r="BL1546">
        <v>0</v>
      </c>
      <c r="BO1546">
        <v>0</v>
      </c>
      <c r="BP1546">
        <v>0</v>
      </c>
    </row>
    <row r="1547" spans="1:68" x14ac:dyDescent="0.35">
      <c r="A1547" s="26" t="str">
        <f>Orders!A1547</f>
        <v>ORD-01546</v>
      </c>
      <c r="B1547" s="33">
        <f>Orders!B1547</f>
        <v>45489</v>
      </c>
      <c r="C1547" t="str">
        <f>Orders!C1547</f>
        <v>CUST-0016</v>
      </c>
      <c r="D1547" t="str">
        <f>Orders!D1547</f>
        <v>PROD-039</v>
      </c>
      <c r="E1547" t="str">
        <f>Orders!E1547</f>
        <v>R025</v>
      </c>
      <c r="F1547">
        <f>Orders!F1547</f>
        <v>9</v>
      </c>
      <c r="G1547" s="35">
        <f>Orders!G1547</f>
        <v>4610</v>
      </c>
      <c r="H1547" s="37">
        <f>Orders!H1547</f>
        <v>21.3</v>
      </c>
      <c r="I1547" s="39">
        <f>Orders!I1547</f>
        <v>32652.63</v>
      </c>
      <c r="J1547" t="str">
        <f>Orders!J1547</f>
        <v>Completed</v>
      </c>
      <c r="K1547" t="str">
        <f>Orders!K1547</f>
        <v>Delhi</v>
      </c>
      <c r="L1547" t="str">
        <f>IFERROR(VLOOKUP(D1547,Products!$A$2:$F$61,3,FALSE),"")</f>
        <v>Home</v>
      </c>
      <c r="M1547">
        <f>IFERROR(VLOOKUP(D1547,Products!$A$2:$F$61,4,FALSE),"")</f>
        <v>1850</v>
      </c>
      <c r="N1547" t="str">
        <f>IFERROR(VLOOKUP(E1547,Sales_Reps!$A$2:$E$31,3,FALSE),"")</f>
        <v>West</v>
      </c>
      <c r="O1547" t="str">
        <f>IFERROR(VLOOKUP(C1547,Customers!$A$2:$F$301,5,FALSE),"")</f>
        <v>SMB</v>
      </c>
      <c r="P1547">
        <f>IFERROR(VLOOKUP(C1547,Customers!$A$2:$F$301,3,FALSE),"")</f>
        <v>26</v>
      </c>
      <c r="Q1547" s="41">
        <f t="shared" si="33"/>
        <v>0.59869848156182215</v>
      </c>
      <c r="R1547" t="str">
        <f>IFERROR(VLOOKUP(C1547,Customers!$A$2:$F$301,1,FALSE),"")</f>
        <v>CUST-0016</v>
      </c>
      <c r="S1547" s="27" t="b">
        <f>IFERROR(VLOOKUP(D1547,Products!$A$2:$F$61,6,FALSE),"")</f>
        <v>1</v>
      </c>
      <c r="BL1547">
        <v>0</v>
      </c>
      <c r="BO1547">
        <v>0</v>
      </c>
      <c r="BP1547">
        <v>0</v>
      </c>
    </row>
    <row r="1548" spans="1:68" x14ac:dyDescent="0.35">
      <c r="A1548" s="26" t="str">
        <f>Orders!A1548</f>
        <v>ORD-01547</v>
      </c>
      <c r="B1548" s="33">
        <f>Orders!B1548</f>
        <v>45514</v>
      </c>
      <c r="C1548" t="str">
        <f>Orders!C1548</f>
        <v>CUST-0063</v>
      </c>
      <c r="D1548" t="str">
        <f>Orders!D1548</f>
        <v>PROD-028</v>
      </c>
      <c r="E1548" t="str">
        <f>Orders!E1548</f>
        <v>R003</v>
      </c>
      <c r="F1548">
        <f>Orders!F1548</f>
        <v>1</v>
      </c>
      <c r="G1548" s="35">
        <f>Orders!G1548</f>
        <v>3660</v>
      </c>
      <c r="H1548" s="37">
        <f>Orders!H1548</f>
        <v>15.6</v>
      </c>
      <c r="I1548" s="39">
        <f>Orders!I1548</f>
        <v>3089.04</v>
      </c>
      <c r="J1548" t="str">
        <f>Orders!J1548</f>
        <v>Completed</v>
      </c>
      <c r="K1548" t="str">
        <f>Orders!K1548</f>
        <v>Mumbai</v>
      </c>
      <c r="L1548" t="str">
        <f>IFERROR(VLOOKUP(D1548,Products!$A$2:$F$61,3,FALSE),"")</f>
        <v>Grocery</v>
      </c>
      <c r="M1548">
        <f>IFERROR(VLOOKUP(D1548,Products!$A$2:$F$61,4,FALSE),"")</f>
        <v>2214</v>
      </c>
      <c r="N1548" t="str">
        <f>IFERROR(VLOOKUP(E1548,Sales_Reps!$A$2:$E$31,3,FALSE),"")</f>
        <v>North</v>
      </c>
      <c r="O1548" t="str">
        <f>IFERROR(VLOOKUP(C1548,Customers!$A$2:$F$301,5,FALSE),"")</f>
        <v>SMB</v>
      </c>
      <c r="P1548">
        <f>IFERROR(VLOOKUP(C1548,Customers!$A$2:$F$301,3,FALSE),"")</f>
        <v>53</v>
      </c>
      <c r="Q1548" s="41">
        <f t="shared" si="33"/>
        <v>0.39508196721311473</v>
      </c>
      <c r="R1548" t="str">
        <f>IFERROR(VLOOKUP(C1548,Customers!$A$2:$F$301,1,FALSE),"")</f>
        <v>CUST-0063</v>
      </c>
      <c r="S1548" s="27" t="b">
        <f>IFERROR(VLOOKUP(D1548,Products!$A$2:$F$61,6,FALSE),"")</f>
        <v>0</v>
      </c>
      <c r="BL1548">
        <v>0</v>
      </c>
      <c r="BO1548">
        <v>0</v>
      </c>
      <c r="BP1548">
        <v>1</v>
      </c>
    </row>
    <row r="1549" spans="1:68" x14ac:dyDescent="0.35">
      <c r="A1549" s="26" t="str">
        <f>Orders!A1549</f>
        <v>ORD-01548</v>
      </c>
      <c r="B1549" s="33">
        <f>Orders!B1549</f>
        <v>45653</v>
      </c>
      <c r="C1549" t="str">
        <f>Orders!C1549</f>
        <v>CUST-0200</v>
      </c>
      <c r="D1549" t="str">
        <f>Orders!D1549</f>
        <v>PROD-008</v>
      </c>
      <c r="E1549" t="str">
        <f>Orders!E1549</f>
        <v>R012</v>
      </c>
      <c r="F1549">
        <f>Orders!F1549</f>
        <v>5</v>
      </c>
      <c r="G1549" s="35">
        <f>Orders!G1549</f>
        <v>2660</v>
      </c>
      <c r="H1549" s="37">
        <f>Orders!H1549</f>
        <v>20.399999999999999</v>
      </c>
      <c r="I1549" s="39">
        <f>Orders!I1549</f>
        <v>10586.8</v>
      </c>
      <c r="J1549" t="str">
        <f>Orders!J1549</f>
        <v>Completed</v>
      </c>
      <c r="K1549" t="str">
        <f>Orders!K1549</f>
        <v>Hyderabad</v>
      </c>
      <c r="L1549" t="str">
        <f>IFERROR(VLOOKUP(D1549,Products!$A$2:$F$61,3,FALSE),"")</f>
        <v>Electronics</v>
      </c>
      <c r="M1549">
        <f>IFERROR(VLOOKUP(D1549,Products!$A$2:$F$61,4,FALSE),"")</f>
        <v>1259</v>
      </c>
      <c r="N1549" t="str">
        <f>IFERROR(VLOOKUP(E1549,Sales_Reps!$A$2:$E$31,3,FALSE),"")</f>
        <v>South</v>
      </c>
      <c r="O1549" t="str">
        <f>IFERROR(VLOOKUP(C1549,Customers!$A$2:$F$301,5,FALSE),"")</f>
        <v>Corporate</v>
      </c>
      <c r="P1549">
        <f>IFERROR(VLOOKUP(C1549,Customers!$A$2:$F$301,3,FALSE),"")</f>
        <v>46</v>
      </c>
      <c r="Q1549" s="41">
        <f t="shared" si="33"/>
        <v>0.52669172932330832</v>
      </c>
      <c r="R1549" t="str">
        <f>IFERROR(VLOOKUP(C1549,Customers!$A$2:$F$301,1,FALSE),"")</f>
        <v>CUST-0200</v>
      </c>
      <c r="S1549" s="27" t="b">
        <f>IFERROR(VLOOKUP(D1549,Products!$A$2:$F$61,6,FALSE),"")</f>
        <v>0</v>
      </c>
      <c r="BL1549">
        <v>0</v>
      </c>
      <c r="BO1549">
        <v>0</v>
      </c>
      <c r="BP1549">
        <v>1</v>
      </c>
    </row>
    <row r="1550" spans="1:68" x14ac:dyDescent="0.35">
      <c r="A1550" s="26" t="str">
        <f>Orders!A1550</f>
        <v>ORD-01549</v>
      </c>
      <c r="B1550" s="33">
        <f>Orders!B1550</f>
        <v>45401</v>
      </c>
      <c r="C1550" t="str">
        <f>Orders!C1550</f>
        <v>CUST-0017</v>
      </c>
      <c r="D1550" t="str">
        <f>Orders!D1550</f>
        <v>PROD-041</v>
      </c>
      <c r="E1550" t="str">
        <f>Orders!E1550</f>
        <v>R026</v>
      </c>
      <c r="F1550">
        <f>Orders!F1550</f>
        <v>8</v>
      </c>
      <c r="G1550" s="35">
        <f>Orders!G1550</f>
        <v>1540</v>
      </c>
      <c r="H1550" s="37">
        <f>Orders!H1550</f>
        <v>0.5</v>
      </c>
      <c r="I1550" s="39">
        <f>Orders!I1550</f>
        <v>12258.4</v>
      </c>
      <c r="J1550" t="str">
        <f>Orders!J1550</f>
        <v>Completed</v>
      </c>
      <c r="K1550" t="str">
        <f>Orders!K1550</f>
        <v>Delhi</v>
      </c>
      <c r="L1550" t="str">
        <f>IFERROR(VLOOKUP(D1550,Products!$A$2:$F$61,3,FALSE),"")</f>
        <v>Beauty</v>
      </c>
      <c r="M1550">
        <f>IFERROR(VLOOKUP(D1550,Products!$A$2:$F$61,4,FALSE),"")</f>
        <v>647</v>
      </c>
      <c r="N1550" t="str">
        <f>IFERROR(VLOOKUP(E1550,Sales_Reps!$A$2:$E$31,3,FALSE),"")</f>
        <v>West</v>
      </c>
      <c r="O1550" t="str">
        <f>IFERROR(VLOOKUP(C1550,Customers!$A$2:$F$301,5,FALSE),"")</f>
        <v>SMB</v>
      </c>
      <c r="P1550">
        <f>IFERROR(VLOOKUP(C1550,Customers!$A$2:$F$301,3,FALSE),"")</f>
        <v>38</v>
      </c>
      <c r="Q1550" s="41">
        <f t="shared" si="33"/>
        <v>0.57987012987012987</v>
      </c>
      <c r="R1550" t="str">
        <f>IFERROR(VLOOKUP(C1550,Customers!$A$2:$F$301,1,FALSE),"")</f>
        <v>CUST-0017</v>
      </c>
      <c r="S1550" s="27" t="b">
        <f>IFERROR(VLOOKUP(D1550,Products!$A$2:$F$61,6,FALSE),"")</f>
        <v>0</v>
      </c>
      <c r="BL1550">
        <v>0</v>
      </c>
      <c r="BO1550">
        <v>0</v>
      </c>
      <c r="BP1550">
        <v>1</v>
      </c>
    </row>
    <row r="1551" spans="1:68" x14ac:dyDescent="0.35">
      <c r="A1551" s="26" t="str">
        <f>Orders!A1551</f>
        <v>ORD-01550</v>
      </c>
      <c r="B1551" s="33">
        <f>Orders!B1551</f>
        <v>45621</v>
      </c>
      <c r="C1551" t="str">
        <f>Orders!C1551</f>
        <v>CUST-0264</v>
      </c>
      <c r="D1551" t="str">
        <f>Orders!D1551</f>
        <v>PROD-006</v>
      </c>
      <c r="E1551" t="str">
        <f>Orders!E1551</f>
        <v>R004</v>
      </c>
      <c r="F1551">
        <f>Orders!F1551</f>
        <v>4</v>
      </c>
      <c r="G1551" s="35">
        <f>Orders!G1551</f>
        <v>3970</v>
      </c>
      <c r="H1551" s="37">
        <f>Orders!H1551</f>
        <v>22.5</v>
      </c>
      <c r="I1551" s="39">
        <f>Orders!I1551</f>
        <v>12307</v>
      </c>
      <c r="J1551" t="str">
        <f>Orders!J1551</f>
        <v>Completed</v>
      </c>
      <c r="K1551" t="str">
        <f>Orders!K1551</f>
        <v>Pune</v>
      </c>
      <c r="L1551" t="str">
        <f>IFERROR(VLOOKUP(D1551,Products!$A$2:$F$61,3,FALSE),"")</f>
        <v>Electronics</v>
      </c>
      <c r="M1551">
        <f>IFERROR(VLOOKUP(D1551,Products!$A$2:$F$61,4,FALSE),"")</f>
        <v>2865</v>
      </c>
      <c r="N1551" t="str">
        <f>IFERROR(VLOOKUP(E1551,Sales_Reps!$A$2:$E$31,3,FALSE),"")</f>
        <v>North</v>
      </c>
      <c r="O1551" t="str">
        <f>IFERROR(VLOOKUP(C1551,Customers!$A$2:$F$301,5,FALSE),"")</f>
        <v>Retail</v>
      </c>
      <c r="P1551">
        <f>IFERROR(VLOOKUP(C1551,Customers!$A$2:$F$301,3,FALSE),"")</f>
        <v>59</v>
      </c>
      <c r="Q1551" s="41">
        <f t="shared" si="33"/>
        <v>0.27833753148614609</v>
      </c>
      <c r="R1551" t="str">
        <f>IFERROR(VLOOKUP(C1551,Customers!$A$2:$F$301,1,FALSE),"")</f>
        <v>CUST-0264</v>
      </c>
      <c r="S1551" s="27" t="b">
        <f>IFERROR(VLOOKUP(D1551,Products!$A$2:$F$61,6,FALSE),"")</f>
        <v>1</v>
      </c>
      <c r="BL1551">
        <v>0</v>
      </c>
      <c r="BO1551">
        <v>0</v>
      </c>
      <c r="BP1551">
        <v>0</v>
      </c>
    </row>
    <row r="1552" spans="1:68" x14ac:dyDescent="0.35">
      <c r="A1552" s="26" t="str">
        <f>Orders!A1552</f>
        <v>ORD-01551</v>
      </c>
      <c r="B1552" s="33">
        <f>Orders!B1552</f>
        <v>45368</v>
      </c>
      <c r="C1552" t="str">
        <f>Orders!C1552</f>
        <v>CUST-0102</v>
      </c>
      <c r="D1552" t="str">
        <f>Orders!D1552</f>
        <v>PROD-059</v>
      </c>
      <c r="E1552" t="str">
        <f>Orders!E1552</f>
        <v>R007</v>
      </c>
      <c r="F1552">
        <f>Orders!F1552</f>
        <v>8</v>
      </c>
      <c r="G1552" s="35">
        <f>Orders!G1552</f>
        <v>3780</v>
      </c>
      <c r="H1552" s="37">
        <f>Orders!H1552</f>
        <v>3.8</v>
      </c>
      <c r="I1552" s="39">
        <f>Orders!I1552</f>
        <v>29090.880000000001</v>
      </c>
      <c r="J1552" t="str">
        <f>Orders!J1552</f>
        <v>Completed</v>
      </c>
      <c r="K1552" t="str">
        <f>Orders!K1552</f>
        <v>Chennai</v>
      </c>
      <c r="L1552" t="str">
        <f>IFERROR(VLOOKUP(D1552,Products!$A$2:$F$61,3,FALSE),"")</f>
        <v>Sports</v>
      </c>
      <c r="M1552">
        <f>IFERROR(VLOOKUP(D1552,Products!$A$2:$F$61,4,FALSE),"")</f>
        <v>1860</v>
      </c>
      <c r="N1552" t="str">
        <f>IFERROR(VLOOKUP(E1552,Sales_Reps!$A$2:$E$31,3,FALSE),"")</f>
        <v>North</v>
      </c>
      <c r="O1552" t="str">
        <f>IFERROR(VLOOKUP(C1552,Customers!$A$2:$F$301,5,FALSE),"")</f>
        <v>SMB</v>
      </c>
      <c r="P1552">
        <f>IFERROR(VLOOKUP(C1552,Customers!$A$2:$F$301,3,FALSE),"")</f>
        <v>62</v>
      </c>
      <c r="Q1552" s="41">
        <f t="shared" si="33"/>
        <v>0.50793650793650791</v>
      </c>
      <c r="R1552" t="str">
        <f>IFERROR(VLOOKUP(C1552,Customers!$A$2:$F$301,1,FALSE),"")</f>
        <v>CUST-0102</v>
      </c>
      <c r="S1552" s="27" t="b">
        <f>IFERROR(VLOOKUP(D1552,Products!$A$2:$F$61,6,FALSE),"")</f>
        <v>1</v>
      </c>
      <c r="BL1552">
        <v>0</v>
      </c>
      <c r="BO1552">
        <v>0</v>
      </c>
      <c r="BP1552">
        <v>0</v>
      </c>
    </row>
    <row r="1553" spans="1:68" x14ac:dyDescent="0.35">
      <c r="A1553" s="26" t="str">
        <f>Orders!A1553</f>
        <v>ORD-01552</v>
      </c>
      <c r="B1553" s="33">
        <f>Orders!B1553</f>
        <v>45550</v>
      </c>
      <c r="C1553" t="str">
        <f>Orders!C1553</f>
        <v>CUST-0092</v>
      </c>
      <c r="D1553" t="str">
        <f>Orders!D1553</f>
        <v>PROD-022</v>
      </c>
      <c r="E1553" t="str">
        <f>Orders!E1553</f>
        <v>R004</v>
      </c>
      <c r="F1553">
        <f>Orders!F1553</f>
        <v>4</v>
      </c>
      <c r="G1553" s="35">
        <f>Orders!G1553</f>
        <v>2270</v>
      </c>
      <c r="H1553" s="37">
        <f>Orders!H1553</f>
        <v>3.8</v>
      </c>
      <c r="I1553" s="39">
        <f>Orders!I1553</f>
        <v>8734.9599999999991</v>
      </c>
      <c r="J1553" t="str">
        <f>Orders!J1553</f>
        <v>Cancelled</v>
      </c>
      <c r="K1553" t="str">
        <f>Orders!K1553</f>
        <v>Bengaluru</v>
      </c>
      <c r="L1553" t="str">
        <f>IFERROR(VLOOKUP(D1553,Products!$A$2:$F$61,3,FALSE),"")</f>
        <v>Grocery</v>
      </c>
      <c r="M1553">
        <f>IFERROR(VLOOKUP(D1553,Products!$A$2:$F$61,4,FALSE),"")</f>
        <v>1412</v>
      </c>
      <c r="N1553" t="str">
        <f>IFERROR(VLOOKUP(E1553,Sales_Reps!$A$2:$E$31,3,FALSE),"")</f>
        <v>North</v>
      </c>
      <c r="O1553" t="str">
        <f>IFERROR(VLOOKUP(C1553,Customers!$A$2:$F$301,5,FALSE),"")</f>
        <v>SMB</v>
      </c>
      <c r="P1553">
        <f>IFERROR(VLOOKUP(C1553,Customers!$A$2:$F$301,3,FALSE),"")</f>
        <v>28</v>
      </c>
      <c r="Q1553" s="41">
        <f t="shared" si="33"/>
        <v>0.37797356828193834</v>
      </c>
      <c r="R1553" t="str">
        <f>IFERROR(VLOOKUP(C1553,Customers!$A$2:$F$301,1,FALSE),"")</f>
        <v>CUST-0092</v>
      </c>
      <c r="S1553" s="27" t="b">
        <f>IFERROR(VLOOKUP(D1553,Products!$A$2:$F$61,6,FALSE),"")</f>
        <v>1</v>
      </c>
      <c r="BL1553">
        <v>0</v>
      </c>
      <c r="BO1553">
        <v>0</v>
      </c>
      <c r="BP1553">
        <v>0</v>
      </c>
    </row>
    <row r="1554" spans="1:68" x14ac:dyDescent="0.35">
      <c r="A1554" s="26" t="str">
        <f>Orders!A1554</f>
        <v>ORD-01553</v>
      </c>
      <c r="B1554" s="33">
        <f>Orders!B1554</f>
        <v>45304</v>
      </c>
      <c r="C1554" t="str">
        <f>Orders!C1554</f>
        <v>CUST-0139</v>
      </c>
      <c r="D1554" t="str">
        <f>Orders!D1554</f>
        <v>PROD-009</v>
      </c>
      <c r="E1554" t="str">
        <f>Orders!E1554</f>
        <v>R009</v>
      </c>
      <c r="F1554">
        <f>Orders!F1554</f>
        <v>10</v>
      </c>
      <c r="G1554" s="35">
        <f>Orders!G1554</f>
        <v>1220</v>
      </c>
      <c r="H1554" s="37">
        <f>Orders!H1554</f>
        <v>19.5</v>
      </c>
      <c r="I1554" s="39">
        <f>Orders!I1554</f>
        <v>9821</v>
      </c>
      <c r="J1554" t="str">
        <f>Orders!J1554</f>
        <v>Completed</v>
      </c>
      <c r="K1554" t="str">
        <f>Orders!K1554</f>
        <v>Hyderabad</v>
      </c>
      <c r="L1554" t="str">
        <f>IFERROR(VLOOKUP(D1554,Products!$A$2:$F$61,3,FALSE),"")</f>
        <v>Electronics</v>
      </c>
      <c r="M1554">
        <f>IFERROR(VLOOKUP(D1554,Products!$A$2:$F$61,4,FALSE),"")</f>
        <v>517</v>
      </c>
      <c r="N1554" t="str">
        <f>IFERROR(VLOOKUP(E1554,Sales_Reps!$A$2:$E$31,3,FALSE),"")</f>
        <v>South</v>
      </c>
      <c r="O1554" t="str">
        <f>IFERROR(VLOOKUP(C1554,Customers!$A$2:$F$301,5,FALSE),"")</f>
        <v>SMB</v>
      </c>
      <c r="P1554">
        <f>IFERROR(VLOOKUP(C1554,Customers!$A$2:$F$301,3,FALSE),"")</f>
        <v>65</v>
      </c>
      <c r="Q1554" s="41">
        <f t="shared" si="33"/>
        <v>0.57622950819672136</v>
      </c>
      <c r="R1554" t="str">
        <f>IFERROR(VLOOKUP(C1554,Customers!$A$2:$F$301,1,FALSE),"")</f>
        <v>CUST-0139</v>
      </c>
      <c r="S1554" s="27" t="b">
        <f>IFERROR(VLOOKUP(D1554,Products!$A$2:$F$61,6,FALSE),"")</f>
        <v>1</v>
      </c>
      <c r="BL1554">
        <v>0</v>
      </c>
      <c r="BO1554">
        <v>0</v>
      </c>
      <c r="BP1554">
        <v>0</v>
      </c>
    </row>
    <row r="1555" spans="1:68" x14ac:dyDescent="0.35">
      <c r="A1555" s="26" t="str">
        <f>Orders!A1555</f>
        <v>ORD-01554</v>
      </c>
      <c r="B1555" s="33">
        <f>Orders!B1555</f>
        <v>45321</v>
      </c>
      <c r="C1555" t="str">
        <f>Orders!C1555</f>
        <v>CUST-0129</v>
      </c>
      <c r="D1555" t="str">
        <f>Orders!D1555</f>
        <v>PROD-043</v>
      </c>
      <c r="E1555" t="str">
        <f>Orders!E1555</f>
        <v>R015</v>
      </c>
      <c r="F1555">
        <f>Orders!F1555</f>
        <v>10</v>
      </c>
      <c r="G1555" s="35">
        <f>Orders!G1555</f>
        <v>3350</v>
      </c>
      <c r="H1555" s="37">
        <f>Orders!H1555</f>
        <v>7.8</v>
      </c>
      <c r="I1555" s="39">
        <f>Orders!I1555</f>
        <v>30887</v>
      </c>
      <c r="J1555" t="str">
        <f>Orders!J1555</f>
        <v>Completed</v>
      </c>
      <c r="K1555" t="str">
        <f>Orders!K1555</f>
        <v>Hyderabad</v>
      </c>
      <c r="L1555" t="str">
        <f>IFERROR(VLOOKUP(D1555,Products!$A$2:$F$61,3,FALSE),"")</f>
        <v>Beauty</v>
      </c>
      <c r="M1555">
        <f>IFERROR(VLOOKUP(D1555,Products!$A$2:$F$61,4,FALSE),"")</f>
        <v>1728</v>
      </c>
      <c r="N1555" t="str">
        <f>IFERROR(VLOOKUP(E1555,Sales_Reps!$A$2:$E$31,3,FALSE),"")</f>
        <v>South</v>
      </c>
      <c r="O1555" t="str">
        <f>IFERROR(VLOOKUP(C1555,Customers!$A$2:$F$301,5,FALSE),"")</f>
        <v>Retail</v>
      </c>
      <c r="P1555">
        <f>IFERROR(VLOOKUP(C1555,Customers!$A$2:$F$301,3,FALSE),"")</f>
        <v>29</v>
      </c>
      <c r="Q1555" s="41">
        <f t="shared" si="33"/>
        <v>0.48417910447761192</v>
      </c>
      <c r="R1555" t="str">
        <f>IFERROR(VLOOKUP(C1555,Customers!$A$2:$F$301,1,FALSE),"")</f>
        <v>CUST-0129</v>
      </c>
      <c r="S1555" s="27" t="b">
        <f>IFERROR(VLOOKUP(D1555,Products!$A$2:$F$61,6,FALSE),"")</f>
        <v>1</v>
      </c>
      <c r="BL1555">
        <v>0</v>
      </c>
      <c r="BO1555">
        <v>0</v>
      </c>
      <c r="BP1555">
        <v>0</v>
      </c>
    </row>
    <row r="1556" spans="1:68" x14ac:dyDescent="0.35">
      <c r="A1556" s="26" t="str">
        <f>Orders!A1556</f>
        <v>ORD-01555</v>
      </c>
      <c r="B1556" s="33">
        <f>Orders!B1556</f>
        <v>45358</v>
      </c>
      <c r="C1556" t="str">
        <f>Orders!C1556</f>
        <v>CUST-9841</v>
      </c>
      <c r="D1556" t="str">
        <f>Orders!D1556</f>
        <v>PROD-043</v>
      </c>
      <c r="E1556" t="str">
        <f>Orders!E1556</f>
        <v>R030</v>
      </c>
      <c r="F1556">
        <f>Orders!F1556</f>
        <v>7</v>
      </c>
      <c r="G1556" s="35">
        <f>Orders!G1556</f>
        <v>3350</v>
      </c>
      <c r="H1556" s="37">
        <f>Orders!H1556</f>
        <v>14.5</v>
      </c>
      <c r="I1556" s="39">
        <f>Orders!I1556</f>
        <v>20049.75</v>
      </c>
      <c r="J1556" t="str">
        <f>Orders!J1556</f>
        <v>Completed</v>
      </c>
      <c r="K1556" t="str">
        <f>Orders!K1556</f>
        <v>Bengaluru</v>
      </c>
      <c r="L1556" t="str">
        <f>IFERROR(VLOOKUP(D1556,Products!$A$2:$F$61,3,FALSE),"")</f>
        <v>Beauty</v>
      </c>
      <c r="M1556">
        <f>IFERROR(VLOOKUP(D1556,Products!$A$2:$F$61,4,FALSE),"")</f>
        <v>1728</v>
      </c>
      <c r="N1556" t="str">
        <f>IFERROR(VLOOKUP(E1556,Sales_Reps!$A$2:$E$31,3,FALSE),"")</f>
        <v>West</v>
      </c>
      <c r="O1556" t="str">
        <f>IFERROR(VLOOKUP(C1556,Customers!$A$2:$F$301,5,FALSE),"")</f>
        <v/>
      </c>
      <c r="P1556" t="str">
        <f>IFERROR(VLOOKUP(C1556,Customers!$A$2:$F$301,3,FALSE),"")</f>
        <v/>
      </c>
      <c r="Q1556" s="41">
        <f t="shared" si="33"/>
        <v>0.48417910447761192</v>
      </c>
      <c r="R1556" t="str">
        <f>IFERROR(VLOOKUP(C1556,Customers!$A$2:$F$301,1,FALSE),"")</f>
        <v/>
      </c>
      <c r="S1556" s="27" t="b">
        <f>IFERROR(VLOOKUP(D1556,Products!$A$2:$F$61,6,FALSE),"")</f>
        <v>1</v>
      </c>
      <c r="BL1556">
        <v>0</v>
      </c>
      <c r="BO1556">
        <v>1</v>
      </c>
      <c r="BP1556">
        <v>0</v>
      </c>
    </row>
    <row r="1557" spans="1:68" x14ac:dyDescent="0.35">
      <c r="A1557" s="26" t="str">
        <f>Orders!A1557</f>
        <v>ORD-01556</v>
      </c>
      <c r="B1557" s="33">
        <f>Orders!B1557</f>
        <v>45440</v>
      </c>
      <c r="C1557" t="str">
        <f>Orders!C1557</f>
        <v>CUST-0069</v>
      </c>
      <c r="D1557" t="str">
        <f>Orders!D1557</f>
        <v>PROD-038</v>
      </c>
      <c r="E1557" t="str">
        <f>Orders!E1557</f>
        <v>R014</v>
      </c>
      <c r="F1557">
        <f>Orders!F1557</f>
        <v>6</v>
      </c>
      <c r="G1557" s="35">
        <f>Orders!G1557</f>
        <v>5490</v>
      </c>
      <c r="H1557" s="37">
        <f>Orders!H1557</f>
        <v>8</v>
      </c>
      <c r="I1557" s="39">
        <f>Orders!I1557</f>
        <v>30304.799999999999</v>
      </c>
      <c r="J1557" t="str">
        <f>Orders!J1557</f>
        <v>Completed</v>
      </c>
      <c r="K1557" t="str">
        <f>Orders!K1557</f>
        <v>Chennai</v>
      </c>
      <c r="L1557" t="str">
        <f>IFERROR(VLOOKUP(D1557,Products!$A$2:$F$61,3,FALSE),"")</f>
        <v>Home</v>
      </c>
      <c r="M1557">
        <f>IFERROR(VLOOKUP(D1557,Products!$A$2:$F$61,4,FALSE),"")</f>
        <v>2549</v>
      </c>
      <c r="N1557" t="str">
        <f>IFERROR(VLOOKUP(E1557,Sales_Reps!$A$2:$E$31,3,FALSE),"")</f>
        <v>South</v>
      </c>
      <c r="O1557" t="str">
        <f>IFERROR(VLOOKUP(C1557,Customers!$A$2:$F$301,5,FALSE),"")</f>
        <v>Retail</v>
      </c>
      <c r="P1557">
        <f>IFERROR(VLOOKUP(C1557,Customers!$A$2:$F$301,3,FALSE),"")</f>
        <v>51</v>
      </c>
      <c r="Q1557" s="41">
        <f t="shared" si="33"/>
        <v>0.53570127504553733</v>
      </c>
      <c r="R1557" t="str">
        <f>IFERROR(VLOOKUP(C1557,Customers!$A$2:$F$301,1,FALSE),"")</f>
        <v>CUST-0069</v>
      </c>
      <c r="S1557" s="27" t="b">
        <f>IFERROR(VLOOKUP(D1557,Products!$A$2:$F$61,6,FALSE),"")</f>
        <v>1</v>
      </c>
      <c r="BL1557">
        <v>0</v>
      </c>
      <c r="BO1557">
        <v>0</v>
      </c>
      <c r="BP1557">
        <v>0</v>
      </c>
    </row>
    <row r="1558" spans="1:68" x14ac:dyDescent="0.35">
      <c r="A1558" s="26" t="str">
        <f>Orders!A1558</f>
        <v>ORD-01557</v>
      </c>
      <c r="B1558" s="33">
        <f>Orders!B1558</f>
        <v>45618</v>
      </c>
      <c r="C1558" t="str">
        <f>Orders!C1558</f>
        <v>CUST-0140</v>
      </c>
      <c r="D1558" t="str">
        <f>Orders!D1558</f>
        <v>PROD-055</v>
      </c>
      <c r="E1558" t="str">
        <f>Orders!E1558</f>
        <v>R018</v>
      </c>
      <c r="F1558">
        <f>Orders!F1558</f>
        <v>3</v>
      </c>
      <c r="G1558" s="35">
        <f>Orders!G1558</f>
        <v>2860</v>
      </c>
      <c r="H1558" s="37">
        <f>Orders!H1558</f>
        <v>19.899999999999999</v>
      </c>
      <c r="I1558" s="39">
        <f>Orders!I1558</f>
        <v>6872.58</v>
      </c>
      <c r="J1558" t="str">
        <f>Orders!J1558</f>
        <v>Completed</v>
      </c>
      <c r="K1558" t="str">
        <f>Orders!K1558</f>
        <v>Hyderabad</v>
      </c>
      <c r="L1558" t="str">
        <f>IFERROR(VLOOKUP(D1558,Products!$A$2:$F$61,3,FALSE),"")</f>
        <v>Sports</v>
      </c>
      <c r="M1558">
        <f>IFERROR(VLOOKUP(D1558,Products!$A$2:$F$61,4,FALSE),"")</f>
        <v>2028</v>
      </c>
      <c r="N1558" t="str">
        <f>IFERROR(VLOOKUP(E1558,Sales_Reps!$A$2:$E$31,3,FALSE),"")</f>
        <v>East</v>
      </c>
      <c r="O1558" t="str">
        <f>IFERROR(VLOOKUP(C1558,Customers!$A$2:$F$301,5,FALSE),"")</f>
        <v>SMB</v>
      </c>
      <c r="P1558">
        <f>IFERROR(VLOOKUP(C1558,Customers!$A$2:$F$301,3,FALSE),"")</f>
        <v>39</v>
      </c>
      <c r="Q1558" s="41">
        <f t="shared" si="33"/>
        <v>0.29090909090909089</v>
      </c>
      <c r="R1558" t="str">
        <f>IFERROR(VLOOKUP(C1558,Customers!$A$2:$F$301,1,FALSE),"")</f>
        <v>CUST-0140</v>
      </c>
      <c r="S1558" s="27" t="b">
        <f>IFERROR(VLOOKUP(D1558,Products!$A$2:$F$61,6,FALSE),"")</f>
        <v>1</v>
      </c>
      <c r="BL1558">
        <v>0</v>
      </c>
      <c r="BO1558">
        <v>0</v>
      </c>
      <c r="BP1558">
        <v>0</v>
      </c>
    </row>
    <row r="1559" spans="1:68" x14ac:dyDescent="0.35">
      <c r="A1559" s="26" t="str">
        <f>Orders!A1559</f>
        <v>ORD-01558</v>
      </c>
      <c r="B1559" s="33">
        <f>Orders!B1559</f>
        <v>45295</v>
      </c>
      <c r="C1559" t="str">
        <f>Orders!C1559</f>
        <v>CUST-0138</v>
      </c>
      <c r="D1559" t="str">
        <f>Orders!D1559</f>
        <v>PROD-010</v>
      </c>
      <c r="E1559" t="str">
        <f>Orders!E1559</f>
        <v>R024</v>
      </c>
      <c r="F1559">
        <f>Orders!F1559</f>
        <v>3</v>
      </c>
      <c r="G1559" s="35">
        <f>Orders!G1559</f>
        <v>2640</v>
      </c>
      <c r="H1559" s="37">
        <f>Orders!H1559</f>
        <v>29.3</v>
      </c>
      <c r="I1559" s="39">
        <f>Orders!I1559</f>
        <v>5599.44</v>
      </c>
      <c r="J1559" t="str">
        <f>Orders!J1559</f>
        <v>Completed</v>
      </c>
      <c r="K1559" t="str">
        <f>Orders!K1559</f>
        <v>Chennai</v>
      </c>
      <c r="L1559" t="str">
        <f>IFERROR(VLOOKUP(D1559,Products!$A$2:$F$61,3,FALSE),"")</f>
        <v>Electronics</v>
      </c>
      <c r="M1559">
        <f>IFERROR(VLOOKUP(D1559,Products!$A$2:$F$61,4,FALSE),"")</f>
        <v>1149</v>
      </c>
      <c r="N1559" t="str">
        <f>IFERROR(VLOOKUP(E1559,Sales_Reps!$A$2:$E$31,3,FALSE),"")</f>
        <v>West</v>
      </c>
      <c r="O1559" t="str">
        <f>IFERROR(VLOOKUP(C1559,Customers!$A$2:$F$301,5,FALSE),"")</f>
        <v>Retail</v>
      </c>
      <c r="P1559">
        <f>IFERROR(VLOOKUP(C1559,Customers!$A$2:$F$301,3,FALSE),"")</f>
        <v>24</v>
      </c>
      <c r="Q1559" s="41">
        <f t="shared" si="33"/>
        <v>0.56477272727272732</v>
      </c>
      <c r="R1559" t="str">
        <f>IFERROR(VLOOKUP(C1559,Customers!$A$2:$F$301,1,FALSE),"")</f>
        <v>CUST-0138</v>
      </c>
      <c r="S1559" s="27" t="b">
        <f>IFERROR(VLOOKUP(D1559,Products!$A$2:$F$61,6,FALSE),"")</f>
        <v>1</v>
      </c>
      <c r="BL1559">
        <v>0</v>
      </c>
      <c r="BO1559">
        <v>0</v>
      </c>
      <c r="BP1559">
        <v>0</v>
      </c>
    </row>
    <row r="1560" spans="1:68" x14ac:dyDescent="0.35">
      <c r="A1560" s="26" t="str">
        <f>Orders!A1560</f>
        <v>ORD-01559</v>
      </c>
      <c r="B1560" s="33">
        <f>Orders!B1560</f>
        <v>45384</v>
      </c>
      <c r="C1560" t="str">
        <f>Orders!C1560</f>
        <v>CUST-0277</v>
      </c>
      <c r="D1560" t="str">
        <f>Orders!D1560</f>
        <v>PROD-011</v>
      </c>
      <c r="E1560" t="str">
        <f>Orders!E1560</f>
        <v>R029</v>
      </c>
      <c r="F1560">
        <f>Orders!F1560</f>
        <v>8</v>
      </c>
      <c r="G1560" s="35">
        <f>Orders!G1560</f>
        <v>3450</v>
      </c>
      <c r="H1560" s="37">
        <f>Orders!H1560</f>
        <v>15.2</v>
      </c>
      <c r="I1560" s="39">
        <f>Orders!I1560</f>
        <v>23404.799999999999</v>
      </c>
      <c r="J1560" t="str">
        <f>Orders!J1560</f>
        <v>Cancelled</v>
      </c>
      <c r="K1560" t="str">
        <f>Orders!K1560</f>
        <v>Chennai</v>
      </c>
      <c r="L1560" t="str">
        <f>IFERROR(VLOOKUP(D1560,Products!$A$2:$F$61,3,FALSE),"")</f>
        <v>Apparel</v>
      </c>
      <c r="M1560">
        <f>IFERROR(VLOOKUP(D1560,Products!$A$2:$F$61,4,FALSE),"")</f>
        <v>1748</v>
      </c>
      <c r="N1560" t="str">
        <f>IFERROR(VLOOKUP(E1560,Sales_Reps!$A$2:$E$31,3,FALSE),"")</f>
        <v>West</v>
      </c>
      <c r="O1560" t="str">
        <f>IFERROR(VLOOKUP(C1560,Customers!$A$2:$F$301,5,FALSE),"")</f>
        <v>Corporate</v>
      </c>
      <c r="P1560">
        <f>IFERROR(VLOOKUP(C1560,Customers!$A$2:$F$301,3,FALSE),"")</f>
        <v>34</v>
      </c>
      <c r="Q1560" s="41">
        <f t="shared" si="33"/>
        <v>0.49333333333333335</v>
      </c>
      <c r="R1560" t="str">
        <f>IFERROR(VLOOKUP(C1560,Customers!$A$2:$F$301,1,FALSE),"")</f>
        <v>CUST-0277</v>
      </c>
      <c r="S1560" s="27" t="b">
        <f>IFERROR(VLOOKUP(D1560,Products!$A$2:$F$61,6,FALSE),"")</f>
        <v>1</v>
      </c>
      <c r="BL1560">
        <v>0</v>
      </c>
      <c r="BO1560">
        <v>0</v>
      </c>
      <c r="BP1560">
        <v>0</v>
      </c>
    </row>
    <row r="1561" spans="1:68" x14ac:dyDescent="0.35">
      <c r="A1561" s="26" t="str">
        <f>Orders!A1561</f>
        <v>ORD-01560</v>
      </c>
      <c r="B1561" s="33">
        <f>Orders!B1561</f>
        <v>45349</v>
      </c>
      <c r="C1561" t="str">
        <f>Orders!C1561</f>
        <v>CUST-0017</v>
      </c>
      <c r="D1561" t="str">
        <f>Orders!D1561</f>
        <v>PROD-032</v>
      </c>
      <c r="E1561" t="str">
        <f>Orders!E1561</f>
        <v>R025</v>
      </c>
      <c r="F1561">
        <f>Orders!F1561</f>
        <v>6</v>
      </c>
      <c r="G1561" s="35">
        <f>Orders!G1561</f>
        <v>370</v>
      </c>
      <c r="H1561" s="37">
        <f>Orders!H1561</f>
        <v>7</v>
      </c>
      <c r="I1561" s="39">
        <f>Orders!I1561</f>
        <v>2064.6</v>
      </c>
      <c r="J1561" t="str">
        <f>Orders!J1561</f>
        <v>Completed</v>
      </c>
      <c r="K1561" t="str">
        <f>Orders!K1561</f>
        <v>Delhi</v>
      </c>
      <c r="L1561" t="str">
        <f>IFERROR(VLOOKUP(D1561,Products!$A$2:$F$61,3,FALSE),"")</f>
        <v>Home</v>
      </c>
      <c r="M1561">
        <f>IFERROR(VLOOKUP(D1561,Products!$A$2:$F$61,4,FALSE),"")</f>
        <v>288</v>
      </c>
      <c r="N1561" t="str">
        <f>IFERROR(VLOOKUP(E1561,Sales_Reps!$A$2:$E$31,3,FALSE),"")</f>
        <v>West</v>
      </c>
      <c r="O1561" t="str">
        <f>IFERROR(VLOOKUP(C1561,Customers!$A$2:$F$301,5,FALSE),"")</f>
        <v>SMB</v>
      </c>
      <c r="P1561">
        <f>IFERROR(VLOOKUP(C1561,Customers!$A$2:$F$301,3,FALSE),"")</f>
        <v>38</v>
      </c>
      <c r="Q1561" s="41">
        <f t="shared" si="33"/>
        <v>0.22162162162162163</v>
      </c>
      <c r="R1561" t="str">
        <f>IFERROR(VLOOKUP(C1561,Customers!$A$2:$F$301,1,FALSE),"")</f>
        <v>CUST-0017</v>
      </c>
      <c r="S1561" s="27" t="b">
        <f>IFERROR(VLOOKUP(D1561,Products!$A$2:$F$61,6,FALSE),"")</f>
        <v>1</v>
      </c>
      <c r="BL1561">
        <v>0</v>
      </c>
      <c r="BO1561">
        <v>0</v>
      </c>
      <c r="BP1561">
        <v>0</v>
      </c>
    </row>
    <row r="1562" spans="1:68" x14ac:dyDescent="0.35">
      <c r="A1562" s="26" t="str">
        <f>Orders!A1562</f>
        <v>ORD-01561</v>
      </c>
      <c r="B1562" s="33">
        <f>Orders!B1562</f>
        <v>45439</v>
      </c>
      <c r="C1562" t="str">
        <f>Orders!C1562</f>
        <v>CUST-0170</v>
      </c>
      <c r="D1562" t="str">
        <f>Orders!D1562</f>
        <v>PROD-025</v>
      </c>
      <c r="E1562" t="str">
        <f>Orders!E1562</f>
        <v>R029</v>
      </c>
      <c r="F1562">
        <f>Orders!F1562</f>
        <v>10</v>
      </c>
      <c r="G1562" s="35">
        <f>Orders!G1562</f>
        <v>4060</v>
      </c>
      <c r="H1562" s="37">
        <f>Orders!H1562</f>
        <v>4.7</v>
      </c>
      <c r="I1562" s="39">
        <f>Orders!I1562</f>
        <v>38691.800000000003</v>
      </c>
      <c r="J1562" t="str">
        <f>Orders!J1562</f>
        <v>Cancelled</v>
      </c>
      <c r="K1562" t="str">
        <f>Orders!K1562</f>
        <v>Mumbai</v>
      </c>
      <c r="L1562" t="str">
        <f>IFERROR(VLOOKUP(D1562,Products!$A$2:$F$61,3,FALSE),"")</f>
        <v>Grocery</v>
      </c>
      <c r="M1562">
        <f>IFERROR(VLOOKUP(D1562,Products!$A$2:$F$61,4,FALSE),"")</f>
        <v>2911</v>
      </c>
      <c r="N1562" t="str">
        <f>IFERROR(VLOOKUP(E1562,Sales_Reps!$A$2:$E$31,3,FALSE),"")</f>
        <v>West</v>
      </c>
      <c r="O1562" t="str">
        <f>IFERROR(VLOOKUP(C1562,Customers!$A$2:$F$301,5,FALSE),"")</f>
        <v>SMB</v>
      </c>
      <c r="P1562">
        <f>IFERROR(VLOOKUP(C1562,Customers!$A$2:$F$301,3,FALSE),"")</f>
        <v>22</v>
      </c>
      <c r="Q1562" s="41">
        <f t="shared" si="33"/>
        <v>0.28300492610837441</v>
      </c>
      <c r="R1562" t="str">
        <f>IFERROR(VLOOKUP(C1562,Customers!$A$2:$F$301,1,FALSE),"")</f>
        <v>CUST-0170</v>
      </c>
      <c r="S1562" s="27" t="b">
        <f>IFERROR(VLOOKUP(D1562,Products!$A$2:$F$61,6,FALSE),"")</f>
        <v>1</v>
      </c>
      <c r="BL1562">
        <v>0</v>
      </c>
      <c r="BO1562">
        <v>0</v>
      </c>
      <c r="BP1562">
        <v>0</v>
      </c>
    </row>
    <row r="1563" spans="1:68" x14ac:dyDescent="0.35">
      <c r="A1563" s="26" t="str">
        <f>Orders!A1563</f>
        <v>ORD-01562</v>
      </c>
      <c r="B1563" s="33">
        <f>Orders!B1563</f>
        <v>45426</v>
      </c>
      <c r="C1563" t="str">
        <f>Orders!C1563</f>
        <v>CUST-0022</v>
      </c>
      <c r="D1563" t="str">
        <f>Orders!D1563</f>
        <v>PROD-004</v>
      </c>
      <c r="E1563" t="str">
        <f>Orders!E1563</f>
        <v>R024</v>
      </c>
      <c r="F1563">
        <f>Orders!F1563</f>
        <v>1</v>
      </c>
      <c r="G1563" s="35">
        <f>Orders!G1563</f>
        <v>3870</v>
      </c>
      <c r="H1563" s="37">
        <f>Orders!H1563</f>
        <v>18.2</v>
      </c>
      <c r="I1563" s="39">
        <f>Orders!I1563</f>
        <v>3165.66</v>
      </c>
      <c r="J1563" t="str">
        <f>Orders!J1563</f>
        <v>Pending</v>
      </c>
      <c r="K1563" t="str">
        <f>Orders!K1563</f>
        <v>Bengaluru</v>
      </c>
      <c r="L1563" t="str">
        <f>IFERROR(VLOOKUP(D1563,Products!$A$2:$F$61,3,FALSE),"")</f>
        <v>Electronics</v>
      </c>
      <c r="M1563">
        <f>IFERROR(VLOOKUP(D1563,Products!$A$2:$F$61,4,FALSE),"")</f>
        <v>1559</v>
      </c>
      <c r="N1563" t="str">
        <f>IFERROR(VLOOKUP(E1563,Sales_Reps!$A$2:$E$31,3,FALSE),"")</f>
        <v>West</v>
      </c>
      <c r="O1563" t="str">
        <f>IFERROR(VLOOKUP(C1563,Customers!$A$2:$F$301,5,FALSE),"")</f>
        <v>Corporate</v>
      </c>
      <c r="P1563">
        <f>IFERROR(VLOOKUP(C1563,Customers!$A$2:$F$301,3,FALSE),"")</f>
        <v>55</v>
      </c>
      <c r="Q1563" s="41">
        <f t="shared" si="33"/>
        <v>0.59715762273901807</v>
      </c>
      <c r="R1563" t="str">
        <f>IFERROR(VLOOKUP(C1563,Customers!$A$2:$F$301,1,FALSE),"")</f>
        <v>CUST-0022</v>
      </c>
      <c r="S1563" s="27" t="b">
        <f>IFERROR(VLOOKUP(D1563,Products!$A$2:$F$61,6,FALSE),"")</f>
        <v>1</v>
      </c>
      <c r="BL1563">
        <v>0</v>
      </c>
      <c r="BO1563">
        <v>0</v>
      </c>
      <c r="BP1563">
        <v>0</v>
      </c>
    </row>
    <row r="1564" spans="1:68" x14ac:dyDescent="0.35">
      <c r="A1564" s="26" t="str">
        <f>Orders!A1564</f>
        <v>ORD-01563</v>
      </c>
      <c r="B1564" s="33">
        <f>Orders!B1564</f>
        <v>45385</v>
      </c>
      <c r="C1564" t="str">
        <f>Orders!C1564</f>
        <v>CUST-0158</v>
      </c>
      <c r="D1564" t="str">
        <f>Orders!D1564</f>
        <v>PROD-001</v>
      </c>
      <c r="E1564" t="str">
        <f>Orders!E1564</f>
        <v>R006</v>
      </c>
      <c r="F1564">
        <f>Orders!F1564</f>
        <v>1</v>
      </c>
      <c r="G1564" s="35">
        <f>Orders!G1564</f>
        <v>5330</v>
      </c>
      <c r="H1564" s="37">
        <f>Orders!H1564</f>
        <v>3.9</v>
      </c>
      <c r="I1564" s="39">
        <f>Orders!I1564</f>
        <v>5122.13</v>
      </c>
      <c r="J1564" t="str">
        <f>Orders!J1564</f>
        <v>Refunded</v>
      </c>
      <c r="K1564" t="str">
        <f>Orders!K1564</f>
        <v>Pune</v>
      </c>
      <c r="L1564" t="str">
        <f>IFERROR(VLOOKUP(D1564,Products!$A$2:$F$61,3,FALSE),"")</f>
        <v>Electronics</v>
      </c>
      <c r="M1564">
        <f>IFERROR(VLOOKUP(D1564,Products!$A$2:$F$61,4,FALSE),"")</f>
        <v>2405</v>
      </c>
      <c r="N1564" t="str">
        <f>IFERROR(VLOOKUP(E1564,Sales_Reps!$A$2:$E$31,3,FALSE),"")</f>
        <v>North</v>
      </c>
      <c r="O1564" t="str">
        <f>IFERROR(VLOOKUP(C1564,Customers!$A$2:$F$301,5,FALSE),"")</f>
        <v>Corporate</v>
      </c>
      <c r="P1564">
        <f>IFERROR(VLOOKUP(C1564,Customers!$A$2:$F$301,3,FALSE),"")</f>
        <v>42</v>
      </c>
      <c r="Q1564" s="41">
        <f t="shared" si="33"/>
        <v>0.54878048780487809</v>
      </c>
      <c r="R1564" t="str">
        <f>IFERROR(VLOOKUP(C1564,Customers!$A$2:$F$301,1,FALSE),"")</f>
        <v>CUST-0158</v>
      </c>
      <c r="S1564" s="27" t="b">
        <f>IFERROR(VLOOKUP(D1564,Products!$A$2:$F$61,6,FALSE),"")</f>
        <v>1</v>
      </c>
      <c r="BL1564">
        <v>0</v>
      </c>
      <c r="BO1564">
        <v>0</v>
      </c>
      <c r="BP1564">
        <v>0</v>
      </c>
    </row>
    <row r="1565" spans="1:68" x14ac:dyDescent="0.35">
      <c r="A1565" s="26" t="str">
        <f>Orders!A1565</f>
        <v>ORD-01564</v>
      </c>
      <c r="B1565" s="33">
        <f>Orders!B1565</f>
        <v>45312</v>
      </c>
      <c r="C1565" t="str">
        <f>Orders!C1565</f>
        <v>CUST-0160</v>
      </c>
      <c r="D1565" t="str">
        <f>Orders!D1565</f>
        <v>PROD-032</v>
      </c>
      <c r="E1565" t="str">
        <f>Orders!E1565</f>
        <v>R020</v>
      </c>
      <c r="F1565">
        <f>Orders!F1565</f>
        <v>8</v>
      </c>
      <c r="G1565" s="35">
        <f>Orders!G1565</f>
        <v>370</v>
      </c>
      <c r="H1565" s="37">
        <f>Orders!H1565</f>
        <v>1.3</v>
      </c>
      <c r="I1565" s="39">
        <f>Orders!I1565</f>
        <v>2921.52</v>
      </c>
      <c r="J1565" t="str">
        <f>Orders!J1565</f>
        <v>Completed</v>
      </c>
      <c r="K1565" t="str">
        <f>Orders!K1565</f>
        <v>Hyderabad</v>
      </c>
      <c r="L1565" t="str">
        <f>IFERROR(VLOOKUP(D1565,Products!$A$2:$F$61,3,FALSE),"")</f>
        <v>Home</v>
      </c>
      <c r="M1565">
        <f>IFERROR(VLOOKUP(D1565,Products!$A$2:$F$61,4,FALSE),"")</f>
        <v>288</v>
      </c>
      <c r="N1565" t="str">
        <f>IFERROR(VLOOKUP(E1565,Sales_Reps!$A$2:$E$31,3,FALSE),"")</f>
        <v>East</v>
      </c>
      <c r="O1565" t="str">
        <f>IFERROR(VLOOKUP(C1565,Customers!$A$2:$F$301,5,FALSE),"")</f>
        <v>Retail</v>
      </c>
      <c r="P1565">
        <f>IFERROR(VLOOKUP(C1565,Customers!$A$2:$F$301,3,FALSE),"")</f>
        <v>27</v>
      </c>
      <c r="Q1565" s="41">
        <f t="shared" si="33"/>
        <v>0.22162162162162163</v>
      </c>
      <c r="R1565" t="str">
        <f>IFERROR(VLOOKUP(C1565,Customers!$A$2:$F$301,1,FALSE),"")</f>
        <v>CUST-0160</v>
      </c>
      <c r="S1565" s="27" t="b">
        <f>IFERROR(VLOOKUP(D1565,Products!$A$2:$F$61,6,FALSE),"")</f>
        <v>1</v>
      </c>
      <c r="BL1565">
        <v>0</v>
      </c>
      <c r="BO1565">
        <v>0</v>
      </c>
      <c r="BP1565">
        <v>0</v>
      </c>
    </row>
    <row r="1566" spans="1:68" x14ac:dyDescent="0.35">
      <c r="A1566" s="26" t="str">
        <f>Orders!A1566</f>
        <v>ORD-01565</v>
      </c>
      <c r="B1566" s="33">
        <f>Orders!B1566</f>
        <v>45622</v>
      </c>
      <c r="C1566" t="str">
        <f>Orders!C1566</f>
        <v>CUST-0009</v>
      </c>
      <c r="D1566" t="str">
        <f>Orders!D1566</f>
        <v>PROD-005</v>
      </c>
      <c r="E1566" t="str">
        <f>Orders!E1566</f>
        <v>R020</v>
      </c>
      <c r="F1566">
        <f>Orders!F1566</f>
        <v>7</v>
      </c>
      <c r="G1566" s="35">
        <f>Orders!G1566</f>
        <v>300</v>
      </c>
      <c r="H1566" s="37">
        <f>Orders!H1566</f>
        <v>7.1</v>
      </c>
      <c r="I1566" s="39">
        <f>Orders!I1566</f>
        <v>1950.9</v>
      </c>
      <c r="J1566" t="str">
        <f>Orders!J1566</f>
        <v>Completed</v>
      </c>
      <c r="K1566" t="str">
        <f>Orders!K1566</f>
        <v>Mumbai</v>
      </c>
      <c r="L1566" t="str">
        <f>IFERROR(VLOOKUP(D1566,Products!$A$2:$F$61,3,FALSE),"")</f>
        <v>Electronics</v>
      </c>
      <c r="M1566">
        <f>IFERROR(VLOOKUP(D1566,Products!$A$2:$F$61,4,FALSE),"")</f>
        <v>128</v>
      </c>
      <c r="N1566" t="str">
        <f>IFERROR(VLOOKUP(E1566,Sales_Reps!$A$2:$E$31,3,FALSE),"")</f>
        <v>East</v>
      </c>
      <c r="O1566" t="str">
        <f>IFERROR(VLOOKUP(C1566,Customers!$A$2:$F$301,5,FALSE),"")</f>
        <v>Retail</v>
      </c>
      <c r="P1566">
        <f>IFERROR(VLOOKUP(C1566,Customers!$A$2:$F$301,3,FALSE),"")</f>
        <v>61</v>
      </c>
      <c r="Q1566" s="41">
        <f t="shared" si="33"/>
        <v>0.57333333333333336</v>
      </c>
      <c r="R1566" t="str">
        <f>IFERROR(VLOOKUP(C1566,Customers!$A$2:$F$301,1,FALSE),"")</f>
        <v>CUST-0009</v>
      </c>
      <c r="S1566" s="27" t="b">
        <f>IFERROR(VLOOKUP(D1566,Products!$A$2:$F$61,6,FALSE),"")</f>
        <v>1</v>
      </c>
      <c r="BL1566">
        <v>0</v>
      </c>
      <c r="BO1566">
        <v>0</v>
      </c>
      <c r="BP1566">
        <v>0</v>
      </c>
    </row>
    <row r="1567" spans="1:68" x14ac:dyDescent="0.35">
      <c r="A1567" s="26" t="str">
        <f>Orders!A1567</f>
        <v>ORD-01566</v>
      </c>
      <c r="B1567" s="33">
        <f>Orders!B1567</f>
        <v>45508</v>
      </c>
      <c r="C1567" t="str">
        <f>Orders!C1567</f>
        <v>CUST-0151</v>
      </c>
      <c r="D1567" t="str">
        <f>Orders!D1567</f>
        <v>PROD-043</v>
      </c>
      <c r="E1567" t="str">
        <f>Orders!E1567</f>
        <v>R012</v>
      </c>
      <c r="F1567">
        <f>Orders!F1567</f>
        <v>8</v>
      </c>
      <c r="G1567" s="35">
        <f>Orders!G1567</f>
        <v>3350</v>
      </c>
      <c r="H1567" s="37">
        <f>Orders!H1567</f>
        <v>11.2</v>
      </c>
      <c r="I1567" s="39">
        <f>Orders!I1567</f>
        <v>23798.400000000001</v>
      </c>
      <c r="J1567" t="str">
        <f>Orders!J1567</f>
        <v>Completed</v>
      </c>
      <c r="K1567" t="str">
        <f>Orders!K1567</f>
        <v>Mumbai</v>
      </c>
      <c r="L1567" t="str">
        <f>IFERROR(VLOOKUP(D1567,Products!$A$2:$F$61,3,FALSE),"")</f>
        <v>Beauty</v>
      </c>
      <c r="M1567">
        <f>IFERROR(VLOOKUP(D1567,Products!$A$2:$F$61,4,FALSE),"")</f>
        <v>1728</v>
      </c>
      <c r="N1567" t="str">
        <f>IFERROR(VLOOKUP(E1567,Sales_Reps!$A$2:$E$31,3,FALSE),"")</f>
        <v>South</v>
      </c>
      <c r="O1567" t="str">
        <f>IFERROR(VLOOKUP(C1567,Customers!$A$2:$F$301,5,FALSE),"")</f>
        <v>Retail</v>
      </c>
      <c r="P1567">
        <f>IFERROR(VLOOKUP(C1567,Customers!$A$2:$F$301,3,FALSE),"")</f>
        <v>53</v>
      </c>
      <c r="Q1567" s="41">
        <f t="shared" si="33"/>
        <v>0.48417910447761192</v>
      </c>
      <c r="R1567" t="str">
        <f>IFERROR(VLOOKUP(C1567,Customers!$A$2:$F$301,1,FALSE),"")</f>
        <v>CUST-0151</v>
      </c>
      <c r="S1567" s="27" t="b">
        <f>IFERROR(VLOOKUP(D1567,Products!$A$2:$F$61,6,FALSE),"")</f>
        <v>1</v>
      </c>
      <c r="BL1567">
        <v>0</v>
      </c>
      <c r="BO1567">
        <v>0</v>
      </c>
      <c r="BP1567">
        <v>0</v>
      </c>
    </row>
    <row r="1568" spans="1:68" x14ac:dyDescent="0.35">
      <c r="A1568" s="26" t="str">
        <f>Orders!A1568</f>
        <v>ORD-01567</v>
      </c>
      <c r="B1568" s="33">
        <f>Orders!B1568</f>
        <v>45528</v>
      </c>
      <c r="C1568" t="str">
        <f>Orders!C1568</f>
        <v>CUST-0105</v>
      </c>
      <c r="D1568" t="str">
        <f>Orders!D1568</f>
        <v>PROD-056</v>
      </c>
      <c r="E1568" t="str">
        <f>Orders!E1568</f>
        <v>R009</v>
      </c>
      <c r="F1568">
        <f>Orders!F1568</f>
        <v>6</v>
      </c>
      <c r="G1568" s="35">
        <f>Orders!G1568</f>
        <v>6940</v>
      </c>
      <c r="H1568" s="37">
        <f>Orders!H1568</f>
        <v>0.3</v>
      </c>
      <c r="I1568" s="39">
        <f>Orders!I1568</f>
        <v>41515.08</v>
      </c>
      <c r="J1568" t="str">
        <f>Orders!J1568</f>
        <v>Completed</v>
      </c>
      <c r="K1568" t="str">
        <f>Orders!K1568</f>
        <v>Chennai</v>
      </c>
      <c r="L1568" t="str">
        <f>IFERROR(VLOOKUP(D1568,Products!$A$2:$F$61,3,FALSE),"")</f>
        <v>Sports</v>
      </c>
      <c r="M1568">
        <f>IFERROR(VLOOKUP(D1568,Products!$A$2:$F$61,4,FALSE),"")</f>
        <v>2827</v>
      </c>
      <c r="N1568" t="str">
        <f>IFERROR(VLOOKUP(E1568,Sales_Reps!$A$2:$E$31,3,FALSE),"")</f>
        <v>South</v>
      </c>
      <c r="O1568" t="str">
        <f>IFERROR(VLOOKUP(C1568,Customers!$A$2:$F$301,5,FALSE),"")</f>
        <v>SMB</v>
      </c>
      <c r="P1568">
        <f>IFERROR(VLOOKUP(C1568,Customers!$A$2:$F$301,3,FALSE),"")</f>
        <v>51</v>
      </c>
      <c r="Q1568" s="41">
        <f t="shared" si="33"/>
        <v>0.5926512968299712</v>
      </c>
      <c r="R1568" t="str">
        <f>IFERROR(VLOOKUP(C1568,Customers!$A$2:$F$301,1,FALSE),"")</f>
        <v>CUST-0105</v>
      </c>
      <c r="S1568" s="27" t="b">
        <f>IFERROR(VLOOKUP(D1568,Products!$A$2:$F$61,6,FALSE),"")</f>
        <v>1</v>
      </c>
      <c r="BL1568">
        <v>0</v>
      </c>
      <c r="BO1568">
        <v>0</v>
      </c>
      <c r="BP1568">
        <v>0</v>
      </c>
    </row>
    <row r="1569" spans="1:68" x14ac:dyDescent="0.35">
      <c r="A1569" s="26" t="str">
        <f>Orders!A1569</f>
        <v>ORD-01568</v>
      </c>
      <c r="B1569" s="33">
        <f>Orders!B1569</f>
        <v>45483</v>
      </c>
      <c r="C1569" t="str">
        <f>Orders!C1569</f>
        <v>CUST-0292</v>
      </c>
      <c r="D1569" t="str">
        <f>Orders!D1569</f>
        <v>PROD-049</v>
      </c>
      <c r="E1569" t="str">
        <f>Orders!E1569</f>
        <v>R008</v>
      </c>
      <c r="F1569">
        <f>Orders!F1569</f>
        <v>10</v>
      </c>
      <c r="G1569" s="35">
        <f>Orders!G1569</f>
        <v>960</v>
      </c>
      <c r="H1569" s="37">
        <f>Orders!H1569</f>
        <v>9.3000000000000007</v>
      </c>
      <c r="I1569" s="39">
        <f>Orders!I1569</f>
        <v>8707.2000000000007</v>
      </c>
      <c r="J1569" t="str">
        <f>Orders!J1569</f>
        <v>Cancelled</v>
      </c>
      <c r="K1569" t="str">
        <f>Orders!K1569</f>
        <v>Bengaluru</v>
      </c>
      <c r="L1569" t="str">
        <f>IFERROR(VLOOKUP(D1569,Products!$A$2:$F$61,3,FALSE),"")</f>
        <v>Beauty</v>
      </c>
      <c r="M1569">
        <f>IFERROR(VLOOKUP(D1569,Products!$A$2:$F$61,4,FALSE),"")</f>
        <v>675</v>
      </c>
      <c r="N1569" t="str">
        <f>IFERROR(VLOOKUP(E1569,Sales_Reps!$A$2:$E$31,3,FALSE),"")</f>
        <v>North</v>
      </c>
      <c r="O1569" t="str">
        <f>IFERROR(VLOOKUP(C1569,Customers!$A$2:$F$301,5,FALSE),"")</f>
        <v>Retail</v>
      </c>
      <c r="P1569">
        <f>IFERROR(VLOOKUP(C1569,Customers!$A$2:$F$301,3,FALSE),"")</f>
        <v>32</v>
      </c>
      <c r="Q1569" s="41">
        <f t="shared" si="33"/>
        <v>0.296875</v>
      </c>
      <c r="R1569" t="str">
        <f>IFERROR(VLOOKUP(C1569,Customers!$A$2:$F$301,1,FALSE),"")</f>
        <v>CUST-0292</v>
      </c>
      <c r="S1569" s="27" t="b">
        <f>IFERROR(VLOOKUP(D1569,Products!$A$2:$F$61,6,FALSE),"")</f>
        <v>1</v>
      </c>
      <c r="BL1569">
        <v>0</v>
      </c>
      <c r="BO1569">
        <v>0</v>
      </c>
      <c r="BP1569">
        <v>0</v>
      </c>
    </row>
    <row r="1570" spans="1:68" x14ac:dyDescent="0.35">
      <c r="A1570" s="26" t="str">
        <f>Orders!A1570</f>
        <v>ORD-01569</v>
      </c>
      <c r="B1570" s="33">
        <f>Orders!B1570</f>
        <v>45625</v>
      </c>
      <c r="C1570" t="str">
        <f>Orders!C1570</f>
        <v>CUST-0076</v>
      </c>
      <c r="D1570" t="str">
        <f>Orders!D1570</f>
        <v>PROD-021</v>
      </c>
      <c r="E1570" t="str">
        <f>Orders!E1570</f>
        <v>R021</v>
      </c>
      <c r="F1570">
        <f>Orders!F1570</f>
        <v>10</v>
      </c>
      <c r="G1570" s="35">
        <f>Orders!G1570</f>
        <v>2760</v>
      </c>
      <c r="H1570" s="37">
        <f>Orders!H1570</f>
        <v>17.2</v>
      </c>
      <c r="I1570" s="39">
        <f>Orders!I1570</f>
        <v>22852.799999999999</v>
      </c>
      <c r="J1570" t="str">
        <f>Orders!J1570</f>
        <v>Completed</v>
      </c>
      <c r="K1570" t="str">
        <f>Orders!K1570</f>
        <v>Mumbai</v>
      </c>
      <c r="L1570" t="str">
        <f>IFERROR(VLOOKUP(D1570,Products!$A$2:$F$61,3,FALSE),"")</f>
        <v>Grocery</v>
      </c>
      <c r="M1570">
        <f>IFERROR(VLOOKUP(D1570,Products!$A$2:$F$61,4,FALSE),"")</f>
        <v>1435</v>
      </c>
      <c r="N1570" t="str">
        <f>IFERROR(VLOOKUP(E1570,Sales_Reps!$A$2:$E$31,3,FALSE),"")</f>
        <v>East</v>
      </c>
      <c r="O1570" t="str">
        <f>IFERROR(VLOOKUP(C1570,Customers!$A$2:$F$301,5,FALSE),"")</f>
        <v>Retail</v>
      </c>
      <c r="P1570">
        <f>IFERROR(VLOOKUP(C1570,Customers!$A$2:$F$301,3,FALSE),"")</f>
        <v>38</v>
      </c>
      <c r="Q1570" s="41">
        <f t="shared" si="33"/>
        <v>0.48007246376811596</v>
      </c>
      <c r="R1570" t="str">
        <f>IFERROR(VLOOKUP(C1570,Customers!$A$2:$F$301,1,FALSE),"")</f>
        <v>CUST-0076</v>
      </c>
      <c r="S1570" s="27" t="b">
        <f>IFERROR(VLOOKUP(D1570,Products!$A$2:$F$61,6,FALSE),"")</f>
        <v>1</v>
      </c>
      <c r="BL1570">
        <v>0</v>
      </c>
      <c r="BO1570">
        <v>0</v>
      </c>
      <c r="BP1570">
        <v>0</v>
      </c>
    </row>
    <row r="1571" spans="1:68" x14ac:dyDescent="0.35">
      <c r="A1571" s="26" t="str">
        <f>Orders!A1571</f>
        <v>ORD-01570</v>
      </c>
      <c r="B1571" s="33">
        <f>Orders!B1571</f>
        <v>45358</v>
      </c>
      <c r="C1571" t="str">
        <f>Orders!C1571</f>
        <v>CUST-0152</v>
      </c>
      <c r="D1571" t="str">
        <f>Orders!D1571</f>
        <v>PROD-024</v>
      </c>
      <c r="E1571" t="str">
        <f>Orders!E1571</f>
        <v>R026</v>
      </c>
      <c r="F1571">
        <f>Orders!F1571</f>
        <v>4</v>
      </c>
      <c r="G1571" s="35">
        <f>Orders!G1571</f>
        <v>2270</v>
      </c>
      <c r="H1571" s="37">
        <f>Orders!H1571</f>
        <v>26.8</v>
      </c>
      <c r="I1571" s="39">
        <f>Orders!I1571</f>
        <v>6646.56</v>
      </c>
      <c r="J1571" t="str">
        <f>Orders!J1571</f>
        <v>Completed</v>
      </c>
      <c r="K1571" t="str">
        <f>Orders!K1571</f>
        <v>Bengaluru</v>
      </c>
      <c r="L1571" t="str">
        <f>IFERROR(VLOOKUP(D1571,Products!$A$2:$F$61,3,FALSE),"")</f>
        <v>Grocery</v>
      </c>
      <c r="M1571">
        <f>IFERROR(VLOOKUP(D1571,Products!$A$2:$F$61,4,FALSE),"")</f>
        <v>1203</v>
      </c>
      <c r="N1571" t="str">
        <f>IFERROR(VLOOKUP(E1571,Sales_Reps!$A$2:$E$31,3,FALSE),"")</f>
        <v>West</v>
      </c>
      <c r="O1571" t="str">
        <f>IFERROR(VLOOKUP(C1571,Customers!$A$2:$F$301,5,FALSE),"")</f>
        <v>SMB</v>
      </c>
      <c r="P1571">
        <f>IFERROR(VLOOKUP(C1571,Customers!$A$2:$F$301,3,FALSE),"")</f>
        <v>64</v>
      </c>
      <c r="Q1571" s="41">
        <f t="shared" si="33"/>
        <v>0.47004405286343615</v>
      </c>
      <c r="R1571" t="str">
        <f>IFERROR(VLOOKUP(C1571,Customers!$A$2:$F$301,1,FALSE),"")</f>
        <v>CUST-0152</v>
      </c>
      <c r="S1571" s="27" t="b">
        <f>IFERROR(VLOOKUP(D1571,Products!$A$2:$F$61,6,FALSE),"")</f>
        <v>1</v>
      </c>
      <c r="BL1571">
        <v>0</v>
      </c>
      <c r="BO1571">
        <v>0</v>
      </c>
      <c r="BP1571">
        <v>0</v>
      </c>
    </row>
    <row r="1572" spans="1:68" x14ac:dyDescent="0.35">
      <c r="A1572" s="26" t="str">
        <f>Orders!A1572</f>
        <v>ORD-01571</v>
      </c>
      <c r="B1572" s="33">
        <f>Orders!B1572</f>
        <v>45342</v>
      </c>
      <c r="C1572" t="str">
        <f>Orders!C1572</f>
        <v>CUST-0146</v>
      </c>
      <c r="D1572" t="str">
        <f>Orders!D1572</f>
        <v>PROD-002</v>
      </c>
      <c r="E1572" t="str">
        <f>Orders!E1572</f>
        <v>R021</v>
      </c>
      <c r="F1572">
        <f>Orders!F1572</f>
        <v>2</v>
      </c>
      <c r="G1572" s="35">
        <f>Orders!G1572</f>
        <v>2600</v>
      </c>
      <c r="H1572" s="37">
        <f>Orders!H1572</f>
        <v>27</v>
      </c>
      <c r="I1572" s="39">
        <f>Orders!I1572</f>
        <v>3796</v>
      </c>
      <c r="J1572" t="str">
        <f>Orders!J1572</f>
        <v>Completed</v>
      </c>
      <c r="K1572" t="str">
        <f>Orders!K1572</f>
        <v>Hyderabad</v>
      </c>
      <c r="L1572" t="str">
        <f>IFERROR(VLOOKUP(D1572,Products!$A$2:$F$61,3,FALSE),"")</f>
        <v>Electronics</v>
      </c>
      <c r="M1572">
        <f>IFERROR(VLOOKUP(D1572,Products!$A$2:$F$61,4,FALSE),"")</f>
        <v>1052</v>
      </c>
      <c r="N1572" t="str">
        <f>IFERROR(VLOOKUP(E1572,Sales_Reps!$A$2:$E$31,3,FALSE),"")</f>
        <v>East</v>
      </c>
      <c r="O1572" t="str">
        <f>IFERROR(VLOOKUP(C1572,Customers!$A$2:$F$301,5,FALSE),"")</f>
        <v>Retail</v>
      </c>
      <c r="P1572">
        <f>IFERROR(VLOOKUP(C1572,Customers!$A$2:$F$301,3,FALSE),"")</f>
        <v>22</v>
      </c>
      <c r="Q1572" s="41">
        <f t="shared" si="33"/>
        <v>0.5953846153846154</v>
      </c>
      <c r="R1572" t="str">
        <f>IFERROR(VLOOKUP(C1572,Customers!$A$2:$F$301,1,FALSE),"")</f>
        <v>CUST-0146</v>
      </c>
      <c r="S1572" s="27" t="b">
        <f>IFERROR(VLOOKUP(D1572,Products!$A$2:$F$61,6,FALSE),"")</f>
        <v>1</v>
      </c>
      <c r="BL1572">
        <v>0</v>
      </c>
      <c r="BO1572">
        <v>0</v>
      </c>
      <c r="BP1572">
        <v>0</v>
      </c>
    </row>
    <row r="1573" spans="1:68" x14ac:dyDescent="0.35">
      <c r="A1573" s="26" t="str">
        <f>Orders!A1573</f>
        <v>ORD-01572</v>
      </c>
      <c r="B1573" s="33">
        <f>Orders!B1573</f>
        <v>45304</v>
      </c>
      <c r="C1573" t="str">
        <f>Orders!C1573</f>
        <v>CUST-0127</v>
      </c>
      <c r="D1573" t="str">
        <f>Orders!D1573</f>
        <v>PROD-003</v>
      </c>
      <c r="E1573" t="str">
        <f>Orders!E1573</f>
        <v>R024</v>
      </c>
      <c r="F1573">
        <f>Orders!F1573</f>
        <v>4</v>
      </c>
      <c r="G1573" s="35">
        <f>Orders!G1573</f>
        <v>3570</v>
      </c>
      <c r="H1573" s="37">
        <f>Orders!H1573</f>
        <v>12.3</v>
      </c>
      <c r="I1573" s="39">
        <f>Orders!I1573</f>
        <v>12523.56</v>
      </c>
      <c r="J1573" t="str">
        <f>Orders!J1573</f>
        <v>Completed</v>
      </c>
      <c r="K1573" t="str">
        <f>Orders!K1573</f>
        <v>Bengaluru</v>
      </c>
      <c r="L1573" t="str">
        <f>IFERROR(VLOOKUP(D1573,Products!$A$2:$F$61,3,FALSE),"")</f>
        <v>Electronics</v>
      </c>
      <c r="M1573">
        <f>IFERROR(VLOOKUP(D1573,Products!$A$2:$F$61,4,FALSE),"")</f>
        <v>1665</v>
      </c>
      <c r="N1573" t="str">
        <f>IFERROR(VLOOKUP(E1573,Sales_Reps!$A$2:$E$31,3,FALSE),"")</f>
        <v>West</v>
      </c>
      <c r="O1573" t="str">
        <f>IFERROR(VLOOKUP(C1573,Customers!$A$2:$F$301,5,FALSE),"")</f>
        <v>SMB</v>
      </c>
      <c r="P1573">
        <f>IFERROR(VLOOKUP(C1573,Customers!$A$2:$F$301,3,FALSE),"")</f>
        <v>36</v>
      </c>
      <c r="Q1573" s="41">
        <f t="shared" si="33"/>
        <v>0.53361344537815125</v>
      </c>
      <c r="R1573" t="str">
        <f>IFERROR(VLOOKUP(C1573,Customers!$A$2:$F$301,1,FALSE),"")</f>
        <v>CUST-0127</v>
      </c>
      <c r="S1573" s="27" t="b">
        <f>IFERROR(VLOOKUP(D1573,Products!$A$2:$F$61,6,FALSE),"")</f>
        <v>1</v>
      </c>
      <c r="BL1573">
        <v>0</v>
      </c>
      <c r="BO1573">
        <v>0</v>
      </c>
      <c r="BP1573">
        <v>0</v>
      </c>
    </row>
    <row r="1574" spans="1:68" x14ac:dyDescent="0.35">
      <c r="A1574" s="26" t="str">
        <f>Orders!A1574</f>
        <v>ORD-01573</v>
      </c>
      <c r="B1574" s="33">
        <f>Orders!B1574</f>
        <v>45316</v>
      </c>
      <c r="C1574" t="str">
        <f>Orders!C1574</f>
        <v>CUST-0173</v>
      </c>
      <c r="D1574" t="str">
        <f>Orders!D1574</f>
        <v>PROD-034</v>
      </c>
      <c r="E1574" t="str">
        <f>Orders!E1574</f>
        <v>R016</v>
      </c>
      <c r="F1574">
        <f>Orders!F1574</f>
        <v>5</v>
      </c>
      <c r="G1574" s="35">
        <f>Orders!G1574</f>
        <v>5080</v>
      </c>
      <c r="H1574" s="37">
        <f>Orders!H1574</f>
        <v>1.3</v>
      </c>
      <c r="I1574" s="39">
        <f>Orders!I1574</f>
        <v>25069.8</v>
      </c>
      <c r="J1574" t="str">
        <f>Orders!J1574</f>
        <v>Completed</v>
      </c>
      <c r="K1574" t="str">
        <f>Orders!K1574</f>
        <v>Mumbai</v>
      </c>
      <c r="L1574" t="str">
        <f>IFERROR(VLOOKUP(D1574,Products!$A$2:$F$61,3,FALSE),"")</f>
        <v>Home</v>
      </c>
      <c r="M1574">
        <f>IFERROR(VLOOKUP(D1574,Products!$A$2:$F$61,4,FALSE),"")</f>
        <v>2459</v>
      </c>
      <c r="N1574" t="str">
        <f>IFERROR(VLOOKUP(E1574,Sales_Reps!$A$2:$E$31,3,FALSE),"")</f>
        <v>South</v>
      </c>
      <c r="O1574" t="str">
        <f>IFERROR(VLOOKUP(C1574,Customers!$A$2:$F$301,5,FALSE),"")</f>
        <v>Retail</v>
      </c>
      <c r="P1574">
        <f>IFERROR(VLOOKUP(C1574,Customers!$A$2:$F$301,3,FALSE),"")</f>
        <v>65</v>
      </c>
      <c r="Q1574" s="41">
        <f t="shared" si="33"/>
        <v>0.51594488188976373</v>
      </c>
      <c r="R1574" t="str">
        <f>IFERROR(VLOOKUP(C1574,Customers!$A$2:$F$301,1,FALSE),"")</f>
        <v>CUST-0173</v>
      </c>
      <c r="S1574" s="27" t="b">
        <f>IFERROR(VLOOKUP(D1574,Products!$A$2:$F$61,6,FALSE),"")</f>
        <v>1</v>
      </c>
      <c r="BL1574">
        <v>0</v>
      </c>
      <c r="BO1574">
        <v>0</v>
      </c>
      <c r="BP1574">
        <v>0</v>
      </c>
    </row>
    <row r="1575" spans="1:68" x14ac:dyDescent="0.35">
      <c r="A1575" s="26" t="str">
        <f>Orders!A1575</f>
        <v>ORD-01574</v>
      </c>
      <c r="B1575" s="33">
        <f>Orders!B1575</f>
        <v>45340</v>
      </c>
      <c r="C1575" t="str">
        <f>Orders!C1575</f>
        <v>CUST-0206</v>
      </c>
      <c r="D1575" t="str">
        <f>Orders!D1575</f>
        <v>PROD-049</v>
      </c>
      <c r="E1575" t="str">
        <f>Orders!E1575</f>
        <v>R016</v>
      </c>
      <c r="F1575">
        <f>Orders!F1575</f>
        <v>5</v>
      </c>
      <c r="G1575" s="35">
        <f>Orders!G1575</f>
        <v>960</v>
      </c>
      <c r="H1575" s="37">
        <f>Orders!H1575</f>
        <v>25.2</v>
      </c>
      <c r="I1575" s="39">
        <f>Orders!I1575</f>
        <v>3590.4</v>
      </c>
      <c r="J1575" t="str">
        <f>Orders!J1575</f>
        <v>Completed</v>
      </c>
      <c r="K1575" t="str">
        <f>Orders!K1575</f>
        <v>Mumbai</v>
      </c>
      <c r="L1575" t="str">
        <f>IFERROR(VLOOKUP(D1575,Products!$A$2:$F$61,3,FALSE),"")</f>
        <v>Beauty</v>
      </c>
      <c r="M1575">
        <f>IFERROR(VLOOKUP(D1575,Products!$A$2:$F$61,4,FALSE),"")</f>
        <v>675</v>
      </c>
      <c r="N1575" t="str">
        <f>IFERROR(VLOOKUP(E1575,Sales_Reps!$A$2:$E$31,3,FALSE),"")</f>
        <v>South</v>
      </c>
      <c r="O1575" t="str">
        <f>IFERROR(VLOOKUP(C1575,Customers!$A$2:$F$301,5,FALSE),"")</f>
        <v>Retail</v>
      </c>
      <c r="P1575">
        <f>IFERROR(VLOOKUP(C1575,Customers!$A$2:$F$301,3,FALSE),"")</f>
        <v>40</v>
      </c>
      <c r="Q1575" s="41">
        <f t="shared" si="33"/>
        <v>0.296875</v>
      </c>
      <c r="R1575" t="str">
        <f>IFERROR(VLOOKUP(C1575,Customers!$A$2:$F$301,1,FALSE),"")</f>
        <v>CUST-0206</v>
      </c>
      <c r="S1575" s="27" t="b">
        <f>IFERROR(VLOOKUP(D1575,Products!$A$2:$F$61,6,FALSE),"")</f>
        <v>1</v>
      </c>
      <c r="BL1575">
        <v>0</v>
      </c>
      <c r="BO1575">
        <v>0</v>
      </c>
      <c r="BP1575">
        <v>0</v>
      </c>
    </row>
    <row r="1576" spans="1:68" x14ac:dyDescent="0.35">
      <c r="A1576" s="26" t="str">
        <f>Orders!A1576</f>
        <v>ORD-01575</v>
      </c>
      <c r="B1576" s="33">
        <f>Orders!B1576</f>
        <v>45604</v>
      </c>
      <c r="C1576" t="str">
        <f>Orders!C1576</f>
        <v>CUST-0072</v>
      </c>
      <c r="D1576" t="str">
        <f>Orders!D1576</f>
        <v>PROD-053</v>
      </c>
      <c r="E1576" t="str">
        <f>Orders!E1576</f>
        <v>R010</v>
      </c>
      <c r="F1576">
        <f>Orders!F1576</f>
        <v>7</v>
      </c>
      <c r="G1576" s="35">
        <f>Orders!G1576</f>
        <v>470</v>
      </c>
      <c r="H1576" s="37">
        <f>Orders!H1576</f>
        <v>21.6</v>
      </c>
      <c r="I1576" s="39">
        <f>Orders!I1576</f>
        <v>2579.36</v>
      </c>
      <c r="J1576" t="str">
        <f>Orders!J1576</f>
        <v>Completed</v>
      </c>
      <c r="K1576" t="str">
        <f>Orders!K1576</f>
        <v>Mumbai</v>
      </c>
      <c r="L1576" t="str">
        <f>IFERROR(VLOOKUP(D1576,Products!$A$2:$F$61,3,FALSE),"")</f>
        <v>Sports</v>
      </c>
      <c r="M1576">
        <f>IFERROR(VLOOKUP(D1576,Products!$A$2:$F$61,4,FALSE),"")</f>
        <v>302</v>
      </c>
      <c r="N1576" t="str">
        <f>IFERROR(VLOOKUP(E1576,Sales_Reps!$A$2:$E$31,3,FALSE),"")</f>
        <v>South</v>
      </c>
      <c r="O1576" t="str">
        <f>IFERROR(VLOOKUP(C1576,Customers!$A$2:$F$301,5,FALSE),"")</f>
        <v>Corporate</v>
      </c>
      <c r="P1576">
        <f>IFERROR(VLOOKUP(C1576,Customers!$A$2:$F$301,3,FALSE),"")</f>
        <v>62</v>
      </c>
      <c r="Q1576" s="41">
        <f t="shared" si="33"/>
        <v>0.35744680851063831</v>
      </c>
      <c r="R1576" t="str">
        <f>IFERROR(VLOOKUP(C1576,Customers!$A$2:$F$301,1,FALSE),"")</f>
        <v>CUST-0072</v>
      </c>
      <c r="S1576" s="27" t="b">
        <f>IFERROR(VLOOKUP(D1576,Products!$A$2:$F$61,6,FALSE),"")</f>
        <v>0</v>
      </c>
      <c r="BL1576">
        <v>0</v>
      </c>
      <c r="BO1576">
        <v>0</v>
      </c>
      <c r="BP1576">
        <v>1</v>
      </c>
    </row>
    <row r="1577" spans="1:68" x14ac:dyDescent="0.35">
      <c r="A1577" s="26" t="str">
        <f>Orders!A1577</f>
        <v>ORD-01576</v>
      </c>
      <c r="B1577" s="33">
        <f>Orders!B1577</f>
        <v>45625</v>
      </c>
      <c r="C1577" t="str">
        <f>Orders!C1577</f>
        <v>CUST-0004</v>
      </c>
      <c r="D1577" t="str">
        <f>Orders!D1577</f>
        <v>PROD-009</v>
      </c>
      <c r="E1577" t="str">
        <f>Orders!E1577</f>
        <v>R027</v>
      </c>
      <c r="F1577">
        <f>Orders!F1577</f>
        <v>4</v>
      </c>
      <c r="G1577" s="35">
        <f>Orders!G1577</f>
        <v>1220</v>
      </c>
      <c r="H1577" s="37">
        <f>Orders!H1577</f>
        <v>12.6</v>
      </c>
      <c r="I1577" s="39">
        <f>Orders!I1577</f>
        <v>4265.12</v>
      </c>
      <c r="J1577" t="str">
        <f>Orders!J1577</f>
        <v>Completed</v>
      </c>
      <c r="K1577" t="str">
        <f>Orders!K1577</f>
        <v>Delhi</v>
      </c>
      <c r="L1577" t="str">
        <f>IFERROR(VLOOKUP(D1577,Products!$A$2:$F$61,3,FALSE),"")</f>
        <v>Electronics</v>
      </c>
      <c r="M1577">
        <f>IFERROR(VLOOKUP(D1577,Products!$A$2:$F$61,4,FALSE),"")</f>
        <v>517</v>
      </c>
      <c r="N1577" t="str">
        <f>IFERROR(VLOOKUP(E1577,Sales_Reps!$A$2:$E$31,3,FALSE),"")</f>
        <v>West</v>
      </c>
      <c r="O1577" t="str">
        <f>IFERROR(VLOOKUP(C1577,Customers!$A$2:$F$301,5,FALSE),"")</f>
        <v>Retail</v>
      </c>
      <c r="P1577">
        <f>IFERROR(VLOOKUP(C1577,Customers!$A$2:$F$301,3,FALSE),"")</f>
        <v>53</v>
      </c>
      <c r="Q1577" s="41">
        <f t="shared" si="33"/>
        <v>0.57622950819672136</v>
      </c>
      <c r="R1577" t="str">
        <f>IFERROR(VLOOKUP(C1577,Customers!$A$2:$F$301,1,FALSE),"")</f>
        <v>CUST-0004</v>
      </c>
      <c r="S1577" s="27" t="b">
        <f>IFERROR(VLOOKUP(D1577,Products!$A$2:$F$61,6,FALSE),"")</f>
        <v>1</v>
      </c>
      <c r="BL1577">
        <v>0</v>
      </c>
      <c r="BO1577">
        <v>0</v>
      </c>
      <c r="BP1577">
        <v>0</v>
      </c>
    </row>
    <row r="1578" spans="1:68" x14ac:dyDescent="0.35">
      <c r="A1578" s="26" t="str">
        <f>Orders!A1578</f>
        <v>ORD-01577</v>
      </c>
      <c r="B1578" s="33">
        <f>Orders!B1578</f>
        <v>45293</v>
      </c>
      <c r="C1578" t="str">
        <f>Orders!C1578</f>
        <v>CUST-0249</v>
      </c>
      <c r="D1578" t="str">
        <f>Orders!D1578</f>
        <v>PROD-054</v>
      </c>
      <c r="E1578" t="str">
        <f>Orders!E1578</f>
        <v>R008</v>
      </c>
      <c r="F1578">
        <f>Orders!F1578</f>
        <v>4</v>
      </c>
      <c r="G1578" s="35">
        <f>Orders!G1578</f>
        <v>1010</v>
      </c>
      <c r="H1578" s="37">
        <f>Orders!H1578</f>
        <v>11.3</v>
      </c>
      <c r="I1578" s="39">
        <f>Orders!I1578</f>
        <v>3583.48</v>
      </c>
      <c r="J1578" t="str">
        <f>Orders!J1578</f>
        <v>Completed</v>
      </c>
      <c r="K1578" t="str">
        <f>Orders!K1578</f>
        <v>Mumbai</v>
      </c>
      <c r="L1578" t="str">
        <f>IFERROR(VLOOKUP(D1578,Products!$A$2:$F$61,3,FALSE),"")</f>
        <v>Sports</v>
      </c>
      <c r="M1578">
        <f>IFERROR(VLOOKUP(D1578,Products!$A$2:$F$61,4,FALSE),"")</f>
        <v>516</v>
      </c>
      <c r="N1578" t="str">
        <f>IFERROR(VLOOKUP(E1578,Sales_Reps!$A$2:$E$31,3,FALSE),"")</f>
        <v>North</v>
      </c>
      <c r="O1578" t="str">
        <f>IFERROR(VLOOKUP(C1578,Customers!$A$2:$F$301,5,FALSE),"")</f>
        <v>Retail</v>
      </c>
      <c r="P1578">
        <f>IFERROR(VLOOKUP(C1578,Customers!$A$2:$F$301,3,FALSE),"")</f>
        <v>44</v>
      </c>
      <c r="Q1578" s="41">
        <f t="shared" si="33"/>
        <v>0.4891089108910891</v>
      </c>
      <c r="R1578" t="str">
        <f>IFERROR(VLOOKUP(C1578,Customers!$A$2:$F$301,1,FALSE),"")</f>
        <v>CUST-0249</v>
      </c>
      <c r="S1578" s="27" t="b">
        <f>IFERROR(VLOOKUP(D1578,Products!$A$2:$F$61,6,FALSE),"")</f>
        <v>1</v>
      </c>
      <c r="BL1578">
        <v>0</v>
      </c>
      <c r="BO1578">
        <v>0</v>
      </c>
      <c r="BP1578">
        <v>0</v>
      </c>
    </row>
    <row r="1579" spans="1:68" x14ac:dyDescent="0.35">
      <c r="A1579" s="26" t="str">
        <f>Orders!A1579</f>
        <v>ORD-01578</v>
      </c>
      <c r="B1579" s="33">
        <f>Orders!B1579</f>
        <v>45454</v>
      </c>
      <c r="C1579" t="str">
        <f>Orders!C1579</f>
        <v>CUST-0139</v>
      </c>
      <c r="D1579" t="str">
        <f>Orders!D1579</f>
        <v>PROD-028</v>
      </c>
      <c r="E1579" t="str">
        <f>Orders!E1579</f>
        <v>R005</v>
      </c>
      <c r="F1579">
        <f>Orders!F1579</f>
        <v>4</v>
      </c>
      <c r="G1579" s="35">
        <f>Orders!G1579</f>
        <v>3660</v>
      </c>
      <c r="H1579" s="37">
        <f>Orders!H1579</f>
        <v>7.2</v>
      </c>
      <c r="I1579" s="39">
        <f>Orders!I1579</f>
        <v>13585.92</v>
      </c>
      <c r="J1579" t="str">
        <f>Orders!J1579</f>
        <v>Completed</v>
      </c>
      <c r="K1579" t="str">
        <f>Orders!K1579</f>
        <v>Hyderabad</v>
      </c>
      <c r="L1579" t="str">
        <f>IFERROR(VLOOKUP(D1579,Products!$A$2:$F$61,3,FALSE),"")</f>
        <v>Grocery</v>
      </c>
      <c r="M1579">
        <f>IFERROR(VLOOKUP(D1579,Products!$A$2:$F$61,4,FALSE),"")</f>
        <v>2214</v>
      </c>
      <c r="N1579" t="str">
        <f>IFERROR(VLOOKUP(E1579,Sales_Reps!$A$2:$E$31,3,FALSE),"")</f>
        <v>North</v>
      </c>
      <c r="O1579" t="str">
        <f>IFERROR(VLOOKUP(C1579,Customers!$A$2:$F$301,5,FALSE),"")</f>
        <v>SMB</v>
      </c>
      <c r="P1579">
        <f>IFERROR(VLOOKUP(C1579,Customers!$A$2:$F$301,3,FALSE),"")</f>
        <v>65</v>
      </c>
      <c r="Q1579" s="41">
        <f t="shared" si="33"/>
        <v>0.39508196721311473</v>
      </c>
      <c r="R1579" t="str">
        <f>IFERROR(VLOOKUP(C1579,Customers!$A$2:$F$301,1,FALSE),"")</f>
        <v>CUST-0139</v>
      </c>
      <c r="S1579" s="27" t="b">
        <f>IFERROR(VLOOKUP(D1579,Products!$A$2:$F$61,6,FALSE),"")</f>
        <v>0</v>
      </c>
      <c r="BL1579">
        <v>0</v>
      </c>
      <c r="BO1579">
        <v>0</v>
      </c>
      <c r="BP1579">
        <v>1</v>
      </c>
    </row>
    <row r="1580" spans="1:68" x14ac:dyDescent="0.35">
      <c r="A1580" s="26" t="str">
        <f>Orders!A1580</f>
        <v>ORD-01579</v>
      </c>
      <c r="B1580" s="33">
        <f>Orders!B1580</f>
        <v>45345</v>
      </c>
      <c r="C1580" t="str">
        <f>Orders!C1580</f>
        <v>CUST-0019</v>
      </c>
      <c r="D1580" t="str">
        <f>Orders!D1580</f>
        <v>PROD-038</v>
      </c>
      <c r="E1580" t="str">
        <f>Orders!E1580</f>
        <v>R010</v>
      </c>
      <c r="F1580">
        <f>Orders!F1580</f>
        <v>4</v>
      </c>
      <c r="G1580" s="35">
        <f>Orders!G1580</f>
        <v>5490</v>
      </c>
      <c r="H1580" s="37">
        <f>Orders!H1580</f>
        <v>8</v>
      </c>
      <c r="I1580" s="39">
        <f>Orders!I1580</f>
        <v>20203.2</v>
      </c>
      <c r="J1580" t="str">
        <f>Orders!J1580</f>
        <v>Completed</v>
      </c>
      <c r="K1580" t="str">
        <f>Orders!K1580</f>
        <v>Chennai</v>
      </c>
      <c r="L1580" t="str">
        <f>IFERROR(VLOOKUP(D1580,Products!$A$2:$F$61,3,FALSE),"")</f>
        <v>Home</v>
      </c>
      <c r="M1580">
        <f>IFERROR(VLOOKUP(D1580,Products!$A$2:$F$61,4,FALSE),"")</f>
        <v>2549</v>
      </c>
      <c r="N1580" t="str">
        <f>IFERROR(VLOOKUP(E1580,Sales_Reps!$A$2:$E$31,3,FALSE),"")</f>
        <v>South</v>
      </c>
      <c r="O1580" t="str">
        <f>IFERROR(VLOOKUP(C1580,Customers!$A$2:$F$301,5,FALSE),"")</f>
        <v>Retail</v>
      </c>
      <c r="P1580">
        <f>IFERROR(VLOOKUP(C1580,Customers!$A$2:$F$301,3,FALSE),"")</f>
        <v>22</v>
      </c>
      <c r="Q1580" s="41">
        <f t="shared" si="33"/>
        <v>0.53570127504553733</v>
      </c>
      <c r="R1580" t="str">
        <f>IFERROR(VLOOKUP(C1580,Customers!$A$2:$F$301,1,FALSE),"")</f>
        <v>CUST-0019</v>
      </c>
      <c r="S1580" s="27" t="b">
        <f>IFERROR(VLOOKUP(D1580,Products!$A$2:$F$61,6,FALSE),"")</f>
        <v>1</v>
      </c>
      <c r="BL1580">
        <v>0</v>
      </c>
      <c r="BO1580">
        <v>0</v>
      </c>
      <c r="BP1580">
        <v>0</v>
      </c>
    </row>
    <row r="1581" spans="1:68" x14ac:dyDescent="0.35">
      <c r="A1581" s="26" t="str">
        <f>Orders!A1581</f>
        <v>ORD-01580</v>
      </c>
      <c r="B1581" s="33">
        <f>Orders!B1581</f>
        <v>45645</v>
      </c>
      <c r="C1581" t="str">
        <f>Orders!C1581</f>
        <v>CUST-0210</v>
      </c>
      <c r="D1581" t="str">
        <f>Orders!D1581</f>
        <v>PROD-022</v>
      </c>
      <c r="E1581" t="str">
        <f>Orders!E1581</f>
        <v>R003</v>
      </c>
      <c r="F1581">
        <f>Orders!F1581</f>
        <v>6</v>
      </c>
      <c r="G1581" s="35">
        <f>Orders!G1581</f>
        <v>2270</v>
      </c>
      <c r="H1581" s="37">
        <f>Orders!H1581</f>
        <v>17.100000000000001</v>
      </c>
      <c r="I1581" s="39">
        <f>Orders!I1581</f>
        <v>11290.98</v>
      </c>
      <c r="J1581" t="str">
        <f>Orders!J1581</f>
        <v>Completed</v>
      </c>
      <c r="K1581" t="str">
        <f>Orders!K1581</f>
        <v>Pune</v>
      </c>
      <c r="L1581" t="str">
        <f>IFERROR(VLOOKUP(D1581,Products!$A$2:$F$61,3,FALSE),"")</f>
        <v>Grocery</v>
      </c>
      <c r="M1581">
        <f>IFERROR(VLOOKUP(D1581,Products!$A$2:$F$61,4,FALSE),"")</f>
        <v>1412</v>
      </c>
      <c r="N1581" t="str">
        <f>IFERROR(VLOOKUP(E1581,Sales_Reps!$A$2:$E$31,3,FALSE),"")</f>
        <v>North</v>
      </c>
      <c r="O1581" t="str">
        <f>IFERROR(VLOOKUP(C1581,Customers!$A$2:$F$301,5,FALSE),"")</f>
        <v>Corporate</v>
      </c>
      <c r="P1581">
        <f>IFERROR(VLOOKUP(C1581,Customers!$A$2:$F$301,3,FALSE),"")</f>
        <v>48</v>
      </c>
      <c r="Q1581" s="41">
        <f t="shared" si="33"/>
        <v>0.37797356828193834</v>
      </c>
      <c r="R1581" t="str">
        <f>IFERROR(VLOOKUP(C1581,Customers!$A$2:$F$301,1,FALSE),"")</f>
        <v>CUST-0210</v>
      </c>
      <c r="S1581" s="27" t="b">
        <f>IFERROR(VLOOKUP(D1581,Products!$A$2:$F$61,6,FALSE),"")</f>
        <v>1</v>
      </c>
      <c r="BL1581">
        <v>0</v>
      </c>
      <c r="BO1581">
        <v>0</v>
      </c>
      <c r="BP1581">
        <v>0</v>
      </c>
    </row>
    <row r="1582" spans="1:68" x14ac:dyDescent="0.35">
      <c r="A1582" s="26" t="str">
        <f>Orders!A1582</f>
        <v>ORD-01581</v>
      </c>
      <c r="B1582" s="33">
        <f>Orders!B1582</f>
        <v>45588</v>
      </c>
      <c r="C1582" t="str">
        <f>Orders!C1582</f>
        <v>CUST-0168</v>
      </c>
      <c r="D1582" t="str">
        <f>Orders!D1582</f>
        <v>PROD-022</v>
      </c>
      <c r="E1582" t="str">
        <f>Orders!E1582</f>
        <v>R015</v>
      </c>
      <c r="F1582">
        <f>Orders!F1582</f>
        <v>8</v>
      </c>
      <c r="G1582" s="35">
        <f>Orders!G1582</f>
        <v>2270</v>
      </c>
      <c r="H1582" s="37">
        <f>Orders!H1582</f>
        <v>11.9</v>
      </c>
      <c r="I1582" s="39">
        <f>Orders!I1582</f>
        <v>15998.96</v>
      </c>
      <c r="J1582" t="str">
        <f>Orders!J1582</f>
        <v>Pending</v>
      </c>
      <c r="K1582" t="str">
        <f>Orders!K1582</f>
        <v>Pune</v>
      </c>
      <c r="L1582" t="str">
        <f>IFERROR(VLOOKUP(D1582,Products!$A$2:$F$61,3,FALSE),"")</f>
        <v>Grocery</v>
      </c>
      <c r="M1582">
        <f>IFERROR(VLOOKUP(D1582,Products!$A$2:$F$61,4,FALSE),"")</f>
        <v>1412</v>
      </c>
      <c r="N1582" t="str">
        <f>IFERROR(VLOOKUP(E1582,Sales_Reps!$A$2:$E$31,3,FALSE),"")</f>
        <v>South</v>
      </c>
      <c r="O1582" t="str">
        <f>IFERROR(VLOOKUP(C1582,Customers!$A$2:$F$301,5,FALSE),"")</f>
        <v>Retail</v>
      </c>
      <c r="P1582">
        <f>IFERROR(VLOOKUP(C1582,Customers!$A$2:$F$301,3,FALSE),"")</f>
        <v>25</v>
      </c>
      <c r="Q1582" s="41">
        <f t="shared" si="33"/>
        <v>0.37797356828193834</v>
      </c>
      <c r="R1582" t="str">
        <f>IFERROR(VLOOKUP(C1582,Customers!$A$2:$F$301,1,FALSE),"")</f>
        <v>CUST-0168</v>
      </c>
      <c r="S1582" s="27" t="b">
        <f>IFERROR(VLOOKUP(D1582,Products!$A$2:$F$61,6,FALSE),"")</f>
        <v>1</v>
      </c>
      <c r="BL1582">
        <v>0</v>
      </c>
      <c r="BO1582">
        <v>0</v>
      </c>
      <c r="BP1582">
        <v>0</v>
      </c>
    </row>
    <row r="1583" spans="1:68" x14ac:dyDescent="0.35">
      <c r="A1583" s="26" t="str">
        <f>Orders!A1583</f>
        <v>ORD-01582</v>
      </c>
      <c r="B1583" s="33">
        <f>Orders!B1583</f>
        <v>45592</v>
      </c>
      <c r="C1583" t="str">
        <f>Orders!C1583</f>
        <v>CUST-0094</v>
      </c>
      <c r="D1583" t="str">
        <f>Orders!D1583</f>
        <v>PROD-002</v>
      </c>
      <c r="E1583" t="str">
        <f>Orders!E1583</f>
        <v>R018</v>
      </c>
      <c r="F1583">
        <f>Orders!F1583</f>
        <v>6</v>
      </c>
      <c r="G1583" s="35">
        <f>Orders!G1583</f>
        <v>2600</v>
      </c>
      <c r="H1583" s="37">
        <f>Orders!H1583</f>
        <v>5.0999999999999996</v>
      </c>
      <c r="I1583" s="39">
        <f>Orders!I1583</f>
        <v>14804.4</v>
      </c>
      <c r="J1583" t="str">
        <f>Orders!J1583</f>
        <v>Completed</v>
      </c>
      <c r="K1583" t="str">
        <f>Orders!K1583</f>
        <v>Pune</v>
      </c>
      <c r="L1583" t="str">
        <f>IFERROR(VLOOKUP(D1583,Products!$A$2:$F$61,3,FALSE),"")</f>
        <v>Electronics</v>
      </c>
      <c r="M1583">
        <f>IFERROR(VLOOKUP(D1583,Products!$A$2:$F$61,4,FALSE),"")</f>
        <v>1052</v>
      </c>
      <c r="N1583" t="str">
        <f>IFERROR(VLOOKUP(E1583,Sales_Reps!$A$2:$E$31,3,FALSE),"")</f>
        <v>East</v>
      </c>
      <c r="O1583" t="str">
        <f>IFERROR(VLOOKUP(C1583,Customers!$A$2:$F$301,5,FALSE),"")</f>
        <v>SMB</v>
      </c>
      <c r="P1583">
        <f>IFERROR(VLOOKUP(C1583,Customers!$A$2:$F$301,3,FALSE),"")</f>
        <v>60</v>
      </c>
      <c r="Q1583" s="41">
        <f t="shared" si="33"/>
        <v>0.5953846153846154</v>
      </c>
      <c r="R1583" t="str">
        <f>IFERROR(VLOOKUP(C1583,Customers!$A$2:$F$301,1,FALSE),"")</f>
        <v>CUST-0094</v>
      </c>
      <c r="S1583" s="27" t="b">
        <f>IFERROR(VLOOKUP(D1583,Products!$A$2:$F$61,6,FALSE),"")</f>
        <v>1</v>
      </c>
      <c r="BL1583">
        <v>0</v>
      </c>
      <c r="BO1583">
        <v>0</v>
      </c>
      <c r="BP1583">
        <v>0</v>
      </c>
    </row>
    <row r="1584" spans="1:68" x14ac:dyDescent="0.35">
      <c r="A1584" s="26" t="str">
        <f>Orders!A1584</f>
        <v>ORD-01583</v>
      </c>
      <c r="B1584" s="33">
        <f>Orders!B1584</f>
        <v>45403</v>
      </c>
      <c r="C1584" t="str">
        <f>Orders!C1584</f>
        <v>CUST-0259</v>
      </c>
      <c r="D1584" t="str">
        <f>Orders!D1584</f>
        <v>PROD-004</v>
      </c>
      <c r="E1584" t="str">
        <f>Orders!E1584</f>
        <v>R027</v>
      </c>
      <c r="F1584">
        <f>Orders!F1584</f>
        <v>9</v>
      </c>
      <c r="G1584" s="35">
        <f>Orders!G1584</f>
        <v>3870</v>
      </c>
      <c r="H1584" s="37">
        <f>Orders!H1584</f>
        <v>1.8</v>
      </c>
      <c r="I1584" s="39">
        <f>Orders!I1584</f>
        <v>34203.06</v>
      </c>
      <c r="J1584" t="str">
        <f>Orders!J1584</f>
        <v>Cancelled</v>
      </c>
      <c r="K1584" t="str">
        <f>Orders!K1584</f>
        <v>Mumbai</v>
      </c>
      <c r="L1584" t="str">
        <f>IFERROR(VLOOKUP(D1584,Products!$A$2:$F$61,3,FALSE),"")</f>
        <v>Electronics</v>
      </c>
      <c r="M1584">
        <f>IFERROR(VLOOKUP(D1584,Products!$A$2:$F$61,4,FALSE),"")</f>
        <v>1559</v>
      </c>
      <c r="N1584" t="str">
        <f>IFERROR(VLOOKUP(E1584,Sales_Reps!$A$2:$E$31,3,FALSE),"")</f>
        <v>West</v>
      </c>
      <c r="O1584" t="str">
        <f>IFERROR(VLOOKUP(C1584,Customers!$A$2:$F$301,5,FALSE),"")</f>
        <v>Retail</v>
      </c>
      <c r="P1584">
        <f>IFERROR(VLOOKUP(C1584,Customers!$A$2:$F$301,3,FALSE),"")</f>
        <v>34</v>
      </c>
      <c r="Q1584" s="41">
        <f t="shared" si="33"/>
        <v>0.59715762273901807</v>
      </c>
      <c r="R1584" t="str">
        <f>IFERROR(VLOOKUP(C1584,Customers!$A$2:$F$301,1,FALSE),"")</f>
        <v>CUST-0259</v>
      </c>
      <c r="S1584" s="27" t="b">
        <f>IFERROR(VLOOKUP(D1584,Products!$A$2:$F$61,6,FALSE),"")</f>
        <v>1</v>
      </c>
      <c r="BL1584">
        <v>0</v>
      </c>
      <c r="BO1584">
        <v>0</v>
      </c>
      <c r="BP1584">
        <v>0</v>
      </c>
    </row>
    <row r="1585" spans="1:68" x14ac:dyDescent="0.35">
      <c r="A1585" s="26" t="str">
        <f>Orders!A1585</f>
        <v>ORD-01584</v>
      </c>
      <c r="B1585" s="33">
        <f>Orders!B1585</f>
        <v>45459</v>
      </c>
      <c r="C1585" t="str">
        <f>Orders!C1585</f>
        <v>CUST-0150</v>
      </c>
      <c r="D1585" t="str">
        <f>Orders!D1585</f>
        <v>PROD-006</v>
      </c>
      <c r="E1585" t="str">
        <f>Orders!E1585</f>
        <v>R006</v>
      </c>
      <c r="F1585">
        <f>Orders!F1585</f>
        <v>3</v>
      </c>
      <c r="G1585" s="35">
        <f>Orders!G1585</f>
        <v>3970</v>
      </c>
      <c r="H1585" s="37">
        <f>Orders!H1585</f>
        <v>8.1999999999999993</v>
      </c>
      <c r="I1585" s="39">
        <f>Orders!I1585</f>
        <v>10933.38</v>
      </c>
      <c r="J1585" t="str">
        <f>Orders!J1585</f>
        <v>Completed</v>
      </c>
      <c r="K1585" t="str">
        <f>Orders!K1585</f>
        <v>Pune</v>
      </c>
      <c r="L1585" t="str">
        <f>IFERROR(VLOOKUP(D1585,Products!$A$2:$F$61,3,FALSE),"")</f>
        <v>Electronics</v>
      </c>
      <c r="M1585">
        <f>IFERROR(VLOOKUP(D1585,Products!$A$2:$F$61,4,FALSE),"")</f>
        <v>2865</v>
      </c>
      <c r="N1585" t="str">
        <f>IFERROR(VLOOKUP(E1585,Sales_Reps!$A$2:$E$31,3,FALSE),"")</f>
        <v>North</v>
      </c>
      <c r="O1585" t="str">
        <f>IFERROR(VLOOKUP(C1585,Customers!$A$2:$F$301,5,FALSE),"")</f>
        <v>SMB</v>
      </c>
      <c r="P1585">
        <f>IFERROR(VLOOKUP(C1585,Customers!$A$2:$F$301,3,FALSE),"")</f>
        <v>53</v>
      </c>
      <c r="Q1585" s="41">
        <f t="shared" si="33"/>
        <v>0.27833753148614609</v>
      </c>
      <c r="R1585" t="str">
        <f>IFERROR(VLOOKUP(C1585,Customers!$A$2:$F$301,1,FALSE),"")</f>
        <v>CUST-0150</v>
      </c>
      <c r="S1585" s="27" t="b">
        <f>IFERROR(VLOOKUP(D1585,Products!$A$2:$F$61,6,FALSE),"")</f>
        <v>1</v>
      </c>
      <c r="BL1585">
        <v>0</v>
      </c>
      <c r="BO1585">
        <v>0</v>
      </c>
      <c r="BP1585">
        <v>0</v>
      </c>
    </row>
    <row r="1586" spans="1:68" x14ac:dyDescent="0.35">
      <c r="A1586" s="26" t="str">
        <f>Orders!A1586</f>
        <v>ORD-01585</v>
      </c>
      <c r="B1586" s="33">
        <f>Orders!B1586</f>
        <v>45438</v>
      </c>
      <c r="C1586" t="str">
        <f>Orders!C1586</f>
        <v>CUST-0040</v>
      </c>
      <c r="D1586" t="str">
        <f>Orders!D1586</f>
        <v>PROD-049</v>
      </c>
      <c r="E1586" t="str">
        <f>Orders!E1586</f>
        <v>R028</v>
      </c>
      <c r="F1586">
        <f>Orders!F1586</f>
        <v>9</v>
      </c>
      <c r="G1586" s="35">
        <f>Orders!G1586</f>
        <v>960</v>
      </c>
      <c r="H1586" s="37">
        <f>Orders!H1586</f>
        <v>21.7</v>
      </c>
      <c r="I1586" s="39">
        <f>Orders!I1586</f>
        <v>6765.12</v>
      </c>
      <c r="J1586" t="str">
        <f>Orders!J1586</f>
        <v>Cancelled</v>
      </c>
      <c r="K1586" t="str">
        <f>Orders!K1586</f>
        <v>Chennai</v>
      </c>
      <c r="L1586" t="str">
        <f>IFERROR(VLOOKUP(D1586,Products!$A$2:$F$61,3,FALSE),"")</f>
        <v>Beauty</v>
      </c>
      <c r="M1586">
        <f>IFERROR(VLOOKUP(D1586,Products!$A$2:$F$61,4,FALSE),"")</f>
        <v>675</v>
      </c>
      <c r="N1586" t="str">
        <f>IFERROR(VLOOKUP(E1586,Sales_Reps!$A$2:$E$31,3,FALSE),"")</f>
        <v>West</v>
      </c>
      <c r="O1586" t="str">
        <f>IFERROR(VLOOKUP(C1586,Customers!$A$2:$F$301,5,FALSE),"")</f>
        <v>Retail</v>
      </c>
      <c r="P1586">
        <f>IFERROR(VLOOKUP(C1586,Customers!$A$2:$F$301,3,FALSE),"")</f>
        <v>28</v>
      </c>
      <c r="Q1586" s="41">
        <f t="shared" si="33"/>
        <v>0.296875</v>
      </c>
      <c r="R1586" t="str">
        <f>IFERROR(VLOOKUP(C1586,Customers!$A$2:$F$301,1,FALSE),"")</f>
        <v>CUST-0040</v>
      </c>
      <c r="S1586" s="27" t="b">
        <f>IFERROR(VLOOKUP(D1586,Products!$A$2:$F$61,6,FALSE),"")</f>
        <v>1</v>
      </c>
      <c r="BL1586">
        <v>0</v>
      </c>
      <c r="BO1586">
        <v>0</v>
      </c>
      <c r="BP1586">
        <v>0</v>
      </c>
    </row>
    <row r="1587" spans="1:68" x14ac:dyDescent="0.35">
      <c r="A1587" s="26" t="str">
        <f>Orders!A1587</f>
        <v>ORD-01586</v>
      </c>
      <c r="B1587" s="33">
        <f>Orders!B1587</f>
        <v>45632</v>
      </c>
      <c r="C1587" t="str">
        <f>Orders!C1587</f>
        <v>CUST-0290</v>
      </c>
      <c r="D1587" t="str">
        <f>Orders!D1587</f>
        <v>PROD-052</v>
      </c>
      <c r="E1587" t="str">
        <f>Orders!E1587</f>
        <v>R025</v>
      </c>
      <c r="F1587">
        <f>Orders!F1587</f>
        <v>3</v>
      </c>
      <c r="G1587" s="35">
        <f>Orders!G1587</f>
        <v>5410</v>
      </c>
      <c r="H1587" s="37">
        <f>Orders!H1587</f>
        <v>20.3</v>
      </c>
      <c r="I1587" s="39">
        <f>Orders!I1587</f>
        <v>12935.31</v>
      </c>
      <c r="J1587" t="str">
        <f>Orders!J1587</f>
        <v>Completed</v>
      </c>
      <c r="K1587" t="str">
        <f>Orders!K1587</f>
        <v>Delhi</v>
      </c>
      <c r="L1587" t="str">
        <f>IFERROR(VLOOKUP(D1587,Products!$A$2:$F$61,3,FALSE),"")</f>
        <v>Sports</v>
      </c>
      <c r="M1587">
        <f>IFERROR(VLOOKUP(D1587,Products!$A$2:$F$61,4,FALSE),"")</f>
        <v>2265</v>
      </c>
      <c r="N1587" t="str">
        <f>IFERROR(VLOOKUP(E1587,Sales_Reps!$A$2:$E$31,3,FALSE),"")</f>
        <v>West</v>
      </c>
      <c r="O1587" t="str">
        <f>IFERROR(VLOOKUP(C1587,Customers!$A$2:$F$301,5,FALSE),"")</f>
        <v>Retail</v>
      </c>
      <c r="P1587">
        <f>IFERROR(VLOOKUP(C1587,Customers!$A$2:$F$301,3,FALSE),"")</f>
        <v>63</v>
      </c>
      <c r="Q1587" s="41">
        <f t="shared" si="33"/>
        <v>0.58133086876155271</v>
      </c>
      <c r="R1587" t="str">
        <f>IFERROR(VLOOKUP(C1587,Customers!$A$2:$F$301,1,FALSE),"")</f>
        <v>CUST-0290</v>
      </c>
      <c r="S1587" s="27" t="b">
        <f>IFERROR(VLOOKUP(D1587,Products!$A$2:$F$61,6,FALSE),"")</f>
        <v>1</v>
      </c>
      <c r="BL1587">
        <v>0</v>
      </c>
      <c r="BO1587">
        <v>0</v>
      </c>
      <c r="BP1587">
        <v>0</v>
      </c>
    </row>
    <row r="1588" spans="1:68" x14ac:dyDescent="0.35">
      <c r="A1588" s="26" t="str">
        <f>Orders!A1588</f>
        <v>ORD-01587</v>
      </c>
      <c r="B1588" s="33">
        <f>Orders!B1588</f>
        <v>45579</v>
      </c>
      <c r="C1588" t="str">
        <f>Orders!C1588</f>
        <v>CUST-0123</v>
      </c>
      <c r="D1588" t="str">
        <f>Orders!D1588</f>
        <v>PROD-011</v>
      </c>
      <c r="E1588" t="str">
        <f>Orders!E1588</f>
        <v>R005</v>
      </c>
      <c r="F1588">
        <f>Orders!F1588</f>
        <v>3</v>
      </c>
      <c r="G1588" s="35">
        <f>Orders!G1588</f>
        <v>3450</v>
      </c>
      <c r="H1588" s="37">
        <f>Orders!H1588</f>
        <v>11.6</v>
      </c>
      <c r="I1588" s="39">
        <f>Orders!I1588</f>
        <v>9149.4</v>
      </c>
      <c r="J1588" t="str">
        <f>Orders!J1588</f>
        <v>Completed</v>
      </c>
      <c r="K1588" t="str">
        <f>Orders!K1588</f>
        <v>Chennai</v>
      </c>
      <c r="L1588" t="str">
        <f>IFERROR(VLOOKUP(D1588,Products!$A$2:$F$61,3,FALSE),"")</f>
        <v>Apparel</v>
      </c>
      <c r="M1588">
        <f>IFERROR(VLOOKUP(D1588,Products!$A$2:$F$61,4,FALSE),"")</f>
        <v>1748</v>
      </c>
      <c r="N1588" t="str">
        <f>IFERROR(VLOOKUP(E1588,Sales_Reps!$A$2:$E$31,3,FALSE),"")</f>
        <v>North</v>
      </c>
      <c r="O1588" t="str">
        <f>IFERROR(VLOOKUP(C1588,Customers!$A$2:$F$301,5,FALSE),"")</f>
        <v>Corporate</v>
      </c>
      <c r="P1588">
        <f>IFERROR(VLOOKUP(C1588,Customers!$A$2:$F$301,3,FALSE),"")</f>
        <v>44</v>
      </c>
      <c r="Q1588" s="41">
        <f t="shared" si="33"/>
        <v>0.49333333333333335</v>
      </c>
      <c r="R1588" t="str">
        <f>IFERROR(VLOOKUP(C1588,Customers!$A$2:$F$301,1,FALSE),"")</f>
        <v>CUST-0123</v>
      </c>
      <c r="S1588" s="27" t="b">
        <f>IFERROR(VLOOKUP(D1588,Products!$A$2:$F$61,6,FALSE),"")</f>
        <v>1</v>
      </c>
      <c r="BL1588">
        <v>0</v>
      </c>
      <c r="BO1588">
        <v>0</v>
      </c>
      <c r="BP1588">
        <v>0</v>
      </c>
    </row>
    <row r="1589" spans="1:68" x14ac:dyDescent="0.35">
      <c r="A1589" s="26" t="str">
        <f>Orders!A1589</f>
        <v>ORD-01588</v>
      </c>
      <c r="B1589" s="33">
        <f>Orders!B1589</f>
        <v>45392</v>
      </c>
      <c r="C1589" t="str">
        <f>Orders!C1589</f>
        <v>CUST-0053</v>
      </c>
      <c r="D1589" t="str">
        <f>Orders!D1589</f>
        <v>PROD-045</v>
      </c>
      <c r="E1589" t="str">
        <f>Orders!E1589</f>
        <v>R008</v>
      </c>
      <c r="F1589">
        <f>Orders!F1589</f>
        <v>2</v>
      </c>
      <c r="G1589" s="35">
        <f>Orders!G1589</f>
        <v>3020</v>
      </c>
      <c r="H1589" s="37">
        <f>Orders!H1589</f>
        <v>20.8</v>
      </c>
      <c r="I1589" s="39">
        <f>Orders!I1589</f>
        <v>4783.68</v>
      </c>
      <c r="J1589" t="str">
        <f>Orders!J1589</f>
        <v>Pending</v>
      </c>
      <c r="K1589" t="str">
        <f>Orders!K1589</f>
        <v>Delhi</v>
      </c>
      <c r="L1589" t="str">
        <f>IFERROR(VLOOKUP(D1589,Products!$A$2:$F$61,3,FALSE),"")</f>
        <v>Beauty</v>
      </c>
      <c r="M1589">
        <f>IFERROR(VLOOKUP(D1589,Products!$A$2:$F$61,4,FALSE),"")</f>
        <v>1626</v>
      </c>
      <c r="N1589" t="str">
        <f>IFERROR(VLOOKUP(E1589,Sales_Reps!$A$2:$E$31,3,FALSE),"")</f>
        <v>North</v>
      </c>
      <c r="O1589" t="str">
        <f>IFERROR(VLOOKUP(C1589,Customers!$A$2:$F$301,5,FALSE),"")</f>
        <v>Retail</v>
      </c>
      <c r="P1589">
        <f>IFERROR(VLOOKUP(C1589,Customers!$A$2:$F$301,3,FALSE),"")</f>
        <v>53</v>
      </c>
      <c r="Q1589" s="41">
        <f t="shared" si="33"/>
        <v>0.46158940397350995</v>
      </c>
      <c r="R1589" t="str">
        <f>IFERROR(VLOOKUP(C1589,Customers!$A$2:$F$301,1,FALSE),"")</f>
        <v>CUST-0053</v>
      </c>
      <c r="S1589" s="27" t="b">
        <f>IFERROR(VLOOKUP(D1589,Products!$A$2:$F$61,6,FALSE),"")</f>
        <v>1</v>
      </c>
      <c r="BL1589">
        <v>0</v>
      </c>
      <c r="BO1589">
        <v>0</v>
      </c>
      <c r="BP1589">
        <v>0</v>
      </c>
    </row>
    <row r="1590" spans="1:68" x14ac:dyDescent="0.35">
      <c r="A1590" s="26" t="str">
        <f>Orders!A1590</f>
        <v>ORD-01589</v>
      </c>
      <c r="B1590" s="33">
        <f>Orders!B1590</f>
        <v>45563</v>
      </c>
      <c r="C1590" t="str">
        <f>Orders!C1590</f>
        <v>CUST-0179</v>
      </c>
      <c r="D1590" t="str">
        <f>Orders!D1590</f>
        <v>PROD-060</v>
      </c>
      <c r="E1590" t="str">
        <f>Orders!E1590</f>
        <v>R002</v>
      </c>
      <c r="F1590">
        <f>Orders!F1590</f>
        <v>3</v>
      </c>
      <c r="G1590" s="35">
        <f>Orders!G1590</f>
        <v>190</v>
      </c>
      <c r="H1590" s="37">
        <f>Orders!H1590</f>
        <v>10.7</v>
      </c>
      <c r="I1590" s="39">
        <f>Orders!I1590</f>
        <v>509.01</v>
      </c>
      <c r="J1590" t="str">
        <f>Orders!J1590</f>
        <v>Completed</v>
      </c>
      <c r="K1590" t="str">
        <f>Orders!K1590</f>
        <v>Mumbai</v>
      </c>
      <c r="L1590" t="str">
        <f>IFERROR(VLOOKUP(D1590,Products!$A$2:$F$61,3,FALSE),"")</f>
        <v>Sports</v>
      </c>
      <c r="M1590">
        <f>IFERROR(VLOOKUP(D1590,Products!$A$2:$F$61,4,FALSE),"")</f>
        <v>147</v>
      </c>
      <c r="N1590" t="str">
        <f>IFERROR(VLOOKUP(E1590,Sales_Reps!$A$2:$E$31,3,FALSE),"")</f>
        <v>North</v>
      </c>
      <c r="O1590" t="str">
        <f>IFERROR(VLOOKUP(C1590,Customers!$A$2:$F$301,5,FALSE),"")</f>
        <v>SMB</v>
      </c>
      <c r="P1590">
        <f>IFERROR(VLOOKUP(C1590,Customers!$A$2:$F$301,3,FALSE),"")</f>
        <v>54</v>
      </c>
      <c r="Q1590" s="41">
        <f t="shared" si="33"/>
        <v>0.22631578947368422</v>
      </c>
      <c r="R1590" t="str">
        <f>IFERROR(VLOOKUP(C1590,Customers!$A$2:$F$301,1,FALSE),"")</f>
        <v>CUST-0179</v>
      </c>
      <c r="S1590" s="27" t="b">
        <f>IFERROR(VLOOKUP(D1590,Products!$A$2:$F$61,6,FALSE),"")</f>
        <v>1</v>
      </c>
      <c r="BL1590">
        <v>0</v>
      </c>
      <c r="BO1590">
        <v>0</v>
      </c>
      <c r="BP1590">
        <v>0</v>
      </c>
    </row>
    <row r="1591" spans="1:68" x14ac:dyDescent="0.35">
      <c r="A1591" s="26" t="str">
        <f>Orders!A1591</f>
        <v>ORD-01590</v>
      </c>
      <c r="B1591" s="33">
        <f>Orders!B1591</f>
        <v>45294</v>
      </c>
      <c r="C1591" t="str">
        <f>Orders!C1591</f>
        <v>CUST-0006</v>
      </c>
      <c r="D1591" t="str">
        <f>Orders!D1591</f>
        <v>PROD-031</v>
      </c>
      <c r="E1591" t="str">
        <f>Orders!E1591</f>
        <v>R012</v>
      </c>
      <c r="F1591">
        <f>Orders!F1591</f>
        <v>4</v>
      </c>
      <c r="G1591" s="35">
        <f>Orders!G1591</f>
        <v>3730</v>
      </c>
      <c r="H1591" s="37">
        <f>Orders!H1591</f>
        <v>6.9</v>
      </c>
      <c r="I1591" s="39">
        <f>Orders!I1591</f>
        <v>13890.52</v>
      </c>
      <c r="J1591" t="str">
        <f>Orders!J1591</f>
        <v>Completed</v>
      </c>
      <c r="K1591" t="str">
        <f>Orders!K1591</f>
        <v>Pune</v>
      </c>
      <c r="L1591" t="str">
        <f>IFERROR(VLOOKUP(D1591,Products!$A$2:$F$61,3,FALSE),"")</f>
        <v>Home</v>
      </c>
      <c r="M1591">
        <f>IFERROR(VLOOKUP(D1591,Products!$A$2:$F$61,4,FALSE),"")</f>
        <v>2135</v>
      </c>
      <c r="N1591" t="str">
        <f>IFERROR(VLOOKUP(E1591,Sales_Reps!$A$2:$E$31,3,FALSE),"")</f>
        <v>South</v>
      </c>
      <c r="O1591" t="str">
        <f>IFERROR(VLOOKUP(C1591,Customers!$A$2:$F$301,5,FALSE),"")</f>
        <v>SMB</v>
      </c>
      <c r="P1591">
        <f>IFERROR(VLOOKUP(C1591,Customers!$A$2:$F$301,3,FALSE),"")</f>
        <v>44</v>
      </c>
      <c r="Q1591" s="41">
        <f t="shared" si="33"/>
        <v>0.42761394101876676</v>
      </c>
      <c r="R1591" t="str">
        <f>IFERROR(VLOOKUP(C1591,Customers!$A$2:$F$301,1,FALSE),"")</f>
        <v>CUST-0006</v>
      </c>
      <c r="S1591" s="27" t="b">
        <f>IFERROR(VLOOKUP(D1591,Products!$A$2:$F$61,6,FALSE),"")</f>
        <v>1</v>
      </c>
      <c r="BL1591">
        <v>0</v>
      </c>
      <c r="BO1591">
        <v>0</v>
      </c>
      <c r="BP1591">
        <v>0</v>
      </c>
    </row>
    <row r="1592" spans="1:68" x14ac:dyDescent="0.35">
      <c r="A1592" s="26" t="str">
        <f>Orders!A1592</f>
        <v>ORD-01591</v>
      </c>
      <c r="B1592" s="33">
        <f>Orders!B1592</f>
        <v>45503</v>
      </c>
      <c r="C1592" t="str">
        <f>Orders!C1592</f>
        <v>CUST-0272</v>
      </c>
      <c r="D1592" t="str">
        <f>Orders!D1592</f>
        <v>PROD-051</v>
      </c>
      <c r="E1592" t="str">
        <f>Orders!E1592</f>
        <v>R025</v>
      </c>
      <c r="F1592">
        <f>Orders!F1592</f>
        <v>9</v>
      </c>
      <c r="G1592" s="35">
        <f>Orders!G1592</f>
        <v>3450</v>
      </c>
      <c r="H1592" s="37">
        <f>Orders!H1592</f>
        <v>22.2</v>
      </c>
      <c r="I1592" s="39">
        <f>Orders!I1592</f>
        <v>24156.9</v>
      </c>
      <c r="J1592" t="str">
        <f>Orders!J1592</f>
        <v>Cancelled</v>
      </c>
      <c r="K1592" t="str">
        <f>Orders!K1592</f>
        <v>Mumbai</v>
      </c>
      <c r="L1592" t="str">
        <f>IFERROR(VLOOKUP(D1592,Products!$A$2:$F$61,3,FALSE),"")</f>
        <v>Sports</v>
      </c>
      <c r="M1592">
        <f>IFERROR(VLOOKUP(D1592,Products!$A$2:$F$61,4,FALSE),"")</f>
        <v>2467</v>
      </c>
      <c r="N1592" t="str">
        <f>IFERROR(VLOOKUP(E1592,Sales_Reps!$A$2:$E$31,3,FALSE),"")</f>
        <v>West</v>
      </c>
      <c r="O1592" t="str">
        <f>IFERROR(VLOOKUP(C1592,Customers!$A$2:$F$301,5,FALSE),"")</f>
        <v>SMB</v>
      </c>
      <c r="P1592">
        <f>IFERROR(VLOOKUP(C1592,Customers!$A$2:$F$301,3,FALSE),"")</f>
        <v>47</v>
      </c>
      <c r="Q1592" s="41">
        <f t="shared" si="33"/>
        <v>0.28492753623188405</v>
      </c>
      <c r="R1592" t="str">
        <f>IFERROR(VLOOKUP(C1592,Customers!$A$2:$F$301,1,FALSE),"")</f>
        <v>CUST-0272</v>
      </c>
      <c r="S1592" s="27" t="b">
        <f>IFERROR(VLOOKUP(D1592,Products!$A$2:$F$61,6,FALSE),"")</f>
        <v>1</v>
      </c>
      <c r="BL1592">
        <v>0</v>
      </c>
      <c r="BO1592">
        <v>0</v>
      </c>
      <c r="BP1592">
        <v>0</v>
      </c>
    </row>
    <row r="1593" spans="1:68" x14ac:dyDescent="0.35">
      <c r="A1593" s="26" t="str">
        <f>Orders!A1593</f>
        <v>ORD-01592</v>
      </c>
      <c r="B1593" s="33">
        <f>Orders!B1593</f>
        <v>45336</v>
      </c>
      <c r="C1593" t="str">
        <f>Orders!C1593</f>
        <v>CUST-0274</v>
      </c>
      <c r="D1593" t="str">
        <f>Orders!D1593</f>
        <v>PROD-006</v>
      </c>
      <c r="E1593" t="str">
        <f>Orders!E1593</f>
        <v>R002</v>
      </c>
      <c r="F1593">
        <f>Orders!F1593</f>
        <v>3</v>
      </c>
      <c r="G1593" s="35">
        <f>Orders!G1593</f>
        <v>3970</v>
      </c>
      <c r="H1593" s="37">
        <f>Orders!H1593</f>
        <v>6.8</v>
      </c>
      <c r="I1593" s="39">
        <f>Orders!I1593</f>
        <v>11100.12</v>
      </c>
      <c r="J1593" t="str">
        <f>Orders!J1593</f>
        <v>Completed</v>
      </c>
      <c r="K1593" t="str">
        <f>Orders!K1593</f>
        <v>Bengaluru</v>
      </c>
      <c r="L1593" t="str">
        <f>IFERROR(VLOOKUP(D1593,Products!$A$2:$F$61,3,FALSE),"")</f>
        <v>Electronics</v>
      </c>
      <c r="M1593">
        <f>IFERROR(VLOOKUP(D1593,Products!$A$2:$F$61,4,FALSE),"")</f>
        <v>2865</v>
      </c>
      <c r="N1593" t="str">
        <f>IFERROR(VLOOKUP(E1593,Sales_Reps!$A$2:$E$31,3,FALSE),"")</f>
        <v>North</v>
      </c>
      <c r="O1593" t="str">
        <f>IFERROR(VLOOKUP(C1593,Customers!$A$2:$F$301,5,FALSE),"")</f>
        <v>Corporate</v>
      </c>
      <c r="P1593">
        <f>IFERROR(VLOOKUP(C1593,Customers!$A$2:$F$301,3,FALSE),"")</f>
        <v>36</v>
      </c>
      <c r="Q1593" s="41">
        <f t="shared" si="33"/>
        <v>0.27833753148614609</v>
      </c>
      <c r="R1593" t="str">
        <f>IFERROR(VLOOKUP(C1593,Customers!$A$2:$F$301,1,FALSE),"")</f>
        <v>CUST-0274</v>
      </c>
      <c r="S1593" s="27" t="b">
        <f>IFERROR(VLOOKUP(D1593,Products!$A$2:$F$61,6,FALSE),"")</f>
        <v>1</v>
      </c>
      <c r="BL1593">
        <v>0</v>
      </c>
      <c r="BO1593">
        <v>0</v>
      </c>
      <c r="BP1593">
        <v>0</v>
      </c>
    </row>
    <row r="1594" spans="1:68" x14ac:dyDescent="0.35">
      <c r="A1594" s="26" t="str">
        <f>Orders!A1594</f>
        <v>ORD-01593</v>
      </c>
      <c r="B1594" s="33">
        <f>Orders!B1594</f>
        <v>45462</v>
      </c>
      <c r="C1594" t="str">
        <f>Orders!C1594</f>
        <v>CUST-0262</v>
      </c>
      <c r="D1594" t="str">
        <f>Orders!D1594</f>
        <v>PROD-035</v>
      </c>
      <c r="E1594" t="str">
        <f>Orders!E1594</f>
        <v>R022</v>
      </c>
      <c r="F1594">
        <f>Orders!F1594</f>
        <v>3</v>
      </c>
      <c r="G1594" s="35">
        <f>Orders!G1594</f>
        <v>1090</v>
      </c>
      <c r="H1594" s="37">
        <f>Orders!H1594</f>
        <v>23.7</v>
      </c>
      <c r="I1594" s="39">
        <f>Orders!I1594</f>
        <v>2495.0100000000002</v>
      </c>
      <c r="J1594" t="str">
        <f>Orders!J1594</f>
        <v>Completed</v>
      </c>
      <c r="K1594" t="str">
        <f>Orders!K1594</f>
        <v>Mumbai</v>
      </c>
      <c r="L1594" t="str">
        <f>IFERROR(VLOOKUP(D1594,Products!$A$2:$F$61,3,FALSE),"")</f>
        <v>Home</v>
      </c>
      <c r="M1594">
        <f>IFERROR(VLOOKUP(D1594,Products!$A$2:$F$61,4,FALSE),"")</f>
        <v>464</v>
      </c>
      <c r="N1594" t="str">
        <f>IFERROR(VLOOKUP(E1594,Sales_Reps!$A$2:$E$31,3,FALSE),"")</f>
        <v>East</v>
      </c>
      <c r="O1594" t="str">
        <f>IFERROR(VLOOKUP(C1594,Customers!$A$2:$F$301,5,FALSE),"")</f>
        <v>Retail</v>
      </c>
      <c r="P1594">
        <f>IFERROR(VLOOKUP(C1594,Customers!$A$2:$F$301,3,FALSE),"")</f>
        <v>52</v>
      </c>
      <c r="Q1594" s="41">
        <f t="shared" si="33"/>
        <v>0.57431192660550456</v>
      </c>
      <c r="R1594" t="str">
        <f>IFERROR(VLOOKUP(C1594,Customers!$A$2:$F$301,1,FALSE),"")</f>
        <v>CUST-0262</v>
      </c>
      <c r="S1594" s="27" t="b">
        <f>IFERROR(VLOOKUP(D1594,Products!$A$2:$F$61,6,FALSE),"")</f>
        <v>1</v>
      </c>
      <c r="BL1594">
        <v>0</v>
      </c>
      <c r="BO1594">
        <v>0</v>
      </c>
      <c r="BP1594">
        <v>0</v>
      </c>
    </row>
    <row r="1595" spans="1:68" x14ac:dyDescent="0.35">
      <c r="A1595" s="26" t="str">
        <f>Orders!A1595</f>
        <v>ORD-01594</v>
      </c>
      <c r="B1595" s="33">
        <f>Orders!B1595</f>
        <v>45300</v>
      </c>
      <c r="C1595" t="str">
        <f>Orders!C1595</f>
        <v>CUST-0087</v>
      </c>
      <c r="D1595" t="str">
        <f>Orders!D1595</f>
        <v>PROD-033</v>
      </c>
      <c r="E1595" t="str">
        <f>Orders!E1595</f>
        <v>R023</v>
      </c>
      <c r="F1595">
        <f>Orders!F1595</f>
        <v>3</v>
      </c>
      <c r="G1595" s="35">
        <f>Orders!G1595</f>
        <v>2030</v>
      </c>
      <c r="H1595" s="37">
        <f>Orders!H1595</f>
        <v>18.8</v>
      </c>
      <c r="I1595" s="39">
        <f>Orders!I1595</f>
        <v>4945.08</v>
      </c>
      <c r="J1595" t="str">
        <f>Orders!J1595</f>
        <v>Completed</v>
      </c>
      <c r="K1595" t="str">
        <f>Orders!K1595</f>
        <v>Pune</v>
      </c>
      <c r="L1595" t="str">
        <f>IFERROR(VLOOKUP(D1595,Products!$A$2:$F$61,3,FALSE),"")</f>
        <v>Home</v>
      </c>
      <c r="M1595">
        <f>IFERROR(VLOOKUP(D1595,Products!$A$2:$F$61,4,FALSE),"")</f>
        <v>1143</v>
      </c>
      <c r="N1595" t="str">
        <f>IFERROR(VLOOKUP(E1595,Sales_Reps!$A$2:$E$31,3,FALSE),"")</f>
        <v>East</v>
      </c>
      <c r="O1595" t="str">
        <f>IFERROR(VLOOKUP(C1595,Customers!$A$2:$F$301,5,FALSE),"")</f>
        <v>SMB</v>
      </c>
      <c r="P1595">
        <f>IFERROR(VLOOKUP(C1595,Customers!$A$2:$F$301,3,FALSE),"")</f>
        <v>49</v>
      </c>
      <c r="Q1595" s="41">
        <f t="shared" si="33"/>
        <v>0.43694581280788175</v>
      </c>
      <c r="R1595" t="str">
        <f>IFERROR(VLOOKUP(C1595,Customers!$A$2:$F$301,1,FALSE),"")</f>
        <v>CUST-0087</v>
      </c>
      <c r="S1595" s="27" t="b">
        <f>IFERROR(VLOOKUP(D1595,Products!$A$2:$F$61,6,FALSE),"")</f>
        <v>1</v>
      </c>
      <c r="BL1595">
        <v>0</v>
      </c>
      <c r="BO1595">
        <v>0</v>
      </c>
      <c r="BP1595">
        <v>0</v>
      </c>
    </row>
    <row r="1596" spans="1:68" x14ac:dyDescent="0.35">
      <c r="A1596" s="26" t="str">
        <f>Orders!A1596</f>
        <v>ORD-01595</v>
      </c>
      <c r="B1596" s="33">
        <f>Orders!B1596</f>
        <v>45367</v>
      </c>
      <c r="C1596" t="str">
        <f>Orders!C1596</f>
        <v>CUST-0198</v>
      </c>
      <c r="D1596" t="str">
        <f>Orders!D1596</f>
        <v>PROD-026</v>
      </c>
      <c r="E1596" t="str">
        <f>Orders!E1596</f>
        <v>R008</v>
      </c>
      <c r="F1596">
        <f>Orders!F1596</f>
        <v>2</v>
      </c>
      <c r="G1596" s="35">
        <f>Orders!G1596</f>
        <v>4070</v>
      </c>
      <c r="H1596" s="37">
        <f>Orders!H1596</f>
        <v>14.3</v>
      </c>
      <c r="I1596" s="39">
        <f>Orders!I1596</f>
        <v>6975.98</v>
      </c>
      <c r="J1596" t="str">
        <f>Orders!J1596</f>
        <v>Completed</v>
      </c>
      <c r="K1596" t="str">
        <f>Orders!K1596</f>
        <v>CHENNAI</v>
      </c>
      <c r="L1596" t="str">
        <f>IFERROR(VLOOKUP(D1596,Products!$A$2:$F$61,3,FALSE),"")</f>
        <v>Grocery</v>
      </c>
      <c r="M1596">
        <f>IFERROR(VLOOKUP(D1596,Products!$A$2:$F$61,4,FALSE),"")</f>
        <v>2027</v>
      </c>
      <c r="N1596" t="str">
        <f>IFERROR(VLOOKUP(E1596,Sales_Reps!$A$2:$E$31,3,FALSE),"")</f>
        <v>North</v>
      </c>
      <c r="O1596" t="str">
        <f>IFERROR(VLOOKUP(C1596,Customers!$A$2:$F$301,5,FALSE),"")</f>
        <v>Corporate</v>
      </c>
      <c r="P1596">
        <f>IFERROR(VLOOKUP(C1596,Customers!$A$2:$F$301,3,FALSE),"")</f>
        <v>22</v>
      </c>
      <c r="Q1596" s="41">
        <f t="shared" si="33"/>
        <v>0.50196560196560192</v>
      </c>
      <c r="R1596" t="str">
        <f>IFERROR(VLOOKUP(C1596,Customers!$A$2:$F$301,1,FALSE),"")</f>
        <v>CUST-0198</v>
      </c>
      <c r="S1596" s="27" t="b">
        <f>IFERROR(VLOOKUP(D1596,Products!$A$2:$F$61,6,FALSE),"")</f>
        <v>1</v>
      </c>
      <c r="BL1596">
        <v>0</v>
      </c>
      <c r="BO1596">
        <v>0</v>
      </c>
      <c r="BP1596">
        <v>0</v>
      </c>
    </row>
    <row r="1597" spans="1:68" x14ac:dyDescent="0.35">
      <c r="A1597" s="26" t="str">
        <f>Orders!A1597</f>
        <v>ORD-01596</v>
      </c>
      <c r="B1597" s="33">
        <f>Orders!B1597</f>
        <v>45410</v>
      </c>
      <c r="C1597" t="str">
        <f>Orders!C1597</f>
        <v>CUST-0065</v>
      </c>
      <c r="D1597" t="str">
        <f>Orders!D1597</f>
        <v>PROD-014</v>
      </c>
      <c r="E1597" t="str">
        <f>Orders!E1597</f>
        <v>R028</v>
      </c>
      <c r="F1597">
        <f>Orders!F1597</f>
        <v>3</v>
      </c>
      <c r="G1597" s="35">
        <f>Orders!G1597</f>
        <v>3620</v>
      </c>
      <c r="H1597" s="37">
        <f>Orders!H1597</f>
        <v>13.5</v>
      </c>
      <c r="I1597" s="39">
        <f>Orders!I1597</f>
        <v>9393.9</v>
      </c>
      <c r="J1597" t="str">
        <f>Orders!J1597</f>
        <v>Completed</v>
      </c>
      <c r="K1597" t="str">
        <f>Orders!K1597</f>
        <v>Chennai</v>
      </c>
      <c r="L1597" t="str">
        <f>IFERROR(VLOOKUP(D1597,Products!$A$2:$F$61,3,FALSE),"")</f>
        <v>Apparel</v>
      </c>
      <c r="M1597">
        <f>IFERROR(VLOOKUP(D1597,Products!$A$2:$F$61,4,FALSE),"")</f>
        <v>2509</v>
      </c>
      <c r="N1597" t="str">
        <f>IFERROR(VLOOKUP(E1597,Sales_Reps!$A$2:$E$31,3,FALSE),"")</f>
        <v>West</v>
      </c>
      <c r="O1597" t="str">
        <f>IFERROR(VLOOKUP(C1597,Customers!$A$2:$F$301,5,FALSE),"")</f>
        <v>Corporate</v>
      </c>
      <c r="P1597">
        <f>IFERROR(VLOOKUP(C1597,Customers!$A$2:$F$301,3,FALSE),"")</f>
        <v>49</v>
      </c>
      <c r="Q1597" s="41">
        <f t="shared" si="33"/>
        <v>0.3069060773480663</v>
      </c>
      <c r="R1597" t="str">
        <f>IFERROR(VLOOKUP(C1597,Customers!$A$2:$F$301,1,FALSE),"")</f>
        <v>CUST-0065</v>
      </c>
      <c r="S1597" s="27" t="b">
        <f>IFERROR(VLOOKUP(D1597,Products!$A$2:$F$61,6,FALSE),"")</f>
        <v>1</v>
      </c>
      <c r="BL1597">
        <v>0</v>
      </c>
      <c r="BO1597">
        <v>0</v>
      </c>
      <c r="BP1597">
        <v>0</v>
      </c>
    </row>
    <row r="1598" spans="1:68" x14ac:dyDescent="0.35">
      <c r="A1598" s="26" t="str">
        <f>Orders!A1598</f>
        <v>ORD-01597</v>
      </c>
      <c r="B1598" s="33">
        <f>Orders!B1598</f>
        <v>45623</v>
      </c>
      <c r="C1598" t="str">
        <f>Orders!C1598</f>
        <v>CUST-0209</v>
      </c>
      <c r="D1598" t="str">
        <f>Orders!D1598</f>
        <v>PROD-054</v>
      </c>
      <c r="E1598" t="str">
        <f>Orders!E1598</f>
        <v>R001</v>
      </c>
      <c r="F1598">
        <f>Orders!F1598</f>
        <v>4</v>
      </c>
      <c r="G1598" s="35">
        <f>Orders!G1598</f>
        <v>1010</v>
      </c>
      <c r="H1598" s="37">
        <f>Orders!H1598</f>
        <v>3.3</v>
      </c>
      <c r="I1598" s="39">
        <f>Orders!I1598</f>
        <v>3906.68</v>
      </c>
      <c r="J1598" t="str">
        <f>Orders!J1598</f>
        <v>Completed</v>
      </c>
      <c r="K1598" t="str">
        <f>Orders!K1598</f>
        <v>Pune</v>
      </c>
      <c r="L1598" t="str">
        <f>IFERROR(VLOOKUP(D1598,Products!$A$2:$F$61,3,FALSE),"")</f>
        <v>Sports</v>
      </c>
      <c r="M1598">
        <f>IFERROR(VLOOKUP(D1598,Products!$A$2:$F$61,4,FALSE),"")</f>
        <v>516</v>
      </c>
      <c r="N1598" t="str">
        <f>IFERROR(VLOOKUP(E1598,Sales_Reps!$A$2:$E$31,3,FALSE),"")</f>
        <v>North</v>
      </c>
      <c r="O1598" t="str">
        <f>IFERROR(VLOOKUP(C1598,Customers!$A$2:$F$301,5,FALSE),"")</f>
        <v>Retail</v>
      </c>
      <c r="P1598">
        <f>IFERROR(VLOOKUP(C1598,Customers!$A$2:$F$301,3,FALSE),"")</f>
        <v>31</v>
      </c>
      <c r="Q1598" s="41">
        <f t="shared" si="33"/>
        <v>0.4891089108910891</v>
      </c>
      <c r="R1598" t="str">
        <f>IFERROR(VLOOKUP(C1598,Customers!$A$2:$F$301,1,FALSE),"")</f>
        <v>CUST-0209</v>
      </c>
      <c r="S1598" s="27" t="b">
        <f>IFERROR(VLOOKUP(D1598,Products!$A$2:$F$61,6,FALSE),"")</f>
        <v>1</v>
      </c>
      <c r="BL1598">
        <v>0</v>
      </c>
      <c r="BO1598">
        <v>0</v>
      </c>
      <c r="BP1598">
        <v>0</v>
      </c>
    </row>
    <row r="1599" spans="1:68" x14ac:dyDescent="0.35">
      <c r="A1599" s="26" t="str">
        <f>Orders!A1599</f>
        <v>ORD-01598</v>
      </c>
      <c r="B1599" s="33">
        <f>Orders!B1599</f>
        <v>45491</v>
      </c>
      <c r="C1599" t="str">
        <f>Orders!C1599</f>
        <v>CUST-0181</v>
      </c>
      <c r="D1599" t="str">
        <f>Orders!D1599</f>
        <v>PROD-030</v>
      </c>
      <c r="E1599" t="str">
        <f>Orders!E1599</f>
        <v>R005</v>
      </c>
      <c r="F1599">
        <f>Orders!F1599</f>
        <v>7</v>
      </c>
      <c r="G1599" s="35">
        <f>Orders!G1599</f>
        <v>970</v>
      </c>
      <c r="H1599" s="37">
        <f>Orders!H1599</f>
        <v>0.1</v>
      </c>
      <c r="I1599" s="39">
        <f>Orders!I1599</f>
        <v>6783.21</v>
      </c>
      <c r="J1599" t="str">
        <f>Orders!J1599</f>
        <v>Completed</v>
      </c>
      <c r="K1599" t="str">
        <f>Orders!K1599</f>
        <v>Delhi</v>
      </c>
      <c r="L1599" t="str">
        <f>IFERROR(VLOOKUP(D1599,Products!$A$2:$F$61,3,FALSE),"")</f>
        <v>Grocery</v>
      </c>
      <c r="M1599">
        <f>IFERROR(VLOOKUP(D1599,Products!$A$2:$F$61,4,FALSE),"")</f>
        <v>434</v>
      </c>
      <c r="N1599" t="str">
        <f>IFERROR(VLOOKUP(E1599,Sales_Reps!$A$2:$E$31,3,FALSE),"")</f>
        <v>North</v>
      </c>
      <c r="O1599" t="str">
        <f>IFERROR(VLOOKUP(C1599,Customers!$A$2:$F$301,5,FALSE),"")</f>
        <v>SMB</v>
      </c>
      <c r="P1599">
        <f>IFERROR(VLOOKUP(C1599,Customers!$A$2:$F$301,3,FALSE),"")</f>
        <v>38</v>
      </c>
      <c r="Q1599" s="41">
        <f t="shared" si="33"/>
        <v>0.5525773195876289</v>
      </c>
      <c r="R1599" t="str">
        <f>IFERROR(VLOOKUP(C1599,Customers!$A$2:$F$301,1,FALSE),"")</f>
        <v>CUST-0181</v>
      </c>
      <c r="S1599" s="27" t="b">
        <f>IFERROR(VLOOKUP(D1599,Products!$A$2:$F$61,6,FALSE),"")</f>
        <v>1</v>
      </c>
      <c r="BL1599">
        <v>0</v>
      </c>
      <c r="BO1599">
        <v>0</v>
      </c>
      <c r="BP1599">
        <v>0</v>
      </c>
    </row>
    <row r="1600" spans="1:68" x14ac:dyDescent="0.35">
      <c r="A1600" s="26" t="str">
        <f>Orders!A1600</f>
        <v>ORD-01599</v>
      </c>
      <c r="B1600" s="33">
        <f>Orders!B1600</f>
        <v>45571</v>
      </c>
      <c r="C1600" t="str">
        <f>Orders!C1600</f>
        <v>CUST-0007</v>
      </c>
      <c r="D1600" t="str">
        <f>Orders!D1600</f>
        <v>PROD-053</v>
      </c>
      <c r="E1600" t="str">
        <f>Orders!E1600</f>
        <v>R027</v>
      </c>
      <c r="F1600">
        <f>Orders!F1600</f>
        <v>5</v>
      </c>
      <c r="G1600" s="35">
        <f>Orders!G1600</f>
        <v>470</v>
      </c>
      <c r="H1600" s="37">
        <f>Orders!H1600</f>
        <v>18.3</v>
      </c>
      <c r="I1600" s="39">
        <f>Orders!I1600</f>
        <v>1919.95</v>
      </c>
      <c r="J1600" t="str">
        <f>Orders!J1600</f>
        <v>Refunded</v>
      </c>
      <c r="K1600" t="str">
        <f>Orders!K1600</f>
        <v>Bengaluru</v>
      </c>
      <c r="L1600" t="str">
        <f>IFERROR(VLOOKUP(D1600,Products!$A$2:$F$61,3,FALSE),"")</f>
        <v>Sports</v>
      </c>
      <c r="M1600">
        <f>IFERROR(VLOOKUP(D1600,Products!$A$2:$F$61,4,FALSE),"")</f>
        <v>302</v>
      </c>
      <c r="N1600" t="str">
        <f>IFERROR(VLOOKUP(E1600,Sales_Reps!$A$2:$E$31,3,FALSE),"")</f>
        <v>West</v>
      </c>
      <c r="O1600" t="str">
        <f>IFERROR(VLOOKUP(C1600,Customers!$A$2:$F$301,5,FALSE),"")</f>
        <v>Retail</v>
      </c>
      <c r="P1600">
        <f>IFERROR(VLOOKUP(C1600,Customers!$A$2:$F$301,3,FALSE),"")</f>
        <v>47</v>
      </c>
      <c r="Q1600" s="41">
        <f t="shared" si="33"/>
        <v>0.35744680851063831</v>
      </c>
      <c r="R1600" t="str">
        <f>IFERROR(VLOOKUP(C1600,Customers!$A$2:$F$301,1,FALSE),"")</f>
        <v>CUST-0007</v>
      </c>
      <c r="S1600" s="27" t="b">
        <f>IFERROR(VLOOKUP(D1600,Products!$A$2:$F$61,6,FALSE),"")</f>
        <v>0</v>
      </c>
      <c r="BL1600">
        <v>0</v>
      </c>
      <c r="BO1600">
        <v>0</v>
      </c>
      <c r="BP1600">
        <v>1</v>
      </c>
    </row>
    <row r="1601" spans="1:68" x14ac:dyDescent="0.35">
      <c r="A1601" s="26" t="str">
        <f>Orders!A1601</f>
        <v>ORD-01600</v>
      </c>
      <c r="B1601" s="33">
        <f>Orders!B1601</f>
        <v>45393</v>
      </c>
      <c r="C1601" t="str">
        <f>Orders!C1601</f>
        <v>CUST-0050</v>
      </c>
      <c r="D1601" t="str">
        <f>Orders!D1601</f>
        <v>PROD-011</v>
      </c>
      <c r="E1601" t="str">
        <f>Orders!E1601</f>
        <v>R010</v>
      </c>
      <c r="F1601">
        <f>Orders!F1601</f>
        <v>8</v>
      </c>
      <c r="G1601" s="35">
        <f>Orders!G1601</f>
        <v>3450</v>
      </c>
      <c r="H1601" s="37">
        <f>Orders!H1601</f>
        <v>5.0999999999999996</v>
      </c>
      <c r="I1601" s="39">
        <f>Orders!I1601</f>
        <v>26192.400000000001</v>
      </c>
      <c r="J1601" t="str">
        <f>Orders!J1601</f>
        <v>Refunded</v>
      </c>
      <c r="K1601" t="str">
        <f>Orders!K1601</f>
        <v>Mumbai</v>
      </c>
      <c r="L1601" t="str">
        <f>IFERROR(VLOOKUP(D1601,Products!$A$2:$F$61,3,FALSE),"")</f>
        <v>Apparel</v>
      </c>
      <c r="M1601">
        <f>IFERROR(VLOOKUP(D1601,Products!$A$2:$F$61,4,FALSE),"")</f>
        <v>1748</v>
      </c>
      <c r="N1601" t="str">
        <f>IFERROR(VLOOKUP(E1601,Sales_Reps!$A$2:$E$31,3,FALSE),"")</f>
        <v>South</v>
      </c>
      <c r="O1601" t="str">
        <f>IFERROR(VLOOKUP(C1601,Customers!$A$2:$F$301,5,FALSE),"")</f>
        <v>Retail</v>
      </c>
      <c r="P1601">
        <f>IFERROR(VLOOKUP(C1601,Customers!$A$2:$F$301,3,FALSE),"")</f>
        <v>37</v>
      </c>
      <c r="Q1601" s="41">
        <f t="shared" si="33"/>
        <v>0.49333333333333335</v>
      </c>
      <c r="R1601" t="str">
        <f>IFERROR(VLOOKUP(C1601,Customers!$A$2:$F$301,1,FALSE),"")</f>
        <v>CUST-0050</v>
      </c>
      <c r="S1601" s="27" t="b">
        <f>IFERROR(VLOOKUP(D1601,Products!$A$2:$F$61,6,FALSE),"")</f>
        <v>1</v>
      </c>
      <c r="BL1601">
        <v>0</v>
      </c>
      <c r="BO1601">
        <v>0</v>
      </c>
      <c r="BP1601">
        <v>0</v>
      </c>
    </row>
    <row r="1602" spans="1:68" x14ac:dyDescent="0.35">
      <c r="A1602" s="26" t="str">
        <f>Orders!A1602</f>
        <v>ORD-01601</v>
      </c>
      <c r="B1602" s="33">
        <f>Orders!B1602</f>
        <v>45465</v>
      </c>
      <c r="C1602" t="str">
        <f>Orders!C1602</f>
        <v>CUST-0155</v>
      </c>
      <c r="D1602" t="str">
        <f>Orders!D1602</f>
        <v>PROD-010</v>
      </c>
      <c r="E1602" t="str">
        <f>Orders!E1602</f>
        <v>R022</v>
      </c>
      <c r="F1602">
        <f>Orders!F1602</f>
        <v>1</v>
      </c>
      <c r="G1602" s="35">
        <f>Orders!G1602</f>
        <v>2640</v>
      </c>
      <c r="H1602" s="37">
        <f>Orders!H1602</f>
        <v>5.9</v>
      </c>
      <c r="I1602" s="39">
        <f>Orders!I1602</f>
        <v>2484.2399999999998</v>
      </c>
      <c r="J1602" t="str">
        <f>Orders!J1602</f>
        <v>Completed</v>
      </c>
      <c r="K1602" t="str">
        <f>Orders!K1602</f>
        <v>Pune</v>
      </c>
      <c r="L1602" t="str">
        <f>IFERROR(VLOOKUP(D1602,Products!$A$2:$F$61,3,FALSE),"")</f>
        <v>Electronics</v>
      </c>
      <c r="M1602">
        <f>IFERROR(VLOOKUP(D1602,Products!$A$2:$F$61,4,FALSE),"")</f>
        <v>1149</v>
      </c>
      <c r="N1602" t="str">
        <f>IFERROR(VLOOKUP(E1602,Sales_Reps!$A$2:$E$31,3,FALSE),"")</f>
        <v>East</v>
      </c>
      <c r="O1602" t="str">
        <f>IFERROR(VLOOKUP(C1602,Customers!$A$2:$F$301,5,FALSE),"")</f>
        <v>Corporate</v>
      </c>
      <c r="P1602">
        <f>IFERROR(VLOOKUP(C1602,Customers!$A$2:$F$301,3,FALSE),"")</f>
        <v>40</v>
      </c>
      <c r="Q1602" s="41">
        <f t="shared" ref="Q1602:Q1665" si="34">IFERROR((G1602-M1602)/G1602,0)</f>
        <v>0.56477272727272732</v>
      </c>
      <c r="R1602" t="str">
        <f>IFERROR(VLOOKUP(C1602,Customers!$A$2:$F$301,1,FALSE),"")</f>
        <v>CUST-0155</v>
      </c>
      <c r="S1602" s="27" t="b">
        <f>IFERROR(VLOOKUP(D1602,Products!$A$2:$F$61,6,FALSE),"")</f>
        <v>1</v>
      </c>
      <c r="BL1602">
        <v>0</v>
      </c>
      <c r="BO1602">
        <v>0</v>
      </c>
      <c r="BP1602">
        <v>0</v>
      </c>
    </row>
    <row r="1603" spans="1:68" x14ac:dyDescent="0.35">
      <c r="A1603" s="26" t="str">
        <f>Orders!A1603</f>
        <v>ORD-01602</v>
      </c>
      <c r="B1603" s="33">
        <f>Orders!B1603</f>
        <v>45354</v>
      </c>
      <c r="C1603" t="str">
        <f>Orders!C1603</f>
        <v>CUST-0085</v>
      </c>
      <c r="D1603" t="str">
        <f>Orders!D1603</f>
        <v>PROD-003</v>
      </c>
      <c r="E1603" t="str">
        <f>Orders!E1603</f>
        <v>R020</v>
      </c>
      <c r="F1603">
        <f>Orders!F1603</f>
        <v>10</v>
      </c>
      <c r="G1603" s="35">
        <f>Orders!G1603</f>
        <v>3570</v>
      </c>
      <c r="H1603" s="37">
        <f>Orders!H1603</f>
        <v>21.5</v>
      </c>
      <c r="I1603" s="39">
        <f>Orders!I1603</f>
        <v>28024.5</v>
      </c>
      <c r="J1603" t="str">
        <f>Orders!J1603</f>
        <v>Completed</v>
      </c>
      <c r="K1603" t="str">
        <f>Orders!K1603</f>
        <v>Chennai</v>
      </c>
      <c r="L1603" t="str">
        <f>IFERROR(VLOOKUP(D1603,Products!$A$2:$F$61,3,FALSE),"")</f>
        <v>Electronics</v>
      </c>
      <c r="M1603">
        <f>IFERROR(VLOOKUP(D1603,Products!$A$2:$F$61,4,FALSE),"")</f>
        <v>1665</v>
      </c>
      <c r="N1603" t="str">
        <f>IFERROR(VLOOKUP(E1603,Sales_Reps!$A$2:$E$31,3,FALSE),"")</f>
        <v>East</v>
      </c>
      <c r="O1603" t="str">
        <f>IFERROR(VLOOKUP(C1603,Customers!$A$2:$F$301,5,FALSE),"")</f>
        <v>Retail</v>
      </c>
      <c r="P1603">
        <f>IFERROR(VLOOKUP(C1603,Customers!$A$2:$F$301,3,FALSE),"")</f>
        <v>26</v>
      </c>
      <c r="Q1603" s="41">
        <f t="shared" si="34"/>
        <v>0.53361344537815125</v>
      </c>
      <c r="R1603" t="str">
        <f>IFERROR(VLOOKUP(C1603,Customers!$A$2:$F$301,1,FALSE),"")</f>
        <v>CUST-0085</v>
      </c>
      <c r="S1603" s="27" t="b">
        <f>IFERROR(VLOOKUP(D1603,Products!$A$2:$F$61,6,FALSE),"")</f>
        <v>1</v>
      </c>
      <c r="BL1603">
        <v>0</v>
      </c>
      <c r="BO1603">
        <v>0</v>
      </c>
      <c r="BP1603">
        <v>0</v>
      </c>
    </row>
    <row r="1604" spans="1:68" x14ac:dyDescent="0.35">
      <c r="A1604" s="26" t="str">
        <f>Orders!A1604</f>
        <v>ORD-01603</v>
      </c>
      <c r="B1604" s="33">
        <f>Orders!B1604</f>
        <v>45581</v>
      </c>
      <c r="C1604" t="str">
        <f>Orders!C1604</f>
        <v>CUST-0285</v>
      </c>
      <c r="D1604" t="str">
        <f>Orders!D1604</f>
        <v>PROD-007</v>
      </c>
      <c r="E1604" t="str">
        <f>Orders!E1604</f>
        <v>R016</v>
      </c>
      <c r="F1604">
        <f>Orders!F1604</f>
        <v>10</v>
      </c>
      <c r="G1604" s="35">
        <f>Orders!G1604</f>
        <v>1430</v>
      </c>
      <c r="H1604" s="37">
        <f>Orders!H1604</f>
        <v>11.4</v>
      </c>
      <c r="I1604" s="39">
        <f>Orders!I1604</f>
        <v>12669.8</v>
      </c>
      <c r="J1604" t="str">
        <f>Orders!J1604</f>
        <v>Cancelled</v>
      </c>
      <c r="K1604" t="str">
        <f>Orders!K1604</f>
        <v>Hyderabad</v>
      </c>
      <c r="L1604" t="str">
        <f>IFERROR(VLOOKUP(D1604,Products!$A$2:$F$61,3,FALSE),"")</f>
        <v>Electronics</v>
      </c>
      <c r="M1604">
        <f>IFERROR(VLOOKUP(D1604,Products!$A$2:$F$61,4,FALSE),"")</f>
        <v>861</v>
      </c>
      <c r="N1604" t="str">
        <f>IFERROR(VLOOKUP(E1604,Sales_Reps!$A$2:$E$31,3,FALSE),"")</f>
        <v>South</v>
      </c>
      <c r="O1604" t="str">
        <f>IFERROR(VLOOKUP(C1604,Customers!$A$2:$F$301,5,FALSE),"")</f>
        <v>Retail</v>
      </c>
      <c r="P1604">
        <f>IFERROR(VLOOKUP(C1604,Customers!$A$2:$F$301,3,FALSE),"")</f>
        <v>22</v>
      </c>
      <c r="Q1604" s="41">
        <f t="shared" si="34"/>
        <v>0.39790209790209791</v>
      </c>
      <c r="R1604" t="str">
        <f>IFERROR(VLOOKUP(C1604,Customers!$A$2:$F$301,1,FALSE),"")</f>
        <v>CUST-0285</v>
      </c>
      <c r="S1604" s="27" t="b">
        <f>IFERROR(VLOOKUP(D1604,Products!$A$2:$F$61,6,FALSE),"")</f>
        <v>1</v>
      </c>
      <c r="BL1604">
        <v>0</v>
      </c>
      <c r="BO1604">
        <v>0</v>
      </c>
      <c r="BP1604">
        <v>0</v>
      </c>
    </row>
    <row r="1605" spans="1:68" x14ac:dyDescent="0.35">
      <c r="A1605" s="26" t="str">
        <f>Orders!A1605</f>
        <v>ORD-01604</v>
      </c>
      <c r="B1605" s="33">
        <f>Orders!B1605</f>
        <v>45643</v>
      </c>
      <c r="C1605" t="str">
        <f>Orders!C1605</f>
        <v>CUST-0148</v>
      </c>
      <c r="D1605" t="str">
        <f>Orders!D1605</f>
        <v>PROD-057</v>
      </c>
      <c r="E1605" t="str">
        <f>Orders!E1605</f>
        <v>R013</v>
      </c>
      <c r="F1605">
        <f>Orders!F1605</f>
        <v>7</v>
      </c>
      <c r="G1605" s="35">
        <f>Orders!G1605</f>
        <v>960</v>
      </c>
      <c r="H1605" s="37">
        <f>Orders!H1605</f>
        <v>22.9</v>
      </c>
      <c r="I1605" s="39">
        <f>Orders!I1605</f>
        <v>5181.12</v>
      </c>
      <c r="J1605" t="str">
        <f>Orders!J1605</f>
        <v>Completed</v>
      </c>
      <c r="K1605" t="str">
        <f>Orders!K1605</f>
        <v>Chennai</v>
      </c>
      <c r="L1605" t="str">
        <f>IFERROR(VLOOKUP(D1605,Products!$A$2:$F$61,3,FALSE),"")</f>
        <v>Sports</v>
      </c>
      <c r="M1605">
        <f>IFERROR(VLOOKUP(D1605,Products!$A$2:$F$61,4,FALSE),"")</f>
        <v>705</v>
      </c>
      <c r="N1605" t="str">
        <f>IFERROR(VLOOKUP(E1605,Sales_Reps!$A$2:$E$31,3,FALSE),"")</f>
        <v>South</v>
      </c>
      <c r="O1605" t="str">
        <f>IFERROR(VLOOKUP(C1605,Customers!$A$2:$F$301,5,FALSE),"")</f>
        <v>Retail</v>
      </c>
      <c r="P1605">
        <f>IFERROR(VLOOKUP(C1605,Customers!$A$2:$F$301,3,FALSE),"")</f>
        <v>32</v>
      </c>
      <c r="Q1605" s="41">
        <f t="shared" si="34"/>
        <v>0.265625</v>
      </c>
      <c r="R1605" t="str">
        <f>IFERROR(VLOOKUP(C1605,Customers!$A$2:$F$301,1,FALSE),"")</f>
        <v>CUST-0148</v>
      </c>
      <c r="S1605" s="27" t="b">
        <f>IFERROR(VLOOKUP(D1605,Products!$A$2:$F$61,6,FALSE),"")</f>
        <v>1</v>
      </c>
      <c r="BL1605">
        <v>0</v>
      </c>
      <c r="BO1605">
        <v>0</v>
      </c>
      <c r="BP1605">
        <v>0</v>
      </c>
    </row>
    <row r="1606" spans="1:68" x14ac:dyDescent="0.35">
      <c r="A1606" s="26" t="str">
        <f>Orders!A1606</f>
        <v>ORD-01605</v>
      </c>
      <c r="B1606" s="33">
        <f>Orders!B1606</f>
        <v>45606</v>
      </c>
      <c r="C1606" t="str">
        <f>Orders!C1606</f>
        <v>CUST-0252</v>
      </c>
      <c r="D1606" t="str">
        <f>Orders!D1606</f>
        <v>PROD-036</v>
      </c>
      <c r="E1606" t="str">
        <f>Orders!E1606</f>
        <v>R010</v>
      </c>
      <c r="F1606">
        <f>Orders!F1606</f>
        <v>8</v>
      </c>
      <c r="G1606" s="35">
        <f>Orders!G1606</f>
        <v>3250</v>
      </c>
      <c r="H1606" s="37">
        <f>Orders!H1606</f>
        <v>1.9</v>
      </c>
      <c r="I1606" s="39">
        <f>Orders!I1606</f>
        <v>25506</v>
      </c>
      <c r="J1606" t="str">
        <f>Orders!J1606</f>
        <v>Completed</v>
      </c>
      <c r="K1606" t="str">
        <f>Orders!K1606</f>
        <v>Bengaluru</v>
      </c>
      <c r="L1606" t="str">
        <f>IFERROR(VLOOKUP(D1606,Products!$A$2:$F$61,3,FALSE),"")</f>
        <v>Home</v>
      </c>
      <c r="M1606">
        <f>IFERROR(VLOOKUP(D1606,Products!$A$2:$F$61,4,FALSE),"")</f>
        <v>1556</v>
      </c>
      <c r="N1606" t="str">
        <f>IFERROR(VLOOKUP(E1606,Sales_Reps!$A$2:$E$31,3,FALSE),"")</f>
        <v>South</v>
      </c>
      <c r="O1606" t="str">
        <f>IFERROR(VLOOKUP(C1606,Customers!$A$2:$F$301,5,FALSE),"")</f>
        <v>Retail</v>
      </c>
      <c r="P1606">
        <f>IFERROR(VLOOKUP(C1606,Customers!$A$2:$F$301,3,FALSE),"")</f>
        <v>27</v>
      </c>
      <c r="Q1606" s="41">
        <f t="shared" si="34"/>
        <v>0.52123076923076928</v>
      </c>
      <c r="R1606" t="str">
        <f>IFERROR(VLOOKUP(C1606,Customers!$A$2:$F$301,1,FALSE),"")</f>
        <v>CUST-0252</v>
      </c>
      <c r="S1606" s="27" t="b">
        <f>IFERROR(VLOOKUP(D1606,Products!$A$2:$F$61,6,FALSE),"")</f>
        <v>1</v>
      </c>
      <c r="BL1606">
        <v>0</v>
      </c>
      <c r="BO1606">
        <v>0</v>
      </c>
      <c r="BP1606">
        <v>0</v>
      </c>
    </row>
    <row r="1607" spans="1:68" x14ac:dyDescent="0.35">
      <c r="A1607" s="26" t="str">
        <f>Orders!A1607</f>
        <v>ORD-01606</v>
      </c>
      <c r="B1607" s="33">
        <f>Orders!B1607</f>
        <v>45356</v>
      </c>
      <c r="C1607" t="str">
        <f>Orders!C1607</f>
        <v>CUST-0141</v>
      </c>
      <c r="D1607" t="str">
        <f>Orders!D1607</f>
        <v>PROD-051</v>
      </c>
      <c r="E1607" t="str">
        <f>Orders!E1607</f>
        <v>R018</v>
      </c>
      <c r="F1607">
        <f>Orders!F1607</f>
        <v>9</v>
      </c>
      <c r="G1607" s="35">
        <f>Orders!G1607</f>
        <v>3450</v>
      </c>
      <c r="H1607" s="37">
        <f>Orders!H1607</f>
        <v>18</v>
      </c>
      <c r="I1607" s="39">
        <f>Orders!I1607</f>
        <v>25461</v>
      </c>
      <c r="J1607" t="str">
        <f>Orders!J1607</f>
        <v>Completed</v>
      </c>
      <c r="K1607" t="str">
        <f>Orders!K1607</f>
        <v>Hyderabad</v>
      </c>
      <c r="L1607" t="str">
        <f>IFERROR(VLOOKUP(D1607,Products!$A$2:$F$61,3,FALSE),"")</f>
        <v>Sports</v>
      </c>
      <c r="M1607">
        <f>IFERROR(VLOOKUP(D1607,Products!$A$2:$F$61,4,FALSE),"")</f>
        <v>2467</v>
      </c>
      <c r="N1607" t="str">
        <f>IFERROR(VLOOKUP(E1607,Sales_Reps!$A$2:$E$31,3,FALSE),"")</f>
        <v>East</v>
      </c>
      <c r="O1607" t="str">
        <f>IFERROR(VLOOKUP(C1607,Customers!$A$2:$F$301,5,FALSE),"")</f>
        <v>Corporate</v>
      </c>
      <c r="P1607">
        <f>IFERROR(VLOOKUP(C1607,Customers!$A$2:$F$301,3,FALSE),"")</f>
        <v>22</v>
      </c>
      <c r="Q1607" s="41">
        <f t="shared" si="34"/>
        <v>0.28492753623188405</v>
      </c>
      <c r="R1607" t="str">
        <f>IFERROR(VLOOKUP(C1607,Customers!$A$2:$F$301,1,FALSE),"")</f>
        <v>CUST-0141</v>
      </c>
      <c r="S1607" s="27" t="b">
        <f>IFERROR(VLOOKUP(D1607,Products!$A$2:$F$61,6,FALSE),"")</f>
        <v>1</v>
      </c>
      <c r="BL1607">
        <v>0</v>
      </c>
      <c r="BO1607">
        <v>0</v>
      </c>
      <c r="BP1607">
        <v>0</v>
      </c>
    </row>
    <row r="1608" spans="1:68" x14ac:dyDescent="0.35">
      <c r="A1608" s="26" t="str">
        <f>Orders!A1608</f>
        <v>ORD-01607</v>
      </c>
      <c r="B1608" s="33">
        <f>Orders!B1608</f>
        <v>45343</v>
      </c>
      <c r="C1608" t="str">
        <f>Orders!C1608</f>
        <v>CUST-0101</v>
      </c>
      <c r="D1608" t="str">
        <f>Orders!D1608</f>
        <v>PROD-024</v>
      </c>
      <c r="E1608" t="str">
        <f>Orders!E1608</f>
        <v>R016</v>
      </c>
      <c r="F1608">
        <f>Orders!F1608</f>
        <v>5</v>
      </c>
      <c r="G1608" s="35">
        <f>Orders!G1608</f>
        <v>2270</v>
      </c>
      <c r="H1608" s="37">
        <f>Orders!H1608</f>
        <v>11.5</v>
      </c>
      <c r="I1608" s="39">
        <f>Orders!I1608</f>
        <v>10044.75</v>
      </c>
      <c r="J1608" t="str">
        <f>Orders!J1608</f>
        <v>Completed</v>
      </c>
      <c r="K1608" t="str">
        <f>Orders!K1608</f>
        <v>Hyderabad</v>
      </c>
      <c r="L1608" t="str">
        <f>IFERROR(VLOOKUP(D1608,Products!$A$2:$F$61,3,FALSE),"")</f>
        <v>Grocery</v>
      </c>
      <c r="M1608">
        <f>IFERROR(VLOOKUP(D1608,Products!$A$2:$F$61,4,FALSE),"")</f>
        <v>1203</v>
      </c>
      <c r="N1608" t="str">
        <f>IFERROR(VLOOKUP(E1608,Sales_Reps!$A$2:$E$31,3,FALSE),"")</f>
        <v>South</v>
      </c>
      <c r="O1608" t="str">
        <f>IFERROR(VLOOKUP(C1608,Customers!$A$2:$F$301,5,FALSE),"")</f>
        <v>SMB</v>
      </c>
      <c r="P1608">
        <f>IFERROR(VLOOKUP(C1608,Customers!$A$2:$F$301,3,FALSE),"")</f>
        <v>40</v>
      </c>
      <c r="Q1608" s="41">
        <f t="shared" si="34"/>
        <v>0.47004405286343615</v>
      </c>
      <c r="R1608" t="str">
        <f>IFERROR(VLOOKUP(C1608,Customers!$A$2:$F$301,1,FALSE),"")</f>
        <v>CUST-0101</v>
      </c>
      <c r="S1608" s="27" t="b">
        <f>IFERROR(VLOOKUP(D1608,Products!$A$2:$F$61,6,FALSE),"")</f>
        <v>1</v>
      </c>
      <c r="BL1608">
        <v>0</v>
      </c>
      <c r="BO1608">
        <v>0</v>
      </c>
      <c r="BP1608">
        <v>0</v>
      </c>
    </row>
    <row r="1609" spans="1:68" x14ac:dyDescent="0.35">
      <c r="A1609" s="26" t="str">
        <f>Orders!A1609</f>
        <v>ORD-01608</v>
      </c>
      <c r="B1609" s="33">
        <f>Orders!B1609</f>
        <v>45449</v>
      </c>
      <c r="C1609" t="str">
        <f>Orders!C1609</f>
        <v>CUST-0223</v>
      </c>
      <c r="D1609" t="str">
        <f>Orders!D1609</f>
        <v>PROD-045</v>
      </c>
      <c r="E1609" t="str">
        <f>Orders!E1609</f>
        <v>R019</v>
      </c>
      <c r="F1609">
        <f>Orders!F1609</f>
        <v>6</v>
      </c>
      <c r="G1609" s="35">
        <f>Orders!G1609</f>
        <v>3020</v>
      </c>
      <c r="H1609" s="37">
        <f>Orders!H1609</f>
        <v>12.6</v>
      </c>
      <c r="I1609" s="39">
        <f>Orders!I1609</f>
        <v>15836.88</v>
      </c>
      <c r="J1609" t="str">
        <f>Orders!J1609</f>
        <v>Completed</v>
      </c>
      <c r="K1609" t="str">
        <f>Orders!K1609</f>
        <v>Bengaluru</v>
      </c>
      <c r="L1609" t="str">
        <f>IFERROR(VLOOKUP(D1609,Products!$A$2:$F$61,3,FALSE),"")</f>
        <v>Beauty</v>
      </c>
      <c r="M1609">
        <f>IFERROR(VLOOKUP(D1609,Products!$A$2:$F$61,4,FALSE),"")</f>
        <v>1626</v>
      </c>
      <c r="N1609" t="str">
        <f>IFERROR(VLOOKUP(E1609,Sales_Reps!$A$2:$E$31,3,FALSE),"")</f>
        <v>East</v>
      </c>
      <c r="O1609" t="str">
        <f>IFERROR(VLOOKUP(C1609,Customers!$A$2:$F$301,5,FALSE),"")</f>
        <v>Retail</v>
      </c>
      <c r="P1609">
        <f>IFERROR(VLOOKUP(C1609,Customers!$A$2:$F$301,3,FALSE),"")</f>
        <v>46</v>
      </c>
      <c r="Q1609" s="41">
        <f t="shared" si="34"/>
        <v>0.46158940397350995</v>
      </c>
      <c r="R1609" t="str">
        <f>IFERROR(VLOOKUP(C1609,Customers!$A$2:$F$301,1,FALSE),"")</f>
        <v>CUST-0223</v>
      </c>
      <c r="S1609" s="27" t="b">
        <f>IFERROR(VLOOKUP(D1609,Products!$A$2:$F$61,6,FALSE),"")</f>
        <v>1</v>
      </c>
      <c r="BL1609">
        <v>0</v>
      </c>
      <c r="BO1609">
        <v>0</v>
      </c>
      <c r="BP1609">
        <v>0</v>
      </c>
    </row>
    <row r="1610" spans="1:68" x14ac:dyDescent="0.35">
      <c r="A1610" s="26" t="str">
        <f>Orders!A1610</f>
        <v>ORD-01609</v>
      </c>
      <c r="B1610" s="33">
        <f>Orders!B1610</f>
        <v>45317</v>
      </c>
      <c r="C1610" t="str">
        <f>Orders!C1610</f>
        <v>CUST-0197</v>
      </c>
      <c r="D1610" t="str">
        <f>Orders!D1610</f>
        <v>PROD-010</v>
      </c>
      <c r="E1610" t="str">
        <f>Orders!E1610</f>
        <v>R008</v>
      </c>
      <c r="F1610">
        <f>Orders!F1610</f>
        <v>8</v>
      </c>
      <c r="G1610" s="35">
        <f>Orders!G1610</f>
        <v>2640</v>
      </c>
      <c r="H1610" s="37">
        <f>Orders!H1610</f>
        <v>14.5</v>
      </c>
      <c r="I1610" s="39">
        <f>Orders!I1610</f>
        <v>18057.599999999999</v>
      </c>
      <c r="J1610" t="str">
        <f>Orders!J1610</f>
        <v>Refunded</v>
      </c>
      <c r="K1610" t="str">
        <f>Orders!K1610</f>
        <v>Bengaluru</v>
      </c>
      <c r="L1610" t="str">
        <f>IFERROR(VLOOKUP(D1610,Products!$A$2:$F$61,3,FALSE),"")</f>
        <v>Electronics</v>
      </c>
      <c r="M1610">
        <f>IFERROR(VLOOKUP(D1610,Products!$A$2:$F$61,4,FALSE),"")</f>
        <v>1149</v>
      </c>
      <c r="N1610" t="str">
        <f>IFERROR(VLOOKUP(E1610,Sales_Reps!$A$2:$E$31,3,FALSE),"")</f>
        <v>North</v>
      </c>
      <c r="O1610" t="str">
        <f>IFERROR(VLOOKUP(C1610,Customers!$A$2:$F$301,5,FALSE),"")</f>
        <v>Retail</v>
      </c>
      <c r="P1610">
        <f>IFERROR(VLOOKUP(C1610,Customers!$A$2:$F$301,3,FALSE),"")</f>
        <v>55</v>
      </c>
      <c r="Q1610" s="41">
        <f t="shared" si="34"/>
        <v>0.56477272727272732</v>
      </c>
      <c r="R1610" t="str">
        <f>IFERROR(VLOOKUP(C1610,Customers!$A$2:$F$301,1,FALSE),"")</f>
        <v>CUST-0197</v>
      </c>
      <c r="S1610" s="27" t="b">
        <f>IFERROR(VLOOKUP(D1610,Products!$A$2:$F$61,6,FALSE),"")</f>
        <v>1</v>
      </c>
      <c r="BL1610">
        <v>0</v>
      </c>
      <c r="BO1610">
        <v>0</v>
      </c>
      <c r="BP1610">
        <v>0</v>
      </c>
    </row>
    <row r="1611" spans="1:68" x14ac:dyDescent="0.35">
      <c r="A1611" s="26" t="str">
        <f>Orders!A1611</f>
        <v>ORD-01610</v>
      </c>
      <c r="B1611" s="33">
        <f>Orders!B1611</f>
        <v>45561</v>
      </c>
      <c r="C1611" t="str">
        <f>Orders!C1611</f>
        <v>CUST-0260</v>
      </c>
      <c r="D1611" t="str">
        <f>Orders!D1611</f>
        <v>PROD-024</v>
      </c>
      <c r="E1611" t="str">
        <f>Orders!E1611</f>
        <v>R027</v>
      </c>
      <c r="F1611">
        <f>Orders!F1611</f>
        <v>2</v>
      </c>
      <c r="G1611" s="35">
        <f>Orders!G1611</f>
        <v>2270</v>
      </c>
      <c r="H1611" s="37">
        <f>Orders!H1611</f>
        <v>27</v>
      </c>
      <c r="I1611" s="39">
        <f>Orders!I1611</f>
        <v>3314.2</v>
      </c>
      <c r="J1611" t="str">
        <f>Orders!J1611</f>
        <v>Completed</v>
      </c>
      <c r="K1611" t="str">
        <f>Orders!K1611</f>
        <v>Bengaluru</v>
      </c>
      <c r="L1611" t="str">
        <f>IFERROR(VLOOKUP(D1611,Products!$A$2:$F$61,3,FALSE),"")</f>
        <v>Grocery</v>
      </c>
      <c r="M1611">
        <f>IFERROR(VLOOKUP(D1611,Products!$A$2:$F$61,4,FALSE),"")</f>
        <v>1203</v>
      </c>
      <c r="N1611" t="str">
        <f>IFERROR(VLOOKUP(E1611,Sales_Reps!$A$2:$E$31,3,FALSE),"")</f>
        <v>West</v>
      </c>
      <c r="O1611" t="str">
        <f>IFERROR(VLOOKUP(C1611,Customers!$A$2:$F$301,5,FALSE),"")</f>
        <v>Retail</v>
      </c>
      <c r="P1611">
        <f>IFERROR(VLOOKUP(C1611,Customers!$A$2:$F$301,3,FALSE),"")</f>
        <v>42</v>
      </c>
      <c r="Q1611" s="41">
        <f t="shared" si="34"/>
        <v>0.47004405286343615</v>
      </c>
      <c r="R1611" t="str">
        <f>IFERROR(VLOOKUP(C1611,Customers!$A$2:$F$301,1,FALSE),"")</f>
        <v>CUST-0260</v>
      </c>
      <c r="S1611" s="27" t="b">
        <f>IFERROR(VLOOKUP(D1611,Products!$A$2:$F$61,6,FALSE),"")</f>
        <v>1</v>
      </c>
      <c r="BL1611">
        <v>0</v>
      </c>
      <c r="BO1611">
        <v>0</v>
      </c>
      <c r="BP1611">
        <v>0</v>
      </c>
    </row>
    <row r="1612" spans="1:68" x14ac:dyDescent="0.35">
      <c r="A1612" s="26" t="str">
        <f>Orders!A1612</f>
        <v>ORD-01611</v>
      </c>
      <c r="B1612" s="33">
        <f>Orders!B1612</f>
        <v>45636</v>
      </c>
      <c r="C1612" t="str">
        <f>Orders!C1612</f>
        <v>CUST-0180</v>
      </c>
      <c r="D1612" t="str">
        <f>Orders!D1612</f>
        <v>PROD-021</v>
      </c>
      <c r="E1612" t="str">
        <f>Orders!E1612</f>
        <v>R027</v>
      </c>
      <c r="F1612">
        <f>Orders!F1612</f>
        <v>8</v>
      </c>
      <c r="G1612" s="35">
        <f>Orders!G1612</f>
        <v>2760</v>
      </c>
      <c r="H1612" s="37">
        <f>Orders!H1612</f>
        <v>18</v>
      </c>
      <c r="I1612" s="39">
        <f>Orders!I1612</f>
        <v>18105.599999999999</v>
      </c>
      <c r="J1612" t="str">
        <f>Orders!J1612</f>
        <v>Cancelled</v>
      </c>
      <c r="K1612" t="str">
        <f>Orders!K1612</f>
        <v>Chennai</v>
      </c>
      <c r="L1612" t="str">
        <f>IFERROR(VLOOKUP(D1612,Products!$A$2:$F$61,3,FALSE),"")</f>
        <v>Grocery</v>
      </c>
      <c r="M1612">
        <f>IFERROR(VLOOKUP(D1612,Products!$A$2:$F$61,4,FALSE),"")</f>
        <v>1435</v>
      </c>
      <c r="N1612" t="str">
        <f>IFERROR(VLOOKUP(E1612,Sales_Reps!$A$2:$E$31,3,FALSE),"")</f>
        <v>West</v>
      </c>
      <c r="O1612" t="str">
        <f>IFERROR(VLOOKUP(C1612,Customers!$A$2:$F$301,5,FALSE),"")</f>
        <v>Retail</v>
      </c>
      <c r="P1612">
        <f>IFERROR(VLOOKUP(C1612,Customers!$A$2:$F$301,3,FALSE),"")</f>
        <v>36</v>
      </c>
      <c r="Q1612" s="41">
        <f t="shared" si="34"/>
        <v>0.48007246376811596</v>
      </c>
      <c r="R1612" t="str">
        <f>IFERROR(VLOOKUP(C1612,Customers!$A$2:$F$301,1,FALSE),"")</f>
        <v>CUST-0180</v>
      </c>
      <c r="S1612" s="27" t="b">
        <f>IFERROR(VLOOKUP(D1612,Products!$A$2:$F$61,6,FALSE),"")</f>
        <v>1</v>
      </c>
      <c r="BL1612">
        <v>0</v>
      </c>
      <c r="BO1612">
        <v>0</v>
      </c>
      <c r="BP1612">
        <v>0</v>
      </c>
    </row>
    <row r="1613" spans="1:68" x14ac:dyDescent="0.35">
      <c r="A1613" s="26" t="str">
        <f>Orders!A1613</f>
        <v>ORD-01612</v>
      </c>
      <c r="B1613" s="33">
        <f>Orders!B1613</f>
        <v>45398</v>
      </c>
      <c r="C1613" t="str">
        <f>Orders!C1613</f>
        <v>CUST-0166</v>
      </c>
      <c r="D1613" t="str">
        <f>Orders!D1613</f>
        <v>PROD-014</v>
      </c>
      <c r="E1613" t="str">
        <f>Orders!E1613</f>
        <v>R023</v>
      </c>
      <c r="F1613">
        <f>Orders!F1613</f>
        <v>8</v>
      </c>
      <c r="G1613" s="35">
        <f>Orders!G1613</f>
        <v>3620</v>
      </c>
      <c r="H1613" s="37">
        <f>Orders!H1613</f>
        <v>7.1</v>
      </c>
      <c r="I1613" s="39">
        <f>Orders!I1613</f>
        <v>26903.84</v>
      </c>
      <c r="J1613" t="str">
        <f>Orders!J1613</f>
        <v>Completed</v>
      </c>
      <c r="K1613" t="str">
        <f>Orders!K1613</f>
        <v>Hyderabad</v>
      </c>
      <c r="L1613" t="str">
        <f>IFERROR(VLOOKUP(D1613,Products!$A$2:$F$61,3,FALSE),"")</f>
        <v>Apparel</v>
      </c>
      <c r="M1613">
        <f>IFERROR(VLOOKUP(D1613,Products!$A$2:$F$61,4,FALSE),"")</f>
        <v>2509</v>
      </c>
      <c r="N1613" t="str">
        <f>IFERROR(VLOOKUP(E1613,Sales_Reps!$A$2:$E$31,3,FALSE),"")</f>
        <v>East</v>
      </c>
      <c r="O1613" t="str">
        <f>IFERROR(VLOOKUP(C1613,Customers!$A$2:$F$301,5,FALSE),"")</f>
        <v>Retail</v>
      </c>
      <c r="P1613">
        <f>IFERROR(VLOOKUP(C1613,Customers!$A$2:$F$301,3,FALSE),"")</f>
        <v>31</v>
      </c>
      <c r="Q1613" s="41">
        <f t="shared" si="34"/>
        <v>0.3069060773480663</v>
      </c>
      <c r="R1613" t="str">
        <f>IFERROR(VLOOKUP(C1613,Customers!$A$2:$F$301,1,FALSE),"")</f>
        <v>CUST-0166</v>
      </c>
      <c r="S1613" s="27" t="b">
        <f>IFERROR(VLOOKUP(D1613,Products!$A$2:$F$61,6,FALSE),"")</f>
        <v>1</v>
      </c>
      <c r="BL1613">
        <v>0</v>
      </c>
      <c r="BO1613">
        <v>0</v>
      </c>
      <c r="BP1613">
        <v>0</v>
      </c>
    </row>
    <row r="1614" spans="1:68" x14ac:dyDescent="0.35">
      <c r="A1614" s="26" t="str">
        <f>Orders!A1614</f>
        <v>ORD-01613</v>
      </c>
      <c r="B1614" s="33">
        <f>Orders!B1614</f>
        <v>45477</v>
      </c>
      <c r="C1614" t="str">
        <f>Orders!C1614</f>
        <v>CUST-0062</v>
      </c>
      <c r="D1614" t="str">
        <f>Orders!D1614</f>
        <v>PROD-042</v>
      </c>
      <c r="E1614" t="str">
        <f>Orders!E1614</f>
        <v>R021</v>
      </c>
      <c r="F1614">
        <f>Orders!F1614</f>
        <v>8</v>
      </c>
      <c r="G1614" s="35">
        <f>Orders!G1614</f>
        <v>2290</v>
      </c>
      <c r="H1614" s="37">
        <f>Orders!H1614</f>
        <v>16.399999999999999</v>
      </c>
      <c r="I1614" s="39">
        <f>Orders!I1614</f>
        <v>15315.52</v>
      </c>
      <c r="J1614" t="str">
        <f>Orders!J1614</f>
        <v>Completed</v>
      </c>
      <c r="K1614" t="str">
        <f>Orders!K1614</f>
        <v>Pune</v>
      </c>
      <c r="L1614" t="str">
        <f>IFERROR(VLOOKUP(D1614,Products!$A$2:$F$61,3,FALSE),"")</f>
        <v>Beauty</v>
      </c>
      <c r="M1614">
        <f>IFERROR(VLOOKUP(D1614,Products!$A$2:$F$61,4,FALSE),"")</f>
        <v>1219</v>
      </c>
      <c r="N1614" t="str">
        <f>IFERROR(VLOOKUP(E1614,Sales_Reps!$A$2:$E$31,3,FALSE),"")</f>
        <v>East</v>
      </c>
      <c r="O1614" t="str">
        <f>IFERROR(VLOOKUP(C1614,Customers!$A$2:$F$301,5,FALSE),"")</f>
        <v>Retail</v>
      </c>
      <c r="P1614">
        <f>IFERROR(VLOOKUP(C1614,Customers!$A$2:$F$301,3,FALSE),"")</f>
        <v>54</v>
      </c>
      <c r="Q1614" s="41">
        <f t="shared" si="34"/>
        <v>0.46768558951965067</v>
      </c>
      <c r="R1614" t="str">
        <f>IFERROR(VLOOKUP(C1614,Customers!$A$2:$F$301,1,FALSE),"")</f>
        <v>CUST-0062</v>
      </c>
      <c r="S1614" s="27" t="b">
        <f>IFERROR(VLOOKUP(D1614,Products!$A$2:$F$61,6,FALSE),"")</f>
        <v>1</v>
      </c>
      <c r="BL1614">
        <v>0</v>
      </c>
      <c r="BO1614">
        <v>0</v>
      </c>
      <c r="BP1614">
        <v>0</v>
      </c>
    </row>
    <row r="1615" spans="1:68" x14ac:dyDescent="0.35">
      <c r="A1615" s="26" t="str">
        <f>Orders!A1615</f>
        <v>ORD-01614</v>
      </c>
      <c r="B1615" s="33">
        <f>Orders!B1615</f>
        <v>45462</v>
      </c>
      <c r="C1615" t="str">
        <f>Orders!C1615</f>
        <v>CUST-0130</v>
      </c>
      <c r="D1615" t="str">
        <f>Orders!D1615</f>
        <v>PROD-044</v>
      </c>
      <c r="E1615" t="str">
        <f>Orders!E1615</f>
        <v>R019</v>
      </c>
      <c r="F1615">
        <f>Orders!F1615</f>
        <v>3</v>
      </c>
      <c r="G1615" s="35">
        <f>Orders!G1615</f>
        <v>1650</v>
      </c>
      <c r="H1615" s="37">
        <f>Orders!H1615</f>
        <v>1.8</v>
      </c>
      <c r="I1615" s="39">
        <f>Orders!I1615</f>
        <v>4860.8999999999996</v>
      </c>
      <c r="J1615" t="str">
        <f>Orders!J1615</f>
        <v>Cancelled</v>
      </c>
      <c r="K1615" t="str">
        <f>Orders!K1615</f>
        <v>Bengaluru</v>
      </c>
      <c r="L1615" t="str">
        <f>IFERROR(VLOOKUP(D1615,Products!$A$2:$F$61,3,FALSE),"")</f>
        <v>Beauty</v>
      </c>
      <c r="M1615">
        <f>IFERROR(VLOOKUP(D1615,Products!$A$2:$F$61,4,FALSE),"")</f>
        <v>1222</v>
      </c>
      <c r="N1615" t="str">
        <f>IFERROR(VLOOKUP(E1615,Sales_Reps!$A$2:$E$31,3,FALSE),"")</f>
        <v>East</v>
      </c>
      <c r="O1615" t="str">
        <f>IFERROR(VLOOKUP(C1615,Customers!$A$2:$F$301,5,FALSE),"")</f>
        <v>Corporate</v>
      </c>
      <c r="P1615">
        <f>IFERROR(VLOOKUP(C1615,Customers!$A$2:$F$301,3,FALSE),"")</f>
        <v>41</v>
      </c>
      <c r="Q1615" s="41">
        <f t="shared" si="34"/>
        <v>0.2593939393939394</v>
      </c>
      <c r="R1615" t="str">
        <f>IFERROR(VLOOKUP(C1615,Customers!$A$2:$F$301,1,FALSE),"")</f>
        <v>CUST-0130</v>
      </c>
      <c r="S1615" s="27" t="b">
        <f>IFERROR(VLOOKUP(D1615,Products!$A$2:$F$61,6,FALSE),"")</f>
        <v>1</v>
      </c>
      <c r="BL1615">
        <v>0</v>
      </c>
      <c r="BO1615">
        <v>0</v>
      </c>
      <c r="BP1615">
        <v>0</v>
      </c>
    </row>
    <row r="1616" spans="1:68" x14ac:dyDescent="0.35">
      <c r="A1616" s="26" t="str">
        <f>Orders!A1616</f>
        <v>ORD-01615</v>
      </c>
      <c r="B1616" s="33">
        <f>Orders!B1616</f>
        <v>45642</v>
      </c>
      <c r="C1616" t="str">
        <f>Orders!C1616</f>
        <v>CUST-0162</v>
      </c>
      <c r="D1616" t="str">
        <f>Orders!D1616</f>
        <v>PROD-001</v>
      </c>
      <c r="E1616" t="str">
        <f>Orders!E1616</f>
        <v>R018</v>
      </c>
      <c r="F1616">
        <f>Orders!F1616</f>
        <v>3</v>
      </c>
      <c r="G1616" s="35">
        <f>Orders!G1616</f>
        <v>5330</v>
      </c>
      <c r="H1616" s="37">
        <f>Orders!H1616</f>
        <v>22.2</v>
      </c>
      <c r="I1616" s="39">
        <f>Orders!I1616</f>
        <v>12440.22</v>
      </c>
      <c r="J1616" t="str">
        <f>Orders!J1616</f>
        <v>Completed</v>
      </c>
      <c r="K1616" t="str">
        <f>Orders!K1616</f>
        <v>Mumbai</v>
      </c>
      <c r="L1616" t="str">
        <f>IFERROR(VLOOKUP(D1616,Products!$A$2:$F$61,3,FALSE),"")</f>
        <v>Electronics</v>
      </c>
      <c r="M1616">
        <f>IFERROR(VLOOKUP(D1616,Products!$A$2:$F$61,4,FALSE),"")</f>
        <v>2405</v>
      </c>
      <c r="N1616" t="str">
        <f>IFERROR(VLOOKUP(E1616,Sales_Reps!$A$2:$E$31,3,FALSE),"")</f>
        <v>East</v>
      </c>
      <c r="O1616" t="str">
        <f>IFERROR(VLOOKUP(C1616,Customers!$A$2:$F$301,5,FALSE),"")</f>
        <v>Corporate</v>
      </c>
      <c r="P1616">
        <f>IFERROR(VLOOKUP(C1616,Customers!$A$2:$F$301,3,FALSE),"")</f>
        <v>35</v>
      </c>
      <c r="Q1616" s="41">
        <f t="shared" si="34"/>
        <v>0.54878048780487809</v>
      </c>
      <c r="R1616" t="str">
        <f>IFERROR(VLOOKUP(C1616,Customers!$A$2:$F$301,1,FALSE),"")</f>
        <v>CUST-0162</v>
      </c>
      <c r="S1616" s="27" t="b">
        <f>IFERROR(VLOOKUP(D1616,Products!$A$2:$F$61,6,FALSE),"")</f>
        <v>1</v>
      </c>
      <c r="BL1616">
        <v>0</v>
      </c>
      <c r="BO1616">
        <v>0</v>
      </c>
      <c r="BP1616">
        <v>0</v>
      </c>
    </row>
    <row r="1617" spans="1:68" x14ac:dyDescent="0.35">
      <c r="A1617" s="26" t="str">
        <f>Orders!A1617</f>
        <v>ORD-01616</v>
      </c>
      <c r="B1617" s="33">
        <f>Orders!B1617</f>
        <v>45534</v>
      </c>
      <c r="C1617" t="str">
        <f>Orders!C1617</f>
        <v>CUST-0153</v>
      </c>
      <c r="D1617" t="str">
        <f>Orders!D1617</f>
        <v>PROD-040</v>
      </c>
      <c r="E1617" t="str">
        <f>Orders!E1617</f>
        <v>R022</v>
      </c>
      <c r="F1617">
        <f>Orders!F1617</f>
        <v>7</v>
      </c>
      <c r="G1617" s="35">
        <f>Orders!G1617</f>
        <v>1080</v>
      </c>
      <c r="H1617" s="37">
        <f>Orders!H1617</f>
        <v>17.899999999999999</v>
      </c>
      <c r="I1617" s="39">
        <f>Orders!I1617</f>
        <v>6206.76</v>
      </c>
      <c r="J1617" t="str">
        <f>Orders!J1617</f>
        <v>Completed</v>
      </c>
      <c r="K1617" t="str">
        <f>Orders!K1617</f>
        <v>Mumbai</v>
      </c>
      <c r="L1617" t="str">
        <f>IFERROR(VLOOKUP(D1617,Products!$A$2:$F$61,3,FALSE),"")</f>
        <v>Home</v>
      </c>
      <c r="M1617">
        <f>IFERROR(VLOOKUP(D1617,Products!$A$2:$F$61,4,FALSE),"")</f>
        <v>519</v>
      </c>
      <c r="N1617" t="str">
        <f>IFERROR(VLOOKUP(E1617,Sales_Reps!$A$2:$E$31,3,FALSE),"")</f>
        <v>East</v>
      </c>
      <c r="O1617" t="str">
        <f>IFERROR(VLOOKUP(C1617,Customers!$A$2:$F$301,5,FALSE),"")</f>
        <v>Retail</v>
      </c>
      <c r="P1617">
        <f>IFERROR(VLOOKUP(C1617,Customers!$A$2:$F$301,3,FALSE),"")</f>
        <v>35</v>
      </c>
      <c r="Q1617" s="41">
        <f t="shared" si="34"/>
        <v>0.51944444444444449</v>
      </c>
      <c r="R1617" t="str">
        <f>IFERROR(VLOOKUP(C1617,Customers!$A$2:$F$301,1,FALSE),"")</f>
        <v>CUST-0153</v>
      </c>
      <c r="S1617" s="27" t="b">
        <f>IFERROR(VLOOKUP(D1617,Products!$A$2:$F$61,6,FALSE),"")</f>
        <v>1</v>
      </c>
      <c r="BL1617">
        <v>0</v>
      </c>
      <c r="BO1617">
        <v>0</v>
      </c>
      <c r="BP1617">
        <v>0</v>
      </c>
    </row>
    <row r="1618" spans="1:68" x14ac:dyDescent="0.35">
      <c r="A1618" s="26" t="str">
        <f>Orders!A1618</f>
        <v>ORD-01617</v>
      </c>
      <c r="B1618" s="33">
        <f>Orders!B1618</f>
        <v>45460</v>
      </c>
      <c r="C1618" t="str">
        <f>Orders!C1618</f>
        <v>CUST-0071</v>
      </c>
      <c r="D1618" t="str">
        <f>Orders!D1618</f>
        <v>PROD-009</v>
      </c>
      <c r="E1618" t="str">
        <f>Orders!E1618</f>
        <v>R022</v>
      </c>
      <c r="F1618">
        <f>Orders!F1618</f>
        <v>10</v>
      </c>
      <c r="G1618" s="35">
        <f>Orders!G1618</f>
        <v>1220</v>
      </c>
      <c r="H1618" s="37">
        <f>Orders!H1618</f>
        <v>5.7</v>
      </c>
      <c r="I1618" s="39">
        <f>Orders!I1618</f>
        <v>11504.6</v>
      </c>
      <c r="J1618" t="str">
        <f>Orders!J1618</f>
        <v>Completed</v>
      </c>
      <c r="K1618" t="str">
        <f>Orders!K1618</f>
        <v>Delhi</v>
      </c>
      <c r="L1618" t="str">
        <f>IFERROR(VLOOKUP(D1618,Products!$A$2:$F$61,3,FALSE),"")</f>
        <v>Electronics</v>
      </c>
      <c r="M1618">
        <f>IFERROR(VLOOKUP(D1618,Products!$A$2:$F$61,4,FALSE),"")</f>
        <v>517</v>
      </c>
      <c r="N1618" t="str">
        <f>IFERROR(VLOOKUP(E1618,Sales_Reps!$A$2:$E$31,3,FALSE),"")</f>
        <v>East</v>
      </c>
      <c r="O1618" t="str">
        <f>IFERROR(VLOOKUP(C1618,Customers!$A$2:$F$301,5,FALSE),"")</f>
        <v>Corporate</v>
      </c>
      <c r="P1618">
        <f>IFERROR(VLOOKUP(C1618,Customers!$A$2:$F$301,3,FALSE),"")</f>
        <v>46</v>
      </c>
      <c r="Q1618" s="41">
        <f t="shared" si="34"/>
        <v>0.57622950819672136</v>
      </c>
      <c r="R1618" t="str">
        <f>IFERROR(VLOOKUP(C1618,Customers!$A$2:$F$301,1,FALSE),"")</f>
        <v>CUST-0071</v>
      </c>
      <c r="S1618" s="27" t="b">
        <f>IFERROR(VLOOKUP(D1618,Products!$A$2:$F$61,6,FALSE),"")</f>
        <v>1</v>
      </c>
      <c r="BL1618">
        <v>0</v>
      </c>
      <c r="BO1618">
        <v>0</v>
      </c>
      <c r="BP1618">
        <v>0</v>
      </c>
    </row>
    <row r="1619" spans="1:68" x14ac:dyDescent="0.35">
      <c r="A1619" s="26" t="str">
        <f>Orders!A1619</f>
        <v>ORD-01618</v>
      </c>
      <c r="B1619" s="33">
        <f>Orders!B1619</f>
        <v>45648</v>
      </c>
      <c r="C1619" t="str">
        <f>Orders!C1619</f>
        <v>CUST-0200</v>
      </c>
      <c r="D1619" t="str">
        <f>Orders!D1619</f>
        <v>PROD-037</v>
      </c>
      <c r="E1619" t="str">
        <f>Orders!E1619</f>
        <v>R030</v>
      </c>
      <c r="F1619">
        <f>Orders!F1619</f>
        <v>10</v>
      </c>
      <c r="G1619" s="35">
        <f>Orders!G1619</f>
        <v>660</v>
      </c>
      <c r="H1619" s="37">
        <f>Orders!H1619</f>
        <v>7.5</v>
      </c>
      <c r="I1619" s="39">
        <f>Orders!I1619</f>
        <v>6105</v>
      </c>
      <c r="J1619" t="str">
        <f>Orders!J1619</f>
        <v>Completed</v>
      </c>
      <c r="K1619" t="str">
        <f>Orders!K1619</f>
        <v>Hyderabad</v>
      </c>
      <c r="L1619" t="str">
        <f>IFERROR(VLOOKUP(D1619,Products!$A$2:$F$61,3,FALSE),"")</f>
        <v>Home</v>
      </c>
      <c r="M1619">
        <f>IFERROR(VLOOKUP(D1619,Products!$A$2:$F$61,4,FALSE),"")</f>
        <v>329</v>
      </c>
      <c r="N1619" t="str">
        <f>IFERROR(VLOOKUP(E1619,Sales_Reps!$A$2:$E$31,3,FALSE),"")</f>
        <v>West</v>
      </c>
      <c r="O1619" t="str">
        <f>IFERROR(VLOOKUP(C1619,Customers!$A$2:$F$301,5,FALSE),"")</f>
        <v>Corporate</v>
      </c>
      <c r="P1619">
        <f>IFERROR(VLOOKUP(C1619,Customers!$A$2:$F$301,3,FALSE),"")</f>
        <v>46</v>
      </c>
      <c r="Q1619" s="41">
        <f t="shared" si="34"/>
        <v>0.50151515151515147</v>
      </c>
      <c r="R1619" t="str">
        <f>IFERROR(VLOOKUP(C1619,Customers!$A$2:$F$301,1,FALSE),"")</f>
        <v>CUST-0200</v>
      </c>
      <c r="S1619" s="27" t="b">
        <f>IFERROR(VLOOKUP(D1619,Products!$A$2:$F$61,6,FALSE),"")</f>
        <v>1</v>
      </c>
      <c r="BL1619">
        <v>0</v>
      </c>
      <c r="BO1619">
        <v>0</v>
      </c>
      <c r="BP1619">
        <v>0</v>
      </c>
    </row>
    <row r="1620" spans="1:68" x14ac:dyDescent="0.35">
      <c r="A1620" s="26" t="str">
        <f>Orders!A1620</f>
        <v>ORD-01619</v>
      </c>
      <c r="B1620" s="33">
        <f>Orders!B1620</f>
        <v>45557</v>
      </c>
      <c r="C1620" t="str">
        <f>Orders!C1620</f>
        <v>CUST-0266</v>
      </c>
      <c r="D1620" t="str">
        <f>Orders!D1620</f>
        <v>PROD-040</v>
      </c>
      <c r="E1620" t="str">
        <f>Orders!E1620</f>
        <v>R020</v>
      </c>
      <c r="F1620">
        <f>Orders!F1620</f>
        <v>6</v>
      </c>
      <c r="G1620" s="35">
        <f>Orders!G1620</f>
        <v>1080</v>
      </c>
      <c r="H1620" s="37">
        <f>Orders!H1620</f>
        <v>28.9</v>
      </c>
      <c r="I1620" s="39">
        <f>Orders!I1620</f>
        <v>4607.28</v>
      </c>
      <c r="J1620" t="str">
        <f>Orders!J1620</f>
        <v>Completed</v>
      </c>
      <c r="K1620" t="str">
        <f>Orders!K1620</f>
        <v>Pune</v>
      </c>
      <c r="L1620" t="str">
        <f>IFERROR(VLOOKUP(D1620,Products!$A$2:$F$61,3,FALSE),"")</f>
        <v>Home</v>
      </c>
      <c r="M1620">
        <f>IFERROR(VLOOKUP(D1620,Products!$A$2:$F$61,4,FALSE),"")</f>
        <v>519</v>
      </c>
      <c r="N1620" t="str">
        <f>IFERROR(VLOOKUP(E1620,Sales_Reps!$A$2:$E$31,3,FALSE),"")</f>
        <v>East</v>
      </c>
      <c r="O1620" t="str">
        <f>IFERROR(VLOOKUP(C1620,Customers!$A$2:$F$301,5,FALSE),"")</f>
        <v>Retail</v>
      </c>
      <c r="P1620">
        <f>IFERROR(VLOOKUP(C1620,Customers!$A$2:$F$301,3,FALSE),"")</f>
        <v>65</v>
      </c>
      <c r="Q1620" s="41">
        <f t="shared" si="34"/>
        <v>0.51944444444444449</v>
      </c>
      <c r="R1620" t="str">
        <f>IFERROR(VLOOKUP(C1620,Customers!$A$2:$F$301,1,FALSE),"")</f>
        <v>CUST-0266</v>
      </c>
      <c r="S1620" s="27" t="b">
        <f>IFERROR(VLOOKUP(D1620,Products!$A$2:$F$61,6,FALSE),"")</f>
        <v>1</v>
      </c>
      <c r="BL1620">
        <v>0</v>
      </c>
      <c r="BO1620">
        <v>0</v>
      </c>
      <c r="BP1620">
        <v>0</v>
      </c>
    </row>
    <row r="1621" spans="1:68" x14ac:dyDescent="0.35">
      <c r="A1621" s="26" t="str">
        <f>Orders!A1621</f>
        <v>ORD-01620</v>
      </c>
      <c r="B1621" s="33">
        <f>Orders!B1621</f>
        <v>45584</v>
      </c>
      <c r="C1621" t="str">
        <f>Orders!C1621</f>
        <v>CUST-0171</v>
      </c>
      <c r="D1621" t="str">
        <f>Orders!D1621</f>
        <v>PROD-022</v>
      </c>
      <c r="E1621" t="str">
        <f>Orders!E1621</f>
        <v>R020</v>
      </c>
      <c r="F1621">
        <f>Orders!F1621</f>
        <v>7</v>
      </c>
      <c r="G1621" s="35">
        <f>Orders!G1621</f>
        <v>2270</v>
      </c>
      <c r="H1621" s="37">
        <f>Orders!H1621</f>
        <v>1.4</v>
      </c>
      <c r="I1621" s="39">
        <f>Orders!I1621</f>
        <v>15667.54</v>
      </c>
      <c r="J1621" t="str">
        <f>Orders!J1621</f>
        <v>Completed</v>
      </c>
      <c r="K1621" t="str">
        <f>Orders!K1621</f>
        <v>Chennai</v>
      </c>
      <c r="L1621" t="str">
        <f>IFERROR(VLOOKUP(D1621,Products!$A$2:$F$61,3,FALSE),"")</f>
        <v>Grocery</v>
      </c>
      <c r="M1621">
        <f>IFERROR(VLOOKUP(D1621,Products!$A$2:$F$61,4,FALSE),"")</f>
        <v>1412</v>
      </c>
      <c r="N1621" t="str">
        <f>IFERROR(VLOOKUP(E1621,Sales_Reps!$A$2:$E$31,3,FALSE),"")</f>
        <v>East</v>
      </c>
      <c r="O1621" t="str">
        <f>IFERROR(VLOOKUP(C1621,Customers!$A$2:$F$301,5,FALSE),"")</f>
        <v>Corporate</v>
      </c>
      <c r="P1621">
        <f>IFERROR(VLOOKUP(C1621,Customers!$A$2:$F$301,3,FALSE),"")</f>
        <v>30</v>
      </c>
      <c r="Q1621" s="41">
        <f t="shared" si="34"/>
        <v>0.37797356828193834</v>
      </c>
      <c r="R1621" t="str">
        <f>IFERROR(VLOOKUP(C1621,Customers!$A$2:$F$301,1,FALSE),"")</f>
        <v>CUST-0171</v>
      </c>
      <c r="S1621" s="27" t="b">
        <f>IFERROR(VLOOKUP(D1621,Products!$A$2:$F$61,6,FALSE),"")</f>
        <v>1</v>
      </c>
      <c r="BL1621">
        <v>0</v>
      </c>
      <c r="BO1621">
        <v>0</v>
      </c>
      <c r="BP1621">
        <v>0</v>
      </c>
    </row>
    <row r="1622" spans="1:68" x14ac:dyDescent="0.35">
      <c r="A1622" s="26" t="str">
        <f>Orders!A1622</f>
        <v>ORD-01621</v>
      </c>
      <c r="B1622" s="33">
        <f>Orders!B1622</f>
        <v>45475</v>
      </c>
      <c r="C1622" t="str">
        <f>Orders!C1622</f>
        <v>CUST-0221</v>
      </c>
      <c r="D1622" t="str">
        <f>Orders!D1622</f>
        <v>PROD-032</v>
      </c>
      <c r="E1622" t="str">
        <f>Orders!E1622</f>
        <v>R028</v>
      </c>
      <c r="F1622">
        <f>Orders!F1622</f>
        <v>3</v>
      </c>
      <c r="G1622" s="35">
        <f>Orders!G1622</f>
        <v>370</v>
      </c>
      <c r="H1622" s="37">
        <f>Orders!H1622</f>
        <v>9.6</v>
      </c>
      <c r="I1622" s="39">
        <f>Orders!I1622</f>
        <v>1003.44</v>
      </c>
      <c r="J1622" t="str">
        <f>Orders!J1622</f>
        <v>Refunded</v>
      </c>
      <c r="K1622" t="str">
        <f>Orders!K1622</f>
        <v>Delhi</v>
      </c>
      <c r="L1622" t="str">
        <f>IFERROR(VLOOKUP(D1622,Products!$A$2:$F$61,3,FALSE),"")</f>
        <v>Home</v>
      </c>
      <c r="M1622">
        <f>IFERROR(VLOOKUP(D1622,Products!$A$2:$F$61,4,FALSE),"")</f>
        <v>288</v>
      </c>
      <c r="N1622" t="str">
        <f>IFERROR(VLOOKUP(E1622,Sales_Reps!$A$2:$E$31,3,FALSE),"")</f>
        <v>West</v>
      </c>
      <c r="O1622" t="str">
        <f>IFERROR(VLOOKUP(C1622,Customers!$A$2:$F$301,5,FALSE),"")</f>
        <v>SMB</v>
      </c>
      <c r="P1622">
        <f>IFERROR(VLOOKUP(C1622,Customers!$A$2:$F$301,3,FALSE),"")</f>
        <v>29</v>
      </c>
      <c r="Q1622" s="41">
        <f t="shared" si="34"/>
        <v>0.22162162162162163</v>
      </c>
      <c r="R1622" t="str">
        <f>IFERROR(VLOOKUP(C1622,Customers!$A$2:$F$301,1,FALSE),"")</f>
        <v>CUST-0221</v>
      </c>
      <c r="S1622" s="27" t="b">
        <f>IFERROR(VLOOKUP(D1622,Products!$A$2:$F$61,6,FALSE),"")</f>
        <v>1</v>
      </c>
      <c r="BL1622">
        <v>0</v>
      </c>
      <c r="BO1622">
        <v>0</v>
      </c>
      <c r="BP1622">
        <v>0</v>
      </c>
    </row>
    <row r="1623" spans="1:68" x14ac:dyDescent="0.35">
      <c r="A1623" s="26" t="str">
        <f>Orders!A1623</f>
        <v>ORD-01622</v>
      </c>
      <c r="B1623" s="33">
        <f>Orders!B1623</f>
        <v>45365</v>
      </c>
      <c r="C1623" t="str">
        <f>Orders!C1623</f>
        <v>CUST-0038</v>
      </c>
      <c r="D1623" t="str">
        <f>Orders!D1623</f>
        <v>PROD-030</v>
      </c>
      <c r="E1623" t="str">
        <f>Orders!E1623</f>
        <v>R009</v>
      </c>
      <c r="F1623">
        <f>Orders!F1623</f>
        <v>9</v>
      </c>
      <c r="G1623" s="35">
        <f>Orders!G1623</f>
        <v>970</v>
      </c>
      <c r="H1623" s="37">
        <f>Orders!H1623</f>
        <v>29.7</v>
      </c>
      <c r="I1623" s="39">
        <f>Orders!I1623</f>
        <v>6137.19</v>
      </c>
      <c r="J1623" t="str">
        <f>Orders!J1623</f>
        <v>Completed</v>
      </c>
      <c r="K1623" t="str">
        <f>Orders!K1623</f>
        <v>Mumbai</v>
      </c>
      <c r="L1623" t="str">
        <f>IFERROR(VLOOKUP(D1623,Products!$A$2:$F$61,3,FALSE),"")</f>
        <v>Grocery</v>
      </c>
      <c r="M1623">
        <f>IFERROR(VLOOKUP(D1623,Products!$A$2:$F$61,4,FALSE),"")</f>
        <v>434</v>
      </c>
      <c r="N1623" t="str">
        <f>IFERROR(VLOOKUP(E1623,Sales_Reps!$A$2:$E$31,3,FALSE),"")</f>
        <v>South</v>
      </c>
      <c r="O1623" t="str">
        <f>IFERROR(VLOOKUP(C1623,Customers!$A$2:$F$301,5,FALSE),"")</f>
        <v>Retail</v>
      </c>
      <c r="P1623">
        <f>IFERROR(VLOOKUP(C1623,Customers!$A$2:$F$301,3,FALSE),"")</f>
        <v>57</v>
      </c>
      <c r="Q1623" s="41">
        <f t="shared" si="34"/>
        <v>0.5525773195876289</v>
      </c>
      <c r="R1623" t="str">
        <f>IFERROR(VLOOKUP(C1623,Customers!$A$2:$F$301,1,FALSE),"")</f>
        <v>CUST-0038</v>
      </c>
      <c r="S1623" s="27" t="b">
        <f>IFERROR(VLOOKUP(D1623,Products!$A$2:$F$61,6,FALSE),"")</f>
        <v>1</v>
      </c>
      <c r="BL1623">
        <v>0</v>
      </c>
      <c r="BO1623">
        <v>0</v>
      </c>
      <c r="BP1623">
        <v>0</v>
      </c>
    </row>
    <row r="1624" spans="1:68" x14ac:dyDescent="0.35">
      <c r="A1624" s="26" t="str">
        <f>Orders!A1624</f>
        <v>ORD-00613</v>
      </c>
      <c r="B1624" s="33">
        <f>Orders!B1624</f>
        <v>45405</v>
      </c>
      <c r="C1624" t="str">
        <f>Orders!C1624</f>
        <v>CUST-0174</v>
      </c>
      <c r="D1624" t="str">
        <f>Orders!D1624</f>
        <v>PROD-016</v>
      </c>
      <c r="E1624" t="str">
        <f>Orders!E1624</f>
        <v>R003</v>
      </c>
      <c r="F1624">
        <f>Orders!F1624</f>
        <v>1</v>
      </c>
      <c r="G1624" s="35">
        <f>Orders!G1624</f>
        <v>620</v>
      </c>
      <c r="H1624" s="37">
        <f>Orders!H1624</f>
        <v>10.4</v>
      </c>
      <c r="I1624" s="39">
        <f>Orders!I1624</f>
        <v>555.52</v>
      </c>
      <c r="J1624" t="str">
        <f>Orders!J1624</f>
        <v>Cancelled</v>
      </c>
      <c r="K1624" t="str">
        <f>Orders!K1624</f>
        <v>Pune</v>
      </c>
      <c r="L1624" t="str">
        <f>IFERROR(VLOOKUP(D1624,Products!$A$2:$F$61,3,FALSE),"")</f>
        <v>Apparel</v>
      </c>
      <c r="M1624">
        <f>IFERROR(VLOOKUP(D1624,Products!$A$2:$F$61,4,FALSE),"")</f>
        <v>396</v>
      </c>
      <c r="N1624" t="str">
        <f>IFERROR(VLOOKUP(E1624,Sales_Reps!$A$2:$E$31,3,FALSE),"")</f>
        <v>North</v>
      </c>
      <c r="O1624" t="str">
        <f>IFERROR(VLOOKUP(C1624,Customers!$A$2:$F$301,5,FALSE),"")</f>
        <v>Retail</v>
      </c>
      <c r="P1624">
        <f>IFERROR(VLOOKUP(C1624,Customers!$A$2:$F$301,3,FALSE),"")</f>
        <v>54</v>
      </c>
      <c r="Q1624" s="41">
        <f t="shared" si="34"/>
        <v>0.36129032258064514</v>
      </c>
      <c r="R1624" t="str">
        <f>IFERROR(VLOOKUP(C1624,Customers!$A$2:$F$301,1,FALSE),"")</f>
        <v>CUST-0174</v>
      </c>
      <c r="S1624" s="27" t="b">
        <f>IFERROR(VLOOKUP(D1624,Products!$A$2:$F$61,6,FALSE),"")</f>
        <v>1</v>
      </c>
      <c r="BL1624">
        <v>0.5</v>
      </c>
      <c r="BO1624">
        <v>0</v>
      </c>
      <c r="BP1624">
        <v>0</v>
      </c>
    </row>
    <row r="1625" spans="1:68" x14ac:dyDescent="0.35">
      <c r="A1625" s="26" t="str">
        <f>Orders!A1625</f>
        <v>ORD-01624</v>
      </c>
      <c r="B1625" s="33">
        <f>Orders!B1625</f>
        <v>45533</v>
      </c>
      <c r="C1625" t="str">
        <f>Orders!C1625</f>
        <v>CUST-0054</v>
      </c>
      <c r="D1625" t="str">
        <f>Orders!D1625</f>
        <v>PROD-028</v>
      </c>
      <c r="E1625" t="str">
        <f>Orders!E1625</f>
        <v>R029</v>
      </c>
      <c r="F1625">
        <f>Orders!F1625</f>
        <v>5</v>
      </c>
      <c r="G1625" s="35">
        <f>Orders!G1625</f>
        <v>3660</v>
      </c>
      <c r="H1625" s="37">
        <f>Orders!H1625</f>
        <v>8</v>
      </c>
      <c r="I1625" s="39">
        <f>Orders!I1625</f>
        <v>16836</v>
      </c>
      <c r="J1625" t="str">
        <f>Orders!J1625</f>
        <v>Completed</v>
      </c>
      <c r="K1625" t="str">
        <f>Orders!K1625</f>
        <v>Mumbai</v>
      </c>
      <c r="L1625" t="str">
        <f>IFERROR(VLOOKUP(D1625,Products!$A$2:$F$61,3,FALSE),"")</f>
        <v>Grocery</v>
      </c>
      <c r="M1625">
        <f>IFERROR(VLOOKUP(D1625,Products!$A$2:$F$61,4,FALSE),"")</f>
        <v>2214</v>
      </c>
      <c r="N1625" t="str">
        <f>IFERROR(VLOOKUP(E1625,Sales_Reps!$A$2:$E$31,3,FALSE),"")</f>
        <v>West</v>
      </c>
      <c r="O1625" t="str">
        <f>IFERROR(VLOOKUP(C1625,Customers!$A$2:$F$301,5,FALSE),"")</f>
        <v>Corporate</v>
      </c>
      <c r="P1625">
        <f>IFERROR(VLOOKUP(C1625,Customers!$A$2:$F$301,3,FALSE),"")</f>
        <v>62</v>
      </c>
      <c r="Q1625" s="41">
        <f t="shared" si="34"/>
        <v>0.39508196721311473</v>
      </c>
      <c r="R1625" t="str">
        <f>IFERROR(VLOOKUP(C1625,Customers!$A$2:$F$301,1,FALSE),"")</f>
        <v>CUST-0054</v>
      </c>
      <c r="S1625" s="27" t="b">
        <f>IFERROR(VLOOKUP(D1625,Products!$A$2:$F$61,6,FALSE),"")</f>
        <v>0</v>
      </c>
      <c r="BL1625">
        <v>0</v>
      </c>
      <c r="BO1625">
        <v>0</v>
      </c>
      <c r="BP1625">
        <v>1</v>
      </c>
    </row>
    <row r="1626" spans="1:68" x14ac:dyDescent="0.35">
      <c r="A1626" s="26" t="str">
        <f>Orders!A1626</f>
        <v>ORD-01625</v>
      </c>
      <c r="B1626" s="33">
        <f>Orders!B1626</f>
        <v>45628</v>
      </c>
      <c r="C1626" t="str">
        <f>Orders!C1626</f>
        <v>CUST-0071</v>
      </c>
      <c r="D1626" t="str">
        <f>Orders!D1626</f>
        <v>PROD-029</v>
      </c>
      <c r="E1626" t="str">
        <f>Orders!E1626</f>
        <v>R024</v>
      </c>
      <c r="F1626">
        <f>Orders!F1626</f>
        <v>7</v>
      </c>
      <c r="G1626" s="35">
        <f>Orders!G1626</f>
        <v>2210</v>
      </c>
      <c r="H1626" s="37">
        <f>Orders!H1626</f>
        <v>13.7</v>
      </c>
      <c r="I1626" s="39">
        <f>Orders!I1626</f>
        <v>13350.61</v>
      </c>
      <c r="J1626" t="str">
        <f>Orders!J1626</f>
        <v>Refunded</v>
      </c>
      <c r="K1626" t="str">
        <f>Orders!K1626</f>
        <v>Delhi</v>
      </c>
      <c r="L1626" t="str">
        <f>IFERROR(VLOOKUP(D1626,Products!$A$2:$F$61,3,FALSE),"")</f>
        <v>Grocery</v>
      </c>
      <c r="M1626">
        <f>IFERROR(VLOOKUP(D1626,Products!$A$2:$F$61,4,FALSE),"")</f>
        <v>1010</v>
      </c>
      <c r="N1626" t="str">
        <f>IFERROR(VLOOKUP(E1626,Sales_Reps!$A$2:$E$31,3,FALSE),"")</f>
        <v>West</v>
      </c>
      <c r="O1626" t="str">
        <f>IFERROR(VLOOKUP(C1626,Customers!$A$2:$F$301,5,FALSE),"")</f>
        <v>Corporate</v>
      </c>
      <c r="P1626">
        <f>IFERROR(VLOOKUP(C1626,Customers!$A$2:$F$301,3,FALSE),"")</f>
        <v>46</v>
      </c>
      <c r="Q1626" s="41">
        <f t="shared" si="34"/>
        <v>0.54298642533936647</v>
      </c>
      <c r="R1626" t="str">
        <f>IFERROR(VLOOKUP(C1626,Customers!$A$2:$F$301,1,FALSE),"")</f>
        <v>CUST-0071</v>
      </c>
      <c r="S1626" s="27" t="b">
        <f>IFERROR(VLOOKUP(D1626,Products!$A$2:$F$61,6,FALSE),"")</f>
        <v>1</v>
      </c>
      <c r="BL1626">
        <v>0</v>
      </c>
      <c r="BO1626">
        <v>0</v>
      </c>
      <c r="BP1626">
        <v>0</v>
      </c>
    </row>
    <row r="1627" spans="1:68" x14ac:dyDescent="0.35">
      <c r="A1627" s="26" t="str">
        <f>Orders!A1627</f>
        <v>ORD-01626</v>
      </c>
      <c r="B1627" s="33">
        <f>Orders!B1627</f>
        <v>45631</v>
      </c>
      <c r="C1627" t="str">
        <f>Orders!C1627</f>
        <v>CUST-0004</v>
      </c>
      <c r="D1627" t="str">
        <f>Orders!D1627</f>
        <v>PROD-059</v>
      </c>
      <c r="E1627" t="str">
        <f>Orders!E1627</f>
        <v>R028</v>
      </c>
      <c r="F1627">
        <f>Orders!F1627</f>
        <v>1</v>
      </c>
      <c r="G1627" s="35">
        <f>Orders!G1627</f>
        <v>3780</v>
      </c>
      <c r="H1627" s="37">
        <f>Orders!H1627</f>
        <v>11.5</v>
      </c>
      <c r="I1627" s="39">
        <f>Orders!I1627</f>
        <v>3345.3</v>
      </c>
      <c r="J1627" t="str">
        <f>Orders!J1627</f>
        <v>Completed</v>
      </c>
      <c r="K1627" t="str">
        <f>Orders!K1627</f>
        <v>Delhi</v>
      </c>
      <c r="L1627" t="str">
        <f>IFERROR(VLOOKUP(D1627,Products!$A$2:$F$61,3,FALSE),"")</f>
        <v>Sports</v>
      </c>
      <c r="M1627">
        <f>IFERROR(VLOOKUP(D1627,Products!$A$2:$F$61,4,FALSE),"")</f>
        <v>1860</v>
      </c>
      <c r="N1627" t="str">
        <f>IFERROR(VLOOKUP(E1627,Sales_Reps!$A$2:$E$31,3,FALSE),"")</f>
        <v>West</v>
      </c>
      <c r="O1627" t="str">
        <f>IFERROR(VLOOKUP(C1627,Customers!$A$2:$F$301,5,FALSE),"")</f>
        <v>Retail</v>
      </c>
      <c r="P1627">
        <f>IFERROR(VLOOKUP(C1627,Customers!$A$2:$F$301,3,FALSE),"")</f>
        <v>53</v>
      </c>
      <c r="Q1627" s="41">
        <f t="shared" si="34"/>
        <v>0.50793650793650791</v>
      </c>
      <c r="R1627" t="str">
        <f>IFERROR(VLOOKUP(C1627,Customers!$A$2:$F$301,1,FALSE),"")</f>
        <v>CUST-0004</v>
      </c>
      <c r="S1627" s="27" t="b">
        <f>IFERROR(VLOOKUP(D1627,Products!$A$2:$F$61,6,FALSE),"")</f>
        <v>1</v>
      </c>
      <c r="BL1627">
        <v>0</v>
      </c>
      <c r="BO1627">
        <v>0</v>
      </c>
      <c r="BP1627">
        <v>0</v>
      </c>
    </row>
    <row r="1628" spans="1:68" x14ac:dyDescent="0.35">
      <c r="A1628" s="26" t="str">
        <f>Orders!A1628</f>
        <v>ORD-01627</v>
      </c>
      <c r="B1628" s="33">
        <f>Orders!B1628</f>
        <v>45601</v>
      </c>
      <c r="C1628" t="str">
        <f>Orders!C1628</f>
        <v>CUST-0033</v>
      </c>
      <c r="D1628" t="str">
        <f>Orders!D1628</f>
        <v>PROD-002</v>
      </c>
      <c r="E1628" t="str">
        <f>Orders!E1628</f>
        <v>R005</v>
      </c>
      <c r="F1628">
        <f>Orders!F1628</f>
        <v>10</v>
      </c>
      <c r="G1628" s="35">
        <f>Orders!G1628</f>
        <v>2600</v>
      </c>
      <c r="H1628" s="37">
        <f>Orders!H1628</f>
        <v>29.4</v>
      </c>
      <c r="I1628" s="39">
        <f>Orders!I1628</f>
        <v>18356</v>
      </c>
      <c r="J1628" t="str">
        <f>Orders!J1628</f>
        <v>Completed</v>
      </c>
      <c r="K1628" t="str">
        <f>Orders!K1628</f>
        <v>Delhi</v>
      </c>
      <c r="L1628" t="str">
        <f>IFERROR(VLOOKUP(D1628,Products!$A$2:$F$61,3,FALSE),"")</f>
        <v>Electronics</v>
      </c>
      <c r="M1628">
        <f>IFERROR(VLOOKUP(D1628,Products!$A$2:$F$61,4,FALSE),"")</f>
        <v>1052</v>
      </c>
      <c r="N1628" t="str">
        <f>IFERROR(VLOOKUP(E1628,Sales_Reps!$A$2:$E$31,3,FALSE),"")</f>
        <v>North</v>
      </c>
      <c r="O1628" t="str">
        <f>IFERROR(VLOOKUP(C1628,Customers!$A$2:$F$301,5,FALSE),"")</f>
        <v>Retail</v>
      </c>
      <c r="P1628">
        <f>IFERROR(VLOOKUP(C1628,Customers!$A$2:$F$301,3,FALSE),"")</f>
        <v>35</v>
      </c>
      <c r="Q1628" s="41">
        <f t="shared" si="34"/>
        <v>0.5953846153846154</v>
      </c>
      <c r="R1628" t="str">
        <f>IFERROR(VLOOKUP(C1628,Customers!$A$2:$F$301,1,FALSE),"")</f>
        <v>CUST-0033</v>
      </c>
      <c r="S1628" s="27" t="b">
        <f>IFERROR(VLOOKUP(D1628,Products!$A$2:$F$61,6,FALSE),"")</f>
        <v>1</v>
      </c>
      <c r="BL1628">
        <v>0</v>
      </c>
      <c r="BO1628">
        <v>0</v>
      </c>
      <c r="BP1628">
        <v>0</v>
      </c>
    </row>
    <row r="1629" spans="1:68" x14ac:dyDescent="0.35">
      <c r="A1629" s="26" t="str">
        <f>Orders!A1629</f>
        <v>ORD-01628</v>
      </c>
      <c r="B1629" s="33">
        <f>Orders!B1629</f>
        <v>45365</v>
      </c>
      <c r="C1629" t="str">
        <f>Orders!C1629</f>
        <v>CUST-0079</v>
      </c>
      <c r="D1629" t="str">
        <f>Orders!D1629</f>
        <v>PROD-027</v>
      </c>
      <c r="E1629" t="str">
        <f>Orders!E1629</f>
        <v>R017</v>
      </c>
      <c r="F1629">
        <f>Orders!F1629</f>
        <v>3</v>
      </c>
      <c r="G1629" s="35">
        <f>Orders!G1629</f>
        <v>3780</v>
      </c>
      <c r="H1629" s="37">
        <f>Orders!H1629</f>
        <v>14.4</v>
      </c>
      <c r="I1629" s="39">
        <f>Orders!I1629</f>
        <v>9707.0400000000009</v>
      </c>
      <c r="J1629" t="str">
        <f>Orders!J1629</f>
        <v>Completed</v>
      </c>
      <c r="K1629" t="str">
        <f>Orders!K1629</f>
        <v>Mumbai</v>
      </c>
      <c r="L1629" t="str">
        <f>IFERROR(VLOOKUP(D1629,Products!$A$2:$F$61,3,FALSE),"")</f>
        <v>Grocery</v>
      </c>
      <c r="M1629">
        <f>IFERROR(VLOOKUP(D1629,Products!$A$2:$F$61,4,FALSE),"")</f>
        <v>2436</v>
      </c>
      <c r="N1629" t="str">
        <f>IFERROR(VLOOKUP(E1629,Sales_Reps!$A$2:$E$31,3,FALSE),"")</f>
        <v>East</v>
      </c>
      <c r="O1629" t="str">
        <f>IFERROR(VLOOKUP(C1629,Customers!$A$2:$F$301,5,FALSE),"")</f>
        <v>Corporate</v>
      </c>
      <c r="P1629">
        <f>IFERROR(VLOOKUP(C1629,Customers!$A$2:$F$301,3,FALSE),"")</f>
        <v>60</v>
      </c>
      <c r="Q1629" s="41">
        <f t="shared" si="34"/>
        <v>0.35555555555555557</v>
      </c>
      <c r="R1629" t="str">
        <f>IFERROR(VLOOKUP(C1629,Customers!$A$2:$F$301,1,FALSE),"")</f>
        <v>CUST-0079</v>
      </c>
      <c r="S1629" s="27" t="b">
        <f>IFERROR(VLOOKUP(D1629,Products!$A$2:$F$61,6,FALSE),"")</f>
        <v>1</v>
      </c>
      <c r="BL1629">
        <v>0</v>
      </c>
      <c r="BO1629">
        <v>0</v>
      </c>
      <c r="BP1629">
        <v>0</v>
      </c>
    </row>
    <row r="1630" spans="1:68" x14ac:dyDescent="0.35">
      <c r="A1630" s="26" t="str">
        <f>Orders!A1630</f>
        <v>ORD-01629</v>
      </c>
      <c r="B1630" s="33">
        <f>Orders!B1630</f>
        <v>45421</v>
      </c>
      <c r="C1630" t="str">
        <f>Orders!C1630</f>
        <v>CUST-0176</v>
      </c>
      <c r="D1630" t="str">
        <f>Orders!D1630</f>
        <v>PROD-010</v>
      </c>
      <c r="E1630" t="str">
        <f>Orders!E1630</f>
        <v>R003</v>
      </c>
      <c r="F1630">
        <f>Orders!F1630</f>
        <v>10</v>
      </c>
      <c r="G1630" s="35">
        <f>Orders!G1630</f>
        <v>2640</v>
      </c>
      <c r="H1630" s="37">
        <f>Orders!H1630</f>
        <v>26.8</v>
      </c>
      <c r="I1630" s="39">
        <f>Orders!I1630</f>
        <v>19324.8</v>
      </c>
      <c r="J1630" t="str">
        <f>Orders!J1630</f>
        <v>Pending</v>
      </c>
      <c r="K1630" t="str">
        <f>Orders!K1630</f>
        <v>Bengaluru</v>
      </c>
      <c r="L1630" t="str">
        <f>IFERROR(VLOOKUP(D1630,Products!$A$2:$F$61,3,FALSE),"")</f>
        <v>Electronics</v>
      </c>
      <c r="M1630">
        <f>IFERROR(VLOOKUP(D1630,Products!$A$2:$F$61,4,FALSE),"")</f>
        <v>1149</v>
      </c>
      <c r="N1630" t="str">
        <f>IFERROR(VLOOKUP(E1630,Sales_Reps!$A$2:$E$31,3,FALSE),"")</f>
        <v>North</v>
      </c>
      <c r="O1630" t="str">
        <f>IFERROR(VLOOKUP(C1630,Customers!$A$2:$F$301,5,FALSE),"")</f>
        <v>SMB</v>
      </c>
      <c r="P1630">
        <f>IFERROR(VLOOKUP(C1630,Customers!$A$2:$F$301,3,FALSE),"")</f>
        <v>34</v>
      </c>
      <c r="Q1630" s="41">
        <f t="shared" si="34"/>
        <v>0.56477272727272732</v>
      </c>
      <c r="R1630" t="str">
        <f>IFERROR(VLOOKUP(C1630,Customers!$A$2:$F$301,1,FALSE),"")</f>
        <v>CUST-0176</v>
      </c>
      <c r="S1630" s="27" t="b">
        <f>IFERROR(VLOOKUP(D1630,Products!$A$2:$F$61,6,FALSE),"")</f>
        <v>1</v>
      </c>
      <c r="BL1630">
        <v>0</v>
      </c>
      <c r="BO1630">
        <v>0</v>
      </c>
      <c r="BP1630">
        <v>0</v>
      </c>
    </row>
    <row r="1631" spans="1:68" x14ac:dyDescent="0.35">
      <c r="A1631" s="26" t="str">
        <f>Orders!A1631</f>
        <v>ORD-01630</v>
      </c>
      <c r="B1631" s="33">
        <f>Orders!B1631</f>
        <v>45347</v>
      </c>
      <c r="C1631" t="str">
        <f>Orders!C1631</f>
        <v>CUST-0254</v>
      </c>
      <c r="D1631" t="str">
        <f>Orders!D1631</f>
        <v>PROD-035</v>
      </c>
      <c r="E1631" t="str">
        <f>Orders!E1631</f>
        <v>R013</v>
      </c>
      <c r="F1631">
        <f>Orders!F1631</f>
        <v>3</v>
      </c>
      <c r="G1631" s="35">
        <f>Orders!G1631</f>
        <v>1090</v>
      </c>
      <c r="H1631" s="37">
        <f>Orders!H1631</f>
        <v>9.1</v>
      </c>
      <c r="I1631" s="39">
        <f>Orders!I1631</f>
        <v>2972.43</v>
      </c>
      <c r="J1631" t="str">
        <f>Orders!J1631</f>
        <v>Completed</v>
      </c>
      <c r="K1631" t="str">
        <f>Orders!K1631</f>
        <v>Bengaluru</v>
      </c>
      <c r="L1631" t="str">
        <f>IFERROR(VLOOKUP(D1631,Products!$A$2:$F$61,3,FALSE),"")</f>
        <v>Home</v>
      </c>
      <c r="M1631">
        <f>IFERROR(VLOOKUP(D1631,Products!$A$2:$F$61,4,FALSE),"")</f>
        <v>464</v>
      </c>
      <c r="N1631" t="str">
        <f>IFERROR(VLOOKUP(E1631,Sales_Reps!$A$2:$E$31,3,FALSE),"")</f>
        <v>South</v>
      </c>
      <c r="O1631" t="str">
        <f>IFERROR(VLOOKUP(C1631,Customers!$A$2:$F$301,5,FALSE),"")</f>
        <v>Retail</v>
      </c>
      <c r="P1631">
        <f>IFERROR(VLOOKUP(C1631,Customers!$A$2:$F$301,3,FALSE),"")</f>
        <v>35</v>
      </c>
      <c r="Q1631" s="41">
        <f t="shared" si="34"/>
        <v>0.57431192660550456</v>
      </c>
      <c r="R1631" t="str">
        <f>IFERROR(VLOOKUP(C1631,Customers!$A$2:$F$301,1,FALSE),"")</f>
        <v>CUST-0254</v>
      </c>
      <c r="S1631" s="27" t="b">
        <f>IFERROR(VLOOKUP(D1631,Products!$A$2:$F$61,6,FALSE),"")</f>
        <v>1</v>
      </c>
      <c r="BL1631">
        <v>0</v>
      </c>
      <c r="BO1631">
        <v>0</v>
      </c>
      <c r="BP1631">
        <v>0</v>
      </c>
    </row>
    <row r="1632" spans="1:68" x14ac:dyDescent="0.35">
      <c r="A1632" s="26" t="str">
        <f>Orders!A1632</f>
        <v>ORD-01631</v>
      </c>
      <c r="B1632" s="33">
        <f>Orders!B1632</f>
        <v>45574</v>
      </c>
      <c r="C1632" t="str">
        <f>Orders!C1632</f>
        <v>CUST-0212</v>
      </c>
      <c r="D1632" t="str">
        <f>Orders!D1632</f>
        <v>PROD-011</v>
      </c>
      <c r="E1632" t="str">
        <f>Orders!E1632</f>
        <v>R024</v>
      </c>
      <c r="F1632">
        <f>Orders!F1632</f>
        <v>3</v>
      </c>
      <c r="G1632" s="35">
        <f>Orders!G1632</f>
        <v>3450</v>
      </c>
      <c r="H1632" s="37">
        <f>Orders!H1632</f>
        <v>23</v>
      </c>
      <c r="I1632" s="39">
        <f>Orders!I1632</f>
        <v>7969.5</v>
      </c>
      <c r="J1632" t="str">
        <f>Orders!J1632</f>
        <v>Pending</v>
      </c>
      <c r="K1632" t="str">
        <f>Orders!K1632</f>
        <v>Chennai</v>
      </c>
      <c r="L1632" t="str">
        <f>IFERROR(VLOOKUP(D1632,Products!$A$2:$F$61,3,FALSE),"")</f>
        <v>Apparel</v>
      </c>
      <c r="M1632">
        <f>IFERROR(VLOOKUP(D1632,Products!$A$2:$F$61,4,FALSE),"")</f>
        <v>1748</v>
      </c>
      <c r="N1632" t="str">
        <f>IFERROR(VLOOKUP(E1632,Sales_Reps!$A$2:$E$31,3,FALSE),"")</f>
        <v>West</v>
      </c>
      <c r="O1632" t="str">
        <f>IFERROR(VLOOKUP(C1632,Customers!$A$2:$F$301,5,FALSE),"")</f>
        <v>SMB</v>
      </c>
      <c r="P1632">
        <f>IFERROR(VLOOKUP(C1632,Customers!$A$2:$F$301,3,FALSE),"")</f>
        <v>46</v>
      </c>
      <c r="Q1632" s="41">
        <f t="shared" si="34"/>
        <v>0.49333333333333335</v>
      </c>
      <c r="R1632" t="str">
        <f>IFERROR(VLOOKUP(C1632,Customers!$A$2:$F$301,1,FALSE),"")</f>
        <v>CUST-0212</v>
      </c>
      <c r="S1632" s="27" t="b">
        <f>IFERROR(VLOOKUP(D1632,Products!$A$2:$F$61,6,FALSE),"")</f>
        <v>1</v>
      </c>
      <c r="BL1632">
        <v>0</v>
      </c>
      <c r="BO1632">
        <v>0</v>
      </c>
      <c r="BP1632">
        <v>0</v>
      </c>
    </row>
    <row r="1633" spans="1:68" x14ac:dyDescent="0.35">
      <c r="A1633" s="26" t="str">
        <f>Orders!A1633</f>
        <v>ORD-01632</v>
      </c>
      <c r="B1633" s="33">
        <f>Orders!B1633</f>
        <v>45365</v>
      </c>
      <c r="C1633" t="str">
        <f>Orders!C1633</f>
        <v>CUST-0109</v>
      </c>
      <c r="D1633" t="str">
        <f>Orders!D1633</f>
        <v>PROD-049</v>
      </c>
      <c r="E1633" t="str">
        <f>Orders!E1633</f>
        <v>R015</v>
      </c>
      <c r="F1633">
        <f>Orders!F1633</f>
        <v>1</v>
      </c>
      <c r="G1633" s="35">
        <f>Orders!G1633</f>
        <v>960</v>
      </c>
      <c r="H1633" s="37">
        <f>Orders!H1633</f>
        <v>1.1000000000000001</v>
      </c>
      <c r="I1633" s="39">
        <f>Orders!I1633</f>
        <v>949.44</v>
      </c>
      <c r="J1633" t="str">
        <f>Orders!J1633</f>
        <v>Completed</v>
      </c>
      <c r="K1633" t="str">
        <f>Orders!K1633</f>
        <v>Pune</v>
      </c>
      <c r="L1633" t="str">
        <f>IFERROR(VLOOKUP(D1633,Products!$A$2:$F$61,3,FALSE),"")</f>
        <v>Beauty</v>
      </c>
      <c r="M1633">
        <f>IFERROR(VLOOKUP(D1633,Products!$A$2:$F$61,4,FALSE),"")</f>
        <v>675</v>
      </c>
      <c r="N1633" t="str">
        <f>IFERROR(VLOOKUP(E1633,Sales_Reps!$A$2:$E$31,3,FALSE),"")</f>
        <v>South</v>
      </c>
      <c r="O1633" t="str">
        <f>IFERROR(VLOOKUP(C1633,Customers!$A$2:$F$301,5,FALSE),"")</f>
        <v>Retail</v>
      </c>
      <c r="P1633">
        <f>IFERROR(VLOOKUP(C1633,Customers!$A$2:$F$301,3,FALSE),"")</f>
        <v>42</v>
      </c>
      <c r="Q1633" s="41">
        <f t="shared" si="34"/>
        <v>0.296875</v>
      </c>
      <c r="R1633" t="str">
        <f>IFERROR(VLOOKUP(C1633,Customers!$A$2:$F$301,1,FALSE),"")</f>
        <v>CUST-0109</v>
      </c>
      <c r="S1633" s="27" t="b">
        <f>IFERROR(VLOOKUP(D1633,Products!$A$2:$F$61,6,FALSE),"")</f>
        <v>1</v>
      </c>
      <c r="BL1633">
        <v>0</v>
      </c>
      <c r="BO1633">
        <v>0</v>
      </c>
      <c r="BP1633">
        <v>0</v>
      </c>
    </row>
    <row r="1634" spans="1:68" x14ac:dyDescent="0.35">
      <c r="A1634" s="26" t="str">
        <f>Orders!A1634</f>
        <v>ORD-01633</v>
      </c>
      <c r="B1634" s="33">
        <f>Orders!B1634</f>
        <v>45577</v>
      </c>
      <c r="C1634" t="str">
        <f>Orders!C1634</f>
        <v>CUST-0087</v>
      </c>
      <c r="D1634" t="str">
        <f>Orders!D1634</f>
        <v>PROD-028</v>
      </c>
      <c r="E1634" t="str">
        <f>Orders!E1634</f>
        <v>R030</v>
      </c>
      <c r="F1634">
        <f>Orders!F1634</f>
        <v>9</v>
      </c>
      <c r="G1634" s="35">
        <f>Orders!G1634</f>
        <v>3660</v>
      </c>
      <c r="H1634" s="37">
        <f>Orders!H1634</f>
        <v>9</v>
      </c>
      <c r="I1634" s="39">
        <f>Orders!I1634</f>
        <v>29975.4</v>
      </c>
      <c r="J1634" t="str">
        <f>Orders!J1634</f>
        <v>Completed</v>
      </c>
      <c r="K1634" t="str">
        <f>Orders!K1634</f>
        <v>Pune</v>
      </c>
      <c r="L1634" t="str">
        <f>IFERROR(VLOOKUP(D1634,Products!$A$2:$F$61,3,FALSE),"")</f>
        <v>Grocery</v>
      </c>
      <c r="M1634">
        <f>IFERROR(VLOOKUP(D1634,Products!$A$2:$F$61,4,FALSE),"")</f>
        <v>2214</v>
      </c>
      <c r="N1634" t="str">
        <f>IFERROR(VLOOKUP(E1634,Sales_Reps!$A$2:$E$31,3,FALSE),"")</f>
        <v>West</v>
      </c>
      <c r="O1634" t="str">
        <f>IFERROR(VLOOKUP(C1634,Customers!$A$2:$F$301,5,FALSE),"")</f>
        <v>SMB</v>
      </c>
      <c r="P1634">
        <f>IFERROR(VLOOKUP(C1634,Customers!$A$2:$F$301,3,FALSE),"")</f>
        <v>49</v>
      </c>
      <c r="Q1634" s="41">
        <f t="shared" si="34"/>
        <v>0.39508196721311473</v>
      </c>
      <c r="R1634" t="str">
        <f>IFERROR(VLOOKUP(C1634,Customers!$A$2:$F$301,1,FALSE),"")</f>
        <v>CUST-0087</v>
      </c>
      <c r="S1634" s="27" t="b">
        <f>IFERROR(VLOOKUP(D1634,Products!$A$2:$F$61,6,FALSE),"")</f>
        <v>0</v>
      </c>
      <c r="BL1634">
        <v>0</v>
      </c>
      <c r="BO1634">
        <v>0</v>
      </c>
      <c r="BP1634">
        <v>1</v>
      </c>
    </row>
    <row r="1635" spans="1:68" x14ac:dyDescent="0.35">
      <c r="A1635" s="26" t="str">
        <f>Orders!A1635</f>
        <v>ORD-01634</v>
      </c>
      <c r="B1635" s="33">
        <f>Orders!B1635</f>
        <v>45420</v>
      </c>
      <c r="C1635" t="str">
        <f>Orders!C1635</f>
        <v>CUST-0167</v>
      </c>
      <c r="D1635" t="str">
        <f>Orders!D1635</f>
        <v>PROD-031</v>
      </c>
      <c r="E1635" t="str">
        <f>Orders!E1635</f>
        <v>R008</v>
      </c>
      <c r="F1635">
        <f>Orders!F1635</f>
        <v>3</v>
      </c>
      <c r="G1635" s="35">
        <f>Orders!G1635</f>
        <v>3730</v>
      </c>
      <c r="H1635" s="37">
        <f>Orders!H1635</f>
        <v>15.8</v>
      </c>
      <c r="I1635" s="39">
        <f>Orders!I1635</f>
        <v>9421.98</v>
      </c>
      <c r="J1635" t="str">
        <f>Orders!J1635</f>
        <v>Completed</v>
      </c>
      <c r="K1635" t="str">
        <f>Orders!K1635</f>
        <v>Delhi</v>
      </c>
      <c r="L1635" t="str">
        <f>IFERROR(VLOOKUP(D1635,Products!$A$2:$F$61,3,FALSE),"")</f>
        <v>Home</v>
      </c>
      <c r="M1635">
        <f>IFERROR(VLOOKUP(D1635,Products!$A$2:$F$61,4,FALSE),"")</f>
        <v>2135</v>
      </c>
      <c r="N1635" t="str">
        <f>IFERROR(VLOOKUP(E1635,Sales_Reps!$A$2:$E$31,3,FALSE),"")</f>
        <v>North</v>
      </c>
      <c r="O1635" t="str">
        <f>IFERROR(VLOOKUP(C1635,Customers!$A$2:$F$301,5,FALSE),"")</f>
        <v>Retail</v>
      </c>
      <c r="P1635">
        <f>IFERROR(VLOOKUP(C1635,Customers!$A$2:$F$301,3,FALSE),"")</f>
        <v>43</v>
      </c>
      <c r="Q1635" s="41">
        <f t="shared" si="34"/>
        <v>0.42761394101876676</v>
      </c>
      <c r="R1635" t="str">
        <f>IFERROR(VLOOKUP(C1635,Customers!$A$2:$F$301,1,FALSE),"")</f>
        <v>CUST-0167</v>
      </c>
      <c r="S1635" s="27" t="b">
        <f>IFERROR(VLOOKUP(D1635,Products!$A$2:$F$61,6,FALSE),"")</f>
        <v>1</v>
      </c>
      <c r="BL1635">
        <v>0</v>
      </c>
      <c r="BO1635">
        <v>0</v>
      </c>
      <c r="BP1635">
        <v>0</v>
      </c>
    </row>
    <row r="1636" spans="1:68" x14ac:dyDescent="0.35">
      <c r="A1636" s="26" t="str">
        <f>Orders!A1636</f>
        <v>ORD-01635</v>
      </c>
      <c r="B1636" s="33">
        <f>Orders!B1636</f>
        <v>45347</v>
      </c>
      <c r="C1636" t="str">
        <f>Orders!C1636</f>
        <v>CUST-0079</v>
      </c>
      <c r="D1636" t="str">
        <f>Orders!D1636</f>
        <v>PROD-026</v>
      </c>
      <c r="E1636" t="str">
        <f>Orders!E1636</f>
        <v>R004</v>
      </c>
      <c r="F1636">
        <f>Orders!F1636</f>
        <v>6</v>
      </c>
      <c r="G1636" s="35">
        <f>Orders!G1636</f>
        <v>4070</v>
      </c>
      <c r="H1636" s="37">
        <f>Orders!H1636</f>
        <v>6.2</v>
      </c>
      <c r="I1636" s="39">
        <f>Orders!I1636</f>
        <v>22905.96</v>
      </c>
      <c r="J1636" t="str">
        <f>Orders!J1636</f>
        <v>Completed</v>
      </c>
      <c r="K1636" t="str">
        <f>Orders!K1636</f>
        <v>Mumbai</v>
      </c>
      <c r="L1636" t="str">
        <f>IFERROR(VLOOKUP(D1636,Products!$A$2:$F$61,3,FALSE),"")</f>
        <v>Grocery</v>
      </c>
      <c r="M1636">
        <f>IFERROR(VLOOKUP(D1636,Products!$A$2:$F$61,4,FALSE),"")</f>
        <v>2027</v>
      </c>
      <c r="N1636" t="str">
        <f>IFERROR(VLOOKUP(E1636,Sales_Reps!$A$2:$E$31,3,FALSE),"")</f>
        <v>North</v>
      </c>
      <c r="O1636" t="str">
        <f>IFERROR(VLOOKUP(C1636,Customers!$A$2:$F$301,5,FALSE),"")</f>
        <v>Corporate</v>
      </c>
      <c r="P1636">
        <f>IFERROR(VLOOKUP(C1636,Customers!$A$2:$F$301,3,FALSE),"")</f>
        <v>60</v>
      </c>
      <c r="Q1636" s="41">
        <f t="shared" si="34"/>
        <v>0.50196560196560192</v>
      </c>
      <c r="R1636" t="str">
        <f>IFERROR(VLOOKUP(C1636,Customers!$A$2:$F$301,1,FALSE),"")</f>
        <v>CUST-0079</v>
      </c>
      <c r="S1636" s="27" t="b">
        <f>IFERROR(VLOOKUP(D1636,Products!$A$2:$F$61,6,FALSE),"")</f>
        <v>1</v>
      </c>
      <c r="BL1636">
        <v>0</v>
      </c>
      <c r="BO1636">
        <v>0</v>
      </c>
      <c r="BP1636">
        <v>0</v>
      </c>
    </row>
    <row r="1637" spans="1:68" x14ac:dyDescent="0.35">
      <c r="A1637" s="26" t="str">
        <f>Orders!A1637</f>
        <v>ORD-01636</v>
      </c>
      <c r="B1637" s="33">
        <f>Orders!B1637</f>
        <v>45329</v>
      </c>
      <c r="C1637" t="str">
        <f>Orders!C1637</f>
        <v>CUST-0115</v>
      </c>
      <c r="D1637" t="str">
        <f>Orders!D1637</f>
        <v>PROD-008</v>
      </c>
      <c r="E1637" t="str">
        <f>Orders!E1637</f>
        <v>R022</v>
      </c>
      <c r="F1637">
        <f>Orders!F1637</f>
        <v>1</v>
      </c>
      <c r="G1637" s="35">
        <f>Orders!G1637</f>
        <v>2660</v>
      </c>
      <c r="H1637" s="37">
        <f>Orders!H1637</f>
        <v>14.6</v>
      </c>
      <c r="I1637" s="39">
        <f>Orders!I1637</f>
        <v>2271.64</v>
      </c>
      <c r="J1637" t="str">
        <f>Orders!J1637</f>
        <v>Completed</v>
      </c>
      <c r="K1637" t="str">
        <f>Orders!K1637</f>
        <v>Mumbai</v>
      </c>
      <c r="L1637" t="str">
        <f>IFERROR(VLOOKUP(D1637,Products!$A$2:$F$61,3,FALSE),"")</f>
        <v>Electronics</v>
      </c>
      <c r="M1637">
        <f>IFERROR(VLOOKUP(D1637,Products!$A$2:$F$61,4,FALSE),"")</f>
        <v>1259</v>
      </c>
      <c r="N1637" t="str">
        <f>IFERROR(VLOOKUP(E1637,Sales_Reps!$A$2:$E$31,3,FALSE),"")</f>
        <v>East</v>
      </c>
      <c r="O1637" t="str">
        <f>IFERROR(VLOOKUP(C1637,Customers!$A$2:$F$301,5,FALSE),"")</f>
        <v>SMB</v>
      </c>
      <c r="P1637">
        <f>IFERROR(VLOOKUP(C1637,Customers!$A$2:$F$301,3,FALSE),"")</f>
        <v>65</v>
      </c>
      <c r="Q1637" s="41">
        <f t="shared" si="34"/>
        <v>0.52669172932330832</v>
      </c>
      <c r="R1637" t="str">
        <f>IFERROR(VLOOKUP(C1637,Customers!$A$2:$F$301,1,FALSE),"")</f>
        <v>CUST-0115</v>
      </c>
      <c r="S1637" s="27" t="b">
        <f>IFERROR(VLOOKUP(D1637,Products!$A$2:$F$61,6,FALSE),"")</f>
        <v>0</v>
      </c>
      <c r="BL1637">
        <v>0</v>
      </c>
      <c r="BO1637">
        <v>0</v>
      </c>
      <c r="BP1637">
        <v>1</v>
      </c>
    </row>
    <row r="1638" spans="1:68" x14ac:dyDescent="0.35">
      <c r="A1638" s="26" t="str">
        <f>Orders!A1638</f>
        <v>ORD-01637</v>
      </c>
      <c r="B1638" s="33">
        <f>Orders!B1638</f>
        <v>45378</v>
      </c>
      <c r="C1638" t="str">
        <f>Orders!C1638</f>
        <v>CUST-0184</v>
      </c>
      <c r="D1638" t="str">
        <f>Orders!D1638</f>
        <v>PROD-033</v>
      </c>
      <c r="E1638" t="str">
        <f>Orders!E1638</f>
        <v>R003</v>
      </c>
      <c r="F1638">
        <f>Orders!F1638</f>
        <v>3</v>
      </c>
      <c r="G1638" s="35">
        <f>Orders!G1638</f>
        <v>2030</v>
      </c>
      <c r="H1638" s="37">
        <f>Orders!H1638</f>
        <v>13.3</v>
      </c>
      <c r="I1638" s="39">
        <f>Orders!I1638</f>
        <v>5280.03</v>
      </c>
      <c r="J1638" t="str">
        <f>Orders!J1638</f>
        <v>Cancelled</v>
      </c>
      <c r="K1638" t="str">
        <f>Orders!K1638</f>
        <v>Pune</v>
      </c>
      <c r="L1638" t="str">
        <f>IFERROR(VLOOKUP(D1638,Products!$A$2:$F$61,3,FALSE),"")</f>
        <v>Home</v>
      </c>
      <c r="M1638">
        <f>IFERROR(VLOOKUP(D1638,Products!$A$2:$F$61,4,FALSE),"")</f>
        <v>1143</v>
      </c>
      <c r="N1638" t="str">
        <f>IFERROR(VLOOKUP(E1638,Sales_Reps!$A$2:$E$31,3,FALSE),"")</f>
        <v>North</v>
      </c>
      <c r="O1638" t="str">
        <f>IFERROR(VLOOKUP(C1638,Customers!$A$2:$F$301,5,FALSE),"")</f>
        <v>Retail</v>
      </c>
      <c r="P1638">
        <f>IFERROR(VLOOKUP(C1638,Customers!$A$2:$F$301,3,FALSE),"")</f>
        <v>63</v>
      </c>
      <c r="Q1638" s="41">
        <f t="shared" si="34"/>
        <v>0.43694581280788175</v>
      </c>
      <c r="R1638" t="str">
        <f>IFERROR(VLOOKUP(C1638,Customers!$A$2:$F$301,1,FALSE),"")</f>
        <v>CUST-0184</v>
      </c>
      <c r="S1638" s="27" t="b">
        <f>IFERROR(VLOOKUP(D1638,Products!$A$2:$F$61,6,FALSE),"")</f>
        <v>1</v>
      </c>
      <c r="BL1638">
        <v>0</v>
      </c>
      <c r="BO1638">
        <v>0</v>
      </c>
      <c r="BP1638">
        <v>0</v>
      </c>
    </row>
    <row r="1639" spans="1:68" x14ac:dyDescent="0.35">
      <c r="A1639" s="26" t="str">
        <f>Orders!A1639</f>
        <v>ORD-01638</v>
      </c>
      <c r="B1639" s="33">
        <f>Orders!B1639</f>
        <v>45393</v>
      </c>
      <c r="C1639" t="str">
        <f>Orders!C1639</f>
        <v>CUST-0084</v>
      </c>
      <c r="D1639" t="str">
        <f>Orders!D1639</f>
        <v>PROD-028</v>
      </c>
      <c r="E1639" t="str">
        <f>Orders!E1639</f>
        <v>R001</v>
      </c>
      <c r="F1639">
        <f>Orders!F1639</f>
        <v>4</v>
      </c>
      <c r="G1639" s="35">
        <f>Orders!G1639</f>
        <v>3660</v>
      </c>
      <c r="H1639" s="37">
        <f>Orders!H1639</f>
        <v>2.2000000000000002</v>
      </c>
      <c r="I1639" s="39">
        <f>Orders!I1639</f>
        <v>14317.92</v>
      </c>
      <c r="J1639" t="str">
        <f>Orders!J1639</f>
        <v>Completed</v>
      </c>
      <c r="K1639" t="str">
        <f>Orders!K1639</f>
        <v>Chennai</v>
      </c>
      <c r="L1639" t="str">
        <f>IFERROR(VLOOKUP(D1639,Products!$A$2:$F$61,3,FALSE),"")</f>
        <v>Grocery</v>
      </c>
      <c r="M1639">
        <f>IFERROR(VLOOKUP(D1639,Products!$A$2:$F$61,4,FALSE),"")</f>
        <v>2214</v>
      </c>
      <c r="N1639" t="str">
        <f>IFERROR(VLOOKUP(E1639,Sales_Reps!$A$2:$E$31,3,FALSE),"")</f>
        <v>North</v>
      </c>
      <c r="O1639" t="str">
        <f>IFERROR(VLOOKUP(C1639,Customers!$A$2:$F$301,5,FALSE),"")</f>
        <v>Retail</v>
      </c>
      <c r="P1639">
        <f>IFERROR(VLOOKUP(C1639,Customers!$A$2:$F$301,3,FALSE),"")</f>
        <v>28</v>
      </c>
      <c r="Q1639" s="41">
        <f t="shared" si="34"/>
        <v>0.39508196721311473</v>
      </c>
      <c r="R1639" t="str">
        <f>IFERROR(VLOOKUP(C1639,Customers!$A$2:$F$301,1,FALSE),"")</f>
        <v>CUST-0084</v>
      </c>
      <c r="S1639" s="27" t="b">
        <f>IFERROR(VLOOKUP(D1639,Products!$A$2:$F$61,6,FALSE),"")</f>
        <v>0</v>
      </c>
      <c r="BL1639">
        <v>0</v>
      </c>
      <c r="BO1639">
        <v>0</v>
      </c>
      <c r="BP1639">
        <v>1</v>
      </c>
    </row>
    <row r="1640" spans="1:68" x14ac:dyDescent="0.35">
      <c r="A1640" s="26" t="str">
        <f>Orders!A1640</f>
        <v>ORD-01639</v>
      </c>
      <c r="B1640" s="33">
        <f>Orders!B1640</f>
        <v>45364</v>
      </c>
      <c r="C1640" t="str">
        <f>Orders!C1640</f>
        <v>CUST-0186</v>
      </c>
      <c r="D1640" t="str">
        <f>Orders!D1640</f>
        <v>PROD-008</v>
      </c>
      <c r="E1640" t="str">
        <f>Orders!E1640</f>
        <v>R006</v>
      </c>
      <c r="F1640">
        <f>Orders!F1640</f>
        <v>2</v>
      </c>
      <c r="G1640" s="35">
        <f>Orders!G1640</f>
        <v>2660</v>
      </c>
      <c r="H1640" s="37">
        <f>Orders!H1640</f>
        <v>7.2</v>
      </c>
      <c r="I1640" s="39">
        <f>Orders!I1640</f>
        <v>4936.96</v>
      </c>
      <c r="J1640" t="str">
        <f>Orders!J1640</f>
        <v>Cancelled</v>
      </c>
      <c r="K1640" t="str">
        <f>Orders!K1640</f>
        <v>Bengaluru</v>
      </c>
      <c r="L1640" t="str">
        <f>IFERROR(VLOOKUP(D1640,Products!$A$2:$F$61,3,FALSE),"")</f>
        <v>Electronics</v>
      </c>
      <c r="M1640">
        <f>IFERROR(VLOOKUP(D1640,Products!$A$2:$F$61,4,FALSE),"")</f>
        <v>1259</v>
      </c>
      <c r="N1640" t="str">
        <f>IFERROR(VLOOKUP(E1640,Sales_Reps!$A$2:$E$31,3,FALSE),"")</f>
        <v>North</v>
      </c>
      <c r="O1640" t="str">
        <f>IFERROR(VLOOKUP(C1640,Customers!$A$2:$F$301,5,FALSE),"")</f>
        <v>Retail</v>
      </c>
      <c r="P1640">
        <f>IFERROR(VLOOKUP(C1640,Customers!$A$2:$F$301,3,FALSE),"")</f>
        <v>42</v>
      </c>
      <c r="Q1640" s="41">
        <f t="shared" si="34"/>
        <v>0.52669172932330832</v>
      </c>
      <c r="R1640" t="str">
        <f>IFERROR(VLOOKUP(C1640,Customers!$A$2:$F$301,1,FALSE),"")</f>
        <v>CUST-0186</v>
      </c>
      <c r="S1640" s="27" t="b">
        <f>IFERROR(VLOOKUP(D1640,Products!$A$2:$F$61,6,FALSE),"")</f>
        <v>0</v>
      </c>
      <c r="BL1640">
        <v>0</v>
      </c>
      <c r="BO1640">
        <v>0</v>
      </c>
      <c r="BP1640">
        <v>1</v>
      </c>
    </row>
    <row r="1641" spans="1:68" x14ac:dyDescent="0.35">
      <c r="A1641" s="26" t="str">
        <f>Orders!A1641</f>
        <v>ORD-01640</v>
      </c>
      <c r="B1641" s="33">
        <f>Orders!B1641</f>
        <v>45624</v>
      </c>
      <c r="C1641" t="str">
        <f>Orders!C1641</f>
        <v>CUST-0077</v>
      </c>
      <c r="D1641" t="str">
        <f>Orders!D1641</f>
        <v>PROD-046</v>
      </c>
      <c r="E1641" t="str">
        <f>Orders!E1641</f>
        <v>R013</v>
      </c>
      <c r="F1641">
        <f>Orders!F1641</f>
        <v>2</v>
      </c>
      <c r="G1641" s="35">
        <f>Orders!G1641</f>
        <v>4880</v>
      </c>
      <c r="H1641" s="37">
        <f>Orders!H1641</f>
        <v>23.8</v>
      </c>
      <c r="I1641" s="39">
        <f>Orders!I1641</f>
        <v>7437.12</v>
      </c>
      <c r="J1641" t="str">
        <f>Orders!J1641</f>
        <v>Completed</v>
      </c>
      <c r="K1641" t="str">
        <f>Orders!K1641</f>
        <v>Hyderabad</v>
      </c>
      <c r="L1641" t="str">
        <f>IFERROR(VLOOKUP(D1641,Products!$A$2:$F$61,3,FALSE),"")</f>
        <v>Beauty</v>
      </c>
      <c r="M1641">
        <f>IFERROR(VLOOKUP(D1641,Products!$A$2:$F$61,4,FALSE),"")</f>
        <v>2768</v>
      </c>
      <c r="N1641" t="str">
        <f>IFERROR(VLOOKUP(E1641,Sales_Reps!$A$2:$E$31,3,FALSE),"")</f>
        <v>South</v>
      </c>
      <c r="O1641" t="str">
        <f>IFERROR(VLOOKUP(C1641,Customers!$A$2:$F$301,5,FALSE),"")</f>
        <v>SMB</v>
      </c>
      <c r="P1641">
        <f>IFERROR(VLOOKUP(C1641,Customers!$A$2:$F$301,3,FALSE),"")</f>
        <v>48</v>
      </c>
      <c r="Q1641" s="41">
        <f t="shared" si="34"/>
        <v>0.43278688524590164</v>
      </c>
      <c r="R1641" t="str">
        <f>IFERROR(VLOOKUP(C1641,Customers!$A$2:$F$301,1,FALSE),"")</f>
        <v>CUST-0077</v>
      </c>
      <c r="S1641" s="27" t="b">
        <f>IFERROR(VLOOKUP(D1641,Products!$A$2:$F$61,6,FALSE),"")</f>
        <v>1</v>
      </c>
      <c r="BL1641">
        <v>0</v>
      </c>
      <c r="BO1641">
        <v>0</v>
      </c>
      <c r="BP1641">
        <v>0</v>
      </c>
    </row>
    <row r="1642" spans="1:68" x14ac:dyDescent="0.35">
      <c r="A1642" s="26" t="str">
        <f>Orders!A1642</f>
        <v>ORD-01641</v>
      </c>
      <c r="B1642" s="33">
        <f>Orders!B1642</f>
        <v>45411</v>
      </c>
      <c r="C1642" t="str">
        <f>Orders!C1642</f>
        <v>CUST-0093</v>
      </c>
      <c r="D1642" t="str">
        <f>Orders!D1642</f>
        <v>PROD-011</v>
      </c>
      <c r="E1642" t="str">
        <f>Orders!E1642</f>
        <v>R011</v>
      </c>
      <c r="F1642">
        <f>Orders!F1642</f>
        <v>1</v>
      </c>
      <c r="G1642" s="35">
        <f>Orders!G1642</f>
        <v>3450</v>
      </c>
      <c r="H1642" s="37">
        <f>Orders!H1642</f>
        <v>1.7</v>
      </c>
      <c r="I1642" s="39">
        <f>Orders!I1642</f>
        <v>3391.35</v>
      </c>
      <c r="J1642" t="str">
        <f>Orders!J1642</f>
        <v>Completed</v>
      </c>
      <c r="K1642" t="str">
        <f>Orders!K1642</f>
        <v>Pune</v>
      </c>
      <c r="L1642" t="str">
        <f>IFERROR(VLOOKUP(D1642,Products!$A$2:$F$61,3,FALSE),"")</f>
        <v>Apparel</v>
      </c>
      <c r="M1642">
        <f>IFERROR(VLOOKUP(D1642,Products!$A$2:$F$61,4,FALSE),"")</f>
        <v>1748</v>
      </c>
      <c r="N1642" t="str">
        <f>IFERROR(VLOOKUP(E1642,Sales_Reps!$A$2:$E$31,3,FALSE),"")</f>
        <v>South</v>
      </c>
      <c r="O1642" t="str">
        <f>IFERROR(VLOOKUP(C1642,Customers!$A$2:$F$301,5,FALSE),"")</f>
        <v>Retail</v>
      </c>
      <c r="P1642">
        <f>IFERROR(VLOOKUP(C1642,Customers!$A$2:$F$301,3,FALSE),"")</f>
        <v>36</v>
      </c>
      <c r="Q1642" s="41">
        <f t="shared" si="34"/>
        <v>0.49333333333333335</v>
      </c>
      <c r="R1642" t="str">
        <f>IFERROR(VLOOKUP(C1642,Customers!$A$2:$F$301,1,FALSE),"")</f>
        <v>CUST-0093</v>
      </c>
      <c r="S1642" s="27" t="b">
        <f>IFERROR(VLOOKUP(D1642,Products!$A$2:$F$61,6,FALSE),"")</f>
        <v>1</v>
      </c>
      <c r="BL1642">
        <v>0</v>
      </c>
      <c r="BO1642">
        <v>0</v>
      </c>
      <c r="BP1642">
        <v>0</v>
      </c>
    </row>
    <row r="1643" spans="1:68" x14ac:dyDescent="0.35">
      <c r="A1643" s="26" t="str">
        <f>Orders!A1643</f>
        <v>ORD-01642</v>
      </c>
      <c r="B1643" s="33">
        <f>Orders!B1643</f>
        <v>45550</v>
      </c>
      <c r="C1643" t="str">
        <f>Orders!C1643</f>
        <v>CUST-0018</v>
      </c>
      <c r="D1643" t="str">
        <f>Orders!D1643</f>
        <v>PROD-045</v>
      </c>
      <c r="E1643" t="str">
        <f>Orders!E1643</f>
        <v>R023</v>
      </c>
      <c r="F1643">
        <f>Orders!F1643</f>
        <v>4</v>
      </c>
      <c r="G1643" s="35">
        <f>Orders!G1643</f>
        <v>3020</v>
      </c>
      <c r="H1643" s="37">
        <f>Orders!H1643</f>
        <v>17.8</v>
      </c>
      <c r="I1643" s="39">
        <f>Orders!I1643</f>
        <v>9929.76</v>
      </c>
      <c r="J1643" t="str">
        <f>Orders!J1643</f>
        <v>Completed</v>
      </c>
      <c r="K1643" t="str">
        <f>Orders!K1643</f>
        <v>Pune</v>
      </c>
      <c r="L1643" t="str">
        <f>IFERROR(VLOOKUP(D1643,Products!$A$2:$F$61,3,FALSE),"")</f>
        <v>Beauty</v>
      </c>
      <c r="M1643">
        <f>IFERROR(VLOOKUP(D1643,Products!$A$2:$F$61,4,FALSE),"")</f>
        <v>1626</v>
      </c>
      <c r="N1643" t="str">
        <f>IFERROR(VLOOKUP(E1643,Sales_Reps!$A$2:$E$31,3,FALSE),"")</f>
        <v>East</v>
      </c>
      <c r="O1643" t="str">
        <f>IFERROR(VLOOKUP(C1643,Customers!$A$2:$F$301,5,FALSE),"")</f>
        <v>SMB</v>
      </c>
      <c r="P1643">
        <f>IFERROR(VLOOKUP(C1643,Customers!$A$2:$F$301,3,FALSE),"")</f>
        <v>54</v>
      </c>
      <c r="Q1643" s="41">
        <f t="shared" si="34"/>
        <v>0.46158940397350995</v>
      </c>
      <c r="R1643" t="str">
        <f>IFERROR(VLOOKUP(C1643,Customers!$A$2:$F$301,1,FALSE),"")</f>
        <v>CUST-0018</v>
      </c>
      <c r="S1643" s="27" t="b">
        <f>IFERROR(VLOOKUP(D1643,Products!$A$2:$F$61,6,FALSE),"")</f>
        <v>1</v>
      </c>
      <c r="BL1643">
        <v>0</v>
      </c>
      <c r="BO1643">
        <v>0</v>
      </c>
      <c r="BP1643">
        <v>0</v>
      </c>
    </row>
    <row r="1644" spans="1:68" x14ac:dyDescent="0.35">
      <c r="A1644" s="26" t="str">
        <f>Orders!A1644</f>
        <v>ORD-01643</v>
      </c>
      <c r="B1644" s="33">
        <f>Orders!B1644</f>
        <v>45512</v>
      </c>
      <c r="C1644" t="str">
        <f>Orders!C1644</f>
        <v>CUST-0034</v>
      </c>
      <c r="D1644" t="str">
        <f>Orders!D1644</f>
        <v>PROD-056</v>
      </c>
      <c r="E1644" t="str">
        <f>Orders!E1644</f>
        <v>R021</v>
      </c>
      <c r="F1644">
        <f>Orders!F1644</f>
        <v>6</v>
      </c>
      <c r="G1644" s="35">
        <f>Orders!G1644</f>
        <v>6940</v>
      </c>
      <c r="H1644" s="37">
        <f>Orders!H1644</f>
        <v>8.9</v>
      </c>
      <c r="I1644" s="39">
        <f>Orders!I1644</f>
        <v>37934.04</v>
      </c>
      <c r="J1644" t="str">
        <f>Orders!J1644</f>
        <v>Completed</v>
      </c>
      <c r="K1644" t="str">
        <f>Orders!K1644</f>
        <v>Delhi</v>
      </c>
      <c r="L1644" t="str">
        <f>IFERROR(VLOOKUP(D1644,Products!$A$2:$F$61,3,FALSE),"")</f>
        <v>Sports</v>
      </c>
      <c r="M1644">
        <f>IFERROR(VLOOKUP(D1644,Products!$A$2:$F$61,4,FALSE),"")</f>
        <v>2827</v>
      </c>
      <c r="N1644" t="str">
        <f>IFERROR(VLOOKUP(E1644,Sales_Reps!$A$2:$E$31,3,FALSE),"")</f>
        <v>East</v>
      </c>
      <c r="O1644" t="str">
        <f>IFERROR(VLOOKUP(C1644,Customers!$A$2:$F$301,5,FALSE),"")</f>
        <v>Retail</v>
      </c>
      <c r="P1644">
        <f>IFERROR(VLOOKUP(C1644,Customers!$A$2:$F$301,3,FALSE),"")</f>
        <v>47</v>
      </c>
      <c r="Q1644" s="41">
        <f t="shared" si="34"/>
        <v>0.5926512968299712</v>
      </c>
      <c r="R1644" t="str">
        <f>IFERROR(VLOOKUP(C1644,Customers!$A$2:$F$301,1,FALSE),"")</f>
        <v>CUST-0034</v>
      </c>
      <c r="S1644" s="27" t="b">
        <f>IFERROR(VLOOKUP(D1644,Products!$A$2:$F$61,6,FALSE),"")</f>
        <v>1</v>
      </c>
      <c r="BL1644">
        <v>0</v>
      </c>
      <c r="BO1644">
        <v>0</v>
      </c>
      <c r="BP1644">
        <v>0</v>
      </c>
    </row>
    <row r="1645" spans="1:68" x14ac:dyDescent="0.35">
      <c r="A1645" s="26" t="str">
        <f>Orders!A1645</f>
        <v>ORD-01644</v>
      </c>
      <c r="B1645" s="33">
        <f>Orders!B1645</f>
        <v>45523</v>
      </c>
      <c r="C1645" t="str">
        <f>Orders!C1645</f>
        <v>CUST-0111</v>
      </c>
      <c r="D1645" t="str">
        <f>Orders!D1645</f>
        <v>PROD-021</v>
      </c>
      <c r="E1645" t="str">
        <f>Orders!E1645</f>
        <v>R023</v>
      </c>
      <c r="F1645">
        <f>Orders!F1645</f>
        <v>10</v>
      </c>
      <c r="G1645" s="35">
        <f>Orders!G1645</f>
        <v>2760</v>
      </c>
      <c r="H1645" s="37">
        <f>Orders!H1645</f>
        <v>8.9</v>
      </c>
      <c r="I1645" s="39">
        <f>Orders!I1645</f>
        <v>25143.599999999999</v>
      </c>
      <c r="J1645" t="str">
        <f>Orders!J1645</f>
        <v>Completed</v>
      </c>
      <c r="K1645" t="str">
        <f>Orders!K1645</f>
        <v>Chennai</v>
      </c>
      <c r="L1645" t="str">
        <f>IFERROR(VLOOKUP(D1645,Products!$A$2:$F$61,3,FALSE),"")</f>
        <v>Grocery</v>
      </c>
      <c r="M1645">
        <f>IFERROR(VLOOKUP(D1645,Products!$A$2:$F$61,4,FALSE),"")</f>
        <v>1435</v>
      </c>
      <c r="N1645" t="str">
        <f>IFERROR(VLOOKUP(E1645,Sales_Reps!$A$2:$E$31,3,FALSE),"")</f>
        <v>East</v>
      </c>
      <c r="O1645" t="str">
        <f>IFERROR(VLOOKUP(C1645,Customers!$A$2:$F$301,5,FALSE),"")</f>
        <v>SMB</v>
      </c>
      <c r="P1645">
        <f>IFERROR(VLOOKUP(C1645,Customers!$A$2:$F$301,3,FALSE),"")</f>
        <v>64</v>
      </c>
      <c r="Q1645" s="41">
        <f t="shared" si="34"/>
        <v>0.48007246376811596</v>
      </c>
      <c r="R1645" t="str">
        <f>IFERROR(VLOOKUP(C1645,Customers!$A$2:$F$301,1,FALSE),"")</f>
        <v>CUST-0111</v>
      </c>
      <c r="S1645" s="27" t="b">
        <f>IFERROR(VLOOKUP(D1645,Products!$A$2:$F$61,6,FALSE),"")</f>
        <v>1</v>
      </c>
      <c r="BL1645">
        <v>0</v>
      </c>
      <c r="BO1645">
        <v>0</v>
      </c>
      <c r="BP1645">
        <v>0</v>
      </c>
    </row>
    <row r="1646" spans="1:68" x14ac:dyDescent="0.35">
      <c r="A1646" s="26" t="str">
        <f>Orders!A1646</f>
        <v>ORD-01645</v>
      </c>
      <c r="B1646" s="33">
        <f>Orders!B1646</f>
        <v>45310</v>
      </c>
      <c r="C1646" t="str">
        <f>Orders!C1646</f>
        <v>CUST-0210</v>
      </c>
      <c r="D1646" t="str">
        <f>Orders!D1646</f>
        <v>PROD-049</v>
      </c>
      <c r="E1646" t="str">
        <f>Orders!E1646</f>
        <v>R020</v>
      </c>
      <c r="F1646">
        <f>Orders!F1646</f>
        <v>8</v>
      </c>
      <c r="G1646" s="35">
        <f>Orders!G1646</f>
        <v>960</v>
      </c>
      <c r="H1646" s="37">
        <f>Orders!H1646</f>
        <v>20.9</v>
      </c>
      <c r="I1646" s="39">
        <f>Orders!I1646</f>
        <v>6074.88</v>
      </c>
      <c r="J1646" t="str">
        <f>Orders!J1646</f>
        <v>Completed</v>
      </c>
      <c r="K1646" t="str">
        <f>Orders!K1646</f>
        <v>Pune</v>
      </c>
      <c r="L1646" t="str">
        <f>IFERROR(VLOOKUP(D1646,Products!$A$2:$F$61,3,FALSE),"")</f>
        <v>Beauty</v>
      </c>
      <c r="M1646">
        <f>IFERROR(VLOOKUP(D1646,Products!$A$2:$F$61,4,FALSE),"")</f>
        <v>675</v>
      </c>
      <c r="N1646" t="str">
        <f>IFERROR(VLOOKUP(E1646,Sales_Reps!$A$2:$E$31,3,FALSE),"")</f>
        <v>East</v>
      </c>
      <c r="O1646" t="str">
        <f>IFERROR(VLOOKUP(C1646,Customers!$A$2:$F$301,5,FALSE),"")</f>
        <v>Corporate</v>
      </c>
      <c r="P1646">
        <f>IFERROR(VLOOKUP(C1646,Customers!$A$2:$F$301,3,FALSE),"")</f>
        <v>48</v>
      </c>
      <c r="Q1646" s="41">
        <f t="shared" si="34"/>
        <v>0.296875</v>
      </c>
      <c r="R1646" t="str">
        <f>IFERROR(VLOOKUP(C1646,Customers!$A$2:$F$301,1,FALSE),"")</f>
        <v>CUST-0210</v>
      </c>
      <c r="S1646" s="27" t="b">
        <f>IFERROR(VLOOKUP(D1646,Products!$A$2:$F$61,6,FALSE),"")</f>
        <v>1</v>
      </c>
      <c r="BL1646">
        <v>0</v>
      </c>
      <c r="BO1646">
        <v>0</v>
      </c>
      <c r="BP1646">
        <v>0</v>
      </c>
    </row>
    <row r="1647" spans="1:68" x14ac:dyDescent="0.35">
      <c r="A1647" s="26" t="str">
        <f>Orders!A1647</f>
        <v>ORD-01646</v>
      </c>
      <c r="B1647" s="33">
        <f>Orders!B1647</f>
        <v>45498</v>
      </c>
      <c r="C1647" t="str">
        <f>Orders!C1647</f>
        <v>CUST-0037</v>
      </c>
      <c r="D1647" t="str">
        <f>Orders!D1647</f>
        <v>PROD-049</v>
      </c>
      <c r="E1647" t="str">
        <f>Orders!E1647</f>
        <v>R012</v>
      </c>
      <c r="F1647">
        <f>Orders!F1647</f>
        <v>4</v>
      </c>
      <c r="G1647" s="35">
        <f>Orders!G1647</f>
        <v>960</v>
      </c>
      <c r="H1647" s="37">
        <f>Orders!H1647</f>
        <v>29.1</v>
      </c>
      <c r="I1647" s="39">
        <f>Orders!I1647</f>
        <v>2722.56</v>
      </c>
      <c r="J1647" t="str">
        <f>Orders!J1647</f>
        <v>Completed</v>
      </c>
      <c r="K1647" t="str">
        <f>Orders!K1647</f>
        <v>Bengaluru</v>
      </c>
      <c r="L1647" t="str">
        <f>IFERROR(VLOOKUP(D1647,Products!$A$2:$F$61,3,FALSE),"")</f>
        <v>Beauty</v>
      </c>
      <c r="M1647">
        <f>IFERROR(VLOOKUP(D1647,Products!$A$2:$F$61,4,FALSE),"")</f>
        <v>675</v>
      </c>
      <c r="N1647" t="str">
        <f>IFERROR(VLOOKUP(E1647,Sales_Reps!$A$2:$E$31,3,FALSE),"")</f>
        <v>South</v>
      </c>
      <c r="O1647" t="str">
        <f>IFERROR(VLOOKUP(C1647,Customers!$A$2:$F$301,5,FALSE),"")</f>
        <v>Retail</v>
      </c>
      <c r="P1647">
        <f>IFERROR(VLOOKUP(C1647,Customers!$A$2:$F$301,3,FALSE),"")</f>
        <v>52</v>
      </c>
      <c r="Q1647" s="41">
        <f t="shared" si="34"/>
        <v>0.296875</v>
      </c>
      <c r="R1647" t="str">
        <f>IFERROR(VLOOKUP(C1647,Customers!$A$2:$F$301,1,FALSE),"")</f>
        <v>CUST-0037</v>
      </c>
      <c r="S1647" s="27" t="b">
        <f>IFERROR(VLOOKUP(D1647,Products!$A$2:$F$61,6,FALSE),"")</f>
        <v>1</v>
      </c>
      <c r="BL1647">
        <v>0</v>
      </c>
      <c r="BO1647">
        <v>0</v>
      </c>
      <c r="BP1647">
        <v>0</v>
      </c>
    </row>
    <row r="1648" spans="1:68" x14ac:dyDescent="0.35">
      <c r="A1648" s="26" t="str">
        <f>Orders!A1648</f>
        <v>ORD-01647</v>
      </c>
      <c r="B1648" s="33">
        <f>Orders!B1648</f>
        <v>45410</v>
      </c>
      <c r="C1648" t="str">
        <f>Orders!C1648</f>
        <v>CUST-0192</v>
      </c>
      <c r="D1648" t="str">
        <f>Orders!D1648</f>
        <v>PROD-030</v>
      </c>
      <c r="E1648" t="str">
        <f>Orders!E1648</f>
        <v>R021</v>
      </c>
      <c r="F1648">
        <f>Orders!F1648</f>
        <v>1</v>
      </c>
      <c r="G1648" s="35">
        <f>Orders!G1648</f>
        <v>970</v>
      </c>
      <c r="H1648" s="37">
        <f>Orders!H1648</f>
        <v>8.4</v>
      </c>
      <c r="I1648" s="39">
        <f>Orders!I1648</f>
        <v>888.52</v>
      </c>
      <c r="J1648" t="str">
        <f>Orders!J1648</f>
        <v>Cancelled</v>
      </c>
      <c r="K1648" t="str">
        <f>Orders!K1648</f>
        <v>Bengaluru</v>
      </c>
      <c r="L1648" t="str">
        <f>IFERROR(VLOOKUP(D1648,Products!$A$2:$F$61,3,FALSE),"")</f>
        <v>Grocery</v>
      </c>
      <c r="M1648">
        <f>IFERROR(VLOOKUP(D1648,Products!$A$2:$F$61,4,FALSE),"")</f>
        <v>434</v>
      </c>
      <c r="N1648" t="str">
        <f>IFERROR(VLOOKUP(E1648,Sales_Reps!$A$2:$E$31,3,FALSE),"")</f>
        <v>East</v>
      </c>
      <c r="O1648" t="str">
        <f>IFERROR(VLOOKUP(C1648,Customers!$A$2:$F$301,5,FALSE),"")</f>
        <v>Retail</v>
      </c>
      <c r="P1648">
        <f>IFERROR(VLOOKUP(C1648,Customers!$A$2:$F$301,3,FALSE),"")</f>
        <v>55</v>
      </c>
      <c r="Q1648" s="41">
        <f t="shared" si="34"/>
        <v>0.5525773195876289</v>
      </c>
      <c r="R1648" t="str">
        <f>IFERROR(VLOOKUP(C1648,Customers!$A$2:$F$301,1,FALSE),"")</f>
        <v>CUST-0192</v>
      </c>
      <c r="S1648" s="27" t="b">
        <f>IFERROR(VLOOKUP(D1648,Products!$A$2:$F$61,6,FALSE),"")</f>
        <v>1</v>
      </c>
      <c r="BL1648">
        <v>0</v>
      </c>
      <c r="BO1648">
        <v>0</v>
      </c>
      <c r="BP1648">
        <v>0</v>
      </c>
    </row>
    <row r="1649" spans="1:68" x14ac:dyDescent="0.35">
      <c r="A1649" s="26" t="str">
        <f>Orders!A1649</f>
        <v>ORD-01648</v>
      </c>
      <c r="B1649" s="33">
        <f>Orders!B1649</f>
        <v>45400</v>
      </c>
      <c r="C1649" t="str">
        <f>Orders!C1649</f>
        <v>CUST-0038</v>
      </c>
      <c r="D1649" t="str">
        <f>Orders!D1649</f>
        <v>PROD-050</v>
      </c>
      <c r="E1649" t="str">
        <f>Orders!E1649</f>
        <v>R023</v>
      </c>
      <c r="F1649">
        <f>Orders!F1649</f>
        <v>5</v>
      </c>
      <c r="G1649" s="35">
        <f>Orders!G1649</f>
        <v>6080</v>
      </c>
      <c r="H1649" s="37">
        <f>Orders!H1649</f>
        <v>17.600000000000001</v>
      </c>
      <c r="I1649" s="39">
        <f>Orders!I1649</f>
        <v>25049.599999999999</v>
      </c>
      <c r="J1649" t="str">
        <f>Orders!J1649</f>
        <v>Completed</v>
      </c>
      <c r="K1649" t="str">
        <f>Orders!K1649</f>
        <v>Mumbai</v>
      </c>
      <c r="L1649" t="str">
        <f>IFERROR(VLOOKUP(D1649,Products!$A$2:$F$61,3,FALSE),"")</f>
        <v>Beauty</v>
      </c>
      <c r="M1649">
        <f>IFERROR(VLOOKUP(D1649,Products!$A$2:$F$61,4,FALSE),"")</f>
        <v>2617</v>
      </c>
      <c r="N1649" t="str">
        <f>IFERROR(VLOOKUP(E1649,Sales_Reps!$A$2:$E$31,3,FALSE),"")</f>
        <v>East</v>
      </c>
      <c r="O1649" t="str">
        <f>IFERROR(VLOOKUP(C1649,Customers!$A$2:$F$301,5,FALSE),"")</f>
        <v>Retail</v>
      </c>
      <c r="P1649">
        <f>IFERROR(VLOOKUP(C1649,Customers!$A$2:$F$301,3,FALSE),"")</f>
        <v>57</v>
      </c>
      <c r="Q1649" s="41">
        <f t="shared" si="34"/>
        <v>0.56957236842105263</v>
      </c>
      <c r="R1649" t="str">
        <f>IFERROR(VLOOKUP(C1649,Customers!$A$2:$F$301,1,FALSE),"")</f>
        <v>CUST-0038</v>
      </c>
      <c r="S1649" s="27" t="b">
        <f>IFERROR(VLOOKUP(D1649,Products!$A$2:$F$61,6,FALSE),"")</f>
        <v>1</v>
      </c>
      <c r="BL1649">
        <v>0</v>
      </c>
      <c r="BO1649">
        <v>0</v>
      </c>
      <c r="BP1649">
        <v>0</v>
      </c>
    </row>
    <row r="1650" spans="1:68" x14ac:dyDescent="0.35">
      <c r="A1650" s="26" t="str">
        <f>Orders!A1650</f>
        <v>ORD-01649</v>
      </c>
      <c r="B1650" s="33">
        <f>Orders!B1650</f>
        <v>45525</v>
      </c>
      <c r="C1650" t="str">
        <f>Orders!C1650</f>
        <v>CUST-0034</v>
      </c>
      <c r="D1650" t="str">
        <f>Orders!D1650</f>
        <v>PROD-028</v>
      </c>
      <c r="E1650" t="str">
        <f>Orders!E1650</f>
        <v>R013</v>
      </c>
      <c r="F1650">
        <f>Orders!F1650</f>
        <v>4</v>
      </c>
      <c r="G1650" s="35">
        <f>Orders!G1650</f>
        <v>3660</v>
      </c>
      <c r="H1650" s="37">
        <f>Orders!H1650</f>
        <v>21.8</v>
      </c>
      <c r="I1650" s="39">
        <f>Orders!I1650</f>
        <v>11448.48</v>
      </c>
      <c r="J1650" t="str">
        <f>Orders!J1650</f>
        <v>Pending</v>
      </c>
      <c r="K1650" t="str">
        <f>Orders!K1650</f>
        <v>Delhi</v>
      </c>
      <c r="L1650" t="str">
        <f>IFERROR(VLOOKUP(D1650,Products!$A$2:$F$61,3,FALSE),"")</f>
        <v>Grocery</v>
      </c>
      <c r="M1650">
        <f>IFERROR(VLOOKUP(D1650,Products!$A$2:$F$61,4,FALSE),"")</f>
        <v>2214</v>
      </c>
      <c r="N1650" t="str">
        <f>IFERROR(VLOOKUP(E1650,Sales_Reps!$A$2:$E$31,3,FALSE),"")</f>
        <v>South</v>
      </c>
      <c r="O1650" t="str">
        <f>IFERROR(VLOOKUP(C1650,Customers!$A$2:$F$301,5,FALSE),"")</f>
        <v>Retail</v>
      </c>
      <c r="P1650">
        <f>IFERROR(VLOOKUP(C1650,Customers!$A$2:$F$301,3,FALSE),"")</f>
        <v>47</v>
      </c>
      <c r="Q1650" s="41">
        <f t="shared" si="34"/>
        <v>0.39508196721311473</v>
      </c>
      <c r="R1650" t="str">
        <f>IFERROR(VLOOKUP(C1650,Customers!$A$2:$F$301,1,FALSE),"")</f>
        <v>CUST-0034</v>
      </c>
      <c r="S1650" s="27" t="b">
        <f>IFERROR(VLOOKUP(D1650,Products!$A$2:$F$61,6,FALSE),"")</f>
        <v>0</v>
      </c>
      <c r="BL1650">
        <v>0</v>
      </c>
      <c r="BO1650">
        <v>0</v>
      </c>
      <c r="BP1650">
        <v>1</v>
      </c>
    </row>
    <row r="1651" spans="1:68" x14ac:dyDescent="0.35">
      <c r="A1651" s="26" t="str">
        <f>Orders!A1651</f>
        <v>ORD-01650</v>
      </c>
      <c r="B1651" s="33">
        <f>Orders!B1651</f>
        <v>45462</v>
      </c>
      <c r="C1651" t="str">
        <f>Orders!C1651</f>
        <v>CUST-0248</v>
      </c>
      <c r="D1651" t="str">
        <f>Orders!D1651</f>
        <v>PROD-031</v>
      </c>
      <c r="E1651" t="str">
        <f>Orders!E1651</f>
        <v>R008</v>
      </c>
      <c r="F1651">
        <f>Orders!F1651</f>
        <v>6</v>
      </c>
      <c r="G1651" s="35">
        <f>Orders!G1651</f>
        <v>3730</v>
      </c>
      <c r="H1651" s="37">
        <f>Orders!H1651</f>
        <v>13.3</v>
      </c>
      <c r="I1651" s="39">
        <f>Orders!I1651</f>
        <v>19403.46</v>
      </c>
      <c r="J1651" t="str">
        <f>Orders!J1651</f>
        <v>Cancelled</v>
      </c>
      <c r="K1651" t="str">
        <f>Orders!K1651</f>
        <v>Chennai</v>
      </c>
      <c r="L1651" t="str">
        <f>IFERROR(VLOOKUP(D1651,Products!$A$2:$F$61,3,FALSE),"")</f>
        <v>Home</v>
      </c>
      <c r="M1651">
        <f>IFERROR(VLOOKUP(D1651,Products!$A$2:$F$61,4,FALSE),"")</f>
        <v>2135</v>
      </c>
      <c r="N1651" t="str">
        <f>IFERROR(VLOOKUP(E1651,Sales_Reps!$A$2:$E$31,3,FALSE),"")</f>
        <v>North</v>
      </c>
      <c r="O1651" t="str">
        <f>IFERROR(VLOOKUP(C1651,Customers!$A$2:$F$301,5,FALSE),"")</f>
        <v>SMB</v>
      </c>
      <c r="P1651">
        <f>IFERROR(VLOOKUP(C1651,Customers!$A$2:$F$301,3,FALSE),"")</f>
        <v>57</v>
      </c>
      <c r="Q1651" s="41">
        <f t="shared" si="34"/>
        <v>0.42761394101876676</v>
      </c>
      <c r="R1651" t="str">
        <f>IFERROR(VLOOKUP(C1651,Customers!$A$2:$F$301,1,FALSE),"")</f>
        <v>CUST-0248</v>
      </c>
      <c r="S1651" s="27" t="b">
        <f>IFERROR(VLOOKUP(D1651,Products!$A$2:$F$61,6,FALSE),"")</f>
        <v>1</v>
      </c>
      <c r="BL1651">
        <v>0</v>
      </c>
      <c r="BO1651">
        <v>0</v>
      </c>
      <c r="BP1651">
        <v>0</v>
      </c>
    </row>
    <row r="1652" spans="1:68" x14ac:dyDescent="0.35">
      <c r="A1652" s="26" t="str">
        <f>Orders!A1652</f>
        <v>ORD-01651</v>
      </c>
      <c r="B1652" s="33">
        <f>Orders!B1652</f>
        <v>45625</v>
      </c>
      <c r="C1652" t="str">
        <f>Orders!C1652</f>
        <v>CUST-0194</v>
      </c>
      <c r="D1652" t="str">
        <f>Orders!D1652</f>
        <v>PROD-004</v>
      </c>
      <c r="E1652" t="str">
        <f>Orders!E1652</f>
        <v>R029</v>
      </c>
      <c r="F1652">
        <f>Orders!F1652</f>
        <v>8</v>
      </c>
      <c r="G1652" s="35">
        <f>Orders!G1652</f>
        <v>3870</v>
      </c>
      <c r="H1652" s="37">
        <f>Orders!H1652</f>
        <v>21.2</v>
      </c>
      <c r="I1652" s="39">
        <f>Orders!I1652</f>
        <v>24396.48</v>
      </c>
      <c r="J1652" t="str">
        <f>Orders!J1652</f>
        <v>Pending</v>
      </c>
      <c r="K1652" t="str">
        <f>Orders!K1652</f>
        <v>Delhi</v>
      </c>
      <c r="L1652" t="str">
        <f>IFERROR(VLOOKUP(D1652,Products!$A$2:$F$61,3,FALSE),"")</f>
        <v>Electronics</v>
      </c>
      <c r="M1652">
        <f>IFERROR(VLOOKUP(D1652,Products!$A$2:$F$61,4,FALSE),"")</f>
        <v>1559</v>
      </c>
      <c r="N1652" t="str">
        <f>IFERROR(VLOOKUP(E1652,Sales_Reps!$A$2:$E$31,3,FALSE),"")</f>
        <v>West</v>
      </c>
      <c r="O1652" t="str">
        <f>IFERROR(VLOOKUP(C1652,Customers!$A$2:$F$301,5,FALSE),"")</f>
        <v>SMB</v>
      </c>
      <c r="P1652">
        <f>IFERROR(VLOOKUP(C1652,Customers!$A$2:$F$301,3,FALSE),"")</f>
        <v>55</v>
      </c>
      <c r="Q1652" s="41">
        <f t="shared" si="34"/>
        <v>0.59715762273901807</v>
      </c>
      <c r="R1652" t="str">
        <f>IFERROR(VLOOKUP(C1652,Customers!$A$2:$F$301,1,FALSE),"")</f>
        <v>CUST-0194</v>
      </c>
      <c r="S1652" s="27" t="b">
        <f>IFERROR(VLOOKUP(D1652,Products!$A$2:$F$61,6,FALSE),"")</f>
        <v>1</v>
      </c>
      <c r="BL1652">
        <v>0</v>
      </c>
      <c r="BO1652">
        <v>0</v>
      </c>
      <c r="BP1652">
        <v>0</v>
      </c>
    </row>
    <row r="1653" spans="1:68" x14ac:dyDescent="0.35">
      <c r="A1653" s="26" t="str">
        <f>Orders!A1653</f>
        <v>ORD-01652</v>
      </c>
      <c r="B1653" s="33">
        <f>Orders!B1653</f>
        <v>45390</v>
      </c>
      <c r="C1653" t="str">
        <f>Orders!C1653</f>
        <v>CUST-0114</v>
      </c>
      <c r="D1653" t="str">
        <f>Orders!D1653</f>
        <v>PROD-021</v>
      </c>
      <c r="E1653" t="str">
        <f>Orders!E1653</f>
        <v>R016</v>
      </c>
      <c r="F1653">
        <f>Orders!F1653</f>
        <v>4</v>
      </c>
      <c r="G1653" s="35">
        <f>Orders!G1653</f>
        <v>2760</v>
      </c>
      <c r="H1653" s="37">
        <f>Orders!H1653</f>
        <v>14</v>
      </c>
      <c r="I1653" s="39">
        <f>Orders!I1653</f>
        <v>9494.4</v>
      </c>
      <c r="J1653" t="str">
        <f>Orders!J1653</f>
        <v>Completed</v>
      </c>
      <c r="K1653" t="str">
        <f>Orders!K1653</f>
        <v>Bengaluru</v>
      </c>
      <c r="L1653" t="str">
        <f>IFERROR(VLOOKUP(D1653,Products!$A$2:$F$61,3,FALSE),"")</f>
        <v>Grocery</v>
      </c>
      <c r="M1653">
        <f>IFERROR(VLOOKUP(D1653,Products!$A$2:$F$61,4,FALSE),"")</f>
        <v>1435</v>
      </c>
      <c r="N1653" t="str">
        <f>IFERROR(VLOOKUP(E1653,Sales_Reps!$A$2:$E$31,3,FALSE),"")</f>
        <v>South</v>
      </c>
      <c r="O1653" t="str">
        <f>IFERROR(VLOOKUP(C1653,Customers!$A$2:$F$301,5,FALSE),"")</f>
        <v>Corporate</v>
      </c>
      <c r="P1653">
        <f>IFERROR(VLOOKUP(C1653,Customers!$A$2:$F$301,3,FALSE),"")</f>
        <v>42</v>
      </c>
      <c r="Q1653" s="41">
        <f t="shared" si="34"/>
        <v>0.48007246376811596</v>
      </c>
      <c r="R1653" t="str">
        <f>IFERROR(VLOOKUP(C1653,Customers!$A$2:$F$301,1,FALSE),"")</f>
        <v>CUST-0114</v>
      </c>
      <c r="S1653" s="27" t="b">
        <f>IFERROR(VLOOKUP(D1653,Products!$A$2:$F$61,6,FALSE),"")</f>
        <v>1</v>
      </c>
      <c r="BL1653">
        <v>0</v>
      </c>
      <c r="BO1653">
        <v>0</v>
      </c>
      <c r="BP1653">
        <v>0</v>
      </c>
    </row>
    <row r="1654" spans="1:68" x14ac:dyDescent="0.35">
      <c r="A1654" s="26" t="str">
        <f>Orders!A1654</f>
        <v>ORD-01653</v>
      </c>
      <c r="B1654" s="33">
        <f>Orders!B1654</f>
        <v>45597</v>
      </c>
      <c r="C1654" t="str">
        <f>Orders!C1654</f>
        <v>CUST-0118</v>
      </c>
      <c r="D1654" t="str">
        <f>Orders!D1654</f>
        <v>PROD-023</v>
      </c>
      <c r="E1654" t="str">
        <f>Orders!E1654</f>
        <v>R020</v>
      </c>
      <c r="F1654">
        <f>Orders!F1654</f>
        <v>5</v>
      </c>
      <c r="G1654" s="35">
        <f>Orders!G1654</f>
        <v>2380</v>
      </c>
      <c r="H1654" s="37">
        <f>Orders!H1654</f>
        <v>16.399999999999999</v>
      </c>
      <c r="I1654" s="39">
        <f>Orders!I1654</f>
        <v>9948.4</v>
      </c>
      <c r="J1654" t="str">
        <f>Orders!J1654</f>
        <v>Completed</v>
      </c>
      <c r="K1654" t="str">
        <f>Orders!K1654</f>
        <v>Hyderabad</v>
      </c>
      <c r="L1654" t="str">
        <f>IFERROR(VLOOKUP(D1654,Products!$A$2:$F$61,3,FALSE),"")</f>
        <v>Grocery</v>
      </c>
      <c r="M1654">
        <f>IFERROR(VLOOKUP(D1654,Products!$A$2:$F$61,4,FALSE),"")</f>
        <v>1182</v>
      </c>
      <c r="N1654" t="str">
        <f>IFERROR(VLOOKUP(E1654,Sales_Reps!$A$2:$E$31,3,FALSE),"")</f>
        <v>East</v>
      </c>
      <c r="O1654" t="str">
        <f>IFERROR(VLOOKUP(C1654,Customers!$A$2:$F$301,5,FALSE),"")</f>
        <v>Retail</v>
      </c>
      <c r="P1654">
        <f>IFERROR(VLOOKUP(C1654,Customers!$A$2:$F$301,3,FALSE),"")</f>
        <v>26</v>
      </c>
      <c r="Q1654" s="41">
        <f t="shared" si="34"/>
        <v>0.50336134453781511</v>
      </c>
      <c r="R1654" t="str">
        <f>IFERROR(VLOOKUP(C1654,Customers!$A$2:$F$301,1,FALSE),"")</f>
        <v>CUST-0118</v>
      </c>
      <c r="S1654" s="27" t="b">
        <f>IFERROR(VLOOKUP(D1654,Products!$A$2:$F$61,6,FALSE),"")</f>
        <v>1</v>
      </c>
      <c r="BL1654">
        <v>0</v>
      </c>
      <c r="BO1654">
        <v>0</v>
      </c>
      <c r="BP1654">
        <v>0</v>
      </c>
    </row>
    <row r="1655" spans="1:68" x14ac:dyDescent="0.35">
      <c r="A1655" s="26" t="str">
        <f>Orders!A1655</f>
        <v>ORD-01654</v>
      </c>
      <c r="B1655" s="33">
        <f>Orders!B1655</f>
        <v>45307</v>
      </c>
      <c r="C1655" t="str">
        <f>Orders!C1655</f>
        <v>CUST-9719</v>
      </c>
      <c r="D1655" t="str">
        <f>Orders!D1655</f>
        <v>PROD-050</v>
      </c>
      <c r="E1655" t="str">
        <f>Orders!E1655</f>
        <v>R015</v>
      </c>
      <c r="F1655">
        <f>Orders!F1655</f>
        <v>2</v>
      </c>
      <c r="G1655" s="35">
        <f>Orders!G1655</f>
        <v>6080</v>
      </c>
      <c r="H1655" s="37">
        <f>Orders!H1655</f>
        <v>20.100000000000001</v>
      </c>
      <c r="I1655" s="39">
        <f>Orders!I1655</f>
        <v>9715.84</v>
      </c>
      <c r="J1655" t="str">
        <f>Orders!J1655</f>
        <v>Cancelled</v>
      </c>
      <c r="K1655" t="str">
        <f>Orders!K1655</f>
        <v>Mumbai</v>
      </c>
      <c r="L1655" t="str">
        <f>IFERROR(VLOOKUP(D1655,Products!$A$2:$F$61,3,FALSE),"")</f>
        <v>Beauty</v>
      </c>
      <c r="M1655">
        <f>IFERROR(VLOOKUP(D1655,Products!$A$2:$F$61,4,FALSE),"")</f>
        <v>2617</v>
      </c>
      <c r="N1655" t="str">
        <f>IFERROR(VLOOKUP(E1655,Sales_Reps!$A$2:$E$31,3,FALSE),"")</f>
        <v>South</v>
      </c>
      <c r="O1655" t="str">
        <f>IFERROR(VLOOKUP(C1655,Customers!$A$2:$F$301,5,FALSE),"")</f>
        <v/>
      </c>
      <c r="P1655" t="str">
        <f>IFERROR(VLOOKUP(C1655,Customers!$A$2:$F$301,3,FALSE),"")</f>
        <v/>
      </c>
      <c r="Q1655" s="41">
        <f t="shared" si="34"/>
        <v>0.56957236842105263</v>
      </c>
      <c r="R1655" t="str">
        <f>IFERROR(VLOOKUP(C1655,Customers!$A$2:$F$301,1,FALSE),"")</f>
        <v/>
      </c>
      <c r="S1655" s="27" t="b">
        <f>IFERROR(VLOOKUP(D1655,Products!$A$2:$F$61,6,FALSE),"")</f>
        <v>1</v>
      </c>
      <c r="BL1655">
        <v>0</v>
      </c>
      <c r="BO1655">
        <v>1</v>
      </c>
      <c r="BP1655">
        <v>0</v>
      </c>
    </row>
    <row r="1656" spans="1:68" x14ac:dyDescent="0.35">
      <c r="A1656" s="26" t="str">
        <f>Orders!A1656</f>
        <v>ORD-01655</v>
      </c>
      <c r="B1656" s="33">
        <f>Orders!B1656</f>
        <v>45568</v>
      </c>
      <c r="C1656" t="str">
        <f>Orders!C1656</f>
        <v>CUST-0232</v>
      </c>
      <c r="D1656" t="str">
        <f>Orders!D1656</f>
        <v>PROD-016</v>
      </c>
      <c r="E1656" t="str">
        <f>Orders!E1656</f>
        <v>R016</v>
      </c>
      <c r="F1656">
        <f>Orders!F1656</f>
        <v>2</v>
      </c>
      <c r="G1656" s="35">
        <f>Orders!G1656</f>
        <v>620</v>
      </c>
      <c r="H1656" s="37">
        <f>Orders!H1656</f>
        <v>4.3</v>
      </c>
      <c r="I1656" s="39">
        <f>Orders!I1656</f>
        <v>1186.68</v>
      </c>
      <c r="J1656" t="str">
        <f>Orders!J1656</f>
        <v>Completed</v>
      </c>
      <c r="K1656" t="str">
        <f>Orders!K1656</f>
        <v>Hyderabad</v>
      </c>
      <c r="L1656" t="str">
        <f>IFERROR(VLOOKUP(D1656,Products!$A$2:$F$61,3,FALSE),"")</f>
        <v>Apparel</v>
      </c>
      <c r="M1656">
        <f>IFERROR(VLOOKUP(D1656,Products!$A$2:$F$61,4,FALSE),"")</f>
        <v>396</v>
      </c>
      <c r="N1656" t="str">
        <f>IFERROR(VLOOKUP(E1656,Sales_Reps!$A$2:$E$31,3,FALSE),"")</f>
        <v>South</v>
      </c>
      <c r="O1656" t="str">
        <f>IFERROR(VLOOKUP(C1656,Customers!$A$2:$F$301,5,FALSE),"")</f>
        <v>Retail</v>
      </c>
      <c r="P1656">
        <f>IFERROR(VLOOKUP(C1656,Customers!$A$2:$F$301,3,FALSE),"")</f>
        <v>38</v>
      </c>
      <c r="Q1656" s="41">
        <f t="shared" si="34"/>
        <v>0.36129032258064514</v>
      </c>
      <c r="R1656" t="str">
        <f>IFERROR(VLOOKUP(C1656,Customers!$A$2:$F$301,1,FALSE),"")</f>
        <v>CUST-0232</v>
      </c>
      <c r="S1656" s="27" t="b">
        <f>IFERROR(VLOOKUP(D1656,Products!$A$2:$F$61,6,FALSE),"")</f>
        <v>1</v>
      </c>
      <c r="BL1656">
        <v>0</v>
      </c>
      <c r="BO1656">
        <v>0</v>
      </c>
      <c r="BP1656">
        <v>0</v>
      </c>
    </row>
    <row r="1657" spans="1:68" x14ac:dyDescent="0.35">
      <c r="A1657" s="26" t="str">
        <f>Orders!A1657</f>
        <v>ORD-01656</v>
      </c>
      <c r="B1657" s="33">
        <f>Orders!B1657</f>
        <v>45654</v>
      </c>
      <c r="C1657" t="str">
        <f>Orders!C1657</f>
        <v>CUST-0240</v>
      </c>
      <c r="D1657" t="str">
        <f>Orders!D1657</f>
        <v>PROD-004</v>
      </c>
      <c r="E1657" t="str">
        <f>Orders!E1657</f>
        <v>R012</v>
      </c>
      <c r="F1657">
        <f>Orders!F1657</f>
        <v>7</v>
      </c>
      <c r="G1657" s="35">
        <f>Orders!G1657</f>
        <v>3870</v>
      </c>
      <c r="H1657" s="37">
        <f>Orders!H1657</f>
        <v>5.9</v>
      </c>
      <c r="I1657" s="39">
        <f>Orders!I1657</f>
        <v>25491.69</v>
      </c>
      <c r="J1657" t="str">
        <f>Orders!J1657</f>
        <v>Completed</v>
      </c>
      <c r="K1657" t="str">
        <f>Orders!K1657</f>
        <v>Chennai</v>
      </c>
      <c r="L1657" t="str">
        <f>IFERROR(VLOOKUP(D1657,Products!$A$2:$F$61,3,FALSE),"")</f>
        <v>Electronics</v>
      </c>
      <c r="M1657">
        <f>IFERROR(VLOOKUP(D1657,Products!$A$2:$F$61,4,FALSE),"")</f>
        <v>1559</v>
      </c>
      <c r="N1657" t="str">
        <f>IFERROR(VLOOKUP(E1657,Sales_Reps!$A$2:$E$31,3,FALSE),"")</f>
        <v>South</v>
      </c>
      <c r="O1657" t="str">
        <f>IFERROR(VLOOKUP(C1657,Customers!$A$2:$F$301,5,FALSE),"")</f>
        <v>Corporate</v>
      </c>
      <c r="P1657">
        <f>IFERROR(VLOOKUP(C1657,Customers!$A$2:$F$301,3,FALSE),"")</f>
        <v>35</v>
      </c>
      <c r="Q1657" s="41">
        <f t="shared" si="34"/>
        <v>0.59715762273901807</v>
      </c>
      <c r="R1657" t="str">
        <f>IFERROR(VLOOKUP(C1657,Customers!$A$2:$F$301,1,FALSE),"")</f>
        <v>CUST-0240</v>
      </c>
      <c r="S1657" s="27" t="b">
        <f>IFERROR(VLOOKUP(D1657,Products!$A$2:$F$61,6,FALSE),"")</f>
        <v>1</v>
      </c>
      <c r="BL1657">
        <v>0</v>
      </c>
      <c r="BO1657">
        <v>0</v>
      </c>
      <c r="BP1657">
        <v>0</v>
      </c>
    </row>
    <row r="1658" spans="1:68" x14ac:dyDescent="0.35">
      <c r="A1658" s="26" t="str">
        <f>Orders!A1658</f>
        <v>ORD-01657</v>
      </c>
      <c r="B1658" s="33">
        <f>Orders!B1658</f>
        <v>45412</v>
      </c>
      <c r="C1658" t="str">
        <f>Orders!C1658</f>
        <v>CUST-0227</v>
      </c>
      <c r="D1658" t="str">
        <f>Orders!D1658</f>
        <v>PROD-003</v>
      </c>
      <c r="E1658" t="str">
        <f>Orders!E1658</f>
        <v>R020</v>
      </c>
      <c r="F1658">
        <f>Orders!F1658</f>
        <v>8</v>
      </c>
      <c r="G1658" s="35">
        <f>Orders!G1658</f>
        <v>3570</v>
      </c>
      <c r="H1658" s="37">
        <f>Orders!H1658</f>
        <v>24.6</v>
      </c>
      <c r="I1658" s="39">
        <f>Orders!I1658</f>
        <v>21534.240000000002</v>
      </c>
      <c r="J1658" t="str">
        <f>Orders!J1658</f>
        <v>Completed</v>
      </c>
      <c r="K1658" t="str">
        <f>Orders!K1658</f>
        <v>Bengaluru</v>
      </c>
      <c r="L1658" t="str">
        <f>IFERROR(VLOOKUP(D1658,Products!$A$2:$F$61,3,FALSE),"")</f>
        <v>Electronics</v>
      </c>
      <c r="M1658">
        <f>IFERROR(VLOOKUP(D1658,Products!$A$2:$F$61,4,FALSE),"")</f>
        <v>1665</v>
      </c>
      <c r="N1658" t="str">
        <f>IFERROR(VLOOKUP(E1658,Sales_Reps!$A$2:$E$31,3,FALSE),"")</f>
        <v>East</v>
      </c>
      <c r="O1658" t="str">
        <f>IFERROR(VLOOKUP(C1658,Customers!$A$2:$F$301,5,FALSE),"")</f>
        <v>SMB</v>
      </c>
      <c r="P1658">
        <f>IFERROR(VLOOKUP(C1658,Customers!$A$2:$F$301,3,FALSE),"")</f>
        <v>44</v>
      </c>
      <c r="Q1658" s="41">
        <f t="shared" si="34"/>
        <v>0.53361344537815125</v>
      </c>
      <c r="R1658" t="str">
        <f>IFERROR(VLOOKUP(C1658,Customers!$A$2:$F$301,1,FALSE),"")</f>
        <v>CUST-0227</v>
      </c>
      <c r="S1658" s="27" t="b">
        <f>IFERROR(VLOOKUP(D1658,Products!$A$2:$F$61,6,FALSE),"")</f>
        <v>1</v>
      </c>
      <c r="BL1658">
        <v>0</v>
      </c>
      <c r="BO1658">
        <v>0</v>
      </c>
      <c r="BP1658">
        <v>0</v>
      </c>
    </row>
    <row r="1659" spans="1:68" x14ac:dyDescent="0.35">
      <c r="A1659" s="26" t="str">
        <f>Orders!A1659</f>
        <v>ORD-01658</v>
      </c>
      <c r="B1659" s="33">
        <f>Orders!B1659</f>
        <v>45653</v>
      </c>
      <c r="C1659" t="str">
        <f>Orders!C1659</f>
        <v>CUST-0234</v>
      </c>
      <c r="D1659" t="str">
        <f>Orders!D1659</f>
        <v>PROD-026</v>
      </c>
      <c r="E1659" t="str">
        <f>Orders!E1659</f>
        <v>R010</v>
      </c>
      <c r="F1659">
        <f>Orders!F1659</f>
        <v>1</v>
      </c>
      <c r="G1659" s="35">
        <f>Orders!G1659</f>
        <v>4070</v>
      </c>
      <c r="H1659" s="37">
        <f>Orders!H1659</f>
        <v>29.1</v>
      </c>
      <c r="I1659" s="39">
        <f>Orders!I1659</f>
        <v>2885.63</v>
      </c>
      <c r="J1659" t="str">
        <f>Orders!J1659</f>
        <v>Pending</v>
      </c>
      <c r="K1659" t="str">
        <f>Orders!K1659</f>
        <v>Bengaluru</v>
      </c>
      <c r="L1659" t="str">
        <f>IFERROR(VLOOKUP(D1659,Products!$A$2:$F$61,3,FALSE),"")</f>
        <v>Grocery</v>
      </c>
      <c r="M1659">
        <f>IFERROR(VLOOKUP(D1659,Products!$A$2:$F$61,4,FALSE),"")</f>
        <v>2027</v>
      </c>
      <c r="N1659" t="str">
        <f>IFERROR(VLOOKUP(E1659,Sales_Reps!$A$2:$E$31,3,FALSE),"")</f>
        <v>South</v>
      </c>
      <c r="O1659" t="str">
        <f>IFERROR(VLOOKUP(C1659,Customers!$A$2:$F$301,5,FALSE),"")</f>
        <v>Retail</v>
      </c>
      <c r="P1659">
        <f>IFERROR(VLOOKUP(C1659,Customers!$A$2:$F$301,3,FALSE),"")</f>
        <v>34</v>
      </c>
      <c r="Q1659" s="41">
        <f t="shared" si="34"/>
        <v>0.50196560196560192</v>
      </c>
      <c r="R1659" t="str">
        <f>IFERROR(VLOOKUP(C1659,Customers!$A$2:$F$301,1,FALSE),"")</f>
        <v>CUST-0234</v>
      </c>
      <c r="S1659" s="27" t="b">
        <f>IFERROR(VLOOKUP(D1659,Products!$A$2:$F$61,6,FALSE),"")</f>
        <v>1</v>
      </c>
      <c r="BL1659">
        <v>0</v>
      </c>
      <c r="BO1659">
        <v>0</v>
      </c>
      <c r="BP1659">
        <v>0</v>
      </c>
    </row>
    <row r="1660" spans="1:68" x14ac:dyDescent="0.35">
      <c r="A1660" s="26" t="str">
        <f>Orders!A1660</f>
        <v>ORD-01659</v>
      </c>
      <c r="B1660" s="33">
        <f>Orders!B1660</f>
        <v>45568</v>
      </c>
      <c r="C1660" t="str">
        <f>Orders!C1660</f>
        <v>CUST-0041</v>
      </c>
      <c r="D1660" t="str">
        <f>Orders!D1660</f>
        <v>PROD-020</v>
      </c>
      <c r="E1660" t="str">
        <f>Orders!E1660</f>
        <v>R017</v>
      </c>
      <c r="F1660">
        <f>Orders!F1660</f>
        <v>1</v>
      </c>
      <c r="G1660" s="35">
        <f>Orders!G1660</f>
        <v>820</v>
      </c>
      <c r="H1660" s="37">
        <f>Orders!H1660</f>
        <v>17.899999999999999</v>
      </c>
      <c r="I1660" s="39">
        <f>Orders!I1660</f>
        <v>673.22</v>
      </c>
      <c r="J1660" t="str">
        <f>Orders!J1660</f>
        <v>Completed</v>
      </c>
      <c r="K1660" t="str">
        <f>Orders!K1660</f>
        <v>Bengaluru</v>
      </c>
      <c r="L1660" t="str">
        <f>IFERROR(VLOOKUP(D1660,Products!$A$2:$F$61,3,FALSE),"")</f>
        <v>Apparel</v>
      </c>
      <c r="M1660">
        <f>IFERROR(VLOOKUP(D1660,Products!$A$2:$F$61,4,FALSE),"")</f>
        <v>391</v>
      </c>
      <c r="N1660" t="str">
        <f>IFERROR(VLOOKUP(E1660,Sales_Reps!$A$2:$E$31,3,FALSE),"")</f>
        <v>East</v>
      </c>
      <c r="O1660" t="str">
        <f>IFERROR(VLOOKUP(C1660,Customers!$A$2:$F$301,5,FALSE),"")</f>
        <v>SMB</v>
      </c>
      <c r="P1660">
        <f>IFERROR(VLOOKUP(C1660,Customers!$A$2:$F$301,3,FALSE),"")</f>
        <v>26</v>
      </c>
      <c r="Q1660" s="41">
        <f t="shared" si="34"/>
        <v>0.52317073170731709</v>
      </c>
      <c r="R1660" t="str">
        <f>IFERROR(VLOOKUP(C1660,Customers!$A$2:$F$301,1,FALSE),"")</f>
        <v>CUST-0041</v>
      </c>
      <c r="S1660" s="27" t="b">
        <f>IFERROR(VLOOKUP(D1660,Products!$A$2:$F$61,6,FALSE),"")</f>
        <v>1</v>
      </c>
      <c r="BL1660">
        <v>0</v>
      </c>
      <c r="BO1660">
        <v>0</v>
      </c>
      <c r="BP1660">
        <v>0</v>
      </c>
    </row>
    <row r="1661" spans="1:68" x14ac:dyDescent="0.35">
      <c r="A1661" s="26" t="str">
        <f>Orders!A1661</f>
        <v>ORD-01660</v>
      </c>
      <c r="B1661" s="33">
        <f>Orders!B1661</f>
        <v>45643</v>
      </c>
      <c r="C1661" t="str">
        <f>Orders!C1661</f>
        <v>CUST-0129</v>
      </c>
      <c r="D1661" t="str">
        <f>Orders!D1661</f>
        <v>PROD-045</v>
      </c>
      <c r="E1661" t="str">
        <f>Orders!E1661</f>
        <v>R029</v>
      </c>
      <c r="F1661">
        <f>Orders!F1661</f>
        <v>5</v>
      </c>
      <c r="G1661" s="35">
        <f>Orders!G1661</f>
        <v>3020</v>
      </c>
      <c r="H1661" s="37">
        <f>Orders!H1661</f>
        <v>26.2</v>
      </c>
      <c r="I1661" s="39">
        <f>Orders!I1661</f>
        <v>11143.8</v>
      </c>
      <c r="J1661" t="str">
        <f>Orders!J1661</f>
        <v>Completed</v>
      </c>
      <c r="K1661" t="str">
        <f>Orders!K1661</f>
        <v>Hyderabad</v>
      </c>
      <c r="L1661" t="str">
        <f>IFERROR(VLOOKUP(D1661,Products!$A$2:$F$61,3,FALSE),"")</f>
        <v>Beauty</v>
      </c>
      <c r="M1661">
        <f>IFERROR(VLOOKUP(D1661,Products!$A$2:$F$61,4,FALSE),"")</f>
        <v>1626</v>
      </c>
      <c r="N1661" t="str">
        <f>IFERROR(VLOOKUP(E1661,Sales_Reps!$A$2:$E$31,3,FALSE),"")</f>
        <v>West</v>
      </c>
      <c r="O1661" t="str">
        <f>IFERROR(VLOOKUP(C1661,Customers!$A$2:$F$301,5,FALSE),"")</f>
        <v>Retail</v>
      </c>
      <c r="P1661">
        <f>IFERROR(VLOOKUP(C1661,Customers!$A$2:$F$301,3,FALSE),"")</f>
        <v>29</v>
      </c>
      <c r="Q1661" s="41">
        <f t="shared" si="34"/>
        <v>0.46158940397350995</v>
      </c>
      <c r="R1661" t="str">
        <f>IFERROR(VLOOKUP(C1661,Customers!$A$2:$F$301,1,FALSE),"")</f>
        <v>CUST-0129</v>
      </c>
      <c r="S1661" s="27" t="b">
        <f>IFERROR(VLOOKUP(D1661,Products!$A$2:$F$61,6,FALSE),"")</f>
        <v>1</v>
      </c>
      <c r="BL1661">
        <v>0</v>
      </c>
      <c r="BO1661">
        <v>0</v>
      </c>
      <c r="BP1661">
        <v>0</v>
      </c>
    </row>
    <row r="1662" spans="1:68" x14ac:dyDescent="0.35">
      <c r="A1662" s="26" t="str">
        <f>Orders!A1662</f>
        <v>ORD-01661</v>
      </c>
      <c r="B1662" s="33">
        <f>Orders!B1662</f>
        <v>45411</v>
      </c>
      <c r="C1662" t="str">
        <f>Orders!C1662</f>
        <v>CUST-0141</v>
      </c>
      <c r="D1662" t="str">
        <f>Orders!D1662</f>
        <v>PROD-018</v>
      </c>
      <c r="E1662" t="str">
        <f>Orders!E1662</f>
        <v>R022</v>
      </c>
      <c r="F1662">
        <f>Orders!F1662</f>
        <v>10</v>
      </c>
      <c r="G1662" s="35">
        <f>Orders!G1662</f>
        <v>3560</v>
      </c>
      <c r="H1662" s="37">
        <f>Orders!H1662</f>
        <v>15.4</v>
      </c>
      <c r="I1662" s="39">
        <f>Orders!I1662</f>
        <v>30117.599999999999</v>
      </c>
      <c r="J1662" t="str">
        <f>Orders!J1662</f>
        <v>Refunded</v>
      </c>
      <c r="K1662" t="str">
        <f>Orders!K1662</f>
        <v>Hyderabad</v>
      </c>
      <c r="L1662" t="str">
        <f>IFERROR(VLOOKUP(D1662,Products!$A$2:$F$61,3,FALSE),"")</f>
        <v>Apparel</v>
      </c>
      <c r="M1662">
        <f>IFERROR(VLOOKUP(D1662,Products!$A$2:$F$61,4,FALSE),"")</f>
        <v>2629</v>
      </c>
      <c r="N1662" t="str">
        <f>IFERROR(VLOOKUP(E1662,Sales_Reps!$A$2:$E$31,3,FALSE),"")</f>
        <v>East</v>
      </c>
      <c r="O1662" t="str">
        <f>IFERROR(VLOOKUP(C1662,Customers!$A$2:$F$301,5,FALSE),"")</f>
        <v>Corporate</v>
      </c>
      <c r="P1662">
        <f>IFERROR(VLOOKUP(C1662,Customers!$A$2:$F$301,3,FALSE),"")</f>
        <v>22</v>
      </c>
      <c r="Q1662" s="41">
        <f t="shared" si="34"/>
        <v>0.26151685393258428</v>
      </c>
      <c r="R1662" t="str">
        <f>IFERROR(VLOOKUP(C1662,Customers!$A$2:$F$301,1,FALSE),"")</f>
        <v>CUST-0141</v>
      </c>
      <c r="S1662" s="27" t="b">
        <f>IFERROR(VLOOKUP(D1662,Products!$A$2:$F$61,6,FALSE),"")</f>
        <v>1</v>
      </c>
      <c r="BL1662">
        <v>0</v>
      </c>
      <c r="BO1662">
        <v>0</v>
      </c>
      <c r="BP1662">
        <v>0</v>
      </c>
    </row>
    <row r="1663" spans="1:68" x14ac:dyDescent="0.35">
      <c r="A1663" s="26" t="str">
        <f>Orders!A1663</f>
        <v>ORD-01662</v>
      </c>
      <c r="B1663" s="33">
        <f>Orders!B1663</f>
        <v>45467</v>
      </c>
      <c r="C1663" t="str">
        <f>Orders!C1663</f>
        <v>CUST-0282</v>
      </c>
      <c r="D1663" t="str">
        <f>Orders!D1663</f>
        <v>PROD-043</v>
      </c>
      <c r="E1663" t="str">
        <f>Orders!E1663</f>
        <v>R001</v>
      </c>
      <c r="F1663">
        <f>Orders!F1663</f>
        <v>3</v>
      </c>
      <c r="G1663" s="35">
        <f>Orders!G1663</f>
        <v>3350</v>
      </c>
      <c r="H1663" s="37">
        <f>Orders!H1663</f>
        <v>8.1</v>
      </c>
      <c r="I1663" s="39">
        <f>Orders!I1663</f>
        <v>9235.9500000000007</v>
      </c>
      <c r="J1663" t="str">
        <f>Orders!J1663</f>
        <v>Completed</v>
      </c>
      <c r="K1663" t="str">
        <f>Orders!K1663</f>
        <v>Hyderabad</v>
      </c>
      <c r="L1663" t="str">
        <f>IFERROR(VLOOKUP(D1663,Products!$A$2:$F$61,3,FALSE),"")</f>
        <v>Beauty</v>
      </c>
      <c r="M1663">
        <f>IFERROR(VLOOKUP(D1663,Products!$A$2:$F$61,4,FALSE),"")</f>
        <v>1728</v>
      </c>
      <c r="N1663" t="str">
        <f>IFERROR(VLOOKUP(E1663,Sales_Reps!$A$2:$E$31,3,FALSE),"")</f>
        <v>North</v>
      </c>
      <c r="O1663" t="str">
        <f>IFERROR(VLOOKUP(C1663,Customers!$A$2:$F$301,5,FALSE),"")</f>
        <v>Corporate</v>
      </c>
      <c r="P1663">
        <f>IFERROR(VLOOKUP(C1663,Customers!$A$2:$F$301,3,FALSE),"")</f>
        <v>29</v>
      </c>
      <c r="Q1663" s="41">
        <f t="shared" si="34"/>
        <v>0.48417910447761192</v>
      </c>
      <c r="R1663" t="str">
        <f>IFERROR(VLOOKUP(C1663,Customers!$A$2:$F$301,1,FALSE),"")</f>
        <v>CUST-0282</v>
      </c>
      <c r="S1663" s="27" t="b">
        <f>IFERROR(VLOOKUP(D1663,Products!$A$2:$F$61,6,FALSE),"")</f>
        <v>1</v>
      </c>
      <c r="BL1663">
        <v>0.5</v>
      </c>
      <c r="BO1663">
        <v>0</v>
      </c>
      <c r="BP1663">
        <v>0</v>
      </c>
    </row>
    <row r="1664" spans="1:68" x14ac:dyDescent="0.35">
      <c r="A1664" s="26" t="str">
        <f>Orders!A1664</f>
        <v>ORD-01663</v>
      </c>
      <c r="B1664" s="33">
        <f>Orders!B1664</f>
        <v>45542</v>
      </c>
      <c r="C1664" t="str">
        <f>Orders!C1664</f>
        <v>CUST-0269</v>
      </c>
      <c r="D1664" t="str">
        <f>Orders!D1664</f>
        <v>PROD-042</v>
      </c>
      <c r="E1664" t="str">
        <f>Orders!E1664</f>
        <v>R025</v>
      </c>
      <c r="F1664">
        <f>Orders!F1664</f>
        <v>10</v>
      </c>
      <c r="G1664" s="35">
        <f>Orders!G1664</f>
        <v>2290</v>
      </c>
      <c r="H1664" s="37">
        <f>Orders!H1664</f>
        <v>7</v>
      </c>
      <c r="I1664" s="39">
        <f>Orders!I1664</f>
        <v>21297</v>
      </c>
      <c r="J1664" t="str">
        <f>Orders!J1664</f>
        <v>Completed</v>
      </c>
      <c r="K1664" t="str">
        <f>Orders!K1664</f>
        <v>Pune</v>
      </c>
      <c r="L1664" t="str">
        <f>IFERROR(VLOOKUP(D1664,Products!$A$2:$F$61,3,FALSE),"")</f>
        <v>Beauty</v>
      </c>
      <c r="M1664">
        <f>IFERROR(VLOOKUP(D1664,Products!$A$2:$F$61,4,FALSE),"")</f>
        <v>1219</v>
      </c>
      <c r="N1664" t="str">
        <f>IFERROR(VLOOKUP(E1664,Sales_Reps!$A$2:$E$31,3,FALSE),"")</f>
        <v>West</v>
      </c>
      <c r="O1664" t="str">
        <f>IFERROR(VLOOKUP(C1664,Customers!$A$2:$F$301,5,FALSE),"")</f>
        <v>Retail</v>
      </c>
      <c r="P1664">
        <f>IFERROR(VLOOKUP(C1664,Customers!$A$2:$F$301,3,FALSE),"")</f>
        <v>48</v>
      </c>
      <c r="Q1664" s="41">
        <f t="shared" si="34"/>
        <v>0.46768558951965067</v>
      </c>
      <c r="R1664" t="str">
        <f>IFERROR(VLOOKUP(C1664,Customers!$A$2:$F$301,1,FALSE),"")</f>
        <v>CUST-0269</v>
      </c>
      <c r="S1664" s="27" t="b">
        <f>IFERROR(VLOOKUP(D1664,Products!$A$2:$F$61,6,FALSE),"")</f>
        <v>1</v>
      </c>
      <c r="BL1664">
        <v>0</v>
      </c>
      <c r="BO1664">
        <v>0</v>
      </c>
      <c r="BP1664">
        <v>0</v>
      </c>
    </row>
    <row r="1665" spans="1:68" x14ac:dyDescent="0.35">
      <c r="A1665" s="26" t="str">
        <f>Orders!A1665</f>
        <v>ORD-01664</v>
      </c>
      <c r="B1665" s="33">
        <f>Orders!B1665</f>
        <v>45483</v>
      </c>
      <c r="C1665" t="str">
        <f>Orders!C1665</f>
        <v>CUST-0239</v>
      </c>
      <c r="D1665" t="str">
        <f>Orders!D1665</f>
        <v>PROD-028</v>
      </c>
      <c r="E1665" t="str">
        <f>Orders!E1665</f>
        <v>R003</v>
      </c>
      <c r="F1665">
        <f>Orders!F1665</f>
        <v>6</v>
      </c>
      <c r="G1665" s="35">
        <f>Orders!G1665</f>
        <v>3660</v>
      </c>
      <c r="H1665" s="37">
        <f>Orders!H1665</f>
        <v>29.9</v>
      </c>
      <c r="I1665" s="39">
        <f>Orders!I1665</f>
        <v>15393.96</v>
      </c>
      <c r="J1665" t="str">
        <f>Orders!J1665</f>
        <v>Completed</v>
      </c>
      <c r="K1665" t="str">
        <f>Orders!K1665</f>
        <v>Mumbai</v>
      </c>
      <c r="L1665" t="str">
        <f>IFERROR(VLOOKUP(D1665,Products!$A$2:$F$61,3,FALSE),"")</f>
        <v>Grocery</v>
      </c>
      <c r="M1665">
        <f>IFERROR(VLOOKUP(D1665,Products!$A$2:$F$61,4,FALSE),"")</f>
        <v>2214</v>
      </c>
      <c r="N1665" t="str">
        <f>IFERROR(VLOOKUP(E1665,Sales_Reps!$A$2:$E$31,3,FALSE),"")</f>
        <v>North</v>
      </c>
      <c r="O1665" t="str">
        <f>IFERROR(VLOOKUP(C1665,Customers!$A$2:$F$301,5,FALSE),"")</f>
        <v>Retail</v>
      </c>
      <c r="P1665">
        <f>IFERROR(VLOOKUP(C1665,Customers!$A$2:$F$301,3,FALSE),"")</f>
        <v>61</v>
      </c>
      <c r="Q1665" s="41">
        <f t="shared" si="34"/>
        <v>0.39508196721311473</v>
      </c>
      <c r="R1665" t="str">
        <f>IFERROR(VLOOKUP(C1665,Customers!$A$2:$F$301,1,FALSE),"")</f>
        <v>CUST-0239</v>
      </c>
      <c r="S1665" s="27" t="b">
        <f>IFERROR(VLOOKUP(D1665,Products!$A$2:$F$61,6,FALSE),"")</f>
        <v>0</v>
      </c>
      <c r="BL1665">
        <v>0</v>
      </c>
      <c r="BO1665">
        <v>0</v>
      </c>
      <c r="BP1665">
        <v>1</v>
      </c>
    </row>
    <row r="1666" spans="1:68" x14ac:dyDescent="0.35">
      <c r="A1666" s="26" t="str">
        <f>Orders!A1666</f>
        <v>ORD-01665</v>
      </c>
      <c r="B1666" s="33">
        <f>Orders!B1666</f>
        <v>45426</v>
      </c>
      <c r="C1666" t="str">
        <f>Orders!C1666</f>
        <v>CUST-0075</v>
      </c>
      <c r="D1666" t="str">
        <f>Orders!D1666</f>
        <v>PROD-010</v>
      </c>
      <c r="E1666" t="str">
        <f>Orders!E1666</f>
        <v>R013</v>
      </c>
      <c r="F1666">
        <f>Orders!F1666</f>
        <v>8</v>
      </c>
      <c r="G1666" s="35">
        <f>Orders!G1666</f>
        <v>2640</v>
      </c>
      <c r="H1666" s="37">
        <f>Orders!H1666</f>
        <v>4.2</v>
      </c>
      <c r="I1666" s="39">
        <f>Orders!I1666</f>
        <v>20232.96</v>
      </c>
      <c r="J1666" t="str">
        <f>Orders!J1666</f>
        <v>Refunded</v>
      </c>
      <c r="K1666" t="str">
        <f>Orders!K1666</f>
        <v>Mumbai</v>
      </c>
      <c r="L1666" t="str">
        <f>IFERROR(VLOOKUP(D1666,Products!$A$2:$F$61,3,FALSE),"")</f>
        <v>Electronics</v>
      </c>
      <c r="M1666">
        <f>IFERROR(VLOOKUP(D1666,Products!$A$2:$F$61,4,FALSE),"")</f>
        <v>1149</v>
      </c>
      <c r="N1666" t="str">
        <f>IFERROR(VLOOKUP(E1666,Sales_Reps!$A$2:$E$31,3,FALSE),"")</f>
        <v>South</v>
      </c>
      <c r="O1666" t="str">
        <f>IFERROR(VLOOKUP(C1666,Customers!$A$2:$F$301,5,FALSE),"")</f>
        <v>Corporate</v>
      </c>
      <c r="P1666">
        <f>IFERROR(VLOOKUP(C1666,Customers!$A$2:$F$301,3,FALSE),"")</f>
        <v>55</v>
      </c>
      <c r="Q1666" s="41">
        <f t="shared" ref="Q1666:Q1729" si="35">IFERROR((G1666-M1666)/G1666,0)</f>
        <v>0.56477272727272732</v>
      </c>
      <c r="R1666" t="str">
        <f>IFERROR(VLOOKUP(C1666,Customers!$A$2:$F$301,1,FALSE),"")</f>
        <v>CUST-0075</v>
      </c>
      <c r="S1666" s="27" t="b">
        <f>IFERROR(VLOOKUP(D1666,Products!$A$2:$F$61,6,FALSE),"")</f>
        <v>1</v>
      </c>
      <c r="BL1666">
        <v>0</v>
      </c>
      <c r="BO1666">
        <v>0</v>
      </c>
      <c r="BP1666">
        <v>0</v>
      </c>
    </row>
    <row r="1667" spans="1:68" x14ac:dyDescent="0.35">
      <c r="A1667" s="26" t="str">
        <f>Orders!A1667</f>
        <v>ORD-01666</v>
      </c>
      <c r="B1667" s="33">
        <f>Orders!B1667</f>
        <v>45386</v>
      </c>
      <c r="C1667" t="str">
        <f>Orders!C1667</f>
        <v>CUST-0184</v>
      </c>
      <c r="D1667" t="str">
        <f>Orders!D1667</f>
        <v>PROD-032</v>
      </c>
      <c r="E1667" t="str">
        <f>Orders!E1667</f>
        <v>R006</v>
      </c>
      <c r="F1667">
        <f>Orders!F1667</f>
        <v>5</v>
      </c>
      <c r="G1667" s="35">
        <f>Orders!G1667</f>
        <v>370</v>
      </c>
      <c r="H1667" s="37">
        <f>Orders!H1667</f>
        <v>6</v>
      </c>
      <c r="I1667" s="39">
        <f>Orders!I1667</f>
        <v>1739</v>
      </c>
      <c r="J1667" t="str">
        <f>Orders!J1667</f>
        <v>Completed</v>
      </c>
      <c r="K1667" t="str">
        <f>Orders!K1667</f>
        <v>Pune</v>
      </c>
      <c r="L1667" t="str">
        <f>IFERROR(VLOOKUP(D1667,Products!$A$2:$F$61,3,FALSE),"")</f>
        <v>Home</v>
      </c>
      <c r="M1667">
        <f>IFERROR(VLOOKUP(D1667,Products!$A$2:$F$61,4,FALSE),"")</f>
        <v>288</v>
      </c>
      <c r="N1667" t="str">
        <f>IFERROR(VLOOKUP(E1667,Sales_Reps!$A$2:$E$31,3,FALSE),"")</f>
        <v>North</v>
      </c>
      <c r="O1667" t="str">
        <f>IFERROR(VLOOKUP(C1667,Customers!$A$2:$F$301,5,FALSE),"")</f>
        <v>Retail</v>
      </c>
      <c r="P1667">
        <f>IFERROR(VLOOKUP(C1667,Customers!$A$2:$F$301,3,FALSE),"")</f>
        <v>63</v>
      </c>
      <c r="Q1667" s="41">
        <f t="shared" si="35"/>
        <v>0.22162162162162163</v>
      </c>
      <c r="R1667" t="str">
        <f>IFERROR(VLOOKUP(C1667,Customers!$A$2:$F$301,1,FALSE),"")</f>
        <v>CUST-0184</v>
      </c>
      <c r="S1667" s="27" t="b">
        <f>IFERROR(VLOOKUP(D1667,Products!$A$2:$F$61,6,FALSE),"")</f>
        <v>1</v>
      </c>
      <c r="BL1667">
        <v>0</v>
      </c>
      <c r="BO1667">
        <v>0</v>
      </c>
      <c r="BP1667">
        <v>0</v>
      </c>
    </row>
    <row r="1668" spans="1:68" x14ac:dyDescent="0.35">
      <c r="A1668" s="26" t="str">
        <f>Orders!A1668</f>
        <v>ORD-01667</v>
      </c>
      <c r="B1668" s="33">
        <f>Orders!B1668</f>
        <v>45377</v>
      </c>
      <c r="C1668" t="str">
        <f>Orders!C1668</f>
        <v>CUST-0144</v>
      </c>
      <c r="D1668" t="str">
        <f>Orders!D1668</f>
        <v>PROD-024</v>
      </c>
      <c r="E1668" t="str">
        <f>Orders!E1668</f>
        <v>R007</v>
      </c>
      <c r="F1668">
        <f>Orders!F1668</f>
        <v>9</v>
      </c>
      <c r="G1668" s="35">
        <f>Orders!G1668</f>
        <v>2270</v>
      </c>
      <c r="H1668" s="37">
        <f>Orders!H1668</f>
        <v>4.7</v>
      </c>
      <c r="I1668" s="39">
        <f>Orders!I1668</f>
        <v>19469.79</v>
      </c>
      <c r="J1668" t="str">
        <f>Orders!J1668</f>
        <v>Completed</v>
      </c>
      <c r="K1668" t="str">
        <f>Orders!K1668</f>
        <v>Chennai</v>
      </c>
      <c r="L1668" t="str">
        <f>IFERROR(VLOOKUP(D1668,Products!$A$2:$F$61,3,FALSE),"")</f>
        <v>Grocery</v>
      </c>
      <c r="M1668">
        <f>IFERROR(VLOOKUP(D1668,Products!$A$2:$F$61,4,FALSE),"")</f>
        <v>1203</v>
      </c>
      <c r="N1668" t="str">
        <f>IFERROR(VLOOKUP(E1668,Sales_Reps!$A$2:$E$31,3,FALSE),"")</f>
        <v>North</v>
      </c>
      <c r="O1668" t="str">
        <f>IFERROR(VLOOKUP(C1668,Customers!$A$2:$F$301,5,FALSE),"")</f>
        <v>Retail</v>
      </c>
      <c r="P1668">
        <f>IFERROR(VLOOKUP(C1668,Customers!$A$2:$F$301,3,FALSE),"")</f>
        <v>49</v>
      </c>
      <c r="Q1668" s="41">
        <f t="shared" si="35"/>
        <v>0.47004405286343615</v>
      </c>
      <c r="R1668" t="str">
        <f>IFERROR(VLOOKUP(C1668,Customers!$A$2:$F$301,1,FALSE),"")</f>
        <v>CUST-0144</v>
      </c>
      <c r="S1668" s="27" t="b">
        <f>IFERROR(VLOOKUP(D1668,Products!$A$2:$F$61,6,FALSE),"")</f>
        <v>1</v>
      </c>
      <c r="BL1668">
        <v>0</v>
      </c>
      <c r="BO1668">
        <v>0</v>
      </c>
      <c r="BP1668">
        <v>0</v>
      </c>
    </row>
    <row r="1669" spans="1:68" x14ac:dyDescent="0.35">
      <c r="A1669" s="26" t="str">
        <f>Orders!A1669</f>
        <v>ORD-01668</v>
      </c>
      <c r="B1669" s="33">
        <f>Orders!B1669</f>
        <v>45414</v>
      </c>
      <c r="C1669" t="str">
        <f>Orders!C1669</f>
        <v>CUST-0039</v>
      </c>
      <c r="D1669" t="str">
        <f>Orders!D1669</f>
        <v>PROD-037</v>
      </c>
      <c r="E1669" t="str">
        <f>Orders!E1669</f>
        <v>R011</v>
      </c>
      <c r="F1669">
        <f>Orders!F1669</f>
        <v>5</v>
      </c>
      <c r="G1669" s="35">
        <f>Orders!G1669</f>
        <v>660</v>
      </c>
      <c r="H1669" s="37">
        <f>Orders!H1669</f>
        <v>21</v>
      </c>
      <c r="I1669" s="39">
        <f>Orders!I1669</f>
        <v>2607</v>
      </c>
      <c r="J1669" t="str">
        <f>Orders!J1669</f>
        <v>Completed</v>
      </c>
      <c r="K1669" t="str">
        <f>Orders!K1669</f>
        <v>Bengaluru</v>
      </c>
      <c r="L1669" t="str">
        <f>IFERROR(VLOOKUP(D1669,Products!$A$2:$F$61,3,FALSE),"")</f>
        <v>Home</v>
      </c>
      <c r="M1669">
        <f>IFERROR(VLOOKUP(D1669,Products!$A$2:$F$61,4,FALSE),"")</f>
        <v>329</v>
      </c>
      <c r="N1669" t="str">
        <f>IFERROR(VLOOKUP(E1669,Sales_Reps!$A$2:$E$31,3,FALSE),"")</f>
        <v>South</v>
      </c>
      <c r="O1669" t="str">
        <f>IFERROR(VLOOKUP(C1669,Customers!$A$2:$F$301,5,FALSE),"")</f>
        <v>Retail</v>
      </c>
      <c r="P1669">
        <f>IFERROR(VLOOKUP(C1669,Customers!$A$2:$F$301,3,FALSE),"")</f>
        <v>37</v>
      </c>
      <c r="Q1669" s="41">
        <f t="shared" si="35"/>
        <v>0.50151515151515147</v>
      </c>
      <c r="R1669" t="str">
        <f>IFERROR(VLOOKUP(C1669,Customers!$A$2:$F$301,1,FALSE),"")</f>
        <v>CUST-0039</v>
      </c>
      <c r="S1669" s="27" t="b">
        <f>IFERROR(VLOOKUP(D1669,Products!$A$2:$F$61,6,FALSE),"")</f>
        <v>1</v>
      </c>
      <c r="BL1669">
        <v>0</v>
      </c>
      <c r="BO1669">
        <v>0</v>
      </c>
      <c r="BP1669">
        <v>0</v>
      </c>
    </row>
    <row r="1670" spans="1:68" x14ac:dyDescent="0.35">
      <c r="A1670" s="26" t="str">
        <f>Orders!A1670</f>
        <v>ORD-01669</v>
      </c>
      <c r="B1670" s="33">
        <f>Orders!B1670</f>
        <v>45407</v>
      </c>
      <c r="C1670" t="str">
        <f>Orders!C1670</f>
        <v>CUST-9765</v>
      </c>
      <c r="D1670" t="str">
        <f>Orders!D1670</f>
        <v>PROD-057</v>
      </c>
      <c r="E1670" t="str">
        <f>Orders!E1670</f>
        <v>R003</v>
      </c>
      <c r="F1670">
        <f>Orders!F1670</f>
        <v>2</v>
      </c>
      <c r="G1670" s="35">
        <f>Orders!G1670</f>
        <v>960</v>
      </c>
      <c r="H1670" s="37">
        <f>Orders!H1670</f>
        <v>7.3</v>
      </c>
      <c r="I1670" s="39">
        <f>Orders!I1670</f>
        <v>1779.84</v>
      </c>
      <c r="J1670" t="str">
        <f>Orders!J1670</f>
        <v>Completed</v>
      </c>
      <c r="K1670" t="str">
        <f>Orders!K1670</f>
        <v>Bengaluru</v>
      </c>
      <c r="L1670" t="str">
        <f>IFERROR(VLOOKUP(D1670,Products!$A$2:$F$61,3,FALSE),"")</f>
        <v>Sports</v>
      </c>
      <c r="M1670">
        <f>IFERROR(VLOOKUP(D1670,Products!$A$2:$F$61,4,FALSE),"")</f>
        <v>705</v>
      </c>
      <c r="N1670" t="str">
        <f>IFERROR(VLOOKUP(E1670,Sales_Reps!$A$2:$E$31,3,FALSE),"")</f>
        <v>North</v>
      </c>
      <c r="O1670" t="str">
        <f>IFERROR(VLOOKUP(C1670,Customers!$A$2:$F$301,5,FALSE),"")</f>
        <v/>
      </c>
      <c r="P1670" t="str">
        <f>IFERROR(VLOOKUP(C1670,Customers!$A$2:$F$301,3,FALSE),"")</f>
        <v/>
      </c>
      <c r="Q1670" s="41">
        <f t="shared" si="35"/>
        <v>0.265625</v>
      </c>
      <c r="R1670" t="str">
        <f>IFERROR(VLOOKUP(C1670,Customers!$A$2:$F$301,1,FALSE),"")</f>
        <v/>
      </c>
      <c r="S1670" s="27" t="b">
        <f>IFERROR(VLOOKUP(D1670,Products!$A$2:$F$61,6,FALSE),"")</f>
        <v>1</v>
      </c>
      <c r="BL1670">
        <v>0</v>
      </c>
      <c r="BO1670">
        <v>1</v>
      </c>
      <c r="BP1670">
        <v>0</v>
      </c>
    </row>
    <row r="1671" spans="1:68" x14ac:dyDescent="0.35">
      <c r="A1671" s="26" t="str">
        <f>Orders!A1671</f>
        <v>ORD-01670</v>
      </c>
      <c r="B1671" s="33">
        <f>Orders!B1671</f>
        <v>45509</v>
      </c>
      <c r="C1671" t="str">
        <f>Orders!C1671</f>
        <v>CUST-0159</v>
      </c>
      <c r="D1671" t="str">
        <f>Orders!D1671</f>
        <v>PROD-048</v>
      </c>
      <c r="E1671" t="str">
        <f>Orders!E1671</f>
        <v>R009</v>
      </c>
      <c r="F1671">
        <f>Orders!F1671</f>
        <v>3</v>
      </c>
      <c r="G1671" s="35">
        <f>Orders!G1671</f>
        <v>5100</v>
      </c>
      <c r="H1671" s="37">
        <f>Orders!H1671</f>
        <v>21</v>
      </c>
      <c r="I1671" s="39">
        <f>Orders!I1671</f>
        <v>12087</v>
      </c>
      <c r="J1671" t="str">
        <f>Orders!J1671</f>
        <v>Completed</v>
      </c>
      <c r="K1671" t="str">
        <f>Orders!K1671</f>
        <v>Hyderabad</v>
      </c>
      <c r="L1671" t="str">
        <f>IFERROR(VLOOKUP(D1671,Products!$A$2:$F$61,3,FALSE),"")</f>
        <v>Beauty</v>
      </c>
      <c r="M1671">
        <f>IFERROR(VLOOKUP(D1671,Products!$A$2:$F$61,4,FALSE),"")</f>
        <v>2237</v>
      </c>
      <c r="N1671" t="str">
        <f>IFERROR(VLOOKUP(E1671,Sales_Reps!$A$2:$E$31,3,FALSE),"")</f>
        <v>South</v>
      </c>
      <c r="O1671" t="str">
        <f>IFERROR(VLOOKUP(C1671,Customers!$A$2:$F$301,5,FALSE),"")</f>
        <v>Retail</v>
      </c>
      <c r="P1671">
        <f>IFERROR(VLOOKUP(C1671,Customers!$A$2:$F$301,3,FALSE),"")</f>
        <v>32</v>
      </c>
      <c r="Q1671" s="41">
        <f t="shared" si="35"/>
        <v>0.56137254901960787</v>
      </c>
      <c r="R1671" t="str">
        <f>IFERROR(VLOOKUP(C1671,Customers!$A$2:$F$301,1,FALSE),"")</f>
        <v>CUST-0159</v>
      </c>
      <c r="S1671" s="27" t="b">
        <f>IFERROR(VLOOKUP(D1671,Products!$A$2:$F$61,6,FALSE),"")</f>
        <v>1</v>
      </c>
      <c r="BL1671">
        <v>0</v>
      </c>
      <c r="BO1671">
        <v>0</v>
      </c>
      <c r="BP1671">
        <v>0</v>
      </c>
    </row>
    <row r="1672" spans="1:68" x14ac:dyDescent="0.35">
      <c r="A1672" s="26" t="str">
        <f>Orders!A1672</f>
        <v>ORD-01671</v>
      </c>
      <c r="B1672" s="33">
        <f>Orders!B1672</f>
        <v>45566</v>
      </c>
      <c r="C1672" t="str">
        <f>Orders!C1672</f>
        <v>CUST-0168</v>
      </c>
      <c r="D1672" t="str">
        <f>Orders!D1672</f>
        <v>PROD-012</v>
      </c>
      <c r="E1672" t="str">
        <f>Orders!E1672</f>
        <v>R004</v>
      </c>
      <c r="F1672">
        <f>Orders!F1672</f>
        <v>3</v>
      </c>
      <c r="G1672" s="35">
        <f>Orders!G1672</f>
        <v>3160</v>
      </c>
      <c r="H1672" s="37">
        <f>Orders!H1672</f>
        <v>13.5</v>
      </c>
      <c r="I1672" s="39">
        <f>Orders!I1672</f>
        <v>8200.2000000000007</v>
      </c>
      <c r="J1672" t="str">
        <f>Orders!J1672</f>
        <v>Completed</v>
      </c>
      <c r="K1672" t="str">
        <f>Orders!K1672</f>
        <v>Pune</v>
      </c>
      <c r="L1672" t="str">
        <f>IFERROR(VLOOKUP(D1672,Products!$A$2:$F$61,3,FALSE),"")</f>
        <v>Apparel</v>
      </c>
      <c r="M1672">
        <f>IFERROR(VLOOKUP(D1672,Products!$A$2:$F$61,4,FALSE),"")</f>
        <v>1886</v>
      </c>
      <c r="N1672" t="str">
        <f>IFERROR(VLOOKUP(E1672,Sales_Reps!$A$2:$E$31,3,FALSE),"")</f>
        <v>North</v>
      </c>
      <c r="O1672" t="str">
        <f>IFERROR(VLOOKUP(C1672,Customers!$A$2:$F$301,5,FALSE),"")</f>
        <v>Retail</v>
      </c>
      <c r="P1672">
        <f>IFERROR(VLOOKUP(C1672,Customers!$A$2:$F$301,3,FALSE),"")</f>
        <v>25</v>
      </c>
      <c r="Q1672" s="41">
        <f t="shared" si="35"/>
        <v>0.4031645569620253</v>
      </c>
      <c r="R1672" t="str">
        <f>IFERROR(VLOOKUP(C1672,Customers!$A$2:$F$301,1,FALSE),"")</f>
        <v>CUST-0168</v>
      </c>
      <c r="S1672" s="27" t="b">
        <f>IFERROR(VLOOKUP(D1672,Products!$A$2:$F$61,6,FALSE),"")</f>
        <v>1</v>
      </c>
      <c r="BL1672">
        <v>0</v>
      </c>
      <c r="BO1672">
        <v>0</v>
      </c>
      <c r="BP1672">
        <v>0</v>
      </c>
    </row>
    <row r="1673" spans="1:68" x14ac:dyDescent="0.35">
      <c r="A1673" s="26" t="str">
        <f>Orders!A1673</f>
        <v>ORD-01672</v>
      </c>
      <c r="B1673" s="33">
        <f>Orders!B1673</f>
        <v>45524</v>
      </c>
      <c r="C1673" t="str">
        <f>Orders!C1673</f>
        <v>CUST-9552</v>
      </c>
      <c r="D1673" t="str">
        <f>Orders!D1673</f>
        <v>PROD-041</v>
      </c>
      <c r="E1673" t="str">
        <f>Orders!E1673</f>
        <v>R005</v>
      </c>
      <c r="F1673">
        <f>Orders!F1673</f>
        <v>9</v>
      </c>
      <c r="G1673" s="35">
        <f>Orders!G1673</f>
        <v>1540</v>
      </c>
      <c r="H1673" s="37">
        <f>Orders!H1673</f>
        <v>18.2</v>
      </c>
      <c r="I1673" s="39">
        <f>Orders!I1673</f>
        <v>11337.48</v>
      </c>
      <c r="J1673" t="str">
        <f>Orders!J1673</f>
        <v>Cancelled</v>
      </c>
      <c r="K1673" t="str">
        <f>Orders!K1673</f>
        <v>Bengaluru</v>
      </c>
      <c r="L1673" t="str">
        <f>IFERROR(VLOOKUP(D1673,Products!$A$2:$F$61,3,FALSE),"")</f>
        <v>Beauty</v>
      </c>
      <c r="M1673">
        <f>IFERROR(VLOOKUP(D1673,Products!$A$2:$F$61,4,FALSE),"")</f>
        <v>647</v>
      </c>
      <c r="N1673" t="str">
        <f>IFERROR(VLOOKUP(E1673,Sales_Reps!$A$2:$E$31,3,FALSE),"")</f>
        <v>North</v>
      </c>
      <c r="O1673" t="str">
        <f>IFERROR(VLOOKUP(C1673,Customers!$A$2:$F$301,5,FALSE),"")</f>
        <v/>
      </c>
      <c r="P1673" t="str">
        <f>IFERROR(VLOOKUP(C1673,Customers!$A$2:$F$301,3,FALSE),"")</f>
        <v/>
      </c>
      <c r="Q1673" s="41">
        <f t="shared" si="35"/>
        <v>0.57987012987012987</v>
      </c>
      <c r="R1673" t="str">
        <f>IFERROR(VLOOKUP(C1673,Customers!$A$2:$F$301,1,FALSE),"")</f>
        <v/>
      </c>
      <c r="S1673" s="27" t="b">
        <f>IFERROR(VLOOKUP(D1673,Products!$A$2:$F$61,6,FALSE),"")</f>
        <v>0</v>
      </c>
      <c r="BL1673">
        <v>0</v>
      </c>
      <c r="BO1673">
        <v>1</v>
      </c>
      <c r="BP1673">
        <v>1</v>
      </c>
    </row>
    <row r="1674" spans="1:68" x14ac:dyDescent="0.35">
      <c r="A1674" s="26" t="str">
        <f>Orders!A1674</f>
        <v>ORD-01673</v>
      </c>
      <c r="B1674" s="33">
        <f>Orders!B1674</f>
        <v>45431</v>
      </c>
      <c r="C1674" t="str">
        <f>Orders!C1674</f>
        <v>CUST-0056</v>
      </c>
      <c r="D1674" t="str">
        <f>Orders!D1674</f>
        <v>PROD-047</v>
      </c>
      <c r="E1674" t="str">
        <f>Orders!E1674</f>
        <v>R024</v>
      </c>
      <c r="F1674">
        <f>Orders!F1674</f>
        <v>4</v>
      </c>
      <c r="G1674" s="35">
        <f>Orders!G1674</f>
        <v>3450</v>
      </c>
      <c r="H1674" s="37">
        <f>Orders!H1674</f>
        <v>26.4</v>
      </c>
      <c r="I1674" s="39">
        <f>Orders!I1674</f>
        <v>10156.799999999999</v>
      </c>
      <c r="J1674" t="str">
        <f>Orders!J1674</f>
        <v>Pending</v>
      </c>
      <c r="K1674" t="str">
        <f>Orders!K1674</f>
        <v>Bengaluru</v>
      </c>
      <c r="L1674" t="str">
        <f>IFERROR(VLOOKUP(D1674,Products!$A$2:$F$61,3,FALSE),"")</f>
        <v>Beauty</v>
      </c>
      <c r="M1674">
        <f>IFERROR(VLOOKUP(D1674,Products!$A$2:$F$61,4,FALSE),"")</f>
        <v>2420</v>
      </c>
      <c r="N1674" t="str">
        <f>IFERROR(VLOOKUP(E1674,Sales_Reps!$A$2:$E$31,3,FALSE),"")</f>
        <v>West</v>
      </c>
      <c r="O1674" t="str">
        <f>IFERROR(VLOOKUP(C1674,Customers!$A$2:$F$301,5,FALSE),"")</f>
        <v>SMB</v>
      </c>
      <c r="P1674">
        <f>IFERROR(VLOOKUP(C1674,Customers!$A$2:$F$301,3,FALSE),"")</f>
        <v>46</v>
      </c>
      <c r="Q1674" s="41">
        <f t="shared" si="35"/>
        <v>0.29855072463768118</v>
      </c>
      <c r="R1674" t="str">
        <f>IFERROR(VLOOKUP(C1674,Customers!$A$2:$F$301,1,FALSE),"")</f>
        <v>CUST-0056</v>
      </c>
      <c r="S1674" s="27" t="b">
        <f>IFERROR(VLOOKUP(D1674,Products!$A$2:$F$61,6,FALSE),"")</f>
        <v>1</v>
      </c>
      <c r="BL1674">
        <v>0</v>
      </c>
      <c r="BO1674">
        <v>0</v>
      </c>
      <c r="BP1674">
        <v>0</v>
      </c>
    </row>
    <row r="1675" spans="1:68" x14ac:dyDescent="0.35">
      <c r="A1675" s="26" t="str">
        <f>Orders!A1675</f>
        <v>ORD-01674</v>
      </c>
      <c r="B1675" s="33">
        <f>Orders!B1675</f>
        <v>45598</v>
      </c>
      <c r="C1675" t="str">
        <f>Orders!C1675</f>
        <v>CUST-0239</v>
      </c>
      <c r="D1675" t="str">
        <f>Orders!D1675</f>
        <v>PROD-023</v>
      </c>
      <c r="E1675" t="str">
        <f>Orders!E1675</f>
        <v>R026</v>
      </c>
      <c r="F1675">
        <f>Orders!F1675</f>
        <v>4</v>
      </c>
      <c r="G1675" s="35">
        <f>Orders!G1675</f>
        <v>2380</v>
      </c>
      <c r="H1675" s="37">
        <f>Orders!H1675</f>
        <v>6.9</v>
      </c>
      <c r="I1675" s="39">
        <f>Orders!I1675</f>
        <v>8863.1200000000008</v>
      </c>
      <c r="J1675" t="str">
        <f>Orders!J1675</f>
        <v>Completed</v>
      </c>
      <c r="K1675" t="str">
        <f>Orders!K1675</f>
        <v>Mumbai</v>
      </c>
      <c r="L1675" t="str">
        <f>IFERROR(VLOOKUP(D1675,Products!$A$2:$F$61,3,FALSE),"")</f>
        <v>Grocery</v>
      </c>
      <c r="M1675">
        <f>IFERROR(VLOOKUP(D1675,Products!$A$2:$F$61,4,FALSE),"")</f>
        <v>1182</v>
      </c>
      <c r="N1675" t="str">
        <f>IFERROR(VLOOKUP(E1675,Sales_Reps!$A$2:$E$31,3,FALSE),"")</f>
        <v>West</v>
      </c>
      <c r="O1675" t="str">
        <f>IFERROR(VLOOKUP(C1675,Customers!$A$2:$F$301,5,FALSE),"")</f>
        <v>Retail</v>
      </c>
      <c r="P1675">
        <f>IFERROR(VLOOKUP(C1675,Customers!$A$2:$F$301,3,FALSE),"")</f>
        <v>61</v>
      </c>
      <c r="Q1675" s="41">
        <f t="shared" si="35"/>
        <v>0.50336134453781511</v>
      </c>
      <c r="R1675" t="str">
        <f>IFERROR(VLOOKUP(C1675,Customers!$A$2:$F$301,1,FALSE),"")</f>
        <v>CUST-0239</v>
      </c>
      <c r="S1675" s="27" t="b">
        <f>IFERROR(VLOOKUP(D1675,Products!$A$2:$F$61,6,FALSE),"")</f>
        <v>1</v>
      </c>
      <c r="BL1675">
        <v>0</v>
      </c>
      <c r="BO1675">
        <v>0</v>
      </c>
      <c r="BP1675">
        <v>0</v>
      </c>
    </row>
    <row r="1676" spans="1:68" x14ac:dyDescent="0.35">
      <c r="A1676" s="26" t="str">
        <f>Orders!A1676</f>
        <v>ORD-01675</v>
      </c>
      <c r="B1676" s="33">
        <f>Orders!B1676</f>
        <v>45419</v>
      </c>
      <c r="C1676" t="str">
        <f>Orders!C1676</f>
        <v>CUST-0168</v>
      </c>
      <c r="D1676" t="str">
        <f>Orders!D1676</f>
        <v>PROD-031</v>
      </c>
      <c r="E1676" t="str">
        <f>Orders!E1676</f>
        <v>R003</v>
      </c>
      <c r="F1676">
        <f>Orders!F1676</f>
        <v>2</v>
      </c>
      <c r="G1676" s="35">
        <f>Orders!G1676</f>
        <v>3730</v>
      </c>
      <c r="H1676" s="37">
        <f>Orders!H1676</f>
        <v>22.9</v>
      </c>
      <c r="I1676" s="39">
        <f>Orders!I1676</f>
        <v>5751.66</v>
      </c>
      <c r="J1676" t="str">
        <f>Orders!J1676</f>
        <v>Completed</v>
      </c>
      <c r="K1676" t="str">
        <f>Orders!K1676</f>
        <v>Pune</v>
      </c>
      <c r="L1676" t="str">
        <f>IFERROR(VLOOKUP(D1676,Products!$A$2:$F$61,3,FALSE),"")</f>
        <v>Home</v>
      </c>
      <c r="M1676">
        <f>IFERROR(VLOOKUP(D1676,Products!$A$2:$F$61,4,FALSE),"")</f>
        <v>2135</v>
      </c>
      <c r="N1676" t="str">
        <f>IFERROR(VLOOKUP(E1676,Sales_Reps!$A$2:$E$31,3,FALSE),"")</f>
        <v>North</v>
      </c>
      <c r="O1676" t="str">
        <f>IFERROR(VLOOKUP(C1676,Customers!$A$2:$F$301,5,FALSE),"")</f>
        <v>Retail</v>
      </c>
      <c r="P1676">
        <f>IFERROR(VLOOKUP(C1676,Customers!$A$2:$F$301,3,FALSE),"")</f>
        <v>25</v>
      </c>
      <c r="Q1676" s="41">
        <f t="shared" si="35"/>
        <v>0.42761394101876676</v>
      </c>
      <c r="R1676" t="str">
        <f>IFERROR(VLOOKUP(C1676,Customers!$A$2:$F$301,1,FALSE),"")</f>
        <v>CUST-0168</v>
      </c>
      <c r="S1676" s="27" t="b">
        <f>IFERROR(VLOOKUP(D1676,Products!$A$2:$F$61,6,FALSE),"")</f>
        <v>1</v>
      </c>
      <c r="BL1676">
        <v>0</v>
      </c>
      <c r="BO1676">
        <v>0</v>
      </c>
      <c r="BP1676">
        <v>0</v>
      </c>
    </row>
    <row r="1677" spans="1:68" x14ac:dyDescent="0.35">
      <c r="A1677" s="26" t="str">
        <f>Orders!A1677</f>
        <v>ORD-01676</v>
      </c>
      <c r="B1677" s="33">
        <f>Orders!B1677</f>
        <v>45549</v>
      </c>
      <c r="C1677" t="str">
        <f>Orders!C1677</f>
        <v>CUST-0012</v>
      </c>
      <c r="D1677" t="str">
        <f>Orders!D1677</f>
        <v>PROD-036</v>
      </c>
      <c r="E1677" t="str">
        <f>Orders!E1677</f>
        <v>R002</v>
      </c>
      <c r="F1677">
        <f>Orders!F1677</f>
        <v>7</v>
      </c>
      <c r="G1677" s="35">
        <f>Orders!G1677</f>
        <v>3250</v>
      </c>
      <c r="H1677" s="37">
        <f>Orders!H1677</f>
        <v>6</v>
      </c>
      <c r="I1677" s="39">
        <f>Orders!I1677</f>
        <v>21385</v>
      </c>
      <c r="J1677" t="str">
        <f>Orders!J1677</f>
        <v>Completed</v>
      </c>
      <c r="K1677" t="str">
        <f>Orders!K1677</f>
        <v>Pune</v>
      </c>
      <c r="L1677" t="str">
        <f>IFERROR(VLOOKUP(D1677,Products!$A$2:$F$61,3,FALSE),"")</f>
        <v>Home</v>
      </c>
      <c r="M1677">
        <f>IFERROR(VLOOKUP(D1677,Products!$A$2:$F$61,4,FALSE),"")</f>
        <v>1556</v>
      </c>
      <c r="N1677" t="str">
        <f>IFERROR(VLOOKUP(E1677,Sales_Reps!$A$2:$E$31,3,FALSE),"")</f>
        <v>North</v>
      </c>
      <c r="O1677" t="str">
        <f>IFERROR(VLOOKUP(C1677,Customers!$A$2:$F$301,5,FALSE),"")</f>
        <v>Retail</v>
      </c>
      <c r="P1677">
        <f>IFERROR(VLOOKUP(C1677,Customers!$A$2:$F$301,3,FALSE),"")</f>
        <v>43</v>
      </c>
      <c r="Q1677" s="41">
        <f t="shared" si="35"/>
        <v>0.52123076923076928</v>
      </c>
      <c r="R1677" t="str">
        <f>IFERROR(VLOOKUP(C1677,Customers!$A$2:$F$301,1,FALSE),"")</f>
        <v>CUST-0012</v>
      </c>
      <c r="S1677" s="27" t="b">
        <f>IFERROR(VLOOKUP(D1677,Products!$A$2:$F$61,6,FALSE),"")</f>
        <v>1</v>
      </c>
      <c r="BL1677">
        <v>0</v>
      </c>
      <c r="BO1677">
        <v>0</v>
      </c>
      <c r="BP1677">
        <v>0</v>
      </c>
    </row>
    <row r="1678" spans="1:68" x14ac:dyDescent="0.35">
      <c r="A1678" s="26" t="str">
        <f>Orders!A1678</f>
        <v>ORD-01677</v>
      </c>
      <c r="B1678" s="33">
        <f>Orders!B1678</f>
        <v>45519</v>
      </c>
      <c r="C1678" t="str">
        <f>Orders!C1678</f>
        <v>CUST-0057</v>
      </c>
      <c r="D1678" t="str">
        <f>Orders!D1678</f>
        <v>PROD-053</v>
      </c>
      <c r="E1678" t="str">
        <f>Orders!E1678</f>
        <v>R020</v>
      </c>
      <c r="F1678">
        <f>Orders!F1678</f>
        <v>9</v>
      </c>
      <c r="G1678" s="35">
        <f>Orders!G1678</f>
        <v>470</v>
      </c>
      <c r="H1678" s="37">
        <f>Orders!H1678</f>
        <v>11.6</v>
      </c>
      <c r="I1678" s="39">
        <f>Orders!I1678</f>
        <v>3739.32</v>
      </c>
      <c r="J1678" t="str">
        <f>Orders!J1678</f>
        <v>Completed</v>
      </c>
      <c r="K1678" t="str">
        <f>Orders!K1678</f>
        <v>Pune</v>
      </c>
      <c r="L1678" t="str">
        <f>IFERROR(VLOOKUP(D1678,Products!$A$2:$F$61,3,FALSE),"")</f>
        <v>Sports</v>
      </c>
      <c r="M1678">
        <f>IFERROR(VLOOKUP(D1678,Products!$A$2:$F$61,4,FALSE),"")</f>
        <v>302</v>
      </c>
      <c r="N1678" t="str">
        <f>IFERROR(VLOOKUP(E1678,Sales_Reps!$A$2:$E$31,3,FALSE),"")</f>
        <v>East</v>
      </c>
      <c r="O1678" t="str">
        <f>IFERROR(VLOOKUP(C1678,Customers!$A$2:$F$301,5,FALSE),"")</f>
        <v>Retail</v>
      </c>
      <c r="P1678">
        <f>IFERROR(VLOOKUP(C1678,Customers!$A$2:$F$301,3,FALSE),"")</f>
        <v>35</v>
      </c>
      <c r="Q1678" s="41">
        <f t="shared" si="35"/>
        <v>0.35744680851063831</v>
      </c>
      <c r="R1678" t="str">
        <f>IFERROR(VLOOKUP(C1678,Customers!$A$2:$F$301,1,FALSE),"")</f>
        <v>CUST-0057</v>
      </c>
      <c r="S1678" s="27" t="b">
        <f>IFERROR(VLOOKUP(D1678,Products!$A$2:$F$61,6,FALSE),"")</f>
        <v>0</v>
      </c>
      <c r="BL1678">
        <v>0</v>
      </c>
      <c r="BO1678">
        <v>0</v>
      </c>
      <c r="BP1678">
        <v>1</v>
      </c>
    </row>
    <row r="1679" spans="1:68" x14ac:dyDescent="0.35">
      <c r="A1679" s="26" t="str">
        <f>Orders!A1679</f>
        <v>ORD-01678</v>
      </c>
      <c r="B1679" s="33">
        <f>Orders!B1679</f>
        <v>45574</v>
      </c>
      <c r="C1679" t="str">
        <f>Orders!C1679</f>
        <v>CUST-0030</v>
      </c>
      <c r="D1679" t="str">
        <f>Orders!D1679</f>
        <v>PROD-042</v>
      </c>
      <c r="E1679" t="str">
        <f>Orders!E1679</f>
        <v>R026</v>
      </c>
      <c r="F1679">
        <f>Orders!F1679</f>
        <v>5</v>
      </c>
      <c r="G1679" s="35">
        <f>Orders!G1679</f>
        <v>2290</v>
      </c>
      <c r="H1679" s="37">
        <f>Orders!H1679</f>
        <v>27.6</v>
      </c>
      <c r="I1679" s="39">
        <f>Orders!I1679</f>
        <v>8289.7999999999993</v>
      </c>
      <c r="J1679" t="str">
        <f>Orders!J1679</f>
        <v>Completed</v>
      </c>
      <c r="K1679" t="str">
        <f>Orders!K1679</f>
        <v>Bengaluru</v>
      </c>
      <c r="L1679" t="str">
        <f>IFERROR(VLOOKUP(D1679,Products!$A$2:$F$61,3,FALSE),"")</f>
        <v>Beauty</v>
      </c>
      <c r="M1679">
        <f>IFERROR(VLOOKUP(D1679,Products!$A$2:$F$61,4,FALSE),"")</f>
        <v>1219</v>
      </c>
      <c r="N1679" t="str">
        <f>IFERROR(VLOOKUP(E1679,Sales_Reps!$A$2:$E$31,3,FALSE),"")</f>
        <v>West</v>
      </c>
      <c r="O1679" t="str">
        <f>IFERROR(VLOOKUP(C1679,Customers!$A$2:$F$301,5,FALSE),"")</f>
        <v>Corporate</v>
      </c>
      <c r="P1679">
        <f>IFERROR(VLOOKUP(C1679,Customers!$A$2:$F$301,3,FALSE),"")</f>
        <v>43</v>
      </c>
      <c r="Q1679" s="41">
        <f t="shared" si="35"/>
        <v>0.46768558951965067</v>
      </c>
      <c r="R1679" t="str">
        <f>IFERROR(VLOOKUP(C1679,Customers!$A$2:$F$301,1,FALSE),"")</f>
        <v>CUST-0030</v>
      </c>
      <c r="S1679" s="27" t="b">
        <f>IFERROR(VLOOKUP(D1679,Products!$A$2:$F$61,6,FALSE),"")</f>
        <v>1</v>
      </c>
      <c r="BL1679">
        <v>0</v>
      </c>
      <c r="BO1679">
        <v>0</v>
      </c>
      <c r="BP1679">
        <v>0</v>
      </c>
    </row>
    <row r="1680" spans="1:68" x14ac:dyDescent="0.35">
      <c r="A1680" s="26" t="str">
        <f>Orders!A1680</f>
        <v>ORD-01679</v>
      </c>
      <c r="B1680" s="33">
        <f>Orders!B1680</f>
        <v>45462</v>
      </c>
      <c r="C1680" t="str">
        <f>Orders!C1680</f>
        <v>CUST-0166</v>
      </c>
      <c r="D1680" t="str">
        <f>Orders!D1680</f>
        <v>PROD-007</v>
      </c>
      <c r="E1680" t="str">
        <f>Orders!E1680</f>
        <v>R029</v>
      </c>
      <c r="F1680">
        <f>Orders!F1680</f>
        <v>6</v>
      </c>
      <c r="G1680" s="35">
        <f>Orders!G1680</f>
        <v>1430</v>
      </c>
      <c r="H1680" s="37">
        <f>Orders!H1680</f>
        <v>18.399999999999999</v>
      </c>
      <c r="I1680" s="39">
        <f>Orders!I1680</f>
        <v>7001.28</v>
      </c>
      <c r="J1680" t="str">
        <f>Orders!J1680</f>
        <v>Pending</v>
      </c>
      <c r="K1680" t="str">
        <f>Orders!K1680</f>
        <v>Hyderabad</v>
      </c>
      <c r="L1680" t="str">
        <f>IFERROR(VLOOKUP(D1680,Products!$A$2:$F$61,3,FALSE),"")</f>
        <v>Electronics</v>
      </c>
      <c r="M1680">
        <f>IFERROR(VLOOKUP(D1680,Products!$A$2:$F$61,4,FALSE),"")</f>
        <v>861</v>
      </c>
      <c r="N1680" t="str">
        <f>IFERROR(VLOOKUP(E1680,Sales_Reps!$A$2:$E$31,3,FALSE),"")</f>
        <v>West</v>
      </c>
      <c r="O1680" t="str">
        <f>IFERROR(VLOOKUP(C1680,Customers!$A$2:$F$301,5,FALSE),"")</f>
        <v>Retail</v>
      </c>
      <c r="P1680">
        <f>IFERROR(VLOOKUP(C1680,Customers!$A$2:$F$301,3,FALSE),"")</f>
        <v>31</v>
      </c>
      <c r="Q1680" s="41">
        <f t="shared" si="35"/>
        <v>0.39790209790209791</v>
      </c>
      <c r="R1680" t="str">
        <f>IFERROR(VLOOKUP(C1680,Customers!$A$2:$F$301,1,FALSE),"")</f>
        <v>CUST-0166</v>
      </c>
      <c r="S1680" s="27" t="b">
        <f>IFERROR(VLOOKUP(D1680,Products!$A$2:$F$61,6,FALSE),"")</f>
        <v>1</v>
      </c>
      <c r="BL1680">
        <v>0</v>
      </c>
      <c r="BO1680">
        <v>0</v>
      </c>
      <c r="BP1680">
        <v>0</v>
      </c>
    </row>
    <row r="1681" spans="1:68" x14ac:dyDescent="0.35">
      <c r="A1681" s="26" t="str">
        <f>Orders!A1681</f>
        <v>ORD-01680</v>
      </c>
      <c r="B1681" s="33">
        <f>Orders!B1681</f>
        <v>45336</v>
      </c>
      <c r="C1681" t="str">
        <f>Orders!C1681</f>
        <v>CUST-0188</v>
      </c>
      <c r="D1681" t="str">
        <f>Orders!D1681</f>
        <v>PROD-055</v>
      </c>
      <c r="E1681" t="str">
        <f>Orders!E1681</f>
        <v>R002</v>
      </c>
      <c r="F1681">
        <f>Orders!F1681</f>
        <v>7</v>
      </c>
      <c r="G1681" s="35">
        <f>Orders!G1681</f>
        <v>2860</v>
      </c>
      <c r="H1681" s="37">
        <f>Orders!H1681</f>
        <v>19.5</v>
      </c>
      <c r="I1681" s="39">
        <f>Orders!I1681</f>
        <v>16116.1</v>
      </c>
      <c r="J1681" t="str">
        <f>Orders!J1681</f>
        <v>Completed</v>
      </c>
      <c r="K1681" t="str">
        <f>Orders!K1681</f>
        <v>Bengaluru</v>
      </c>
      <c r="L1681" t="str">
        <f>IFERROR(VLOOKUP(D1681,Products!$A$2:$F$61,3,FALSE),"")</f>
        <v>Sports</v>
      </c>
      <c r="M1681">
        <f>IFERROR(VLOOKUP(D1681,Products!$A$2:$F$61,4,FALSE),"")</f>
        <v>2028</v>
      </c>
      <c r="N1681" t="str">
        <f>IFERROR(VLOOKUP(E1681,Sales_Reps!$A$2:$E$31,3,FALSE),"")</f>
        <v>North</v>
      </c>
      <c r="O1681" t="str">
        <f>IFERROR(VLOOKUP(C1681,Customers!$A$2:$F$301,5,FALSE),"")</f>
        <v>Retail</v>
      </c>
      <c r="P1681">
        <f>IFERROR(VLOOKUP(C1681,Customers!$A$2:$F$301,3,FALSE),"")</f>
        <v>54</v>
      </c>
      <c r="Q1681" s="41">
        <f t="shared" si="35"/>
        <v>0.29090909090909089</v>
      </c>
      <c r="R1681" t="str">
        <f>IFERROR(VLOOKUP(C1681,Customers!$A$2:$F$301,1,FALSE),"")</f>
        <v>CUST-0188</v>
      </c>
      <c r="S1681" s="27" t="b">
        <f>IFERROR(VLOOKUP(D1681,Products!$A$2:$F$61,6,FALSE),"")</f>
        <v>1</v>
      </c>
      <c r="BL1681">
        <v>0</v>
      </c>
      <c r="BO1681">
        <v>0</v>
      </c>
      <c r="BP1681">
        <v>0</v>
      </c>
    </row>
    <row r="1682" spans="1:68" x14ac:dyDescent="0.35">
      <c r="A1682" s="26" t="str">
        <f>Orders!A1682</f>
        <v>ORD-01681</v>
      </c>
      <c r="B1682" s="33">
        <f>Orders!B1682</f>
        <v>45439</v>
      </c>
      <c r="C1682" t="str">
        <f>Orders!C1682</f>
        <v>CUST-0097</v>
      </c>
      <c r="D1682" t="str">
        <f>Orders!D1682</f>
        <v>PROD-047</v>
      </c>
      <c r="E1682" t="str">
        <f>Orders!E1682</f>
        <v>R020</v>
      </c>
      <c r="F1682">
        <f>Orders!F1682</f>
        <v>8</v>
      </c>
      <c r="G1682" s="35">
        <f>Orders!G1682</f>
        <v>3450</v>
      </c>
      <c r="H1682" s="37">
        <f>Orders!H1682</f>
        <v>25.5</v>
      </c>
      <c r="I1682" s="39">
        <f>Orders!I1682</f>
        <v>20562</v>
      </c>
      <c r="J1682" t="str">
        <f>Orders!J1682</f>
        <v>Pending</v>
      </c>
      <c r="K1682" t="str">
        <f>Orders!K1682</f>
        <v>Mumbai</v>
      </c>
      <c r="L1682" t="str">
        <f>IFERROR(VLOOKUP(D1682,Products!$A$2:$F$61,3,FALSE),"")</f>
        <v>Beauty</v>
      </c>
      <c r="M1682">
        <f>IFERROR(VLOOKUP(D1682,Products!$A$2:$F$61,4,FALSE),"")</f>
        <v>2420</v>
      </c>
      <c r="N1682" t="str">
        <f>IFERROR(VLOOKUP(E1682,Sales_Reps!$A$2:$E$31,3,FALSE),"")</f>
        <v>East</v>
      </c>
      <c r="O1682" t="str">
        <f>IFERROR(VLOOKUP(C1682,Customers!$A$2:$F$301,5,FALSE),"")</f>
        <v>Retail</v>
      </c>
      <c r="P1682">
        <f>IFERROR(VLOOKUP(C1682,Customers!$A$2:$F$301,3,FALSE),"")</f>
        <v>65</v>
      </c>
      <c r="Q1682" s="41">
        <f t="shared" si="35"/>
        <v>0.29855072463768118</v>
      </c>
      <c r="R1682" t="str">
        <f>IFERROR(VLOOKUP(C1682,Customers!$A$2:$F$301,1,FALSE),"")</f>
        <v>CUST-0097</v>
      </c>
      <c r="S1682" s="27" t="b">
        <f>IFERROR(VLOOKUP(D1682,Products!$A$2:$F$61,6,FALSE),"")</f>
        <v>1</v>
      </c>
      <c r="BL1682">
        <v>0</v>
      </c>
      <c r="BO1682">
        <v>0</v>
      </c>
      <c r="BP1682">
        <v>0</v>
      </c>
    </row>
    <row r="1683" spans="1:68" x14ac:dyDescent="0.35">
      <c r="A1683" s="26" t="str">
        <f>Orders!A1683</f>
        <v>ORD-01682</v>
      </c>
      <c r="B1683" s="33">
        <f>Orders!B1683</f>
        <v>45578</v>
      </c>
      <c r="C1683" t="str">
        <f>Orders!C1683</f>
        <v>CUST-0026</v>
      </c>
      <c r="D1683" t="str">
        <f>Orders!D1683</f>
        <v>PROD-052</v>
      </c>
      <c r="E1683" t="str">
        <f>Orders!E1683</f>
        <v>R019</v>
      </c>
      <c r="F1683">
        <f>Orders!F1683</f>
        <v>7</v>
      </c>
      <c r="G1683" s="35">
        <f>Orders!G1683</f>
        <v>5410</v>
      </c>
      <c r="H1683" s="37">
        <f>Orders!H1683</f>
        <v>15.2</v>
      </c>
      <c r="I1683" s="39">
        <f>Orders!I1683</f>
        <v>32113.759999999998</v>
      </c>
      <c r="J1683" t="str">
        <f>Orders!J1683</f>
        <v>Cancelled</v>
      </c>
      <c r="K1683" t="str">
        <f>Orders!K1683</f>
        <v>Pune</v>
      </c>
      <c r="L1683" t="str">
        <f>IFERROR(VLOOKUP(D1683,Products!$A$2:$F$61,3,FALSE),"")</f>
        <v>Sports</v>
      </c>
      <c r="M1683">
        <f>IFERROR(VLOOKUP(D1683,Products!$A$2:$F$61,4,FALSE),"")</f>
        <v>2265</v>
      </c>
      <c r="N1683" t="str">
        <f>IFERROR(VLOOKUP(E1683,Sales_Reps!$A$2:$E$31,3,FALSE),"")</f>
        <v>East</v>
      </c>
      <c r="O1683" t="str">
        <f>IFERROR(VLOOKUP(C1683,Customers!$A$2:$F$301,5,FALSE),"")</f>
        <v>Retail</v>
      </c>
      <c r="P1683">
        <f>IFERROR(VLOOKUP(C1683,Customers!$A$2:$F$301,3,FALSE),"")</f>
        <v>62</v>
      </c>
      <c r="Q1683" s="41">
        <f t="shared" si="35"/>
        <v>0.58133086876155271</v>
      </c>
      <c r="R1683" t="str">
        <f>IFERROR(VLOOKUP(C1683,Customers!$A$2:$F$301,1,FALSE),"")</f>
        <v>CUST-0026</v>
      </c>
      <c r="S1683" s="27" t="b">
        <f>IFERROR(VLOOKUP(D1683,Products!$A$2:$F$61,6,FALSE),"")</f>
        <v>1</v>
      </c>
      <c r="BL1683">
        <v>0</v>
      </c>
      <c r="BO1683">
        <v>0</v>
      </c>
      <c r="BP1683">
        <v>0</v>
      </c>
    </row>
    <row r="1684" spans="1:68" x14ac:dyDescent="0.35">
      <c r="A1684" s="26" t="str">
        <f>Orders!A1684</f>
        <v>ORD-01683</v>
      </c>
      <c r="B1684" s="33">
        <f>Orders!B1684</f>
        <v>45588</v>
      </c>
      <c r="C1684" t="str">
        <f>Orders!C1684</f>
        <v>CUST-0026</v>
      </c>
      <c r="D1684" t="str">
        <f>Orders!D1684</f>
        <v>PROD-040</v>
      </c>
      <c r="E1684" t="str">
        <f>Orders!E1684</f>
        <v>R025</v>
      </c>
      <c r="F1684">
        <f>Orders!F1684</f>
        <v>3</v>
      </c>
      <c r="G1684" s="35">
        <f>Orders!G1684</f>
        <v>1080</v>
      </c>
      <c r="H1684" s="37">
        <f>Orders!H1684</f>
        <v>26</v>
      </c>
      <c r="I1684" s="39">
        <f>Orders!I1684</f>
        <v>2397.6</v>
      </c>
      <c r="J1684" t="str">
        <f>Orders!J1684</f>
        <v>Completed</v>
      </c>
      <c r="K1684" t="str">
        <f>Orders!K1684</f>
        <v>Pune</v>
      </c>
      <c r="L1684" t="str">
        <f>IFERROR(VLOOKUP(D1684,Products!$A$2:$F$61,3,FALSE),"")</f>
        <v>Home</v>
      </c>
      <c r="M1684">
        <f>IFERROR(VLOOKUP(D1684,Products!$A$2:$F$61,4,FALSE),"")</f>
        <v>519</v>
      </c>
      <c r="N1684" t="str">
        <f>IFERROR(VLOOKUP(E1684,Sales_Reps!$A$2:$E$31,3,FALSE),"")</f>
        <v>West</v>
      </c>
      <c r="O1684" t="str">
        <f>IFERROR(VLOOKUP(C1684,Customers!$A$2:$F$301,5,FALSE),"")</f>
        <v>Retail</v>
      </c>
      <c r="P1684">
        <f>IFERROR(VLOOKUP(C1684,Customers!$A$2:$F$301,3,FALSE),"")</f>
        <v>62</v>
      </c>
      <c r="Q1684" s="41">
        <f t="shared" si="35"/>
        <v>0.51944444444444449</v>
      </c>
      <c r="R1684" t="str">
        <f>IFERROR(VLOOKUP(C1684,Customers!$A$2:$F$301,1,FALSE),"")</f>
        <v>CUST-0026</v>
      </c>
      <c r="S1684" s="27" t="b">
        <f>IFERROR(VLOOKUP(D1684,Products!$A$2:$F$61,6,FALSE),"")</f>
        <v>1</v>
      </c>
      <c r="BL1684">
        <v>0</v>
      </c>
      <c r="BO1684">
        <v>0</v>
      </c>
      <c r="BP1684">
        <v>0</v>
      </c>
    </row>
    <row r="1685" spans="1:68" x14ac:dyDescent="0.35">
      <c r="A1685" s="26" t="str">
        <f>Orders!A1685</f>
        <v>ORD-01684</v>
      </c>
      <c r="B1685" s="33">
        <f>Orders!B1685</f>
        <v>45354</v>
      </c>
      <c r="C1685" t="str">
        <f>Orders!C1685</f>
        <v>CUST-0020</v>
      </c>
      <c r="D1685" t="str">
        <f>Orders!D1685</f>
        <v>PROD-055</v>
      </c>
      <c r="E1685" t="str">
        <f>Orders!E1685</f>
        <v>R019</v>
      </c>
      <c r="F1685">
        <f>Orders!F1685</f>
        <v>8</v>
      </c>
      <c r="G1685" s="35">
        <f>Orders!G1685</f>
        <v>2860</v>
      </c>
      <c r="H1685" s="37">
        <f>Orders!H1685</f>
        <v>14.8</v>
      </c>
      <c r="I1685" s="39">
        <f>Orders!I1685</f>
        <v>19493.759999999998</v>
      </c>
      <c r="J1685" t="str">
        <f>Orders!J1685</f>
        <v>Completed</v>
      </c>
      <c r="K1685" t="str">
        <f>Orders!K1685</f>
        <v>Hyderabad</v>
      </c>
      <c r="L1685" t="str">
        <f>IFERROR(VLOOKUP(D1685,Products!$A$2:$F$61,3,FALSE),"")</f>
        <v>Sports</v>
      </c>
      <c r="M1685">
        <f>IFERROR(VLOOKUP(D1685,Products!$A$2:$F$61,4,FALSE),"")</f>
        <v>2028</v>
      </c>
      <c r="N1685" t="str">
        <f>IFERROR(VLOOKUP(E1685,Sales_Reps!$A$2:$E$31,3,FALSE),"")</f>
        <v>East</v>
      </c>
      <c r="O1685" t="str">
        <f>IFERROR(VLOOKUP(C1685,Customers!$A$2:$F$301,5,FALSE),"")</f>
        <v>Retail</v>
      </c>
      <c r="P1685">
        <f>IFERROR(VLOOKUP(C1685,Customers!$A$2:$F$301,3,FALSE),"")</f>
        <v>46</v>
      </c>
      <c r="Q1685" s="41">
        <f t="shared" si="35"/>
        <v>0.29090909090909089</v>
      </c>
      <c r="R1685" t="str">
        <f>IFERROR(VLOOKUP(C1685,Customers!$A$2:$F$301,1,FALSE),"")</f>
        <v>CUST-0020</v>
      </c>
      <c r="S1685" s="27" t="b">
        <f>IFERROR(VLOOKUP(D1685,Products!$A$2:$F$61,6,FALSE),"")</f>
        <v>1</v>
      </c>
      <c r="BL1685">
        <v>0</v>
      </c>
      <c r="BO1685">
        <v>0</v>
      </c>
      <c r="BP1685">
        <v>0</v>
      </c>
    </row>
    <row r="1686" spans="1:68" x14ac:dyDescent="0.35">
      <c r="A1686" s="26" t="str">
        <f>Orders!A1686</f>
        <v>ORD-01685</v>
      </c>
      <c r="B1686" s="33">
        <f>Orders!B1686</f>
        <v>45332</v>
      </c>
      <c r="C1686" t="str">
        <f>Orders!C1686</f>
        <v>CUST-9740</v>
      </c>
      <c r="D1686" t="str">
        <f>Orders!D1686</f>
        <v>PROD-045</v>
      </c>
      <c r="E1686" t="str">
        <f>Orders!E1686</f>
        <v>R013</v>
      </c>
      <c r="F1686">
        <f>Orders!F1686</f>
        <v>4</v>
      </c>
      <c r="G1686" s="35">
        <f>Orders!G1686</f>
        <v>3020</v>
      </c>
      <c r="H1686" s="37">
        <f>Orders!H1686</f>
        <v>8.1</v>
      </c>
      <c r="I1686" s="39">
        <f>Orders!I1686</f>
        <v>11101.52</v>
      </c>
      <c r="J1686" t="str">
        <f>Orders!J1686</f>
        <v>Completed</v>
      </c>
      <c r="K1686" t="str">
        <f>Orders!K1686</f>
        <v>Hyderabad</v>
      </c>
      <c r="L1686" t="str">
        <f>IFERROR(VLOOKUP(D1686,Products!$A$2:$F$61,3,FALSE),"")</f>
        <v>Beauty</v>
      </c>
      <c r="M1686">
        <f>IFERROR(VLOOKUP(D1686,Products!$A$2:$F$61,4,FALSE),"")</f>
        <v>1626</v>
      </c>
      <c r="N1686" t="str">
        <f>IFERROR(VLOOKUP(E1686,Sales_Reps!$A$2:$E$31,3,FALSE),"")</f>
        <v>South</v>
      </c>
      <c r="O1686" t="str">
        <f>IFERROR(VLOOKUP(C1686,Customers!$A$2:$F$301,5,FALSE),"")</f>
        <v/>
      </c>
      <c r="P1686" t="str">
        <f>IFERROR(VLOOKUP(C1686,Customers!$A$2:$F$301,3,FALSE),"")</f>
        <v/>
      </c>
      <c r="Q1686" s="41">
        <f t="shared" si="35"/>
        <v>0.46158940397350995</v>
      </c>
      <c r="R1686" t="str">
        <f>IFERROR(VLOOKUP(C1686,Customers!$A$2:$F$301,1,FALSE),"")</f>
        <v/>
      </c>
      <c r="S1686" s="27" t="b">
        <f>IFERROR(VLOOKUP(D1686,Products!$A$2:$F$61,6,FALSE),"")</f>
        <v>1</v>
      </c>
      <c r="BL1686">
        <v>0</v>
      </c>
      <c r="BO1686">
        <v>1</v>
      </c>
      <c r="BP1686">
        <v>0</v>
      </c>
    </row>
    <row r="1687" spans="1:68" x14ac:dyDescent="0.35">
      <c r="A1687" s="26" t="str">
        <f>Orders!A1687</f>
        <v>ORD-01686</v>
      </c>
      <c r="B1687" s="33">
        <f>Orders!B1687</f>
        <v>45649</v>
      </c>
      <c r="C1687" t="str">
        <f>Orders!C1687</f>
        <v>CUST-0095</v>
      </c>
      <c r="D1687" t="str">
        <f>Orders!D1687</f>
        <v>PROD-057</v>
      </c>
      <c r="E1687" t="str">
        <f>Orders!E1687</f>
        <v>R025</v>
      </c>
      <c r="F1687">
        <f>Orders!F1687</f>
        <v>4</v>
      </c>
      <c r="G1687" s="35">
        <f>Orders!G1687</f>
        <v>960</v>
      </c>
      <c r="H1687" s="37">
        <f>Orders!H1687</f>
        <v>6.4</v>
      </c>
      <c r="I1687" s="39">
        <f>Orders!I1687</f>
        <v>3594.24</v>
      </c>
      <c r="J1687" t="str">
        <f>Orders!J1687</f>
        <v>Cancelled</v>
      </c>
      <c r="K1687" t="str">
        <f>Orders!K1687</f>
        <v>Mumbai</v>
      </c>
      <c r="L1687" t="str">
        <f>IFERROR(VLOOKUP(D1687,Products!$A$2:$F$61,3,FALSE),"")</f>
        <v>Sports</v>
      </c>
      <c r="M1687">
        <f>IFERROR(VLOOKUP(D1687,Products!$A$2:$F$61,4,FALSE),"")</f>
        <v>705</v>
      </c>
      <c r="N1687" t="str">
        <f>IFERROR(VLOOKUP(E1687,Sales_Reps!$A$2:$E$31,3,FALSE),"")</f>
        <v>West</v>
      </c>
      <c r="O1687" t="str">
        <f>IFERROR(VLOOKUP(C1687,Customers!$A$2:$F$301,5,FALSE),"")</f>
        <v>SMB</v>
      </c>
      <c r="P1687">
        <f>IFERROR(VLOOKUP(C1687,Customers!$A$2:$F$301,3,FALSE),"")</f>
        <v>54</v>
      </c>
      <c r="Q1687" s="41">
        <f t="shared" si="35"/>
        <v>0.265625</v>
      </c>
      <c r="R1687" t="str">
        <f>IFERROR(VLOOKUP(C1687,Customers!$A$2:$F$301,1,FALSE),"")</f>
        <v>CUST-0095</v>
      </c>
      <c r="S1687" s="27" t="b">
        <f>IFERROR(VLOOKUP(D1687,Products!$A$2:$F$61,6,FALSE),"")</f>
        <v>1</v>
      </c>
      <c r="BL1687">
        <v>0</v>
      </c>
      <c r="BO1687">
        <v>0</v>
      </c>
      <c r="BP1687">
        <v>0</v>
      </c>
    </row>
    <row r="1688" spans="1:68" x14ac:dyDescent="0.35">
      <c r="A1688" s="26" t="str">
        <f>Orders!A1688</f>
        <v>ORD-01687</v>
      </c>
      <c r="B1688" s="33">
        <f>Orders!B1688</f>
        <v>45596</v>
      </c>
      <c r="C1688" t="str">
        <f>Orders!C1688</f>
        <v>CUST-0079</v>
      </c>
      <c r="D1688" t="str">
        <f>Orders!D1688</f>
        <v>PROD-004</v>
      </c>
      <c r="E1688" t="str">
        <f>Orders!E1688</f>
        <v>R029</v>
      </c>
      <c r="F1688">
        <f>Orders!F1688</f>
        <v>4</v>
      </c>
      <c r="G1688" s="35">
        <f>Orders!G1688</f>
        <v>3870</v>
      </c>
      <c r="H1688" s="37">
        <f>Orders!H1688</f>
        <v>15.9</v>
      </c>
      <c r="I1688" s="39">
        <f>Orders!I1688</f>
        <v>13018.68</v>
      </c>
      <c r="J1688" t="str">
        <f>Orders!J1688</f>
        <v>Completed</v>
      </c>
      <c r="K1688" t="str">
        <f>Orders!K1688</f>
        <v>Mumbai</v>
      </c>
      <c r="L1688" t="str">
        <f>IFERROR(VLOOKUP(D1688,Products!$A$2:$F$61,3,FALSE),"")</f>
        <v>Electronics</v>
      </c>
      <c r="M1688">
        <f>IFERROR(VLOOKUP(D1688,Products!$A$2:$F$61,4,FALSE),"")</f>
        <v>1559</v>
      </c>
      <c r="N1688" t="str">
        <f>IFERROR(VLOOKUP(E1688,Sales_Reps!$A$2:$E$31,3,FALSE),"")</f>
        <v>West</v>
      </c>
      <c r="O1688" t="str">
        <f>IFERROR(VLOOKUP(C1688,Customers!$A$2:$F$301,5,FALSE),"")</f>
        <v>Corporate</v>
      </c>
      <c r="P1688">
        <f>IFERROR(VLOOKUP(C1688,Customers!$A$2:$F$301,3,FALSE),"")</f>
        <v>60</v>
      </c>
      <c r="Q1688" s="41">
        <f t="shared" si="35"/>
        <v>0.59715762273901807</v>
      </c>
      <c r="R1688" t="str">
        <f>IFERROR(VLOOKUP(C1688,Customers!$A$2:$F$301,1,FALSE),"")</f>
        <v>CUST-0079</v>
      </c>
      <c r="S1688" s="27" t="b">
        <f>IFERROR(VLOOKUP(D1688,Products!$A$2:$F$61,6,FALSE),"")</f>
        <v>1</v>
      </c>
      <c r="BL1688">
        <v>0</v>
      </c>
      <c r="BO1688">
        <v>0</v>
      </c>
      <c r="BP1688">
        <v>0</v>
      </c>
    </row>
    <row r="1689" spans="1:68" x14ac:dyDescent="0.35">
      <c r="A1689" s="26" t="str">
        <f>Orders!A1689</f>
        <v>ORD-01688</v>
      </c>
      <c r="B1689" s="33">
        <f>Orders!B1689</f>
        <v>45378</v>
      </c>
      <c r="C1689" t="str">
        <f>Orders!C1689</f>
        <v>CUST-0060</v>
      </c>
      <c r="D1689" t="str">
        <f>Orders!D1689</f>
        <v>PROD-012</v>
      </c>
      <c r="E1689" t="str">
        <f>Orders!E1689</f>
        <v>R020</v>
      </c>
      <c r="F1689">
        <f>Orders!F1689</f>
        <v>5</v>
      </c>
      <c r="G1689" s="35">
        <f>Orders!G1689</f>
        <v>3160</v>
      </c>
      <c r="H1689" s="37">
        <f>Orders!H1689</f>
        <v>29.8</v>
      </c>
      <c r="I1689" s="39">
        <f>Orders!I1689</f>
        <v>11091.6</v>
      </c>
      <c r="J1689" t="str">
        <f>Orders!J1689</f>
        <v>Completed</v>
      </c>
      <c r="K1689" t="str">
        <f>Orders!K1689</f>
        <v>Pune</v>
      </c>
      <c r="L1689" t="str">
        <f>IFERROR(VLOOKUP(D1689,Products!$A$2:$F$61,3,FALSE),"")</f>
        <v>Apparel</v>
      </c>
      <c r="M1689">
        <f>IFERROR(VLOOKUP(D1689,Products!$A$2:$F$61,4,FALSE),"")</f>
        <v>1886</v>
      </c>
      <c r="N1689" t="str">
        <f>IFERROR(VLOOKUP(E1689,Sales_Reps!$A$2:$E$31,3,FALSE),"")</f>
        <v>East</v>
      </c>
      <c r="O1689" t="str">
        <f>IFERROR(VLOOKUP(C1689,Customers!$A$2:$F$301,5,FALSE),"")</f>
        <v>Retail</v>
      </c>
      <c r="P1689">
        <f>IFERROR(VLOOKUP(C1689,Customers!$A$2:$F$301,3,FALSE),"")</f>
        <v>39</v>
      </c>
      <c r="Q1689" s="41">
        <f t="shared" si="35"/>
        <v>0.4031645569620253</v>
      </c>
      <c r="R1689" t="str">
        <f>IFERROR(VLOOKUP(C1689,Customers!$A$2:$F$301,1,FALSE),"")</f>
        <v>CUST-0060</v>
      </c>
      <c r="S1689" s="27" t="b">
        <f>IFERROR(VLOOKUP(D1689,Products!$A$2:$F$61,6,FALSE),"")</f>
        <v>1</v>
      </c>
      <c r="BL1689">
        <v>0</v>
      </c>
      <c r="BO1689">
        <v>0</v>
      </c>
      <c r="BP1689">
        <v>0</v>
      </c>
    </row>
    <row r="1690" spans="1:68" x14ac:dyDescent="0.35">
      <c r="A1690" s="26" t="str">
        <f>Orders!A1690</f>
        <v>ORD-01689</v>
      </c>
      <c r="B1690" s="33">
        <f>Orders!B1690</f>
        <v>45403</v>
      </c>
      <c r="C1690" t="str">
        <f>Orders!C1690</f>
        <v>CUST-0080</v>
      </c>
      <c r="D1690" t="str">
        <f>Orders!D1690</f>
        <v>PROD-047</v>
      </c>
      <c r="E1690" t="str">
        <f>Orders!E1690</f>
        <v>R027</v>
      </c>
      <c r="F1690">
        <f>Orders!F1690</f>
        <v>5</v>
      </c>
      <c r="G1690" s="35">
        <f>Orders!G1690</f>
        <v>3450</v>
      </c>
      <c r="H1690" s="37">
        <f>Orders!H1690</f>
        <v>29.4</v>
      </c>
      <c r="I1690" s="39">
        <f>Orders!I1690</f>
        <v>12178.5</v>
      </c>
      <c r="J1690" t="str">
        <f>Orders!J1690</f>
        <v>Completed</v>
      </c>
      <c r="K1690" t="str">
        <f>Orders!K1690</f>
        <v>Pune</v>
      </c>
      <c r="L1690" t="str">
        <f>IFERROR(VLOOKUP(D1690,Products!$A$2:$F$61,3,FALSE),"")</f>
        <v>Beauty</v>
      </c>
      <c r="M1690">
        <f>IFERROR(VLOOKUP(D1690,Products!$A$2:$F$61,4,FALSE),"")</f>
        <v>2420</v>
      </c>
      <c r="N1690" t="str">
        <f>IFERROR(VLOOKUP(E1690,Sales_Reps!$A$2:$E$31,3,FALSE),"")</f>
        <v>West</v>
      </c>
      <c r="O1690" t="str">
        <f>IFERROR(VLOOKUP(C1690,Customers!$A$2:$F$301,5,FALSE),"")</f>
        <v>SMB</v>
      </c>
      <c r="P1690">
        <f>IFERROR(VLOOKUP(C1690,Customers!$A$2:$F$301,3,FALSE),"")</f>
        <v>30</v>
      </c>
      <c r="Q1690" s="41">
        <f t="shared" si="35"/>
        <v>0.29855072463768118</v>
      </c>
      <c r="R1690" t="str">
        <f>IFERROR(VLOOKUP(C1690,Customers!$A$2:$F$301,1,FALSE),"")</f>
        <v>CUST-0080</v>
      </c>
      <c r="S1690" s="27" t="b">
        <f>IFERROR(VLOOKUP(D1690,Products!$A$2:$F$61,6,FALSE),"")</f>
        <v>1</v>
      </c>
      <c r="BL1690">
        <v>0</v>
      </c>
      <c r="BO1690">
        <v>0</v>
      </c>
      <c r="BP1690">
        <v>0</v>
      </c>
    </row>
    <row r="1691" spans="1:68" x14ac:dyDescent="0.35">
      <c r="A1691" s="26" t="str">
        <f>Orders!A1691</f>
        <v>ORD-01690</v>
      </c>
      <c r="B1691" s="33">
        <f>Orders!B1691</f>
        <v>45535</v>
      </c>
      <c r="C1691" t="str">
        <f>Orders!C1691</f>
        <v>CUST-0136</v>
      </c>
      <c r="D1691" t="str">
        <f>Orders!D1691</f>
        <v>PROD-049</v>
      </c>
      <c r="E1691" t="str">
        <f>Orders!E1691</f>
        <v>R018</v>
      </c>
      <c r="F1691">
        <f>Orders!F1691</f>
        <v>10</v>
      </c>
      <c r="G1691" s="35">
        <f>Orders!G1691</f>
        <v>960</v>
      </c>
      <c r="H1691" s="37">
        <f>Orders!H1691</f>
        <v>27</v>
      </c>
      <c r="I1691" s="39">
        <f>Orders!I1691</f>
        <v>7008</v>
      </c>
      <c r="J1691" t="str">
        <f>Orders!J1691</f>
        <v>Cancelled</v>
      </c>
      <c r="K1691" t="str">
        <f>Orders!K1691</f>
        <v>Chennai</v>
      </c>
      <c r="L1691" t="str">
        <f>IFERROR(VLOOKUP(D1691,Products!$A$2:$F$61,3,FALSE),"")</f>
        <v>Beauty</v>
      </c>
      <c r="M1691">
        <f>IFERROR(VLOOKUP(D1691,Products!$A$2:$F$61,4,FALSE),"")</f>
        <v>675</v>
      </c>
      <c r="N1691" t="str">
        <f>IFERROR(VLOOKUP(E1691,Sales_Reps!$A$2:$E$31,3,FALSE),"")</f>
        <v>East</v>
      </c>
      <c r="O1691" t="str">
        <f>IFERROR(VLOOKUP(C1691,Customers!$A$2:$F$301,5,FALSE),"")</f>
        <v>SMB</v>
      </c>
      <c r="P1691">
        <f>IFERROR(VLOOKUP(C1691,Customers!$A$2:$F$301,3,FALSE),"")</f>
        <v>26</v>
      </c>
      <c r="Q1691" s="41">
        <f t="shared" si="35"/>
        <v>0.296875</v>
      </c>
      <c r="R1691" t="str">
        <f>IFERROR(VLOOKUP(C1691,Customers!$A$2:$F$301,1,FALSE),"")</f>
        <v>CUST-0136</v>
      </c>
      <c r="S1691" s="27" t="b">
        <f>IFERROR(VLOOKUP(D1691,Products!$A$2:$F$61,6,FALSE),"")</f>
        <v>1</v>
      </c>
      <c r="BL1691">
        <v>0</v>
      </c>
      <c r="BO1691">
        <v>0</v>
      </c>
      <c r="BP1691">
        <v>0</v>
      </c>
    </row>
    <row r="1692" spans="1:68" x14ac:dyDescent="0.35">
      <c r="A1692" s="26" t="str">
        <f>Orders!A1692</f>
        <v>ORD-01691</v>
      </c>
      <c r="B1692" s="33">
        <f>Orders!B1692</f>
        <v>45429</v>
      </c>
      <c r="C1692" t="str">
        <f>Orders!C1692</f>
        <v>CUST-0074</v>
      </c>
      <c r="D1692" t="str">
        <f>Orders!D1692</f>
        <v>PROD-056</v>
      </c>
      <c r="E1692" t="str">
        <f>Orders!E1692</f>
        <v>R018</v>
      </c>
      <c r="F1692">
        <f>Orders!F1692</f>
        <v>10</v>
      </c>
      <c r="G1692" s="35">
        <f>Orders!G1692</f>
        <v>6940</v>
      </c>
      <c r="H1692" s="37">
        <f>Orders!H1692</f>
        <v>20.100000000000001</v>
      </c>
      <c r="I1692" s="39">
        <f>Orders!I1692</f>
        <v>55450.6</v>
      </c>
      <c r="J1692" t="str">
        <f>Orders!J1692</f>
        <v>Completed</v>
      </c>
      <c r="K1692" t="str">
        <f>Orders!K1692</f>
        <v>Bengaluru</v>
      </c>
      <c r="L1692" t="str">
        <f>IFERROR(VLOOKUP(D1692,Products!$A$2:$F$61,3,FALSE),"")</f>
        <v>Sports</v>
      </c>
      <c r="M1692">
        <f>IFERROR(VLOOKUP(D1692,Products!$A$2:$F$61,4,FALSE),"")</f>
        <v>2827</v>
      </c>
      <c r="N1692" t="str">
        <f>IFERROR(VLOOKUP(E1692,Sales_Reps!$A$2:$E$31,3,FALSE),"")</f>
        <v>East</v>
      </c>
      <c r="O1692" t="str">
        <f>IFERROR(VLOOKUP(C1692,Customers!$A$2:$F$301,5,FALSE),"")</f>
        <v>Retail</v>
      </c>
      <c r="P1692">
        <f>IFERROR(VLOOKUP(C1692,Customers!$A$2:$F$301,3,FALSE),"")</f>
        <v>27</v>
      </c>
      <c r="Q1692" s="41">
        <f t="shared" si="35"/>
        <v>0.5926512968299712</v>
      </c>
      <c r="R1692" t="str">
        <f>IFERROR(VLOOKUP(C1692,Customers!$A$2:$F$301,1,FALSE),"")</f>
        <v>CUST-0074</v>
      </c>
      <c r="S1692" s="27" t="b">
        <f>IFERROR(VLOOKUP(D1692,Products!$A$2:$F$61,6,FALSE),"")</f>
        <v>1</v>
      </c>
      <c r="BL1692">
        <v>0</v>
      </c>
      <c r="BO1692">
        <v>0</v>
      </c>
      <c r="BP1692">
        <v>0</v>
      </c>
    </row>
    <row r="1693" spans="1:68" x14ac:dyDescent="0.35">
      <c r="A1693" s="26" t="str">
        <f>Orders!A1693</f>
        <v>ORD-01692</v>
      </c>
      <c r="B1693" s="33">
        <f>Orders!B1693</f>
        <v>45436</v>
      </c>
      <c r="C1693" t="str">
        <f>Orders!C1693</f>
        <v>CUST-0090</v>
      </c>
      <c r="D1693" t="str">
        <f>Orders!D1693</f>
        <v>PROD-058</v>
      </c>
      <c r="E1693" t="str">
        <f>Orders!E1693</f>
        <v>R009</v>
      </c>
      <c r="F1693">
        <f>Orders!F1693</f>
        <v>9</v>
      </c>
      <c r="G1693" s="35">
        <f>Orders!G1693</f>
        <v>2400</v>
      </c>
      <c r="H1693" s="37">
        <f>Orders!H1693</f>
        <v>7.8</v>
      </c>
      <c r="I1693" s="39">
        <f>Orders!I1693</f>
        <v>19915.2</v>
      </c>
      <c r="J1693" t="str">
        <f>Orders!J1693</f>
        <v>Completed</v>
      </c>
      <c r="K1693" t="str">
        <f>Orders!K1693</f>
        <v>Bengaluru</v>
      </c>
      <c r="L1693" t="str">
        <f>IFERROR(VLOOKUP(D1693,Products!$A$2:$F$61,3,FALSE),"")</f>
        <v>Sports</v>
      </c>
      <c r="M1693">
        <f>IFERROR(VLOOKUP(D1693,Products!$A$2:$F$61,4,FALSE),"")</f>
        <v>974</v>
      </c>
      <c r="N1693" t="str">
        <f>IFERROR(VLOOKUP(E1693,Sales_Reps!$A$2:$E$31,3,FALSE),"")</f>
        <v>South</v>
      </c>
      <c r="O1693" t="str">
        <f>IFERROR(VLOOKUP(C1693,Customers!$A$2:$F$301,5,FALSE),"")</f>
        <v>Corporate</v>
      </c>
      <c r="P1693">
        <f>IFERROR(VLOOKUP(C1693,Customers!$A$2:$F$301,3,FALSE),"")</f>
        <v>26</v>
      </c>
      <c r="Q1693" s="41">
        <f t="shared" si="35"/>
        <v>0.59416666666666662</v>
      </c>
      <c r="R1693" t="str">
        <f>IFERROR(VLOOKUP(C1693,Customers!$A$2:$F$301,1,FALSE),"")</f>
        <v>CUST-0090</v>
      </c>
      <c r="S1693" s="27" t="b">
        <f>IFERROR(VLOOKUP(D1693,Products!$A$2:$F$61,6,FALSE),"")</f>
        <v>1</v>
      </c>
      <c r="BL1693">
        <v>0</v>
      </c>
      <c r="BO1693">
        <v>0</v>
      </c>
      <c r="BP1693">
        <v>0</v>
      </c>
    </row>
    <row r="1694" spans="1:68" x14ac:dyDescent="0.35">
      <c r="A1694" s="26" t="str">
        <f>Orders!A1694</f>
        <v>ORD-01693</v>
      </c>
      <c r="B1694" s="33">
        <f>Orders!B1694</f>
        <v>45397</v>
      </c>
      <c r="C1694" t="str">
        <f>Orders!C1694</f>
        <v>CUST-0300</v>
      </c>
      <c r="D1694" t="str">
        <f>Orders!D1694</f>
        <v>PROD-052</v>
      </c>
      <c r="E1694" t="str">
        <f>Orders!E1694</f>
        <v>R017</v>
      </c>
      <c r="F1694">
        <f>Orders!F1694</f>
        <v>1</v>
      </c>
      <c r="G1694" s="35">
        <f>Orders!G1694</f>
        <v>5410</v>
      </c>
      <c r="H1694" s="37">
        <f>Orders!H1694</f>
        <v>22.8</v>
      </c>
      <c r="I1694" s="39">
        <f>Orders!I1694</f>
        <v>4176.5200000000004</v>
      </c>
      <c r="J1694" t="str">
        <f>Orders!J1694</f>
        <v>Completed</v>
      </c>
      <c r="K1694" t="str">
        <f>Orders!K1694</f>
        <v>Mumbai</v>
      </c>
      <c r="L1694" t="str">
        <f>IFERROR(VLOOKUP(D1694,Products!$A$2:$F$61,3,FALSE),"")</f>
        <v>Sports</v>
      </c>
      <c r="M1694">
        <f>IFERROR(VLOOKUP(D1694,Products!$A$2:$F$61,4,FALSE),"")</f>
        <v>2265</v>
      </c>
      <c r="N1694" t="str">
        <f>IFERROR(VLOOKUP(E1694,Sales_Reps!$A$2:$E$31,3,FALSE),"")</f>
        <v>East</v>
      </c>
      <c r="O1694" t="str">
        <f>IFERROR(VLOOKUP(C1694,Customers!$A$2:$F$301,5,FALSE),"")</f>
        <v>Retail</v>
      </c>
      <c r="P1694">
        <f>IFERROR(VLOOKUP(C1694,Customers!$A$2:$F$301,3,FALSE),"")</f>
        <v>38</v>
      </c>
      <c r="Q1694" s="41">
        <f t="shared" si="35"/>
        <v>0.58133086876155271</v>
      </c>
      <c r="R1694" t="str">
        <f>IFERROR(VLOOKUP(C1694,Customers!$A$2:$F$301,1,FALSE),"")</f>
        <v>CUST-0300</v>
      </c>
      <c r="S1694" s="27" t="b">
        <f>IFERROR(VLOOKUP(D1694,Products!$A$2:$F$61,6,FALSE),"")</f>
        <v>1</v>
      </c>
      <c r="BL1694">
        <v>0</v>
      </c>
      <c r="BO1694">
        <v>0</v>
      </c>
      <c r="BP1694">
        <v>0</v>
      </c>
    </row>
    <row r="1695" spans="1:68" x14ac:dyDescent="0.35">
      <c r="A1695" s="26" t="str">
        <f>Orders!A1695</f>
        <v>ORD-01694</v>
      </c>
      <c r="B1695" s="33">
        <f>Orders!B1695</f>
        <v>45629</v>
      </c>
      <c r="C1695" t="str">
        <f>Orders!C1695</f>
        <v>CUST-0188</v>
      </c>
      <c r="D1695" t="str">
        <f>Orders!D1695</f>
        <v>PROD-009</v>
      </c>
      <c r="E1695" t="str">
        <f>Orders!E1695</f>
        <v>R004</v>
      </c>
      <c r="F1695">
        <f>Orders!F1695</f>
        <v>7</v>
      </c>
      <c r="G1695" s="35">
        <f>Orders!G1695</f>
        <v>1220</v>
      </c>
      <c r="H1695" s="37">
        <f>Orders!H1695</f>
        <v>18.8</v>
      </c>
      <c r="I1695" s="39">
        <f>Orders!I1695</f>
        <v>6934.48</v>
      </c>
      <c r="J1695" t="str">
        <f>Orders!J1695</f>
        <v>Pending</v>
      </c>
      <c r="K1695" t="str">
        <f>Orders!K1695</f>
        <v>Bengaluru</v>
      </c>
      <c r="L1695" t="str">
        <f>IFERROR(VLOOKUP(D1695,Products!$A$2:$F$61,3,FALSE),"")</f>
        <v>Electronics</v>
      </c>
      <c r="M1695">
        <f>IFERROR(VLOOKUP(D1695,Products!$A$2:$F$61,4,FALSE),"")</f>
        <v>517</v>
      </c>
      <c r="N1695" t="str">
        <f>IFERROR(VLOOKUP(E1695,Sales_Reps!$A$2:$E$31,3,FALSE),"")</f>
        <v>North</v>
      </c>
      <c r="O1695" t="str">
        <f>IFERROR(VLOOKUP(C1695,Customers!$A$2:$F$301,5,FALSE),"")</f>
        <v>Retail</v>
      </c>
      <c r="P1695">
        <f>IFERROR(VLOOKUP(C1695,Customers!$A$2:$F$301,3,FALSE),"")</f>
        <v>54</v>
      </c>
      <c r="Q1695" s="41">
        <f t="shared" si="35"/>
        <v>0.57622950819672136</v>
      </c>
      <c r="R1695" t="str">
        <f>IFERROR(VLOOKUP(C1695,Customers!$A$2:$F$301,1,FALSE),"")</f>
        <v>CUST-0188</v>
      </c>
      <c r="S1695" s="27" t="b">
        <f>IFERROR(VLOOKUP(D1695,Products!$A$2:$F$61,6,FALSE),"")</f>
        <v>1</v>
      </c>
      <c r="BL1695">
        <v>0</v>
      </c>
      <c r="BO1695">
        <v>0</v>
      </c>
      <c r="BP1695">
        <v>0</v>
      </c>
    </row>
    <row r="1696" spans="1:68" x14ac:dyDescent="0.35">
      <c r="A1696" s="26" t="str">
        <f>Orders!A1696</f>
        <v>ORD-01695</v>
      </c>
      <c r="B1696" s="33">
        <f>Orders!B1696</f>
        <v>45595</v>
      </c>
      <c r="C1696" t="str">
        <f>Orders!C1696</f>
        <v>CUST-0250</v>
      </c>
      <c r="D1696" t="str">
        <f>Orders!D1696</f>
        <v>PROD-035</v>
      </c>
      <c r="E1696" t="str">
        <f>Orders!E1696</f>
        <v>R019</v>
      </c>
      <c r="F1696">
        <f>Orders!F1696</f>
        <v>1</v>
      </c>
      <c r="G1696" s="35">
        <f>Orders!G1696</f>
        <v>1090</v>
      </c>
      <c r="H1696" s="37">
        <f>Orders!H1696</f>
        <v>23.5</v>
      </c>
      <c r="I1696" s="39">
        <f>Orders!I1696</f>
        <v>833.85</v>
      </c>
      <c r="J1696" t="str">
        <f>Orders!J1696</f>
        <v>Completed</v>
      </c>
      <c r="K1696" t="str">
        <f>Orders!K1696</f>
        <v>Delhi</v>
      </c>
      <c r="L1696" t="str">
        <f>IFERROR(VLOOKUP(D1696,Products!$A$2:$F$61,3,FALSE),"")</f>
        <v>Home</v>
      </c>
      <c r="M1696">
        <f>IFERROR(VLOOKUP(D1696,Products!$A$2:$F$61,4,FALSE),"")</f>
        <v>464</v>
      </c>
      <c r="N1696" t="str">
        <f>IFERROR(VLOOKUP(E1696,Sales_Reps!$A$2:$E$31,3,FALSE),"")</f>
        <v>East</v>
      </c>
      <c r="O1696" t="str">
        <f>IFERROR(VLOOKUP(C1696,Customers!$A$2:$F$301,5,FALSE),"")</f>
        <v>Retail</v>
      </c>
      <c r="P1696">
        <f>IFERROR(VLOOKUP(C1696,Customers!$A$2:$F$301,3,FALSE),"")</f>
        <v>31</v>
      </c>
      <c r="Q1696" s="41">
        <f t="shared" si="35"/>
        <v>0.57431192660550456</v>
      </c>
      <c r="R1696" t="str">
        <f>IFERROR(VLOOKUP(C1696,Customers!$A$2:$F$301,1,FALSE),"")</f>
        <v>CUST-0250</v>
      </c>
      <c r="S1696" s="27" t="b">
        <f>IFERROR(VLOOKUP(D1696,Products!$A$2:$F$61,6,FALSE),"")</f>
        <v>1</v>
      </c>
      <c r="BL1696">
        <v>0</v>
      </c>
      <c r="BO1696">
        <v>0</v>
      </c>
      <c r="BP1696">
        <v>0</v>
      </c>
    </row>
    <row r="1697" spans="1:68" x14ac:dyDescent="0.35">
      <c r="A1697" s="26" t="str">
        <f>Orders!A1697</f>
        <v>ORD-01696</v>
      </c>
      <c r="B1697" s="33">
        <f>Orders!B1697</f>
        <v>45531</v>
      </c>
      <c r="C1697" t="str">
        <f>Orders!C1697</f>
        <v>CUST-0195</v>
      </c>
      <c r="D1697" t="str">
        <f>Orders!D1697</f>
        <v>PROD-021</v>
      </c>
      <c r="E1697" t="str">
        <f>Orders!E1697</f>
        <v>R023</v>
      </c>
      <c r="F1697">
        <f>Orders!F1697</f>
        <v>2</v>
      </c>
      <c r="G1697" s="35">
        <f>Orders!G1697</f>
        <v>2760</v>
      </c>
      <c r="H1697" s="37">
        <f>Orders!H1697</f>
        <v>2.2999999999999998</v>
      </c>
      <c r="I1697" s="39">
        <f>Orders!I1697</f>
        <v>5393.04</v>
      </c>
      <c r="J1697" t="str">
        <f>Orders!J1697</f>
        <v>Completed</v>
      </c>
      <c r="K1697" t="str">
        <f>Orders!K1697</f>
        <v>Bengaluru</v>
      </c>
      <c r="L1697" t="str">
        <f>IFERROR(VLOOKUP(D1697,Products!$A$2:$F$61,3,FALSE),"")</f>
        <v>Grocery</v>
      </c>
      <c r="M1697">
        <f>IFERROR(VLOOKUP(D1697,Products!$A$2:$F$61,4,FALSE),"")</f>
        <v>1435</v>
      </c>
      <c r="N1697" t="str">
        <f>IFERROR(VLOOKUP(E1697,Sales_Reps!$A$2:$E$31,3,FALSE),"")</f>
        <v>East</v>
      </c>
      <c r="O1697" t="str">
        <f>IFERROR(VLOOKUP(C1697,Customers!$A$2:$F$301,5,FALSE),"")</f>
        <v>Retail</v>
      </c>
      <c r="P1697">
        <f>IFERROR(VLOOKUP(C1697,Customers!$A$2:$F$301,3,FALSE),"")</f>
        <v>28</v>
      </c>
      <c r="Q1697" s="41">
        <f t="shared" si="35"/>
        <v>0.48007246376811596</v>
      </c>
      <c r="R1697" t="str">
        <f>IFERROR(VLOOKUP(C1697,Customers!$A$2:$F$301,1,FALSE),"")</f>
        <v>CUST-0195</v>
      </c>
      <c r="S1697" s="27" t="b">
        <f>IFERROR(VLOOKUP(D1697,Products!$A$2:$F$61,6,FALSE),"")</f>
        <v>1</v>
      </c>
      <c r="BL1697">
        <v>0</v>
      </c>
      <c r="BO1697">
        <v>0</v>
      </c>
      <c r="BP1697">
        <v>0</v>
      </c>
    </row>
    <row r="1698" spans="1:68" x14ac:dyDescent="0.35">
      <c r="A1698" s="26" t="str">
        <f>Orders!A1698</f>
        <v>ORD-01697</v>
      </c>
      <c r="B1698" s="33">
        <f>Orders!B1698</f>
        <v>45626</v>
      </c>
      <c r="C1698" t="str">
        <f>Orders!C1698</f>
        <v>CUST-0185</v>
      </c>
      <c r="D1698" t="str">
        <f>Orders!D1698</f>
        <v>PROD-003</v>
      </c>
      <c r="E1698" t="str">
        <f>Orders!E1698</f>
        <v>R026</v>
      </c>
      <c r="F1698">
        <f>Orders!F1698</f>
        <v>3</v>
      </c>
      <c r="G1698" s="35">
        <f>Orders!G1698</f>
        <v>3570</v>
      </c>
      <c r="H1698" s="37">
        <f>Orders!H1698</f>
        <v>18.399999999999999</v>
      </c>
      <c r="I1698" s="39">
        <f>Orders!I1698</f>
        <v>8739.36</v>
      </c>
      <c r="J1698" t="str">
        <f>Orders!J1698</f>
        <v>Refunded</v>
      </c>
      <c r="K1698" t="str">
        <f>Orders!K1698</f>
        <v>Hyderabad</v>
      </c>
      <c r="L1698" t="str">
        <f>IFERROR(VLOOKUP(D1698,Products!$A$2:$F$61,3,FALSE),"")</f>
        <v>Electronics</v>
      </c>
      <c r="M1698">
        <f>IFERROR(VLOOKUP(D1698,Products!$A$2:$F$61,4,FALSE),"")</f>
        <v>1665</v>
      </c>
      <c r="N1698" t="str">
        <f>IFERROR(VLOOKUP(E1698,Sales_Reps!$A$2:$E$31,3,FALSE),"")</f>
        <v>West</v>
      </c>
      <c r="O1698" t="str">
        <f>IFERROR(VLOOKUP(C1698,Customers!$A$2:$F$301,5,FALSE),"")</f>
        <v>SMB</v>
      </c>
      <c r="P1698">
        <f>IFERROR(VLOOKUP(C1698,Customers!$A$2:$F$301,3,FALSE),"")</f>
        <v>43</v>
      </c>
      <c r="Q1698" s="41">
        <f t="shared" si="35"/>
        <v>0.53361344537815125</v>
      </c>
      <c r="R1698" t="str">
        <f>IFERROR(VLOOKUP(C1698,Customers!$A$2:$F$301,1,FALSE),"")</f>
        <v>CUST-0185</v>
      </c>
      <c r="S1698" s="27" t="b">
        <f>IFERROR(VLOOKUP(D1698,Products!$A$2:$F$61,6,FALSE),"")</f>
        <v>1</v>
      </c>
      <c r="BL1698">
        <v>0</v>
      </c>
      <c r="BO1698">
        <v>0</v>
      </c>
      <c r="BP1698">
        <v>0</v>
      </c>
    </row>
    <row r="1699" spans="1:68" x14ac:dyDescent="0.35">
      <c r="A1699" s="26" t="str">
        <f>Orders!A1699</f>
        <v>ORD-01698</v>
      </c>
      <c r="B1699" s="33">
        <f>Orders!B1699</f>
        <v>45502</v>
      </c>
      <c r="C1699" t="str">
        <f>Orders!C1699</f>
        <v>CUST-0256</v>
      </c>
      <c r="D1699" t="str">
        <f>Orders!D1699</f>
        <v>PROD-009</v>
      </c>
      <c r="E1699" t="str">
        <f>Orders!E1699</f>
        <v>R004</v>
      </c>
      <c r="F1699">
        <f>Orders!F1699</f>
        <v>7</v>
      </c>
      <c r="G1699" s="35">
        <f>Orders!G1699</f>
        <v>1220</v>
      </c>
      <c r="H1699" s="37">
        <f>Orders!H1699</f>
        <v>25.8</v>
      </c>
      <c r="I1699" s="39">
        <f>Orders!I1699</f>
        <v>6336.68</v>
      </c>
      <c r="J1699" t="str">
        <f>Orders!J1699</f>
        <v>Refunded</v>
      </c>
      <c r="K1699" t="str">
        <f>Orders!K1699</f>
        <v>Hyderabad</v>
      </c>
      <c r="L1699" t="str">
        <f>IFERROR(VLOOKUP(D1699,Products!$A$2:$F$61,3,FALSE),"")</f>
        <v>Electronics</v>
      </c>
      <c r="M1699">
        <f>IFERROR(VLOOKUP(D1699,Products!$A$2:$F$61,4,FALSE),"")</f>
        <v>517</v>
      </c>
      <c r="N1699" t="str">
        <f>IFERROR(VLOOKUP(E1699,Sales_Reps!$A$2:$E$31,3,FALSE),"")</f>
        <v>North</v>
      </c>
      <c r="O1699" t="str">
        <f>IFERROR(VLOOKUP(C1699,Customers!$A$2:$F$301,5,FALSE),"")</f>
        <v>Retail</v>
      </c>
      <c r="P1699">
        <f>IFERROR(VLOOKUP(C1699,Customers!$A$2:$F$301,3,FALSE),"")</f>
        <v>28</v>
      </c>
      <c r="Q1699" s="41">
        <f t="shared" si="35"/>
        <v>0.57622950819672136</v>
      </c>
      <c r="R1699" t="str">
        <f>IFERROR(VLOOKUP(C1699,Customers!$A$2:$F$301,1,FALSE),"")</f>
        <v>CUST-0256</v>
      </c>
      <c r="S1699" s="27" t="b">
        <f>IFERROR(VLOOKUP(D1699,Products!$A$2:$F$61,6,FALSE),"")</f>
        <v>1</v>
      </c>
      <c r="BL1699">
        <v>0</v>
      </c>
      <c r="BO1699">
        <v>0</v>
      </c>
      <c r="BP1699">
        <v>0</v>
      </c>
    </row>
    <row r="1700" spans="1:68" x14ac:dyDescent="0.35">
      <c r="A1700" s="26" t="str">
        <f>Orders!A1700</f>
        <v>ORD-01699</v>
      </c>
      <c r="B1700" s="33">
        <f>Orders!B1700</f>
        <v>45501</v>
      </c>
      <c r="C1700" t="str">
        <f>Orders!C1700</f>
        <v>CUST-0060</v>
      </c>
      <c r="D1700" t="str">
        <f>Orders!D1700</f>
        <v>PROD-051</v>
      </c>
      <c r="E1700" t="str">
        <f>Orders!E1700</f>
        <v>R029</v>
      </c>
      <c r="F1700">
        <f>Orders!F1700</f>
        <v>6</v>
      </c>
      <c r="G1700" s="35">
        <f>Orders!G1700</f>
        <v>3450</v>
      </c>
      <c r="H1700" s="37">
        <f>Orders!H1700</f>
        <v>13.1</v>
      </c>
      <c r="I1700" s="39">
        <f>Orders!I1700</f>
        <v>17988.3</v>
      </c>
      <c r="J1700" t="str">
        <f>Orders!J1700</f>
        <v>Completed</v>
      </c>
      <c r="K1700" t="str">
        <f>Orders!K1700</f>
        <v>Pune</v>
      </c>
      <c r="L1700" t="str">
        <f>IFERROR(VLOOKUP(D1700,Products!$A$2:$F$61,3,FALSE),"")</f>
        <v>Sports</v>
      </c>
      <c r="M1700">
        <f>IFERROR(VLOOKUP(D1700,Products!$A$2:$F$61,4,FALSE),"")</f>
        <v>2467</v>
      </c>
      <c r="N1700" t="str">
        <f>IFERROR(VLOOKUP(E1700,Sales_Reps!$A$2:$E$31,3,FALSE),"")</f>
        <v>West</v>
      </c>
      <c r="O1700" t="str">
        <f>IFERROR(VLOOKUP(C1700,Customers!$A$2:$F$301,5,FALSE),"")</f>
        <v>Retail</v>
      </c>
      <c r="P1700">
        <f>IFERROR(VLOOKUP(C1700,Customers!$A$2:$F$301,3,FALSE),"")</f>
        <v>39</v>
      </c>
      <c r="Q1700" s="41">
        <f t="shared" si="35"/>
        <v>0.28492753623188405</v>
      </c>
      <c r="R1700" t="str">
        <f>IFERROR(VLOOKUP(C1700,Customers!$A$2:$F$301,1,FALSE),"")</f>
        <v>CUST-0060</v>
      </c>
      <c r="S1700" s="27" t="b">
        <f>IFERROR(VLOOKUP(D1700,Products!$A$2:$F$61,6,FALSE),"")</f>
        <v>1</v>
      </c>
      <c r="BL1700">
        <v>0</v>
      </c>
      <c r="BO1700">
        <v>0</v>
      </c>
      <c r="BP1700">
        <v>0</v>
      </c>
    </row>
    <row r="1701" spans="1:68" x14ac:dyDescent="0.35">
      <c r="A1701" s="26" t="str">
        <f>Orders!A1701</f>
        <v>ORD-01700</v>
      </c>
      <c r="B1701" s="33">
        <f>Orders!B1701</f>
        <v>45435</v>
      </c>
      <c r="C1701" t="str">
        <f>Orders!C1701</f>
        <v>CUST-0275</v>
      </c>
      <c r="D1701" t="str">
        <f>Orders!D1701</f>
        <v>PROD-029</v>
      </c>
      <c r="E1701" t="str">
        <f>Orders!E1701</f>
        <v>R004</v>
      </c>
      <c r="F1701">
        <f>Orders!F1701</f>
        <v>10</v>
      </c>
      <c r="G1701" s="35">
        <f>Orders!G1701</f>
        <v>2210</v>
      </c>
      <c r="H1701" s="37">
        <f>Orders!H1701</f>
        <v>16.600000000000001</v>
      </c>
      <c r="I1701" s="39">
        <f>Orders!I1701</f>
        <v>18431.400000000001</v>
      </c>
      <c r="J1701" t="str">
        <f>Orders!J1701</f>
        <v>Completed</v>
      </c>
      <c r="K1701" t="str">
        <f>Orders!K1701</f>
        <v>Mumbai</v>
      </c>
      <c r="L1701" t="str">
        <f>IFERROR(VLOOKUP(D1701,Products!$A$2:$F$61,3,FALSE),"")</f>
        <v>Grocery</v>
      </c>
      <c r="M1701">
        <f>IFERROR(VLOOKUP(D1701,Products!$A$2:$F$61,4,FALSE),"")</f>
        <v>1010</v>
      </c>
      <c r="N1701" t="str">
        <f>IFERROR(VLOOKUP(E1701,Sales_Reps!$A$2:$E$31,3,FALSE),"")</f>
        <v>North</v>
      </c>
      <c r="O1701" t="str">
        <f>IFERROR(VLOOKUP(C1701,Customers!$A$2:$F$301,5,FALSE),"")</f>
        <v>Retail</v>
      </c>
      <c r="P1701">
        <f>IFERROR(VLOOKUP(C1701,Customers!$A$2:$F$301,3,FALSE),"")</f>
        <v>36</v>
      </c>
      <c r="Q1701" s="41">
        <f t="shared" si="35"/>
        <v>0.54298642533936647</v>
      </c>
      <c r="R1701" t="str">
        <f>IFERROR(VLOOKUP(C1701,Customers!$A$2:$F$301,1,FALSE),"")</f>
        <v>CUST-0275</v>
      </c>
      <c r="S1701" s="27" t="b">
        <f>IFERROR(VLOOKUP(D1701,Products!$A$2:$F$61,6,FALSE),"")</f>
        <v>1</v>
      </c>
      <c r="BL1701">
        <v>0</v>
      </c>
      <c r="BO1701">
        <v>0</v>
      </c>
      <c r="BP1701">
        <v>0</v>
      </c>
    </row>
    <row r="1702" spans="1:68" x14ac:dyDescent="0.35">
      <c r="A1702" s="26" t="str">
        <f>Orders!A1702</f>
        <v>ORD-01701</v>
      </c>
      <c r="B1702" s="33">
        <f>Orders!B1702</f>
        <v>45295</v>
      </c>
      <c r="C1702" t="str">
        <f>Orders!C1702</f>
        <v>CUST-0114</v>
      </c>
      <c r="D1702" t="str">
        <f>Orders!D1702</f>
        <v>PROD-019</v>
      </c>
      <c r="E1702" t="str">
        <f>Orders!E1702</f>
        <v>R027</v>
      </c>
      <c r="F1702">
        <f>Orders!F1702</f>
        <v>10</v>
      </c>
      <c r="G1702" s="35">
        <f>Orders!G1702</f>
        <v>2480</v>
      </c>
      <c r="H1702" s="37">
        <f>Orders!H1702</f>
        <v>17.5</v>
      </c>
      <c r="I1702" s="39">
        <f>Orders!I1702</f>
        <v>20460</v>
      </c>
      <c r="J1702" t="str">
        <f>Orders!J1702</f>
        <v>Completed</v>
      </c>
      <c r="K1702" t="str">
        <f>Orders!K1702</f>
        <v>Bengaluru</v>
      </c>
      <c r="L1702" t="str">
        <f>IFERROR(VLOOKUP(D1702,Products!$A$2:$F$61,3,FALSE),"")</f>
        <v>Apparel</v>
      </c>
      <c r="M1702">
        <f>IFERROR(VLOOKUP(D1702,Products!$A$2:$F$61,4,FALSE),"")</f>
        <v>1173</v>
      </c>
      <c r="N1702" t="str">
        <f>IFERROR(VLOOKUP(E1702,Sales_Reps!$A$2:$E$31,3,FALSE),"")</f>
        <v>West</v>
      </c>
      <c r="O1702" t="str">
        <f>IFERROR(VLOOKUP(C1702,Customers!$A$2:$F$301,5,FALSE),"")</f>
        <v>Corporate</v>
      </c>
      <c r="P1702">
        <f>IFERROR(VLOOKUP(C1702,Customers!$A$2:$F$301,3,FALSE),"")</f>
        <v>42</v>
      </c>
      <c r="Q1702" s="41">
        <f t="shared" si="35"/>
        <v>0.52701612903225803</v>
      </c>
      <c r="R1702" t="str">
        <f>IFERROR(VLOOKUP(C1702,Customers!$A$2:$F$301,1,FALSE),"")</f>
        <v>CUST-0114</v>
      </c>
      <c r="S1702" s="27" t="b">
        <f>IFERROR(VLOOKUP(D1702,Products!$A$2:$F$61,6,FALSE),"")</f>
        <v>1</v>
      </c>
      <c r="BL1702">
        <v>0</v>
      </c>
      <c r="BO1702">
        <v>0</v>
      </c>
      <c r="BP1702">
        <v>0</v>
      </c>
    </row>
    <row r="1703" spans="1:68" x14ac:dyDescent="0.35">
      <c r="A1703" s="26" t="str">
        <f>Orders!A1703</f>
        <v>ORD-01702</v>
      </c>
      <c r="B1703" s="33">
        <f>Orders!B1703</f>
        <v>45566</v>
      </c>
      <c r="C1703" t="str">
        <f>Orders!C1703</f>
        <v>CUST-0060</v>
      </c>
      <c r="D1703" t="str">
        <f>Orders!D1703</f>
        <v>PROD-036</v>
      </c>
      <c r="E1703" t="str">
        <f>Orders!E1703</f>
        <v>R019</v>
      </c>
      <c r="F1703">
        <f>Orders!F1703</f>
        <v>9</v>
      </c>
      <c r="G1703" s="35">
        <f>Orders!G1703</f>
        <v>3250</v>
      </c>
      <c r="H1703" s="37">
        <f>Orders!H1703</f>
        <v>25.9</v>
      </c>
      <c r="I1703" s="39">
        <f>Orders!I1703</f>
        <v>21674.25</v>
      </c>
      <c r="J1703" t="str">
        <f>Orders!J1703</f>
        <v>Completed</v>
      </c>
      <c r="K1703" t="str">
        <f>Orders!K1703</f>
        <v>Pune</v>
      </c>
      <c r="L1703" t="str">
        <f>IFERROR(VLOOKUP(D1703,Products!$A$2:$F$61,3,FALSE),"")</f>
        <v>Home</v>
      </c>
      <c r="M1703">
        <f>IFERROR(VLOOKUP(D1703,Products!$A$2:$F$61,4,FALSE),"")</f>
        <v>1556</v>
      </c>
      <c r="N1703" t="str">
        <f>IFERROR(VLOOKUP(E1703,Sales_Reps!$A$2:$E$31,3,FALSE),"")</f>
        <v>East</v>
      </c>
      <c r="O1703" t="str">
        <f>IFERROR(VLOOKUP(C1703,Customers!$A$2:$F$301,5,FALSE),"")</f>
        <v>Retail</v>
      </c>
      <c r="P1703">
        <f>IFERROR(VLOOKUP(C1703,Customers!$A$2:$F$301,3,FALSE),"")</f>
        <v>39</v>
      </c>
      <c r="Q1703" s="41">
        <f t="shared" si="35"/>
        <v>0.52123076923076928</v>
      </c>
      <c r="R1703" t="str">
        <f>IFERROR(VLOOKUP(C1703,Customers!$A$2:$F$301,1,FALSE),"")</f>
        <v>CUST-0060</v>
      </c>
      <c r="S1703" s="27" t="b">
        <f>IFERROR(VLOOKUP(D1703,Products!$A$2:$F$61,6,FALSE),"")</f>
        <v>1</v>
      </c>
      <c r="BL1703">
        <v>0</v>
      </c>
      <c r="BO1703">
        <v>0</v>
      </c>
      <c r="BP1703">
        <v>0</v>
      </c>
    </row>
    <row r="1704" spans="1:68" x14ac:dyDescent="0.35">
      <c r="A1704" s="26" t="str">
        <f>Orders!A1704</f>
        <v>ORD-01703</v>
      </c>
      <c r="B1704" s="33">
        <f>Orders!B1704</f>
        <v>45474</v>
      </c>
      <c r="C1704" t="str">
        <f>Orders!C1704</f>
        <v>CUST-0039</v>
      </c>
      <c r="D1704" t="str">
        <f>Orders!D1704</f>
        <v>PROD-058</v>
      </c>
      <c r="E1704" t="str">
        <f>Orders!E1704</f>
        <v>R008</v>
      </c>
      <c r="F1704">
        <f>Orders!F1704</f>
        <v>3</v>
      </c>
      <c r="G1704" s="35">
        <f>Orders!G1704</f>
        <v>2400</v>
      </c>
      <c r="H1704" s="37">
        <f>Orders!H1704</f>
        <v>17.5</v>
      </c>
      <c r="I1704" s="39">
        <f>Orders!I1704</f>
        <v>5940</v>
      </c>
      <c r="J1704" t="str">
        <f>Orders!J1704</f>
        <v>Completed</v>
      </c>
      <c r="K1704" t="str">
        <f>Orders!K1704</f>
        <v>Bengaluru</v>
      </c>
      <c r="L1704" t="str">
        <f>IFERROR(VLOOKUP(D1704,Products!$A$2:$F$61,3,FALSE),"")</f>
        <v>Sports</v>
      </c>
      <c r="M1704">
        <f>IFERROR(VLOOKUP(D1704,Products!$A$2:$F$61,4,FALSE),"")</f>
        <v>974</v>
      </c>
      <c r="N1704" t="str">
        <f>IFERROR(VLOOKUP(E1704,Sales_Reps!$A$2:$E$31,3,FALSE),"")</f>
        <v>North</v>
      </c>
      <c r="O1704" t="str">
        <f>IFERROR(VLOOKUP(C1704,Customers!$A$2:$F$301,5,FALSE),"")</f>
        <v>Retail</v>
      </c>
      <c r="P1704">
        <f>IFERROR(VLOOKUP(C1704,Customers!$A$2:$F$301,3,FALSE),"")</f>
        <v>37</v>
      </c>
      <c r="Q1704" s="41">
        <f t="shared" si="35"/>
        <v>0.59416666666666662</v>
      </c>
      <c r="R1704" t="str">
        <f>IFERROR(VLOOKUP(C1704,Customers!$A$2:$F$301,1,FALSE),"")</f>
        <v>CUST-0039</v>
      </c>
      <c r="S1704" s="27" t="b">
        <f>IFERROR(VLOOKUP(D1704,Products!$A$2:$F$61,6,FALSE),"")</f>
        <v>1</v>
      </c>
      <c r="BL1704">
        <v>0</v>
      </c>
      <c r="BO1704">
        <v>0</v>
      </c>
      <c r="BP1704">
        <v>0</v>
      </c>
    </row>
    <row r="1705" spans="1:68" x14ac:dyDescent="0.35">
      <c r="A1705" s="26" t="str">
        <f>Orders!A1705</f>
        <v>ORD-01704</v>
      </c>
      <c r="B1705" s="33">
        <f>Orders!B1705</f>
        <v>45372</v>
      </c>
      <c r="C1705" t="str">
        <f>Orders!C1705</f>
        <v>CUST-0033</v>
      </c>
      <c r="D1705" t="str">
        <f>Orders!D1705</f>
        <v>PROD-052</v>
      </c>
      <c r="E1705" t="str">
        <f>Orders!E1705</f>
        <v>R006</v>
      </c>
      <c r="F1705">
        <f>Orders!F1705</f>
        <v>8</v>
      </c>
      <c r="G1705" s="35">
        <f>Orders!G1705</f>
        <v>5410</v>
      </c>
      <c r="H1705" s="37">
        <f>Orders!H1705</f>
        <v>8.3000000000000007</v>
      </c>
      <c r="I1705" s="39">
        <f>Orders!I1705</f>
        <v>39687.760000000002</v>
      </c>
      <c r="J1705" t="str">
        <f>Orders!J1705</f>
        <v>Completed</v>
      </c>
      <c r="K1705" t="str">
        <f>Orders!K1705</f>
        <v>Delhi</v>
      </c>
      <c r="L1705" t="str">
        <f>IFERROR(VLOOKUP(D1705,Products!$A$2:$F$61,3,FALSE),"")</f>
        <v>Sports</v>
      </c>
      <c r="M1705">
        <f>IFERROR(VLOOKUP(D1705,Products!$A$2:$F$61,4,FALSE),"")</f>
        <v>2265</v>
      </c>
      <c r="N1705" t="str">
        <f>IFERROR(VLOOKUP(E1705,Sales_Reps!$A$2:$E$31,3,FALSE),"")</f>
        <v>North</v>
      </c>
      <c r="O1705" t="str">
        <f>IFERROR(VLOOKUP(C1705,Customers!$A$2:$F$301,5,FALSE),"")</f>
        <v>Retail</v>
      </c>
      <c r="P1705">
        <f>IFERROR(VLOOKUP(C1705,Customers!$A$2:$F$301,3,FALSE),"")</f>
        <v>35</v>
      </c>
      <c r="Q1705" s="41">
        <f t="shared" si="35"/>
        <v>0.58133086876155271</v>
      </c>
      <c r="R1705" t="str">
        <f>IFERROR(VLOOKUP(C1705,Customers!$A$2:$F$301,1,FALSE),"")</f>
        <v>CUST-0033</v>
      </c>
      <c r="S1705" s="27" t="b">
        <f>IFERROR(VLOOKUP(D1705,Products!$A$2:$F$61,6,FALSE),"")</f>
        <v>1</v>
      </c>
      <c r="BL1705">
        <v>0</v>
      </c>
      <c r="BO1705">
        <v>0</v>
      </c>
      <c r="BP1705">
        <v>0</v>
      </c>
    </row>
    <row r="1706" spans="1:68" x14ac:dyDescent="0.35">
      <c r="A1706" s="26" t="str">
        <f>Orders!A1706</f>
        <v>ORD-01705</v>
      </c>
      <c r="B1706" s="33">
        <f>Orders!B1706</f>
        <v>45622</v>
      </c>
      <c r="C1706" t="str">
        <f>Orders!C1706</f>
        <v>CUST-0037</v>
      </c>
      <c r="D1706" t="str">
        <f>Orders!D1706</f>
        <v>PROD-002</v>
      </c>
      <c r="E1706" t="str">
        <f>Orders!E1706</f>
        <v>R018</v>
      </c>
      <c r="F1706">
        <f>Orders!F1706</f>
        <v>1</v>
      </c>
      <c r="G1706" s="35">
        <f>Orders!G1706</f>
        <v>2600</v>
      </c>
      <c r="H1706" s="37">
        <f>Orders!H1706</f>
        <v>5.9</v>
      </c>
      <c r="I1706" s="39">
        <f>Orders!I1706</f>
        <v>2446.6</v>
      </c>
      <c r="J1706" t="str">
        <f>Orders!J1706</f>
        <v>Completed</v>
      </c>
      <c r="K1706" t="str">
        <f>Orders!K1706</f>
        <v>Bengaluru</v>
      </c>
      <c r="L1706" t="str">
        <f>IFERROR(VLOOKUP(D1706,Products!$A$2:$F$61,3,FALSE),"")</f>
        <v>Electronics</v>
      </c>
      <c r="M1706">
        <f>IFERROR(VLOOKUP(D1706,Products!$A$2:$F$61,4,FALSE),"")</f>
        <v>1052</v>
      </c>
      <c r="N1706" t="str">
        <f>IFERROR(VLOOKUP(E1706,Sales_Reps!$A$2:$E$31,3,FALSE),"")</f>
        <v>East</v>
      </c>
      <c r="O1706" t="str">
        <f>IFERROR(VLOOKUP(C1706,Customers!$A$2:$F$301,5,FALSE),"")</f>
        <v>Retail</v>
      </c>
      <c r="P1706">
        <f>IFERROR(VLOOKUP(C1706,Customers!$A$2:$F$301,3,FALSE),"")</f>
        <v>52</v>
      </c>
      <c r="Q1706" s="41">
        <f t="shared" si="35"/>
        <v>0.5953846153846154</v>
      </c>
      <c r="R1706" t="str">
        <f>IFERROR(VLOOKUP(C1706,Customers!$A$2:$F$301,1,FALSE),"")</f>
        <v>CUST-0037</v>
      </c>
      <c r="S1706" s="27" t="b">
        <f>IFERROR(VLOOKUP(D1706,Products!$A$2:$F$61,6,FALSE),"")</f>
        <v>1</v>
      </c>
      <c r="BL1706">
        <v>0</v>
      </c>
      <c r="BO1706">
        <v>0</v>
      </c>
      <c r="BP1706">
        <v>0</v>
      </c>
    </row>
    <row r="1707" spans="1:68" x14ac:dyDescent="0.35">
      <c r="A1707" s="26" t="str">
        <f>Orders!A1707</f>
        <v>ORD-01706</v>
      </c>
      <c r="B1707" s="33">
        <f>Orders!B1707</f>
        <v>45603</v>
      </c>
      <c r="C1707" t="str">
        <f>Orders!C1707</f>
        <v>CUST-0081</v>
      </c>
      <c r="D1707" t="str">
        <f>Orders!D1707</f>
        <v>PROD-025</v>
      </c>
      <c r="E1707" t="str">
        <f>Orders!E1707</f>
        <v>R003</v>
      </c>
      <c r="F1707">
        <f>Orders!F1707</f>
        <v>10</v>
      </c>
      <c r="G1707" s="35">
        <f>Orders!G1707</f>
        <v>4060</v>
      </c>
      <c r="H1707" s="37">
        <f>Orders!H1707</f>
        <v>2.2999999999999998</v>
      </c>
      <c r="I1707" s="39">
        <f>Orders!I1707</f>
        <v>39666.199999999997</v>
      </c>
      <c r="J1707" t="str">
        <f>Orders!J1707</f>
        <v>Completed</v>
      </c>
      <c r="K1707" t="str">
        <f>Orders!K1707</f>
        <v>Mumbai</v>
      </c>
      <c r="L1707" t="str">
        <f>IFERROR(VLOOKUP(D1707,Products!$A$2:$F$61,3,FALSE),"")</f>
        <v>Grocery</v>
      </c>
      <c r="M1707">
        <f>IFERROR(VLOOKUP(D1707,Products!$A$2:$F$61,4,FALSE),"")</f>
        <v>2911</v>
      </c>
      <c r="N1707" t="str">
        <f>IFERROR(VLOOKUP(E1707,Sales_Reps!$A$2:$E$31,3,FALSE),"")</f>
        <v>North</v>
      </c>
      <c r="O1707" t="str">
        <f>IFERROR(VLOOKUP(C1707,Customers!$A$2:$F$301,5,FALSE),"")</f>
        <v>Retail</v>
      </c>
      <c r="P1707">
        <f>IFERROR(VLOOKUP(C1707,Customers!$A$2:$F$301,3,FALSE),"")</f>
        <v>25</v>
      </c>
      <c r="Q1707" s="41">
        <f t="shared" si="35"/>
        <v>0.28300492610837441</v>
      </c>
      <c r="R1707" t="str">
        <f>IFERROR(VLOOKUP(C1707,Customers!$A$2:$F$301,1,FALSE),"")</f>
        <v>CUST-0081</v>
      </c>
      <c r="S1707" s="27" t="b">
        <f>IFERROR(VLOOKUP(D1707,Products!$A$2:$F$61,6,FALSE),"")</f>
        <v>1</v>
      </c>
      <c r="BL1707">
        <v>0</v>
      </c>
      <c r="BO1707">
        <v>0</v>
      </c>
      <c r="BP1707">
        <v>0</v>
      </c>
    </row>
    <row r="1708" spans="1:68" x14ac:dyDescent="0.35">
      <c r="A1708" s="26" t="str">
        <f>Orders!A1708</f>
        <v>ORD-01707</v>
      </c>
      <c r="B1708" s="33">
        <f>Orders!B1708</f>
        <v>45352</v>
      </c>
      <c r="C1708" t="str">
        <f>Orders!C1708</f>
        <v>CUST-0279</v>
      </c>
      <c r="D1708" t="str">
        <f>Orders!D1708</f>
        <v>PROD-001</v>
      </c>
      <c r="E1708" t="str">
        <f>Orders!E1708</f>
        <v>R020</v>
      </c>
      <c r="F1708">
        <f>Orders!F1708</f>
        <v>9</v>
      </c>
      <c r="G1708" s="35">
        <f>Orders!G1708</f>
        <v>5330</v>
      </c>
      <c r="H1708" s="37">
        <f>Orders!H1708</f>
        <v>23.5</v>
      </c>
      <c r="I1708" s="39">
        <f>Orders!I1708</f>
        <v>36697.050000000003</v>
      </c>
      <c r="J1708" t="str">
        <f>Orders!J1708</f>
        <v>Completed</v>
      </c>
      <c r="K1708" t="str">
        <f>Orders!K1708</f>
        <v>Mumbai</v>
      </c>
      <c r="L1708" t="str">
        <f>IFERROR(VLOOKUP(D1708,Products!$A$2:$F$61,3,FALSE),"")</f>
        <v>Electronics</v>
      </c>
      <c r="M1708">
        <f>IFERROR(VLOOKUP(D1708,Products!$A$2:$F$61,4,FALSE),"")</f>
        <v>2405</v>
      </c>
      <c r="N1708" t="str">
        <f>IFERROR(VLOOKUP(E1708,Sales_Reps!$A$2:$E$31,3,FALSE),"")</f>
        <v>East</v>
      </c>
      <c r="O1708" t="str">
        <f>IFERROR(VLOOKUP(C1708,Customers!$A$2:$F$301,5,FALSE),"")</f>
        <v>Retail</v>
      </c>
      <c r="P1708">
        <f>IFERROR(VLOOKUP(C1708,Customers!$A$2:$F$301,3,FALSE),"")</f>
        <v>56</v>
      </c>
      <c r="Q1708" s="41">
        <f t="shared" si="35"/>
        <v>0.54878048780487809</v>
      </c>
      <c r="R1708" t="str">
        <f>IFERROR(VLOOKUP(C1708,Customers!$A$2:$F$301,1,FALSE),"")</f>
        <v>CUST-0279</v>
      </c>
      <c r="S1708" s="27" t="b">
        <f>IFERROR(VLOOKUP(D1708,Products!$A$2:$F$61,6,FALSE),"")</f>
        <v>1</v>
      </c>
      <c r="BL1708">
        <v>0</v>
      </c>
      <c r="BO1708">
        <v>0</v>
      </c>
      <c r="BP1708">
        <v>0</v>
      </c>
    </row>
    <row r="1709" spans="1:68" x14ac:dyDescent="0.35">
      <c r="A1709" s="26" t="str">
        <f>Orders!A1709</f>
        <v>ORD-01708</v>
      </c>
      <c r="B1709" s="33">
        <f>Orders!B1709</f>
        <v>45600</v>
      </c>
      <c r="C1709" t="str">
        <f>Orders!C1709</f>
        <v>CUST-0129</v>
      </c>
      <c r="D1709" t="str">
        <f>Orders!D1709</f>
        <v>PROD-043</v>
      </c>
      <c r="E1709" t="str">
        <f>Orders!E1709</f>
        <v>R025</v>
      </c>
      <c r="F1709">
        <f>Orders!F1709</f>
        <v>7</v>
      </c>
      <c r="G1709" s="35">
        <f>Orders!G1709</f>
        <v>3350</v>
      </c>
      <c r="H1709" s="37">
        <f>Orders!H1709</f>
        <v>13.4</v>
      </c>
      <c r="I1709" s="39">
        <f>Orders!I1709</f>
        <v>20307.7</v>
      </c>
      <c r="J1709" t="str">
        <f>Orders!J1709</f>
        <v>Pending</v>
      </c>
      <c r="K1709" t="str">
        <f>Orders!K1709</f>
        <v>Hyderabad</v>
      </c>
      <c r="L1709" t="str">
        <f>IFERROR(VLOOKUP(D1709,Products!$A$2:$F$61,3,FALSE),"")</f>
        <v>Beauty</v>
      </c>
      <c r="M1709">
        <f>IFERROR(VLOOKUP(D1709,Products!$A$2:$F$61,4,FALSE),"")</f>
        <v>1728</v>
      </c>
      <c r="N1709" t="str">
        <f>IFERROR(VLOOKUP(E1709,Sales_Reps!$A$2:$E$31,3,FALSE),"")</f>
        <v>West</v>
      </c>
      <c r="O1709" t="str">
        <f>IFERROR(VLOOKUP(C1709,Customers!$A$2:$F$301,5,FALSE),"")</f>
        <v>Retail</v>
      </c>
      <c r="P1709">
        <f>IFERROR(VLOOKUP(C1709,Customers!$A$2:$F$301,3,FALSE),"")</f>
        <v>29</v>
      </c>
      <c r="Q1709" s="41">
        <f t="shared" si="35"/>
        <v>0.48417910447761192</v>
      </c>
      <c r="R1709" t="str">
        <f>IFERROR(VLOOKUP(C1709,Customers!$A$2:$F$301,1,FALSE),"")</f>
        <v>CUST-0129</v>
      </c>
      <c r="S1709" s="27" t="b">
        <f>IFERROR(VLOOKUP(D1709,Products!$A$2:$F$61,6,FALSE),"")</f>
        <v>1</v>
      </c>
      <c r="BL1709">
        <v>0</v>
      </c>
      <c r="BO1709">
        <v>0</v>
      </c>
      <c r="BP1709">
        <v>0</v>
      </c>
    </row>
    <row r="1710" spans="1:68" x14ac:dyDescent="0.35">
      <c r="A1710" s="26" t="str">
        <f>Orders!A1710</f>
        <v>ORD-01709</v>
      </c>
      <c r="B1710" s="33">
        <f>Orders!B1710</f>
        <v>45631</v>
      </c>
      <c r="C1710" t="str">
        <f>Orders!C1710</f>
        <v>CUST-0010</v>
      </c>
      <c r="D1710" t="str">
        <f>Orders!D1710</f>
        <v>PROD-017</v>
      </c>
      <c r="E1710" t="str">
        <f>Orders!E1710</f>
        <v>R014</v>
      </c>
      <c r="F1710">
        <f>Orders!F1710</f>
        <v>4</v>
      </c>
      <c r="G1710" s="35">
        <f>Orders!G1710</f>
        <v>2510</v>
      </c>
      <c r="H1710" s="37">
        <f>Orders!H1710</f>
        <v>26.6</v>
      </c>
      <c r="I1710" s="39">
        <f>Orders!I1710</f>
        <v>7369.36</v>
      </c>
      <c r="J1710" t="str">
        <f>Orders!J1710</f>
        <v>Completed</v>
      </c>
      <c r="K1710" t="str">
        <f>Orders!K1710</f>
        <v>Mumbai</v>
      </c>
      <c r="L1710" t="str">
        <f>IFERROR(VLOOKUP(D1710,Products!$A$2:$F$61,3,FALSE),"")</f>
        <v>Apparel</v>
      </c>
      <c r="M1710">
        <f>IFERROR(VLOOKUP(D1710,Products!$A$2:$F$61,4,FALSE),"")</f>
        <v>1075</v>
      </c>
      <c r="N1710" t="str">
        <f>IFERROR(VLOOKUP(E1710,Sales_Reps!$A$2:$E$31,3,FALSE),"")</f>
        <v>South</v>
      </c>
      <c r="O1710" t="str">
        <f>IFERROR(VLOOKUP(C1710,Customers!$A$2:$F$301,5,FALSE),"")</f>
        <v>SMB</v>
      </c>
      <c r="P1710">
        <f>IFERROR(VLOOKUP(C1710,Customers!$A$2:$F$301,3,FALSE),"")</f>
        <v>61</v>
      </c>
      <c r="Q1710" s="41">
        <f t="shared" si="35"/>
        <v>0.57171314741035861</v>
      </c>
      <c r="R1710" t="str">
        <f>IFERROR(VLOOKUP(C1710,Customers!$A$2:$F$301,1,FALSE),"")</f>
        <v>CUST-0010</v>
      </c>
      <c r="S1710" s="27" t="b">
        <f>IFERROR(VLOOKUP(D1710,Products!$A$2:$F$61,6,FALSE),"")</f>
        <v>0</v>
      </c>
      <c r="BL1710">
        <v>0</v>
      </c>
      <c r="BO1710">
        <v>0</v>
      </c>
      <c r="BP1710">
        <v>1</v>
      </c>
    </row>
    <row r="1711" spans="1:68" x14ac:dyDescent="0.35">
      <c r="A1711" s="26" t="str">
        <f>Orders!A1711</f>
        <v>ORD-01710</v>
      </c>
      <c r="B1711" s="33">
        <f>Orders!B1711</f>
        <v>45456</v>
      </c>
      <c r="C1711" t="str">
        <f>Orders!C1711</f>
        <v>CUST-0006</v>
      </c>
      <c r="D1711" t="str">
        <f>Orders!D1711</f>
        <v>PROD-045</v>
      </c>
      <c r="E1711" t="str">
        <f>Orders!E1711</f>
        <v>R021</v>
      </c>
      <c r="F1711">
        <f>Orders!F1711</f>
        <v>1</v>
      </c>
      <c r="G1711" s="35">
        <f>Orders!G1711</f>
        <v>3020</v>
      </c>
      <c r="H1711" s="37">
        <f>Orders!H1711</f>
        <v>15.2</v>
      </c>
      <c r="I1711" s="39">
        <f>Orders!I1711</f>
        <v>2560.96</v>
      </c>
      <c r="J1711" t="str">
        <f>Orders!J1711</f>
        <v>Cancelled</v>
      </c>
      <c r="K1711" t="str">
        <f>Orders!K1711</f>
        <v>Pune</v>
      </c>
      <c r="L1711" t="str">
        <f>IFERROR(VLOOKUP(D1711,Products!$A$2:$F$61,3,FALSE),"")</f>
        <v>Beauty</v>
      </c>
      <c r="M1711">
        <f>IFERROR(VLOOKUP(D1711,Products!$A$2:$F$61,4,FALSE),"")</f>
        <v>1626</v>
      </c>
      <c r="N1711" t="str">
        <f>IFERROR(VLOOKUP(E1711,Sales_Reps!$A$2:$E$31,3,FALSE),"")</f>
        <v>East</v>
      </c>
      <c r="O1711" t="str">
        <f>IFERROR(VLOOKUP(C1711,Customers!$A$2:$F$301,5,FALSE),"")</f>
        <v>SMB</v>
      </c>
      <c r="P1711">
        <f>IFERROR(VLOOKUP(C1711,Customers!$A$2:$F$301,3,FALSE),"")</f>
        <v>44</v>
      </c>
      <c r="Q1711" s="41">
        <f t="shared" si="35"/>
        <v>0.46158940397350995</v>
      </c>
      <c r="R1711" t="str">
        <f>IFERROR(VLOOKUP(C1711,Customers!$A$2:$F$301,1,FALSE),"")</f>
        <v>CUST-0006</v>
      </c>
      <c r="S1711" s="27" t="b">
        <f>IFERROR(VLOOKUP(D1711,Products!$A$2:$F$61,6,FALSE),"")</f>
        <v>1</v>
      </c>
      <c r="BL1711">
        <v>0</v>
      </c>
      <c r="BO1711">
        <v>0</v>
      </c>
      <c r="BP1711">
        <v>0</v>
      </c>
    </row>
    <row r="1712" spans="1:68" x14ac:dyDescent="0.35">
      <c r="A1712" s="26" t="str">
        <f>Orders!A1712</f>
        <v>ORD-01711</v>
      </c>
      <c r="B1712" s="33">
        <f>Orders!B1712</f>
        <v>45539</v>
      </c>
      <c r="C1712" t="str">
        <f>Orders!C1712</f>
        <v>CUST-0206</v>
      </c>
      <c r="D1712" t="str">
        <f>Orders!D1712</f>
        <v>PROD-020</v>
      </c>
      <c r="E1712" t="str">
        <f>Orders!E1712</f>
        <v>R029</v>
      </c>
      <c r="F1712">
        <f>Orders!F1712</f>
        <v>1</v>
      </c>
      <c r="G1712" s="35">
        <f>Orders!G1712</f>
        <v>820</v>
      </c>
      <c r="H1712" s="37">
        <f>Orders!H1712</f>
        <v>6.3</v>
      </c>
      <c r="I1712" s="39">
        <f>Orders!I1712</f>
        <v>768.34</v>
      </c>
      <c r="J1712" t="str">
        <f>Orders!J1712</f>
        <v>Completed</v>
      </c>
      <c r="K1712" t="str">
        <f>Orders!K1712</f>
        <v>Mumbai</v>
      </c>
      <c r="L1712" t="str">
        <f>IFERROR(VLOOKUP(D1712,Products!$A$2:$F$61,3,FALSE),"")</f>
        <v>Apparel</v>
      </c>
      <c r="M1712">
        <f>IFERROR(VLOOKUP(D1712,Products!$A$2:$F$61,4,FALSE),"")</f>
        <v>391</v>
      </c>
      <c r="N1712" t="str">
        <f>IFERROR(VLOOKUP(E1712,Sales_Reps!$A$2:$E$31,3,FALSE),"")</f>
        <v>West</v>
      </c>
      <c r="O1712" t="str">
        <f>IFERROR(VLOOKUP(C1712,Customers!$A$2:$F$301,5,FALSE),"")</f>
        <v>Retail</v>
      </c>
      <c r="P1712">
        <f>IFERROR(VLOOKUP(C1712,Customers!$A$2:$F$301,3,FALSE),"")</f>
        <v>40</v>
      </c>
      <c r="Q1712" s="41">
        <f t="shared" si="35"/>
        <v>0.52317073170731709</v>
      </c>
      <c r="R1712" t="str">
        <f>IFERROR(VLOOKUP(C1712,Customers!$A$2:$F$301,1,FALSE),"")</f>
        <v>CUST-0206</v>
      </c>
      <c r="S1712" s="27" t="b">
        <f>IFERROR(VLOOKUP(D1712,Products!$A$2:$F$61,6,FALSE),"")</f>
        <v>1</v>
      </c>
      <c r="BL1712">
        <v>0</v>
      </c>
      <c r="BO1712">
        <v>0</v>
      </c>
      <c r="BP1712">
        <v>0</v>
      </c>
    </row>
    <row r="1713" spans="1:68" x14ac:dyDescent="0.35">
      <c r="A1713" s="26" t="str">
        <f>Orders!A1713</f>
        <v>ORD-01712</v>
      </c>
      <c r="B1713" s="33">
        <f>Orders!B1713</f>
        <v>45488</v>
      </c>
      <c r="C1713" t="str">
        <f>Orders!C1713</f>
        <v>CUST-0034</v>
      </c>
      <c r="D1713" t="str">
        <f>Orders!D1713</f>
        <v>PROD-012</v>
      </c>
      <c r="E1713" t="str">
        <f>Orders!E1713</f>
        <v>R027</v>
      </c>
      <c r="F1713">
        <f>Orders!F1713</f>
        <v>4</v>
      </c>
      <c r="G1713" s="35">
        <f>Orders!G1713</f>
        <v>3160</v>
      </c>
      <c r="H1713" s="37">
        <f>Orders!H1713</f>
        <v>3.6</v>
      </c>
      <c r="I1713" s="39">
        <f>Orders!I1713</f>
        <v>12184.96</v>
      </c>
      <c r="J1713" t="str">
        <f>Orders!J1713</f>
        <v>Pending</v>
      </c>
      <c r="K1713" t="str">
        <f>Orders!K1713</f>
        <v>Delhi</v>
      </c>
      <c r="L1713" t="str">
        <f>IFERROR(VLOOKUP(D1713,Products!$A$2:$F$61,3,FALSE),"")</f>
        <v>Apparel</v>
      </c>
      <c r="M1713">
        <f>IFERROR(VLOOKUP(D1713,Products!$A$2:$F$61,4,FALSE),"")</f>
        <v>1886</v>
      </c>
      <c r="N1713" t="str">
        <f>IFERROR(VLOOKUP(E1713,Sales_Reps!$A$2:$E$31,3,FALSE),"")</f>
        <v>West</v>
      </c>
      <c r="O1713" t="str">
        <f>IFERROR(VLOOKUP(C1713,Customers!$A$2:$F$301,5,FALSE),"")</f>
        <v>Retail</v>
      </c>
      <c r="P1713">
        <f>IFERROR(VLOOKUP(C1713,Customers!$A$2:$F$301,3,FALSE),"")</f>
        <v>47</v>
      </c>
      <c r="Q1713" s="41">
        <f t="shared" si="35"/>
        <v>0.4031645569620253</v>
      </c>
      <c r="R1713" t="str">
        <f>IFERROR(VLOOKUP(C1713,Customers!$A$2:$F$301,1,FALSE),"")</f>
        <v>CUST-0034</v>
      </c>
      <c r="S1713" s="27" t="b">
        <f>IFERROR(VLOOKUP(D1713,Products!$A$2:$F$61,6,FALSE),"")</f>
        <v>1</v>
      </c>
      <c r="BL1713">
        <v>0.5</v>
      </c>
      <c r="BO1713">
        <v>0</v>
      </c>
      <c r="BP1713">
        <v>0</v>
      </c>
    </row>
    <row r="1714" spans="1:68" x14ac:dyDescent="0.35">
      <c r="A1714" s="26" t="str">
        <f>Orders!A1714</f>
        <v>ORD-01713</v>
      </c>
      <c r="B1714" s="33">
        <f>Orders!B1714</f>
        <v>45370</v>
      </c>
      <c r="C1714" t="str">
        <f>Orders!C1714</f>
        <v>CUST-0121</v>
      </c>
      <c r="D1714" t="str">
        <f>Orders!D1714</f>
        <v>PROD-028</v>
      </c>
      <c r="E1714" t="str">
        <f>Orders!E1714</f>
        <v>R012</v>
      </c>
      <c r="F1714">
        <f>Orders!F1714</f>
        <v>1</v>
      </c>
      <c r="G1714" s="35">
        <f>Orders!G1714</f>
        <v>3660</v>
      </c>
      <c r="H1714" s="37">
        <f>Orders!H1714</f>
        <v>28.2</v>
      </c>
      <c r="I1714" s="39">
        <f>Orders!I1714</f>
        <v>2627.88</v>
      </c>
      <c r="J1714" t="str">
        <f>Orders!J1714</f>
        <v>Pending</v>
      </c>
      <c r="K1714" t="str">
        <f>Orders!K1714</f>
        <v>Delhi</v>
      </c>
      <c r="L1714" t="str">
        <f>IFERROR(VLOOKUP(D1714,Products!$A$2:$F$61,3,FALSE),"")</f>
        <v>Grocery</v>
      </c>
      <c r="M1714">
        <f>IFERROR(VLOOKUP(D1714,Products!$A$2:$F$61,4,FALSE),"")</f>
        <v>2214</v>
      </c>
      <c r="N1714" t="str">
        <f>IFERROR(VLOOKUP(E1714,Sales_Reps!$A$2:$E$31,3,FALSE),"")</f>
        <v>South</v>
      </c>
      <c r="O1714" t="str">
        <f>IFERROR(VLOOKUP(C1714,Customers!$A$2:$F$301,5,FALSE),"")</f>
        <v>SMB</v>
      </c>
      <c r="P1714">
        <f>IFERROR(VLOOKUP(C1714,Customers!$A$2:$F$301,3,FALSE),"")</f>
        <v>55</v>
      </c>
      <c r="Q1714" s="41">
        <f t="shared" si="35"/>
        <v>0.39508196721311473</v>
      </c>
      <c r="R1714" t="str">
        <f>IFERROR(VLOOKUP(C1714,Customers!$A$2:$F$301,1,FALSE),"")</f>
        <v>CUST-0121</v>
      </c>
      <c r="S1714" s="27" t="b">
        <f>IFERROR(VLOOKUP(D1714,Products!$A$2:$F$61,6,FALSE),"")</f>
        <v>0</v>
      </c>
      <c r="BL1714">
        <v>0</v>
      </c>
      <c r="BO1714">
        <v>0</v>
      </c>
      <c r="BP1714">
        <v>1</v>
      </c>
    </row>
    <row r="1715" spans="1:68" x14ac:dyDescent="0.35">
      <c r="A1715" s="26" t="str">
        <f>Orders!A1715</f>
        <v>ORD-01714</v>
      </c>
      <c r="B1715" s="33">
        <f>Orders!B1715</f>
        <v>45394</v>
      </c>
      <c r="C1715" t="str">
        <f>Orders!C1715</f>
        <v>CUST-0098</v>
      </c>
      <c r="D1715" t="str">
        <f>Orders!D1715</f>
        <v>PROD-020</v>
      </c>
      <c r="E1715" t="str">
        <f>Orders!E1715</f>
        <v>R026</v>
      </c>
      <c r="F1715">
        <f>Orders!F1715</f>
        <v>2</v>
      </c>
      <c r="G1715" s="35">
        <f>Orders!G1715</f>
        <v>820</v>
      </c>
      <c r="H1715" s="37">
        <f>Orders!H1715</f>
        <v>7</v>
      </c>
      <c r="I1715" s="39">
        <f>Orders!I1715</f>
        <v>1525.2</v>
      </c>
      <c r="J1715" t="str">
        <f>Orders!J1715</f>
        <v>Completed</v>
      </c>
      <c r="K1715" t="str">
        <f>Orders!K1715</f>
        <v>Delhi</v>
      </c>
      <c r="L1715" t="str">
        <f>IFERROR(VLOOKUP(D1715,Products!$A$2:$F$61,3,FALSE),"")</f>
        <v>Apparel</v>
      </c>
      <c r="M1715">
        <f>IFERROR(VLOOKUP(D1715,Products!$A$2:$F$61,4,FALSE),"")</f>
        <v>391</v>
      </c>
      <c r="N1715" t="str">
        <f>IFERROR(VLOOKUP(E1715,Sales_Reps!$A$2:$E$31,3,FALSE),"")</f>
        <v>West</v>
      </c>
      <c r="O1715" t="str">
        <f>IFERROR(VLOOKUP(C1715,Customers!$A$2:$F$301,5,FALSE),"")</f>
        <v>Retail</v>
      </c>
      <c r="P1715">
        <f>IFERROR(VLOOKUP(C1715,Customers!$A$2:$F$301,3,FALSE),"")</f>
        <v>52</v>
      </c>
      <c r="Q1715" s="41">
        <f t="shared" si="35"/>
        <v>0.52317073170731709</v>
      </c>
      <c r="R1715" t="str">
        <f>IFERROR(VLOOKUP(C1715,Customers!$A$2:$F$301,1,FALSE),"")</f>
        <v>CUST-0098</v>
      </c>
      <c r="S1715" s="27" t="b">
        <f>IFERROR(VLOOKUP(D1715,Products!$A$2:$F$61,6,FALSE),"")</f>
        <v>1</v>
      </c>
      <c r="BL1715">
        <v>0</v>
      </c>
      <c r="BO1715">
        <v>0</v>
      </c>
      <c r="BP1715">
        <v>0</v>
      </c>
    </row>
    <row r="1716" spans="1:68" x14ac:dyDescent="0.35">
      <c r="A1716" s="26" t="str">
        <f>Orders!A1716</f>
        <v>ORD-01715</v>
      </c>
      <c r="B1716" s="33">
        <f>Orders!B1716</f>
        <v>45446</v>
      </c>
      <c r="C1716" t="str">
        <f>Orders!C1716</f>
        <v>CUST-0031</v>
      </c>
      <c r="D1716" t="str">
        <f>Orders!D1716</f>
        <v>PROD-023</v>
      </c>
      <c r="E1716" t="str">
        <f>Orders!E1716</f>
        <v>R022</v>
      </c>
      <c r="F1716">
        <f>Orders!F1716</f>
        <v>5</v>
      </c>
      <c r="G1716" s="35">
        <f>Orders!G1716</f>
        <v>2380</v>
      </c>
      <c r="H1716" s="37">
        <f>Orders!H1716</f>
        <v>23</v>
      </c>
      <c r="I1716" s="39">
        <f>Orders!I1716</f>
        <v>9163</v>
      </c>
      <c r="J1716" t="str">
        <f>Orders!J1716</f>
        <v>Completed</v>
      </c>
      <c r="K1716" t="str">
        <f>Orders!K1716</f>
        <v>Hyderabad</v>
      </c>
      <c r="L1716" t="str">
        <f>IFERROR(VLOOKUP(D1716,Products!$A$2:$F$61,3,FALSE),"")</f>
        <v>Grocery</v>
      </c>
      <c r="M1716">
        <f>IFERROR(VLOOKUP(D1716,Products!$A$2:$F$61,4,FALSE),"")</f>
        <v>1182</v>
      </c>
      <c r="N1716" t="str">
        <f>IFERROR(VLOOKUP(E1716,Sales_Reps!$A$2:$E$31,3,FALSE),"")</f>
        <v>East</v>
      </c>
      <c r="O1716" t="str">
        <f>IFERROR(VLOOKUP(C1716,Customers!$A$2:$F$301,5,FALSE),"")</f>
        <v>Retail</v>
      </c>
      <c r="P1716">
        <f>IFERROR(VLOOKUP(C1716,Customers!$A$2:$F$301,3,FALSE),"")</f>
        <v>53</v>
      </c>
      <c r="Q1716" s="41">
        <f t="shared" si="35"/>
        <v>0.50336134453781511</v>
      </c>
      <c r="R1716" t="str">
        <f>IFERROR(VLOOKUP(C1716,Customers!$A$2:$F$301,1,FALSE),"")</f>
        <v>CUST-0031</v>
      </c>
      <c r="S1716" s="27" t="b">
        <f>IFERROR(VLOOKUP(D1716,Products!$A$2:$F$61,6,FALSE),"")</f>
        <v>1</v>
      </c>
      <c r="BL1716">
        <v>0</v>
      </c>
      <c r="BO1716">
        <v>0</v>
      </c>
      <c r="BP1716">
        <v>0</v>
      </c>
    </row>
    <row r="1717" spans="1:68" x14ac:dyDescent="0.35">
      <c r="A1717" s="26" t="str">
        <f>Orders!A1717</f>
        <v>ORD-01716</v>
      </c>
      <c r="B1717" s="33">
        <f>Orders!B1717</f>
        <v>45612</v>
      </c>
      <c r="C1717" t="str">
        <f>Orders!C1717</f>
        <v>CUST-0185</v>
      </c>
      <c r="D1717" t="str">
        <f>Orders!D1717</f>
        <v>PROD-004</v>
      </c>
      <c r="E1717" t="str">
        <f>Orders!E1717</f>
        <v>R013</v>
      </c>
      <c r="F1717">
        <f>Orders!F1717</f>
        <v>1</v>
      </c>
      <c r="G1717" s="35">
        <f>Orders!G1717</f>
        <v>3870</v>
      </c>
      <c r="H1717" s="37">
        <f>Orders!H1717</f>
        <v>27.3</v>
      </c>
      <c r="I1717" s="39">
        <f>Orders!I1717</f>
        <v>2813.49</v>
      </c>
      <c r="J1717" t="str">
        <f>Orders!J1717</f>
        <v>Completed</v>
      </c>
      <c r="K1717" t="str">
        <f>Orders!K1717</f>
        <v>Hyderabad</v>
      </c>
      <c r="L1717" t="str">
        <f>IFERROR(VLOOKUP(D1717,Products!$A$2:$F$61,3,FALSE),"")</f>
        <v>Electronics</v>
      </c>
      <c r="M1717">
        <f>IFERROR(VLOOKUP(D1717,Products!$A$2:$F$61,4,FALSE),"")</f>
        <v>1559</v>
      </c>
      <c r="N1717" t="str">
        <f>IFERROR(VLOOKUP(E1717,Sales_Reps!$A$2:$E$31,3,FALSE),"")</f>
        <v>South</v>
      </c>
      <c r="O1717" t="str">
        <f>IFERROR(VLOOKUP(C1717,Customers!$A$2:$F$301,5,FALSE),"")</f>
        <v>SMB</v>
      </c>
      <c r="P1717">
        <f>IFERROR(VLOOKUP(C1717,Customers!$A$2:$F$301,3,FALSE),"")</f>
        <v>43</v>
      </c>
      <c r="Q1717" s="41">
        <f t="shared" si="35"/>
        <v>0.59715762273901807</v>
      </c>
      <c r="R1717" t="str">
        <f>IFERROR(VLOOKUP(C1717,Customers!$A$2:$F$301,1,FALSE),"")</f>
        <v>CUST-0185</v>
      </c>
      <c r="S1717" s="27" t="b">
        <f>IFERROR(VLOOKUP(D1717,Products!$A$2:$F$61,6,FALSE),"")</f>
        <v>1</v>
      </c>
      <c r="BL1717">
        <v>0</v>
      </c>
      <c r="BO1717">
        <v>0</v>
      </c>
      <c r="BP1717">
        <v>0</v>
      </c>
    </row>
    <row r="1718" spans="1:68" x14ac:dyDescent="0.35">
      <c r="A1718" s="26" t="str">
        <f>Orders!A1718</f>
        <v>ORD-01717</v>
      </c>
      <c r="B1718" s="33">
        <f>Orders!B1718</f>
        <v>45301</v>
      </c>
      <c r="C1718" t="str">
        <f>Orders!C1718</f>
        <v>CUST-0011</v>
      </c>
      <c r="D1718" t="str">
        <f>Orders!D1718</f>
        <v>PROD-005</v>
      </c>
      <c r="E1718" t="str">
        <f>Orders!E1718</f>
        <v>R007</v>
      </c>
      <c r="F1718">
        <f>Orders!F1718</f>
        <v>10</v>
      </c>
      <c r="G1718" s="35">
        <f>Orders!G1718</f>
        <v>300</v>
      </c>
      <c r="H1718" s="37">
        <f>Orders!H1718</f>
        <v>14.1</v>
      </c>
      <c r="I1718" s="39">
        <f>Orders!I1718</f>
        <v>2577</v>
      </c>
      <c r="J1718" t="str">
        <f>Orders!J1718</f>
        <v>Cancelled</v>
      </c>
      <c r="K1718" t="str">
        <f>Orders!K1718</f>
        <v>Chennai</v>
      </c>
      <c r="L1718" t="str">
        <f>IFERROR(VLOOKUP(D1718,Products!$A$2:$F$61,3,FALSE),"")</f>
        <v>Electronics</v>
      </c>
      <c r="M1718">
        <f>IFERROR(VLOOKUP(D1718,Products!$A$2:$F$61,4,FALSE),"")</f>
        <v>128</v>
      </c>
      <c r="N1718" t="str">
        <f>IFERROR(VLOOKUP(E1718,Sales_Reps!$A$2:$E$31,3,FALSE),"")</f>
        <v>North</v>
      </c>
      <c r="O1718" t="str">
        <f>IFERROR(VLOOKUP(C1718,Customers!$A$2:$F$301,5,FALSE),"")</f>
        <v>Corporate</v>
      </c>
      <c r="P1718">
        <f>IFERROR(VLOOKUP(C1718,Customers!$A$2:$F$301,3,FALSE),"")</f>
        <v>41</v>
      </c>
      <c r="Q1718" s="41">
        <f t="shared" si="35"/>
        <v>0.57333333333333336</v>
      </c>
      <c r="R1718" t="str">
        <f>IFERROR(VLOOKUP(C1718,Customers!$A$2:$F$301,1,FALSE),"")</f>
        <v>CUST-0011</v>
      </c>
      <c r="S1718" s="27" t="b">
        <f>IFERROR(VLOOKUP(D1718,Products!$A$2:$F$61,6,FALSE),"")</f>
        <v>1</v>
      </c>
      <c r="BL1718">
        <v>0</v>
      </c>
      <c r="BO1718">
        <v>0</v>
      </c>
      <c r="BP1718">
        <v>0</v>
      </c>
    </row>
    <row r="1719" spans="1:68" x14ac:dyDescent="0.35">
      <c r="A1719" s="26" t="str">
        <f>Orders!A1719</f>
        <v>ORD-01718</v>
      </c>
      <c r="B1719" s="33">
        <f>Orders!B1719</f>
        <v>45647</v>
      </c>
      <c r="C1719" t="str">
        <f>Orders!C1719</f>
        <v>CUST-0223</v>
      </c>
      <c r="D1719" t="str">
        <f>Orders!D1719</f>
        <v>PROD-048</v>
      </c>
      <c r="E1719" t="str">
        <f>Orders!E1719</f>
        <v>R027</v>
      </c>
      <c r="F1719">
        <f>Orders!F1719</f>
        <v>10</v>
      </c>
      <c r="G1719" s="35">
        <f>Orders!G1719</f>
        <v>5100</v>
      </c>
      <c r="H1719" s="37">
        <f>Orders!H1719</f>
        <v>12.7</v>
      </c>
      <c r="I1719" s="39">
        <f>Orders!I1719</f>
        <v>44523</v>
      </c>
      <c r="J1719" t="str">
        <f>Orders!J1719</f>
        <v>Completed</v>
      </c>
      <c r="K1719" t="str">
        <f>Orders!K1719</f>
        <v>Bengaluru</v>
      </c>
      <c r="L1719" t="str">
        <f>IFERROR(VLOOKUP(D1719,Products!$A$2:$F$61,3,FALSE),"")</f>
        <v>Beauty</v>
      </c>
      <c r="M1719">
        <f>IFERROR(VLOOKUP(D1719,Products!$A$2:$F$61,4,FALSE),"")</f>
        <v>2237</v>
      </c>
      <c r="N1719" t="str">
        <f>IFERROR(VLOOKUP(E1719,Sales_Reps!$A$2:$E$31,3,FALSE),"")</f>
        <v>West</v>
      </c>
      <c r="O1719" t="str">
        <f>IFERROR(VLOOKUP(C1719,Customers!$A$2:$F$301,5,FALSE),"")</f>
        <v>Retail</v>
      </c>
      <c r="P1719">
        <f>IFERROR(VLOOKUP(C1719,Customers!$A$2:$F$301,3,FALSE),"")</f>
        <v>46</v>
      </c>
      <c r="Q1719" s="41">
        <f t="shared" si="35"/>
        <v>0.56137254901960787</v>
      </c>
      <c r="R1719" t="str">
        <f>IFERROR(VLOOKUP(C1719,Customers!$A$2:$F$301,1,FALSE),"")</f>
        <v>CUST-0223</v>
      </c>
      <c r="S1719" s="27" t="b">
        <f>IFERROR(VLOOKUP(D1719,Products!$A$2:$F$61,6,FALSE),"")</f>
        <v>1</v>
      </c>
      <c r="BL1719">
        <v>0</v>
      </c>
      <c r="BO1719">
        <v>0</v>
      </c>
      <c r="BP1719">
        <v>0</v>
      </c>
    </row>
    <row r="1720" spans="1:68" x14ac:dyDescent="0.35">
      <c r="A1720" s="26" t="str">
        <f>Orders!A1720</f>
        <v>ORD-01719</v>
      </c>
      <c r="B1720" s="33">
        <f>Orders!B1720</f>
        <v>45589</v>
      </c>
      <c r="C1720" t="str">
        <f>Orders!C1720</f>
        <v>CUST-0126</v>
      </c>
      <c r="D1720" t="str">
        <f>Orders!D1720</f>
        <v>PROD-021</v>
      </c>
      <c r="E1720" t="str">
        <f>Orders!E1720</f>
        <v>R013</v>
      </c>
      <c r="F1720">
        <f>Orders!F1720</f>
        <v>1</v>
      </c>
      <c r="G1720" s="35">
        <f>Orders!G1720</f>
        <v>2760</v>
      </c>
      <c r="H1720" s="37">
        <f>Orders!H1720</f>
        <v>17.8</v>
      </c>
      <c r="I1720" s="39">
        <f>Orders!I1720</f>
        <v>2268.7199999999998</v>
      </c>
      <c r="J1720" t="str">
        <f>Orders!J1720</f>
        <v>Refunded</v>
      </c>
      <c r="K1720" t="str">
        <f>Orders!K1720</f>
        <v>Mumbai</v>
      </c>
      <c r="L1720" t="str">
        <f>IFERROR(VLOOKUP(D1720,Products!$A$2:$F$61,3,FALSE),"")</f>
        <v>Grocery</v>
      </c>
      <c r="M1720">
        <f>IFERROR(VLOOKUP(D1720,Products!$A$2:$F$61,4,FALSE),"")</f>
        <v>1435</v>
      </c>
      <c r="N1720" t="str">
        <f>IFERROR(VLOOKUP(E1720,Sales_Reps!$A$2:$E$31,3,FALSE),"")</f>
        <v>South</v>
      </c>
      <c r="O1720" t="str">
        <f>IFERROR(VLOOKUP(C1720,Customers!$A$2:$F$301,5,FALSE),"")</f>
        <v>Retail</v>
      </c>
      <c r="P1720">
        <f>IFERROR(VLOOKUP(C1720,Customers!$A$2:$F$301,3,FALSE),"")</f>
        <v>37</v>
      </c>
      <c r="Q1720" s="41">
        <f t="shared" si="35"/>
        <v>0.48007246376811596</v>
      </c>
      <c r="R1720" t="str">
        <f>IFERROR(VLOOKUP(C1720,Customers!$A$2:$F$301,1,FALSE),"")</f>
        <v>CUST-0126</v>
      </c>
      <c r="S1720" s="27" t="b">
        <f>IFERROR(VLOOKUP(D1720,Products!$A$2:$F$61,6,FALSE),"")</f>
        <v>1</v>
      </c>
      <c r="BL1720">
        <v>0</v>
      </c>
      <c r="BO1720">
        <v>0</v>
      </c>
      <c r="BP1720">
        <v>0</v>
      </c>
    </row>
    <row r="1721" spans="1:68" x14ac:dyDescent="0.35">
      <c r="A1721" s="26" t="str">
        <f>Orders!A1721</f>
        <v>ORD-01720</v>
      </c>
      <c r="B1721" s="33">
        <f>Orders!B1721</f>
        <v>45382</v>
      </c>
      <c r="C1721" t="str">
        <f>Orders!C1721</f>
        <v>CUST-0284</v>
      </c>
      <c r="D1721" t="str">
        <f>Orders!D1721</f>
        <v>PROD-001</v>
      </c>
      <c r="E1721" t="str">
        <f>Orders!E1721</f>
        <v>R002</v>
      </c>
      <c r="F1721">
        <f>Orders!F1721</f>
        <v>8</v>
      </c>
      <c r="G1721" s="35">
        <f>Orders!G1721</f>
        <v>5330</v>
      </c>
      <c r="H1721" s="37">
        <f>Orders!H1721</f>
        <v>16.399999999999999</v>
      </c>
      <c r="I1721" s="39">
        <f>Orders!I1721</f>
        <v>35647.040000000001</v>
      </c>
      <c r="J1721" t="str">
        <f>Orders!J1721</f>
        <v>Completed</v>
      </c>
      <c r="K1721" t="str">
        <f>Orders!K1721</f>
        <v>Hyderabad</v>
      </c>
      <c r="L1721" t="str">
        <f>IFERROR(VLOOKUP(D1721,Products!$A$2:$F$61,3,FALSE),"")</f>
        <v>Electronics</v>
      </c>
      <c r="M1721">
        <f>IFERROR(VLOOKUP(D1721,Products!$A$2:$F$61,4,FALSE),"")</f>
        <v>2405</v>
      </c>
      <c r="N1721" t="str">
        <f>IFERROR(VLOOKUP(E1721,Sales_Reps!$A$2:$E$31,3,FALSE),"")</f>
        <v>North</v>
      </c>
      <c r="O1721" t="str">
        <f>IFERROR(VLOOKUP(C1721,Customers!$A$2:$F$301,5,FALSE),"")</f>
        <v>SMB</v>
      </c>
      <c r="P1721">
        <f>IFERROR(VLOOKUP(C1721,Customers!$A$2:$F$301,3,FALSE),"")</f>
        <v>65</v>
      </c>
      <c r="Q1721" s="41">
        <f t="shared" si="35"/>
        <v>0.54878048780487809</v>
      </c>
      <c r="R1721" t="str">
        <f>IFERROR(VLOOKUP(C1721,Customers!$A$2:$F$301,1,FALSE),"")</f>
        <v>CUST-0284</v>
      </c>
      <c r="S1721" s="27" t="b">
        <f>IFERROR(VLOOKUP(D1721,Products!$A$2:$F$61,6,FALSE),"")</f>
        <v>1</v>
      </c>
      <c r="BL1721">
        <v>0</v>
      </c>
      <c r="BO1721">
        <v>0</v>
      </c>
      <c r="BP1721">
        <v>0</v>
      </c>
    </row>
    <row r="1722" spans="1:68" x14ac:dyDescent="0.35">
      <c r="A1722" s="26" t="str">
        <f>Orders!A1722</f>
        <v>ORD-01721</v>
      </c>
      <c r="B1722" s="33">
        <f>Orders!B1722</f>
        <v>45457</v>
      </c>
      <c r="C1722" t="str">
        <f>Orders!C1722</f>
        <v>CUST-0011</v>
      </c>
      <c r="D1722" t="str">
        <f>Orders!D1722</f>
        <v>PROD-054</v>
      </c>
      <c r="E1722" t="str">
        <f>Orders!E1722</f>
        <v>R016</v>
      </c>
      <c r="F1722">
        <f>Orders!F1722</f>
        <v>1</v>
      </c>
      <c r="G1722" s="35">
        <f>Orders!G1722</f>
        <v>1010</v>
      </c>
      <c r="H1722" s="37">
        <f>Orders!H1722</f>
        <v>20.399999999999999</v>
      </c>
      <c r="I1722" s="39">
        <f>Orders!I1722</f>
        <v>803.96</v>
      </c>
      <c r="J1722" t="str">
        <f>Orders!J1722</f>
        <v>Cancelled</v>
      </c>
      <c r="K1722" t="str">
        <f>Orders!K1722</f>
        <v>Chennai</v>
      </c>
      <c r="L1722" t="str">
        <f>IFERROR(VLOOKUP(D1722,Products!$A$2:$F$61,3,FALSE),"")</f>
        <v>Sports</v>
      </c>
      <c r="M1722">
        <f>IFERROR(VLOOKUP(D1722,Products!$A$2:$F$61,4,FALSE),"")</f>
        <v>516</v>
      </c>
      <c r="N1722" t="str">
        <f>IFERROR(VLOOKUP(E1722,Sales_Reps!$A$2:$E$31,3,FALSE),"")</f>
        <v>South</v>
      </c>
      <c r="O1722" t="str">
        <f>IFERROR(VLOOKUP(C1722,Customers!$A$2:$F$301,5,FALSE),"")</f>
        <v>Corporate</v>
      </c>
      <c r="P1722">
        <f>IFERROR(VLOOKUP(C1722,Customers!$A$2:$F$301,3,FALSE),"")</f>
        <v>41</v>
      </c>
      <c r="Q1722" s="41">
        <f t="shared" si="35"/>
        <v>0.4891089108910891</v>
      </c>
      <c r="R1722" t="str">
        <f>IFERROR(VLOOKUP(C1722,Customers!$A$2:$F$301,1,FALSE),"")</f>
        <v>CUST-0011</v>
      </c>
      <c r="S1722" s="27" t="b">
        <f>IFERROR(VLOOKUP(D1722,Products!$A$2:$F$61,6,FALSE),"")</f>
        <v>1</v>
      </c>
      <c r="BL1722">
        <v>0</v>
      </c>
      <c r="BO1722">
        <v>0</v>
      </c>
      <c r="BP1722">
        <v>0</v>
      </c>
    </row>
    <row r="1723" spans="1:68" x14ac:dyDescent="0.35">
      <c r="A1723" s="26" t="str">
        <f>Orders!A1723</f>
        <v>ORD-01722</v>
      </c>
      <c r="B1723" s="33">
        <f>Orders!B1723</f>
        <v>45376</v>
      </c>
      <c r="C1723" t="str">
        <f>Orders!C1723</f>
        <v>CUST-0275</v>
      </c>
      <c r="D1723" t="str">
        <f>Orders!D1723</f>
        <v>PROD-008</v>
      </c>
      <c r="E1723" t="str">
        <f>Orders!E1723</f>
        <v>R019</v>
      </c>
      <c r="F1723">
        <f>Orders!F1723</f>
        <v>10</v>
      </c>
      <c r="G1723" s="35">
        <f>Orders!G1723</f>
        <v>2660</v>
      </c>
      <c r="H1723" s="37">
        <f>Orders!H1723</f>
        <v>29.3</v>
      </c>
      <c r="I1723" s="39">
        <f>Orders!I1723</f>
        <v>18806.2</v>
      </c>
      <c r="J1723" t="str">
        <f>Orders!J1723</f>
        <v>Completed</v>
      </c>
      <c r="K1723" t="str">
        <f>Orders!K1723</f>
        <v>Mumbai</v>
      </c>
      <c r="L1723" t="str">
        <f>IFERROR(VLOOKUP(D1723,Products!$A$2:$F$61,3,FALSE),"")</f>
        <v>Electronics</v>
      </c>
      <c r="M1723">
        <f>IFERROR(VLOOKUP(D1723,Products!$A$2:$F$61,4,FALSE),"")</f>
        <v>1259</v>
      </c>
      <c r="N1723" t="str">
        <f>IFERROR(VLOOKUP(E1723,Sales_Reps!$A$2:$E$31,3,FALSE),"")</f>
        <v>East</v>
      </c>
      <c r="O1723" t="str">
        <f>IFERROR(VLOOKUP(C1723,Customers!$A$2:$F$301,5,FALSE),"")</f>
        <v>Retail</v>
      </c>
      <c r="P1723">
        <f>IFERROR(VLOOKUP(C1723,Customers!$A$2:$F$301,3,FALSE),"")</f>
        <v>36</v>
      </c>
      <c r="Q1723" s="41">
        <f t="shared" si="35"/>
        <v>0.52669172932330832</v>
      </c>
      <c r="R1723" t="str">
        <f>IFERROR(VLOOKUP(C1723,Customers!$A$2:$F$301,1,FALSE),"")</f>
        <v>CUST-0275</v>
      </c>
      <c r="S1723" s="27" t="b">
        <f>IFERROR(VLOOKUP(D1723,Products!$A$2:$F$61,6,FALSE),"")</f>
        <v>0</v>
      </c>
      <c r="BL1723">
        <v>0</v>
      </c>
      <c r="BO1723">
        <v>0</v>
      </c>
      <c r="BP1723">
        <v>1</v>
      </c>
    </row>
    <row r="1724" spans="1:68" x14ac:dyDescent="0.35">
      <c r="A1724" s="26" t="str">
        <f>Orders!A1724</f>
        <v>ORD-01723</v>
      </c>
      <c r="B1724" s="33">
        <f>Orders!B1724</f>
        <v>45506</v>
      </c>
      <c r="C1724" t="str">
        <f>Orders!C1724</f>
        <v>CUST-0259</v>
      </c>
      <c r="D1724" t="str">
        <f>Orders!D1724</f>
        <v>PROD-006</v>
      </c>
      <c r="E1724" t="str">
        <f>Orders!E1724</f>
        <v>R011</v>
      </c>
      <c r="F1724">
        <f>Orders!F1724</f>
        <v>9</v>
      </c>
      <c r="G1724" s="35">
        <f>Orders!G1724</f>
        <v>3970</v>
      </c>
      <c r="H1724" s="37">
        <f>Orders!H1724</f>
        <v>10.4</v>
      </c>
      <c r="I1724" s="39">
        <f>Orders!I1724</f>
        <v>32014.080000000002</v>
      </c>
      <c r="J1724" t="str">
        <f>Orders!J1724</f>
        <v>Pending</v>
      </c>
      <c r="K1724" t="str">
        <f>Orders!K1724</f>
        <v>Mumbai</v>
      </c>
      <c r="L1724" t="str">
        <f>IFERROR(VLOOKUP(D1724,Products!$A$2:$F$61,3,FALSE),"")</f>
        <v>Electronics</v>
      </c>
      <c r="M1724">
        <f>IFERROR(VLOOKUP(D1724,Products!$A$2:$F$61,4,FALSE),"")</f>
        <v>2865</v>
      </c>
      <c r="N1724" t="str">
        <f>IFERROR(VLOOKUP(E1724,Sales_Reps!$A$2:$E$31,3,FALSE),"")</f>
        <v>South</v>
      </c>
      <c r="O1724" t="str">
        <f>IFERROR(VLOOKUP(C1724,Customers!$A$2:$F$301,5,FALSE),"")</f>
        <v>Retail</v>
      </c>
      <c r="P1724">
        <f>IFERROR(VLOOKUP(C1724,Customers!$A$2:$F$301,3,FALSE),"")</f>
        <v>34</v>
      </c>
      <c r="Q1724" s="41">
        <f t="shared" si="35"/>
        <v>0.27833753148614609</v>
      </c>
      <c r="R1724" t="str">
        <f>IFERROR(VLOOKUP(C1724,Customers!$A$2:$F$301,1,FALSE),"")</f>
        <v>CUST-0259</v>
      </c>
      <c r="S1724" s="27" t="b">
        <f>IFERROR(VLOOKUP(D1724,Products!$A$2:$F$61,6,FALSE),"")</f>
        <v>1</v>
      </c>
      <c r="BL1724">
        <v>0</v>
      </c>
      <c r="BO1724">
        <v>0</v>
      </c>
      <c r="BP1724">
        <v>0</v>
      </c>
    </row>
    <row r="1725" spans="1:68" x14ac:dyDescent="0.35">
      <c r="A1725" s="26" t="str">
        <f>Orders!A1725</f>
        <v>ORD-01724</v>
      </c>
      <c r="B1725" s="33">
        <f>Orders!B1725</f>
        <v>45472</v>
      </c>
      <c r="C1725" t="str">
        <f>Orders!C1725</f>
        <v>CUST-0089</v>
      </c>
      <c r="D1725" t="str">
        <f>Orders!D1725</f>
        <v>PROD-014</v>
      </c>
      <c r="E1725" t="str">
        <f>Orders!E1725</f>
        <v>R008</v>
      </c>
      <c r="F1725">
        <f>Orders!F1725</f>
        <v>3</v>
      </c>
      <c r="G1725" s="35">
        <f>Orders!G1725</f>
        <v>3620</v>
      </c>
      <c r="H1725" s="37">
        <f>Orders!H1725</f>
        <v>22</v>
      </c>
      <c r="I1725" s="39">
        <f>Orders!I1725</f>
        <v>8470.7999999999993</v>
      </c>
      <c r="J1725" t="str">
        <f>Orders!J1725</f>
        <v>Completed</v>
      </c>
      <c r="K1725" t="str">
        <f>Orders!K1725</f>
        <v>Mumbai</v>
      </c>
      <c r="L1725" t="str">
        <f>IFERROR(VLOOKUP(D1725,Products!$A$2:$F$61,3,FALSE),"")</f>
        <v>Apparel</v>
      </c>
      <c r="M1725">
        <f>IFERROR(VLOOKUP(D1725,Products!$A$2:$F$61,4,FALSE),"")</f>
        <v>2509</v>
      </c>
      <c r="N1725" t="str">
        <f>IFERROR(VLOOKUP(E1725,Sales_Reps!$A$2:$E$31,3,FALSE),"")</f>
        <v>North</v>
      </c>
      <c r="O1725" t="str">
        <f>IFERROR(VLOOKUP(C1725,Customers!$A$2:$F$301,5,FALSE),"")</f>
        <v>SMB</v>
      </c>
      <c r="P1725">
        <f>IFERROR(VLOOKUP(C1725,Customers!$A$2:$F$301,3,FALSE),"")</f>
        <v>43</v>
      </c>
      <c r="Q1725" s="41">
        <f t="shared" si="35"/>
        <v>0.3069060773480663</v>
      </c>
      <c r="R1725" t="str">
        <f>IFERROR(VLOOKUP(C1725,Customers!$A$2:$F$301,1,FALSE),"")</f>
        <v>CUST-0089</v>
      </c>
      <c r="S1725" s="27" t="b">
        <f>IFERROR(VLOOKUP(D1725,Products!$A$2:$F$61,6,FALSE),"")</f>
        <v>1</v>
      </c>
      <c r="BL1725">
        <v>0</v>
      </c>
      <c r="BO1725">
        <v>0</v>
      </c>
      <c r="BP1725">
        <v>0</v>
      </c>
    </row>
    <row r="1726" spans="1:68" x14ac:dyDescent="0.35">
      <c r="A1726" s="26" t="str">
        <f>Orders!A1726</f>
        <v>ORD-01725</v>
      </c>
      <c r="B1726" s="33">
        <f>Orders!B1726</f>
        <v>45383</v>
      </c>
      <c r="C1726" t="str">
        <f>Orders!C1726</f>
        <v>CUST-0232</v>
      </c>
      <c r="D1726" t="str">
        <f>Orders!D1726</f>
        <v>PROD-022</v>
      </c>
      <c r="E1726" t="str">
        <f>Orders!E1726</f>
        <v>R018</v>
      </c>
      <c r="F1726">
        <f>Orders!F1726</f>
        <v>6</v>
      </c>
      <c r="G1726" s="35">
        <f>Orders!G1726</f>
        <v>2270</v>
      </c>
      <c r="H1726" s="37">
        <f>Orders!H1726</f>
        <v>11.1</v>
      </c>
      <c r="I1726" s="39">
        <f>Orders!I1726</f>
        <v>12108.18</v>
      </c>
      <c r="J1726" t="str">
        <f>Orders!J1726</f>
        <v>Cancelled</v>
      </c>
      <c r="K1726" t="str">
        <f>Orders!K1726</f>
        <v>Hyderabad</v>
      </c>
      <c r="L1726" t="str">
        <f>IFERROR(VLOOKUP(D1726,Products!$A$2:$F$61,3,FALSE),"")</f>
        <v>Grocery</v>
      </c>
      <c r="M1726">
        <f>IFERROR(VLOOKUP(D1726,Products!$A$2:$F$61,4,FALSE),"")</f>
        <v>1412</v>
      </c>
      <c r="N1726" t="str">
        <f>IFERROR(VLOOKUP(E1726,Sales_Reps!$A$2:$E$31,3,FALSE),"")</f>
        <v>East</v>
      </c>
      <c r="O1726" t="str">
        <f>IFERROR(VLOOKUP(C1726,Customers!$A$2:$F$301,5,FALSE),"")</f>
        <v>Retail</v>
      </c>
      <c r="P1726">
        <f>IFERROR(VLOOKUP(C1726,Customers!$A$2:$F$301,3,FALSE),"")</f>
        <v>38</v>
      </c>
      <c r="Q1726" s="41">
        <f t="shared" si="35"/>
        <v>0.37797356828193834</v>
      </c>
      <c r="R1726" t="str">
        <f>IFERROR(VLOOKUP(C1726,Customers!$A$2:$F$301,1,FALSE),"")</f>
        <v>CUST-0232</v>
      </c>
      <c r="S1726" s="27" t="b">
        <f>IFERROR(VLOOKUP(D1726,Products!$A$2:$F$61,6,FALSE),"")</f>
        <v>1</v>
      </c>
      <c r="BL1726">
        <v>0</v>
      </c>
      <c r="BO1726">
        <v>0</v>
      </c>
      <c r="BP1726">
        <v>0</v>
      </c>
    </row>
    <row r="1727" spans="1:68" x14ac:dyDescent="0.35">
      <c r="A1727" s="26" t="str">
        <f>Orders!A1727</f>
        <v>ORD-01726</v>
      </c>
      <c r="B1727" s="33">
        <f>Orders!B1727</f>
        <v>45543</v>
      </c>
      <c r="C1727" t="str">
        <f>Orders!C1727</f>
        <v>CUST-0220</v>
      </c>
      <c r="D1727" t="str">
        <f>Orders!D1727</f>
        <v>PROD-022</v>
      </c>
      <c r="E1727" t="str">
        <f>Orders!E1727</f>
        <v>R014</v>
      </c>
      <c r="F1727">
        <f>Orders!F1727</f>
        <v>4</v>
      </c>
      <c r="G1727" s="35">
        <f>Orders!G1727</f>
        <v>2270</v>
      </c>
      <c r="H1727" s="37">
        <f>Orders!H1727</f>
        <v>27.2</v>
      </c>
      <c r="I1727" s="39">
        <f>Orders!I1727</f>
        <v>6610.24</v>
      </c>
      <c r="J1727" t="str">
        <f>Orders!J1727</f>
        <v>Pending</v>
      </c>
      <c r="K1727" t="str">
        <f>Orders!K1727</f>
        <v>Chennai</v>
      </c>
      <c r="L1727" t="str">
        <f>IFERROR(VLOOKUP(D1727,Products!$A$2:$F$61,3,FALSE),"")</f>
        <v>Grocery</v>
      </c>
      <c r="M1727">
        <f>IFERROR(VLOOKUP(D1727,Products!$A$2:$F$61,4,FALSE),"")</f>
        <v>1412</v>
      </c>
      <c r="N1727" t="str">
        <f>IFERROR(VLOOKUP(E1727,Sales_Reps!$A$2:$E$31,3,FALSE),"")</f>
        <v>South</v>
      </c>
      <c r="O1727" t="str">
        <f>IFERROR(VLOOKUP(C1727,Customers!$A$2:$F$301,5,FALSE),"")</f>
        <v>Retail</v>
      </c>
      <c r="P1727">
        <f>IFERROR(VLOOKUP(C1727,Customers!$A$2:$F$301,3,FALSE),"")</f>
        <v>34</v>
      </c>
      <c r="Q1727" s="41">
        <f t="shared" si="35"/>
        <v>0.37797356828193834</v>
      </c>
      <c r="R1727" t="str">
        <f>IFERROR(VLOOKUP(C1727,Customers!$A$2:$F$301,1,FALSE),"")</f>
        <v>CUST-0220</v>
      </c>
      <c r="S1727" s="27" t="b">
        <f>IFERROR(VLOOKUP(D1727,Products!$A$2:$F$61,6,FALSE),"")</f>
        <v>1</v>
      </c>
      <c r="BL1727">
        <v>0</v>
      </c>
      <c r="BO1727">
        <v>0</v>
      </c>
      <c r="BP1727">
        <v>0</v>
      </c>
    </row>
    <row r="1728" spans="1:68" x14ac:dyDescent="0.35">
      <c r="A1728" s="26" t="str">
        <f>Orders!A1728</f>
        <v>ORD-01727</v>
      </c>
      <c r="B1728" s="33">
        <f>Orders!B1728</f>
        <v>45576</v>
      </c>
      <c r="C1728" t="str">
        <f>Orders!C1728</f>
        <v>CUST-0137</v>
      </c>
      <c r="D1728" t="str">
        <f>Orders!D1728</f>
        <v>PROD-039</v>
      </c>
      <c r="E1728" t="str">
        <f>Orders!E1728</f>
        <v>R012</v>
      </c>
      <c r="F1728">
        <f>Orders!F1728</f>
        <v>8</v>
      </c>
      <c r="G1728" s="35">
        <f>Orders!G1728</f>
        <v>4610</v>
      </c>
      <c r="H1728" s="37">
        <f>Orders!H1728</f>
        <v>24.5</v>
      </c>
      <c r="I1728" s="39">
        <f>Orders!I1728</f>
        <v>27844.400000000001</v>
      </c>
      <c r="J1728" t="str">
        <f>Orders!J1728</f>
        <v>Completed</v>
      </c>
      <c r="K1728" t="str">
        <f>Orders!K1728</f>
        <v>Mumbai</v>
      </c>
      <c r="L1728" t="str">
        <f>IFERROR(VLOOKUP(D1728,Products!$A$2:$F$61,3,FALSE),"")</f>
        <v>Home</v>
      </c>
      <c r="M1728">
        <f>IFERROR(VLOOKUP(D1728,Products!$A$2:$F$61,4,FALSE),"")</f>
        <v>1850</v>
      </c>
      <c r="N1728" t="str">
        <f>IFERROR(VLOOKUP(E1728,Sales_Reps!$A$2:$E$31,3,FALSE),"")</f>
        <v>South</v>
      </c>
      <c r="O1728" t="str">
        <f>IFERROR(VLOOKUP(C1728,Customers!$A$2:$F$301,5,FALSE),"")</f>
        <v>Retail</v>
      </c>
      <c r="P1728">
        <f>IFERROR(VLOOKUP(C1728,Customers!$A$2:$F$301,3,FALSE),"")</f>
        <v>41</v>
      </c>
      <c r="Q1728" s="41">
        <f t="shared" si="35"/>
        <v>0.59869848156182215</v>
      </c>
      <c r="R1728" t="str">
        <f>IFERROR(VLOOKUP(C1728,Customers!$A$2:$F$301,1,FALSE),"")</f>
        <v>CUST-0137</v>
      </c>
      <c r="S1728" s="27" t="b">
        <f>IFERROR(VLOOKUP(D1728,Products!$A$2:$F$61,6,FALSE),"")</f>
        <v>1</v>
      </c>
      <c r="BL1728">
        <v>0</v>
      </c>
      <c r="BO1728">
        <v>0</v>
      </c>
      <c r="BP1728">
        <v>0</v>
      </c>
    </row>
    <row r="1729" spans="1:68" x14ac:dyDescent="0.35">
      <c r="A1729" s="26" t="str">
        <f>Orders!A1729</f>
        <v>ORD-01728</v>
      </c>
      <c r="B1729" s="33">
        <f>Orders!B1729</f>
        <v>45366</v>
      </c>
      <c r="C1729" t="str">
        <f>Orders!C1729</f>
        <v>CUST-0132</v>
      </c>
      <c r="D1729" t="str">
        <f>Orders!D1729</f>
        <v>PROD-060</v>
      </c>
      <c r="E1729" t="str">
        <f>Orders!E1729</f>
        <v>R020</v>
      </c>
      <c r="F1729">
        <f>Orders!F1729</f>
        <v>6</v>
      </c>
      <c r="G1729" s="35">
        <f>Orders!G1729</f>
        <v>190</v>
      </c>
      <c r="H1729" s="37">
        <f>Orders!H1729</f>
        <v>8.6999999999999993</v>
      </c>
      <c r="I1729" s="39">
        <f>Orders!I1729</f>
        <v>1040.82</v>
      </c>
      <c r="J1729" t="str">
        <f>Orders!J1729</f>
        <v>Cancelled</v>
      </c>
      <c r="K1729" t="str">
        <f>Orders!K1729</f>
        <v>Delhi</v>
      </c>
      <c r="L1729" t="str">
        <f>IFERROR(VLOOKUP(D1729,Products!$A$2:$F$61,3,FALSE),"")</f>
        <v>Sports</v>
      </c>
      <c r="M1729">
        <f>IFERROR(VLOOKUP(D1729,Products!$A$2:$F$61,4,FALSE),"")</f>
        <v>147</v>
      </c>
      <c r="N1729" t="str">
        <f>IFERROR(VLOOKUP(E1729,Sales_Reps!$A$2:$E$31,3,FALSE),"")</f>
        <v>East</v>
      </c>
      <c r="O1729" t="str">
        <f>IFERROR(VLOOKUP(C1729,Customers!$A$2:$F$301,5,FALSE),"")</f>
        <v>Retail</v>
      </c>
      <c r="P1729">
        <f>IFERROR(VLOOKUP(C1729,Customers!$A$2:$F$301,3,FALSE),"")</f>
        <v>41</v>
      </c>
      <c r="Q1729" s="41">
        <f t="shared" si="35"/>
        <v>0.22631578947368422</v>
      </c>
      <c r="R1729" t="str">
        <f>IFERROR(VLOOKUP(C1729,Customers!$A$2:$F$301,1,FALSE),"")</f>
        <v>CUST-0132</v>
      </c>
      <c r="S1729" s="27" t="b">
        <f>IFERROR(VLOOKUP(D1729,Products!$A$2:$F$61,6,FALSE),"")</f>
        <v>1</v>
      </c>
      <c r="BL1729">
        <v>0</v>
      </c>
      <c r="BO1729">
        <v>0</v>
      </c>
      <c r="BP1729">
        <v>0</v>
      </c>
    </row>
    <row r="1730" spans="1:68" x14ac:dyDescent="0.35">
      <c r="A1730" s="26" t="str">
        <f>Orders!A1730</f>
        <v>ORD-01729</v>
      </c>
      <c r="B1730" s="33">
        <f>Orders!B1730</f>
        <v>45617</v>
      </c>
      <c r="C1730" t="str">
        <f>Orders!C1730</f>
        <v>CUST-0226</v>
      </c>
      <c r="D1730" t="str">
        <f>Orders!D1730</f>
        <v>PROD-033</v>
      </c>
      <c r="E1730" t="str">
        <f>Orders!E1730</f>
        <v>R026</v>
      </c>
      <c r="F1730">
        <f>Orders!F1730</f>
        <v>5</v>
      </c>
      <c r="G1730" s="35">
        <f>Orders!G1730</f>
        <v>2030</v>
      </c>
      <c r="H1730" s="37">
        <f>Orders!H1730</f>
        <v>0.9</v>
      </c>
      <c r="I1730" s="39">
        <f>Orders!I1730</f>
        <v>10058.65</v>
      </c>
      <c r="J1730" t="str">
        <f>Orders!J1730</f>
        <v>Cancelled</v>
      </c>
      <c r="K1730" t="str">
        <f>Orders!K1730</f>
        <v>Chennai</v>
      </c>
      <c r="L1730" t="str">
        <f>IFERROR(VLOOKUP(D1730,Products!$A$2:$F$61,3,FALSE),"")</f>
        <v>Home</v>
      </c>
      <c r="M1730">
        <f>IFERROR(VLOOKUP(D1730,Products!$A$2:$F$61,4,FALSE),"")</f>
        <v>1143</v>
      </c>
      <c r="N1730" t="str">
        <f>IFERROR(VLOOKUP(E1730,Sales_Reps!$A$2:$E$31,3,FALSE),"")</f>
        <v>West</v>
      </c>
      <c r="O1730" t="str">
        <f>IFERROR(VLOOKUP(C1730,Customers!$A$2:$F$301,5,FALSE),"")</f>
        <v>Corporate</v>
      </c>
      <c r="P1730">
        <f>IFERROR(VLOOKUP(C1730,Customers!$A$2:$F$301,3,FALSE),"")</f>
        <v>52</v>
      </c>
      <c r="Q1730" s="41">
        <f t="shared" ref="Q1730:Q1793" si="36">IFERROR((G1730-M1730)/G1730,0)</f>
        <v>0.43694581280788175</v>
      </c>
      <c r="R1730" t="str">
        <f>IFERROR(VLOOKUP(C1730,Customers!$A$2:$F$301,1,FALSE),"")</f>
        <v>CUST-0226</v>
      </c>
      <c r="S1730" s="27" t="b">
        <f>IFERROR(VLOOKUP(D1730,Products!$A$2:$F$61,6,FALSE),"")</f>
        <v>1</v>
      </c>
      <c r="BL1730">
        <v>0</v>
      </c>
      <c r="BO1730">
        <v>0</v>
      </c>
      <c r="BP1730">
        <v>0</v>
      </c>
    </row>
    <row r="1731" spans="1:68" x14ac:dyDescent="0.35">
      <c r="A1731" s="26" t="str">
        <f>Orders!A1731</f>
        <v>ORD-01730</v>
      </c>
      <c r="B1731" s="33">
        <f>Orders!B1731</f>
        <v>45614</v>
      </c>
      <c r="C1731" t="str">
        <f>Orders!C1731</f>
        <v>CUST-0080</v>
      </c>
      <c r="D1731" t="str">
        <f>Orders!D1731</f>
        <v>PROD-026</v>
      </c>
      <c r="E1731" t="str">
        <f>Orders!E1731</f>
        <v>R020</v>
      </c>
      <c r="F1731">
        <f>Orders!F1731</f>
        <v>1</v>
      </c>
      <c r="G1731" s="35">
        <f>Orders!G1731</f>
        <v>4070</v>
      </c>
      <c r="H1731" s="37">
        <f>Orders!H1731</f>
        <v>9.3000000000000007</v>
      </c>
      <c r="I1731" s="39">
        <f>Orders!I1731</f>
        <v>3691.49</v>
      </c>
      <c r="J1731" t="str">
        <f>Orders!J1731</f>
        <v>Refunded</v>
      </c>
      <c r="K1731" t="str">
        <f>Orders!K1731</f>
        <v>Pune</v>
      </c>
      <c r="L1731" t="str">
        <f>IFERROR(VLOOKUP(D1731,Products!$A$2:$F$61,3,FALSE),"")</f>
        <v>Grocery</v>
      </c>
      <c r="M1731">
        <f>IFERROR(VLOOKUP(D1731,Products!$A$2:$F$61,4,FALSE),"")</f>
        <v>2027</v>
      </c>
      <c r="N1731" t="str">
        <f>IFERROR(VLOOKUP(E1731,Sales_Reps!$A$2:$E$31,3,FALSE),"")</f>
        <v>East</v>
      </c>
      <c r="O1731" t="str">
        <f>IFERROR(VLOOKUP(C1731,Customers!$A$2:$F$301,5,FALSE),"")</f>
        <v>SMB</v>
      </c>
      <c r="P1731">
        <f>IFERROR(VLOOKUP(C1731,Customers!$A$2:$F$301,3,FALSE),"")</f>
        <v>30</v>
      </c>
      <c r="Q1731" s="41">
        <f t="shared" si="36"/>
        <v>0.50196560196560192</v>
      </c>
      <c r="R1731" t="str">
        <f>IFERROR(VLOOKUP(C1731,Customers!$A$2:$F$301,1,FALSE),"")</f>
        <v>CUST-0080</v>
      </c>
      <c r="S1731" s="27" t="b">
        <f>IFERROR(VLOOKUP(D1731,Products!$A$2:$F$61,6,FALSE),"")</f>
        <v>1</v>
      </c>
      <c r="BL1731">
        <v>0</v>
      </c>
      <c r="BO1731">
        <v>0</v>
      </c>
      <c r="BP1731">
        <v>0</v>
      </c>
    </row>
    <row r="1732" spans="1:68" x14ac:dyDescent="0.35">
      <c r="A1732" s="26" t="str">
        <f>Orders!A1732</f>
        <v>ORD-01731</v>
      </c>
      <c r="B1732" s="33">
        <f>Orders!B1732</f>
        <v>45460</v>
      </c>
      <c r="C1732" t="str">
        <f>Orders!C1732</f>
        <v>CUST-0068</v>
      </c>
      <c r="D1732" t="str">
        <f>Orders!D1732</f>
        <v>PROD-042</v>
      </c>
      <c r="E1732" t="str">
        <f>Orders!E1732</f>
        <v>R001</v>
      </c>
      <c r="F1732">
        <f>Orders!F1732</f>
        <v>3</v>
      </c>
      <c r="G1732" s="35">
        <f>Orders!G1732</f>
        <v>2290</v>
      </c>
      <c r="H1732" s="37">
        <f>Orders!H1732</f>
        <v>12.1</v>
      </c>
      <c r="I1732" s="39">
        <f>Orders!I1732</f>
        <v>6038.73</v>
      </c>
      <c r="J1732" t="str">
        <f>Orders!J1732</f>
        <v>Completed</v>
      </c>
      <c r="K1732" t="str">
        <f>Orders!K1732</f>
        <v>Delhi</v>
      </c>
      <c r="L1732" t="str">
        <f>IFERROR(VLOOKUP(D1732,Products!$A$2:$F$61,3,FALSE),"")</f>
        <v>Beauty</v>
      </c>
      <c r="M1732">
        <f>IFERROR(VLOOKUP(D1732,Products!$A$2:$F$61,4,FALSE),"")</f>
        <v>1219</v>
      </c>
      <c r="N1732" t="str">
        <f>IFERROR(VLOOKUP(E1732,Sales_Reps!$A$2:$E$31,3,FALSE),"")</f>
        <v>North</v>
      </c>
      <c r="O1732" t="str">
        <f>IFERROR(VLOOKUP(C1732,Customers!$A$2:$F$301,5,FALSE),"")</f>
        <v>SMB</v>
      </c>
      <c r="P1732">
        <f>IFERROR(VLOOKUP(C1732,Customers!$A$2:$F$301,3,FALSE),"")</f>
        <v>48</v>
      </c>
      <c r="Q1732" s="41">
        <f t="shared" si="36"/>
        <v>0.46768558951965067</v>
      </c>
      <c r="R1732" t="str">
        <f>IFERROR(VLOOKUP(C1732,Customers!$A$2:$F$301,1,FALSE),"")</f>
        <v>CUST-0068</v>
      </c>
      <c r="S1732" s="27" t="b">
        <f>IFERROR(VLOOKUP(D1732,Products!$A$2:$F$61,6,FALSE),"")</f>
        <v>1</v>
      </c>
      <c r="BL1732">
        <v>0</v>
      </c>
      <c r="BO1732">
        <v>0</v>
      </c>
      <c r="BP1732">
        <v>0</v>
      </c>
    </row>
    <row r="1733" spans="1:68" x14ac:dyDescent="0.35">
      <c r="A1733" s="26" t="str">
        <f>Orders!A1733</f>
        <v>ORD-01732</v>
      </c>
      <c r="B1733" s="33">
        <f>Orders!B1733</f>
        <v>45514</v>
      </c>
      <c r="C1733" t="str">
        <f>Orders!C1733</f>
        <v>CUST-0146</v>
      </c>
      <c r="D1733" t="str">
        <f>Orders!D1733</f>
        <v>PROD-031</v>
      </c>
      <c r="E1733" t="str">
        <f>Orders!E1733</f>
        <v>R020</v>
      </c>
      <c r="F1733">
        <f>Orders!F1733</f>
        <v>7</v>
      </c>
      <c r="G1733" s="35">
        <f>Orders!G1733</f>
        <v>3730</v>
      </c>
      <c r="H1733" s="37">
        <f>Orders!H1733</f>
        <v>4.5</v>
      </c>
      <c r="I1733" s="39">
        <f>Orders!I1733</f>
        <v>24935.05</v>
      </c>
      <c r="J1733" t="str">
        <f>Orders!J1733</f>
        <v>Completed</v>
      </c>
      <c r="K1733" t="str">
        <f>Orders!K1733</f>
        <v>Hyderabad</v>
      </c>
      <c r="L1733" t="str">
        <f>IFERROR(VLOOKUP(D1733,Products!$A$2:$F$61,3,FALSE),"")</f>
        <v>Home</v>
      </c>
      <c r="M1733">
        <f>IFERROR(VLOOKUP(D1733,Products!$A$2:$F$61,4,FALSE),"")</f>
        <v>2135</v>
      </c>
      <c r="N1733" t="str">
        <f>IFERROR(VLOOKUP(E1733,Sales_Reps!$A$2:$E$31,3,FALSE),"")</f>
        <v>East</v>
      </c>
      <c r="O1733" t="str">
        <f>IFERROR(VLOOKUP(C1733,Customers!$A$2:$F$301,5,FALSE),"")</f>
        <v>Retail</v>
      </c>
      <c r="P1733">
        <f>IFERROR(VLOOKUP(C1733,Customers!$A$2:$F$301,3,FALSE),"")</f>
        <v>22</v>
      </c>
      <c r="Q1733" s="41">
        <f t="shared" si="36"/>
        <v>0.42761394101876676</v>
      </c>
      <c r="R1733" t="str">
        <f>IFERROR(VLOOKUP(C1733,Customers!$A$2:$F$301,1,FALSE),"")</f>
        <v>CUST-0146</v>
      </c>
      <c r="S1733" s="27" t="b">
        <f>IFERROR(VLOOKUP(D1733,Products!$A$2:$F$61,6,FALSE),"")</f>
        <v>1</v>
      </c>
      <c r="BL1733">
        <v>0</v>
      </c>
      <c r="BO1733">
        <v>0</v>
      </c>
      <c r="BP1733">
        <v>0</v>
      </c>
    </row>
    <row r="1734" spans="1:68" x14ac:dyDescent="0.35">
      <c r="A1734" s="26" t="str">
        <f>Orders!A1734</f>
        <v>ORD-01733</v>
      </c>
      <c r="B1734" s="33">
        <f>Orders!B1734</f>
        <v>45306</v>
      </c>
      <c r="C1734" t="str">
        <f>Orders!C1734</f>
        <v>CUST-0106</v>
      </c>
      <c r="D1734" t="str">
        <f>Orders!D1734</f>
        <v>PROD-016</v>
      </c>
      <c r="E1734" t="str">
        <f>Orders!E1734</f>
        <v>R005</v>
      </c>
      <c r="F1734">
        <f>Orders!F1734</f>
        <v>5</v>
      </c>
      <c r="G1734" s="35">
        <f>Orders!G1734</f>
        <v>620</v>
      </c>
      <c r="H1734" s="37">
        <f>Orders!H1734</f>
        <v>7.5</v>
      </c>
      <c r="I1734" s="39">
        <f>Orders!I1734</f>
        <v>2867.5</v>
      </c>
      <c r="J1734" t="str">
        <f>Orders!J1734</f>
        <v>Completed</v>
      </c>
      <c r="K1734" t="str">
        <f>Orders!K1734</f>
        <v>Pune</v>
      </c>
      <c r="L1734" t="str">
        <f>IFERROR(VLOOKUP(D1734,Products!$A$2:$F$61,3,FALSE),"")</f>
        <v>Apparel</v>
      </c>
      <c r="M1734">
        <f>IFERROR(VLOOKUP(D1734,Products!$A$2:$F$61,4,FALSE),"")</f>
        <v>396</v>
      </c>
      <c r="N1734" t="str">
        <f>IFERROR(VLOOKUP(E1734,Sales_Reps!$A$2:$E$31,3,FALSE),"")</f>
        <v>North</v>
      </c>
      <c r="O1734" t="str">
        <f>IFERROR(VLOOKUP(C1734,Customers!$A$2:$F$301,5,FALSE),"")</f>
        <v>Retail</v>
      </c>
      <c r="P1734">
        <f>IFERROR(VLOOKUP(C1734,Customers!$A$2:$F$301,3,FALSE),"")</f>
        <v>22</v>
      </c>
      <c r="Q1734" s="41">
        <f t="shared" si="36"/>
        <v>0.36129032258064514</v>
      </c>
      <c r="R1734" t="str">
        <f>IFERROR(VLOOKUP(C1734,Customers!$A$2:$F$301,1,FALSE),"")</f>
        <v>CUST-0106</v>
      </c>
      <c r="S1734" s="27" t="b">
        <f>IFERROR(VLOOKUP(D1734,Products!$A$2:$F$61,6,FALSE),"")</f>
        <v>1</v>
      </c>
      <c r="BL1734">
        <v>0</v>
      </c>
      <c r="BO1734">
        <v>0</v>
      </c>
      <c r="BP1734">
        <v>0</v>
      </c>
    </row>
    <row r="1735" spans="1:68" x14ac:dyDescent="0.35">
      <c r="A1735" s="26" t="str">
        <f>Orders!A1735</f>
        <v>ORD-01734</v>
      </c>
      <c r="B1735" s="33">
        <f>Orders!B1735</f>
        <v>45455</v>
      </c>
      <c r="C1735" t="str">
        <f>Orders!C1735</f>
        <v>CUST-0096</v>
      </c>
      <c r="D1735" t="str">
        <f>Orders!D1735</f>
        <v>PROD-010</v>
      </c>
      <c r="E1735" t="str">
        <f>Orders!E1735</f>
        <v>R010</v>
      </c>
      <c r="F1735">
        <f>Orders!F1735</f>
        <v>8</v>
      </c>
      <c r="G1735" s="35">
        <f>Orders!G1735</f>
        <v>2640</v>
      </c>
      <c r="H1735" s="37">
        <f>Orders!H1735</f>
        <v>16.399999999999999</v>
      </c>
      <c r="I1735" s="39">
        <f>Orders!I1735</f>
        <v>17656.32</v>
      </c>
      <c r="J1735" t="str">
        <f>Orders!J1735</f>
        <v>Completed</v>
      </c>
      <c r="K1735" t="str">
        <f>Orders!K1735</f>
        <v>Delhi</v>
      </c>
      <c r="L1735" t="str">
        <f>IFERROR(VLOOKUP(D1735,Products!$A$2:$F$61,3,FALSE),"")</f>
        <v>Electronics</v>
      </c>
      <c r="M1735">
        <f>IFERROR(VLOOKUP(D1735,Products!$A$2:$F$61,4,FALSE),"")</f>
        <v>1149</v>
      </c>
      <c r="N1735" t="str">
        <f>IFERROR(VLOOKUP(E1735,Sales_Reps!$A$2:$E$31,3,FALSE),"")</f>
        <v>South</v>
      </c>
      <c r="O1735" t="str">
        <f>IFERROR(VLOOKUP(C1735,Customers!$A$2:$F$301,5,FALSE),"")</f>
        <v>Corporate</v>
      </c>
      <c r="P1735">
        <f>IFERROR(VLOOKUP(C1735,Customers!$A$2:$F$301,3,FALSE),"")</f>
        <v>27</v>
      </c>
      <c r="Q1735" s="41">
        <f t="shared" si="36"/>
        <v>0.56477272727272732</v>
      </c>
      <c r="R1735" t="str">
        <f>IFERROR(VLOOKUP(C1735,Customers!$A$2:$F$301,1,FALSE),"")</f>
        <v>CUST-0096</v>
      </c>
      <c r="S1735" s="27" t="b">
        <f>IFERROR(VLOOKUP(D1735,Products!$A$2:$F$61,6,FALSE),"")</f>
        <v>1</v>
      </c>
      <c r="BL1735">
        <v>0</v>
      </c>
      <c r="BO1735">
        <v>0</v>
      </c>
      <c r="BP1735">
        <v>0</v>
      </c>
    </row>
    <row r="1736" spans="1:68" x14ac:dyDescent="0.35">
      <c r="A1736" s="26" t="str">
        <f>Orders!A1736</f>
        <v>ORD-01735</v>
      </c>
      <c r="B1736" s="33">
        <f>Orders!B1736</f>
        <v>45564</v>
      </c>
      <c r="C1736" t="str">
        <f>Orders!C1736</f>
        <v>CUST-0248</v>
      </c>
      <c r="D1736" t="str">
        <f>Orders!D1736</f>
        <v>PROD-028</v>
      </c>
      <c r="E1736" t="str">
        <f>Orders!E1736</f>
        <v>R004</v>
      </c>
      <c r="F1736">
        <f>Orders!F1736</f>
        <v>6</v>
      </c>
      <c r="G1736" s="35">
        <f>Orders!G1736</f>
        <v>3660</v>
      </c>
      <c r="H1736" s="37">
        <f>Orders!H1736</f>
        <v>6.2</v>
      </c>
      <c r="I1736" s="39">
        <f>Orders!I1736</f>
        <v>20598.48</v>
      </c>
      <c r="J1736" t="str">
        <f>Orders!J1736</f>
        <v>Completed</v>
      </c>
      <c r="K1736" t="str">
        <f>Orders!K1736</f>
        <v>Chennai</v>
      </c>
      <c r="L1736" t="str">
        <f>IFERROR(VLOOKUP(D1736,Products!$A$2:$F$61,3,FALSE),"")</f>
        <v>Grocery</v>
      </c>
      <c r="M1736">
        <f>IFERROR(VLOOKUP(D1736,Products!$A$2:$F$61,4,FALSE),"")</f>
        <v>2214</v>
      </c>
      <c r="N1736" t="str">
        <f>IFERROR(VLOOKUP(E1736,Sales_Reps!$A$2:$E$31,3,FALSE),"")</f>
        <v>North</v>
      </c>
      <c r="O1736" t="str">
        <f>IFERROR(VLOOKUP(C1736,Customers!$A$2:$F$301,5,FALSE),"")</f>
        <v>SMB</v>
      </c>
      <c r="P1736">
        <f>IFERROR(VLOOKUP(C1736,Customers!$A$2:$F$301,3,FALSE),"")</f>
        <v>57</v>
      </c>
      <c r="Q1736" s="41">
        <f t="shared" si="36"/>
        <v>0.39508196721311473</v>
      </c>
      <c r="R1736" t="str">
        <f>IFERROR(VLOOKUP(C1736,Customers!$A$2:$F$301,1,FALSE),"")</f>
        <v>CUST-0248</v>
      </c>
      <c r="S1736" s="27" t="b">
        <f>IFERROR(VLOOKUP(D1736,Products!$A$2:$F$61,6,FALSE),"")</f>
        <v>0</v>
      </c>
      <c r="BL1736">
        <v>0</v>
      </c>
      <c r="BO1736">
        <v>0</v>
      </c>
      <c r="BP1736">
        <v>1</v>
      </c>
    </row>
    <row r="1737" spans="1:68" x14ac:dyDescent="0.35">
      <c r="A1737" s="26" t="str">
        <f>Orders!A1737</f>
        <v>ORD-01736</v>
      </c>
      <c r="B1737" s="33">
        <f>Orders!B1737</f>
        <v>45507</v>
      </c>
      <c r="C1737" t="str">
        <f>Orders!C1737</f>
        <v>CUST-0297</v>
      </c>
      <c r="D1737" t="str">
        <f>Orders!D1737</f>
        <v>PROD-020</v>
      </c>
      <c r="E1737" t="str">
        <f>Orders!E1737</f>
        <v>R020</v>
      </c>
      <c r="F1737">
        <f>Orders!F1737</f>
        <v>2</v>
      </c>
      <c r="G1737" s="35">
        <f>Orders!G1737</f>
        <v>820</v>
      </c>
      <c r="H1737" s="37">
        <f>Orders!H1737</f>
        <v>25.4</v>
      </c>
      <c r="I1737" s="39">
        <f>Orders!I1737</f>
        <v>1223.44</v>
      </c>
      <c r="J1737" t="str">
        <f>Orders!J1737</f>
        <v>Completed</v>
      </c>
      <c r="K1737" t="str">
        <f>Orders!K1737</f>
        <v>Hyderabad</v>
      </c>
      <c r="L1737" t="str">
        <f>IFERROR(VLOOKUP(D1737,Products!$A$2:$F$61,3,FALSE),"")</f>
        <v>Apparel</v>
      </c>
      <c r="M1737">
        <f>IFERROR(VLOOKUP(D1737,Products!$A$2:$F$61,4,FALSE),"")</f>
        <v>391</v>
      </c>
      <c r="N1737" t="str">
        <f>IFERROR(VLOOKUP(E1737,Sales_Reps!$A$2:$E$31,3,FALSE),"")</f>
        <v>East</v>
      </c>
      <c r="O1737" t="str">
        <f>IFERROR(VLOOKUP(C1737,Customers!$A$2:$F$301,5,FALSE),"")</f>
        <v>Retail</v>
      </c>
      <c r="P1737">
        <f>IFERROR(VLOOKUP(C1737,Customers!$A$2:$F$301,3,FALSE),"")</f>
        <v>50</v>
      </c>
      <c r="Q1737" s="41">
        <f t="shared" si="36"/>
        <v>0.52317073170731709</v>
      </c>
      <c r="R1737" t="str">
        <f>IFERROR(VLOOKUP(C1737,Customers!$A$2:$F$301,1,FALSE),"")</f>
        <v>CUST-0297</v>
      </c>
      <c r="S1737" s="27" t="b">
        <f>IFERROR(VLOOKUP(D1737,Products!$A$2:$F$61,6,FALSE),"")</f>
        <v>1</v>
      </c>
      <c r="BL1737">
        <v>0</v>
      </c>
      <c r="BO1737">
        <v>0</v>
      </c>
      <c r="BP1737">
        <v>0</v>
      </c>
    </row>
    <row r="1738" spans="1:68" x14ac:dyDescent="0.35">
      <c r="A1738" s="26" t="str">
        <f>Orders!A1738</f>
        <v>ORD-01737</v>
      </c>
      <c r="B1738" s="33">
        <f>Orders!B1738</f>
        <v>45596</v>
      </c>
      <c r="C1738" t="str">
        <f>Orders!C1738</f>
        <v>CUST-0120</v>
      </c>
      <c r="D1738" t="str">
        <f>Orders!D1738</f>
        <v>PROD-019</v>
      </c>
      <c r="E1738" t="str">
        <f>Orders!E1738</f>
        <v>R021</v>
      </c>
      <c r="F1738">
        <f>Orders!F1738</f>
        <v>3</v>
      </c>
      <c r="G1738" s="35">
        <f>Orders!G1738</f>
        <v>2480</v>
      </c>
      <c r="H1738" s="37">
        <f>Orders!H1738</f>
        <v>28.7</v>
      </c>
      <c r="I1738" s="39">
        <f>Orders!I1738</f>
        <v>5304.72</v>
      </c>
      <c r="J1738" t="str">
        <f>Orders!J1738</f>
        <v>Pending</v>
      </c>
      <c r="K1738" t="str">
        <f>Orders!K1738</f>
        <v>Mumbai</v>
      </c>
      <c r="L1738" t="str">
        <f>IFERROR(VLOOKUP(D1738,Products!$A$2:$F$61,3,FALSE),"")</f>
        <v>Apparel</v>
      </c>
      <c r="M1738">
        <f>IFERROR(VLOOKUP(D1738,Products!$A$2:$F$61,4,FALSE),"")</f>
        <v>1173</v>
      </c>
      <c r="N1738" t="str">
        <f>IFERROR(VLOOKUP(E1738,Sales_Reps!$A$2:$E$31,3,FALSE),"")</f>
        <v>East</v>
      </c>
      <c r="O1738" t="str">
        <f>IFERROR(VLOOKUP(C1738,Customers!$A$2:$F$301,5,FALSE),"")</f>
        <v>Retail</v>
      </c>
      <c r="P1738">
        <f>IFERROR(VLOOKUP(C1738,Customers!$A$2:$F$301,3,FALSE),"")</f>
        <v>29</v>
      </c>
      <c r="Q1738" s="41">
        <f t="shared" si="36"/>
        <v>0.52701612903225803</v>
      </c>
      <c r="R1738" t="str">
        <f>IFERROR(VLOOKUP(C1738,Customers!$A$2:$F$301,1,FALSE),"")</f>
        <v>CUST-0120</v>
      </c>
      <c r="S1738" s="27" t="b">
        <f>IFERROR(VLOOKUP(D1738,Products!$A$2:$F$61,6,FALSE),"")</f>
        <v>1</v>
      </c>
      <c r="BL1738">
        <v>0</v>
      </c>
      <c r="BO1738">
        <v>0</v>
      </c>
      <c r="BP1738">
        <v>0</v>
      </c>
    </row>
    <row r="1739" spans="1:68" x14ac:dyDescent="0.35">
      <c r="A1739" s="26" t="str">
        <f>Orders!A1739</f>
        <v>ORD-01738</v>
      </c>
      <c r="B1739" s="33">
        <f>Orders!B1739</f>
        <v>45534</v>
      </c>
      <c r="C1739" t="str">
        <f>Orders!C1739</f>
        <v>CUST-0148</v>
      </c>
      <c r="D1739" t="str">
        <f>Orders!D1739</f>
        <v>PROD-050</v>
      </c>
      <c r="E1739" t="str">
        <f>Orders!E1739</f>
        <v>R028</v>
      </c>
      <c r="F1739">
        <f>Orders!F1739</f>
        <v>10</v>
      </c>
      <c r="G1739" s="35">
        <f>Orders!G1739</f>
        <v>6080</v>
      </c>
      <c r="H1739" s="37">
        <f>Orders!H1739</f>
        <v>18.899999999999999</v>
      </c>
      <c r="I1739" s="39">
        <f>Orders!I1739</f>
        <v>49308.800000000003</v>
      </c>
      <c r="J1739" t="str">
        <f>Orders!J1739</f>
        <v>Completed</v>
      </c>
      <c r="K1739" t="str">
        <f>Orders!K1739</f>
        <v>Chennai</v>
      </c>
      <c r="L1739" t="str">
        <f>IFERROR(VLOOKUP(D1739,Products!$A$2:$F$61,3,FALSE),"")</f>
        <v>Beauty</v>
      </c>
      <c r="M1739">
        <f>IFERROR(VLOOKUP(D1739,Products!$A$2:$F$61,4,FALSE),"")</f>
        <v>2617</v>
      </c>
      <c r="N1739" t="str">
        <f>IFERROR(VLOOKUP(E1739,Sales_Reps!$A$2:$E$31,3,FALSE),"")</f>
        <v>West</v>
      </c>
      <c r="O1739" t="str">
        <f>IFERROR(VLOOKUP(C1739,Customers!$A$2:$F$301,5,FALSE),"")</f>
        <v>Retail</v>
      </c>
      <c r="P1739">
        <f>IFERROR(VLOOKUP(C1739,Customers!$A$2:$F$301,3,FALSE),"")</f>
        <v>32</v>
      </c>
      <c r="Q1739" s="41">
        <f t="shared" si="36"/>
        <v>0.56957236842105263</v>
      </c>
      <c r="R1739" t="str">
        <f>IFERROR(VLOOKUP(C1739,Customers!$A$2:$F$301,1,FALSE),"")</f>
        <v>CUST-0148</v>
      </c>
      <c r="S1739" s="27" t="b">
        <f>IFERROR(VLOOKUP(D1739,Products!$A$2:$F$61,6,FALSE),"")</f>
        <v>1</v>
      </c>
      <c r="BL1739">
        <v>0</v>
      </c>
      <c r="BO1739">
        <v>0</v>
      </c>
      <c r="BP1739">
        <v>0</v>
      </c>
    </row>
    <row r="1740" spans="1:68" x14ac:dyDescent="0.35">
      <c r="A1740" s="26" t="str">
        <f>Orders!A1740</f>
        <v>ORD-01739</v>
      </c>
      <c r="B1740" s="33">
        <f>Orders!B1740</f>
        <v>45336</v>
      </c>
      <c r="C1740" t="str">
        <f>Orders!C1740</f>
        <v>CUST-0008</v>
      </c>
      <c r="D1740" t="str">
        <f>Orders!D1740</f>
        <v>PROD-060</v>
      </c>
      <c r="E1740" t="str">
        <f>Orders!E1740</f>
        <v>R022</v>
      </c>
      <c r="F1740">
        <f>Orders!F1740</f>
        <v>1</v>
      </c>
      <c r="G1740" s="35">
        <f>Orders!G1740</f>
        <v>190</v>
      </c>
      <c r="H1740" s="37">
        <f>Orders!H1740</f>
        <v>5.7</v>
      </c>
      <c r="I1740" s="39">
        <f>Orders!I1740</f>
        <v>179.17</v>
      </c>
      <c r="J1740" t="str">
        <f>Orders!J1740</f>
        <v>Completed</v>
      </c>
      <c r="K1740" t="str">
        <f>Orders!K1740</f>
        <v>Pune</v>
      </c>
      <c r="L1740" t="str">
        <f>IFERROR(VLOOKUP(D1740,Products!$A$2:$F$61,3,FALSE),"")</f>
        <v>Sports</v>
      </c>
      <c r="M1740">
        <f>IFERROR(VLOOKUP(D1740,Products!$A$2:$F$61,4,FALSE),"")</f>
        <v>147</v>
      </c>
      <c r="N1740" t="str">
        <f>IFERROR(VLOOKUP(E1740,Sales_Reps!$A$2:$E$31,3,FALSE),"")</f>
        <v>East</v>
      </c>
      <c r="O1740" t="str">
        <f>IFERROR(VLOOKUP(C1740,Customers!$A$2:$F$301,5,FALSE),"")</f>
        <v>SMB</v>
      </c>
      <c r="P1740">
        <f>IFERROR(VLOOKUP(C1740,Customers!$A$2:$F$301,3,FALSE),"")</f>
        <v>39</v>
      </c>
      <c r="Q1740" s="41">
        <f t="shared" si="36"/>
        <v>0.22631578947368422</v>
      </c>
      <c r="R1740" t="str">
        <f>IFERROR(VLOOKUP(C1740,Customers!$A$2:$F$301,1,FALSE),"")</f>
        <v>CUST-0008</v>
      </c>
      <c r="S1740" s="27" t="b">
        <f>IFERROR(VLOOKUP(D1740,Products!$A$2:$F$61,6,FALSE),"")</f>
        <v>1</v>
      </c>
      <c r="BL1740">
        <v>0</v>
      </c>
      <c r="BO1740">
        <v>0</v>
      </c>
      <c r="BP1740">
        <v>0</v>
      </c>
    </row>
    <row r="1741" spans="1:68" x14ac:dyDescent="0.35">
      <c r="A1741" s="26" t="str">
        <f>Orders!A1741</f>
        <v>ORD-01740</v>
      </c>
      <c r="B1741" s="33">
        <f>Orders!B1741</f>
        <v>45463</v>
      </c>
      <c r="C1741" t="str">
        <f>Orders!C1741</f>
        <v>CUST-0013</v>
      </c>
      <c r="D1741" t="str">
        <f>Orders!D1741</f>
        <v>PROD-059</v>
      </c>
      <c r="E1741" t="str">
        <f>Orders!E1741</f>
        <v>R026</v>
      </c>
      <c r="F1741">
        <f>Orders!F1741</f>
        <v>2</v>
      </c>
      <c r="G1741" s="35">
        <f>Orders!G1741</f>
        <v>3780</v>
      </c>
      <c r="H1741" s="37">
        <f>Orders!H1741</f>
        <v>11.8</v>
      </c>
      <c r="I1741" s="39">
        <f>Orders!I1741</f>
        <v>6667.92</v>
      </c>
      <c r="J1741" t="str">
        <f>Orders!J1741</f>
        <v>Completed</v>
      </c>
      <c r="K1741" t="str">
        <f>Orders!K1741</f>
        <v>Delhi</v>
      </c>
      <c r="L1741" t="str">
        <f>IFERROR(VLOOKUP(D1741,Products!$A$2:$F$61,3,FALSE),"")</f>
        <v>Sports</v>
      </c>
      <c r="M1741">
        <f>IFERROR(VLOOKUP(D1741,Products!$A$2:$F$61,4,FALSE),"")</f>
        <v>1860</v>
      </c>
      <c r="N1741" t="str">
        <f>IFERROR(VLOOKUP(E1741,Sales_Reps!$A$2:$E$31,3,FALSE),"")</f>
        <v>West</v>
      </c>
      <c r="O1741" t="str">
        <f>IFERROR(VLOOKUP(C1741,Customers!$A$2:$F$301,5,FALSE),"")</f>
        <v>Retail</v>
      </c>
      <c r="P1741">
        <f>IFERROR(VLOOKUP(C1741,Customers!$A$2:$F$301,3,FALSE),"")</f>
        <v>41</v>
      </c>
      <c r="Q1741" s="41">
        <f t="shared" si="36"/>
        <v>0.50793650793650791</v>
      </c>
      <c r="R1741" t="str">
        <f>IFERROR(VLOOKUP(C1741,Customers!$A$2:$F$301,1,FALSE),"")</f>
        <v>CUST-0013</v>
      </c>
      <c r="S1741" s="27" t="b">
        <f>IFERROR(VLOOKUP(D1741,Products!$A$2:$F$61,6,FALSE),"")</f>
        <v>1</v>
      </c>
      <c r="BL1741">
        <v>0</v>
      </c>
      <c r="BO1741">
        <v>0</v>
      </c>
      <c r="BP1741">
        <v>0</v>
      </c>
    </row>
    <row r="1742" spans="1:68" x14ac:dyDescent="0.35">
      <c r="A1742" s="26" t="str">
        <f>Orders!A1742</f>
        <v>ORD-01741</v>
      </c>
      <c r="B1742" s="33">
        <f>Orders!B1742</f>
        <v>45602</v>
      </c>
      <c r="C1742" t="str">
        <f>Orders!C1742</f>
        <v>CUST-0234</v>
      </c>
      <c r="D1742" t="str">
        <f>Orders!D1742</f>
        <v>PROD-036</v>
      </c>
      <c r="E1742" t="str">
        <f>Orders!E1742</f>
        <v>R001</v>
      </c>
      <c r="F1742">
        <f>Orders!F1742</f>
        <v>5</v>
      </c>
      <c r="G1742" s="35">
        <f>Orders!G1742</f>
        <v>3250</v>
      </c>
      <c r="H1742" s="37">
        <f>Orders!H1742</f>
        <v>19.899999999999999</v>
      </c>
      <c r="I1742" s="39">
        <f>Orders!I1742</f>
        <v>13016.25</v>
      </c>
      <c r="J1742" t="str">
        <f>Orders!J1742</f>
        <v>Completed</v>
      </c>
      <c r="K1742" t="str">
        <f>Orders!K1742</f>
        <v>Bengaluru</v>
      </c>
      <c r="L1742" t="str">
        <f>IFERROR(VLOOKUP(D1742,Products!$A$2:$F$61,3,FALSE),"")</f>
        <v>Home</v>
      </c>
      <c r="M1742">
        <f>IFERROR(VLOOKUP(D1742,Products!$A$2:$F$61,4,FALSE),"")</f>
        <v>1556</v>
      </c>
      <c r="N1742" t="str">
        <f>IFERROR(VLOOKUP(E1742,Sales_Reps!$A$2:$E$31,3,FALSE),"")</f>
        <v>North</v>
      </c>
      <c r="O1742" t="str">
        <f>IFERROR(VLOOKUP(C1742,Customers!$A$2:$F$301,5,FALSE),"")</f>
        <v>Retail</v>
      </c>
      <c r="P1742">
        <f>IFERROR(VLOOKUP(C1742,Customers!$A$2:$F$301,3,FALSE),"")</f>
        <v>34</v>
      </c>
      <c r="Q1742" s="41">
        <f t="shared" si="36"/>
        <v>0.52123076923076928</v>
      </c>
      <c r="R1742" t="str">
        <f>IFERROR(VLOOKUP(C1742,Customers!$A$2:$F$301,1,FALSE),"")</f>
        <v>CUST-0234</v>
      </c>
      <c r="S1742" s="27" t="b">
        <f>IFERROR(VLOOKUP(D1742,Products!$A$2:$F$61,6,FALSE),"")</f>
        <v>1</v>
      </c>
      <c r="BL1742">
        <v>0</v>
      </c>
      <c r="BO1742">
        <v>0</v>
      </c>
      <c r="BP1742">
        <v>0</v>
      </c>
    </row>
    <row r="1743" spans="1:68" x14ac:dyDescent="0.35">
      <c r="A1743" s="26" t="str">
        <f>Orders!A1743</f>
        <v>ORD-01742</v>
      </c>
      <c r="B1743" s="33">
        <f>Orders!B1743</f>
        <v>45365</v>
      </c>
      <c r="C1743" t="str">
        <f>Orders!C1743</f>
        <v>CUST-0207</v>
      </c>
      <c r="D1743" t="str">
        <f>Orders!D1743</f>
        <v>PROD-033</v>
      </c>
      <c r="E1743" t="str">
        <f>Orders!E1743</f>
        <v>R008</v>
      </c>
      <c r="F1743">
        <f>Orders!F1743</f>
        <v>7</v>
      </c>
      <c r="G1743" s="35">
        <f>Orders!G1743</f>
        <v>2030</v>
      </c>
      <c r="H1743" s="37">
        <f>Orders!H1743</f>
        <v>4.0999999999999996</v>
      </c>
      <c r="I1743" s="39">
        <f>Orders!I1743</f>
        <v>13627.39</v>
      </c>
      <c r="J1743" t="str">
        <f>Orders!J1743</f>
        <v>Completed</v>
      </c>
      <c r="K1743" t="str">
        <f>Orders!K1743</f>
        <v>Hyderabad</v>
      </c>
      <c r="L1743" t="str">
        <f>IFERROR(VLOOKUP(D1743,Products!$A$2:$F$61,3,FALSE),"")</f>
        <v>Home</v>
      </c>
      <c r="M1743">
        <f>IFERROR(VLOOKUP(D1743,Products!$A$2:$F$61,4,FALSE),"")</f>
        <v>1143</v>
      </c>
      <c r="N1743" t="str">
        <f>IFERROR(VLOOKUP(E1743,Sales_Reps!$A$2:$E$31,3,FALSE),"")</f>
        <v>North</v>
      </c>
      <c r="O1743" t="str">
        <f>IFERROR(VLOOKUP(C1743,Customers!$A$2:$F$301,5,FALSE),"")</f>
        <v>SMB</v>
      </c>
      <c r="P1743">
        <f>IFERROR(VLOOKUP(C1743,Customers!$A$2:$F$301,3,FALSE),"")</f>
        <v>34</v>
      </c>
      <c r="Q1743" s="41">
        <f t="shared" si="36"/>
        <v>0.43694581280788175</v>
      </c>
      <c r="R1743" t="str">
        <f>IFERROR(VLOOKUP(C1743,Customers!$A$2:$F$301,1,FALSE),"")</f>
        <v>CUST-0207</v>
      </c>
      <c r="S1743" s="27" t="b">
        <f>IFERROR(VLOOKUP(D1743,Products!$A$2:$F$61,6,FALSE),"")</f>
        <v>1</v>
      </c>
      <c r="BL1743">
        <v>0</v>
      </c>
      <c r="BO1743">
        <v>0</v>
      </c>
      <c r="BP1743">
        <v>0</v>
      </c>
    </row>
    <row r="1744" spans="1:68" x14ac:dyDescent="0.35">
      <c r="A1744" s="26" t="str">
        <f>Orders!A1744</f>
        <v>ORD-01743</v>
      </c>
      <c r="B1744" s="33">
        <f>Orders!B1744</f>
        <v>45651</v>
      </c>
      <c r="C1744" t="str">
        <f>Orders!C1744</f>
        <v>CUST-0245</v>
      </c>
      <c r="D1744" t="str">
        <f>Orders!D1744</f>
        <v>PROD-046</v>
      </c>
      <c r="E1744" t="str">
        <f>Orders!E1744</f>
        <v>R012</v>
      </c>
      <c r="F1744">
        <f>Orders!F1744</f>
        <v>5</v>
      </c>
      <c r="G1744" s="35">
        <f>Orders!G1744</f>
        <v>4880</v>
      </c>
      <c r="H1744" s="37">
        <f>Orders!H1744</f>
        <v>22.9</v>
      </c>
      <c r="I1744" s="39">
        <f>Orders!I1744</f>
        <v>18812.400000000001</v>
      </c>
      <c r="J1744" t="str">
        <f>Orders!J1744</f>
        <v>Completed</v>
      </c>
      <c r="K1744" t="str">
        <f>Orders!K1744</f>
        <v>Hyderabad</v>
      </c>
      <c r="L1744" t="str">
        <f>IFERROR(VLOOKUP(D1744,Products!$A$2:$F$61,3,FALSE),"")</f>
        <v>Beauty</v>
      </c>
      <c r="M1744">
        <f>IFERROR(VLOOKUP(D1744,Products!$A$2:$F$61,4,FALSE),"")</f>
        <v>2768</v>
      </c>
      <c r="N1744" t="str">
        <f>IFERROR(VLOOKUP(E1744,Sales_Reps!$A$2:$E$31,3,FALSE),"")</f>
        <v>South</v>
      </c>
      <c r="O1744" t="str">
        <f>IFERROR(VLOOKUP(C1744,Customers!$A$2:$F$301,5,FALSE),"")</f>
        <v>Retail</v>
      </c>
      <c r="P1744">
        <f>IFERROR(VLOOKUP(C1744,Customers!$A$2:$F$301,3,FALSE),"")</f>
        <v>65</v>
      </c>
      <c r="Q1744" s="41">
        <f t="shared" si="36"/>
        <v>0.43278688524590164</v>
      </c>
      <c r="R1744" t="str">
        <f>IFERROR(VLOOKUP(C1744,Customers!$A$2:$F$301,1,FALSE),"")</f>
        <v>CUST-0245</v>
      </c>
      <c r="S1744" s="27" t="b">
        <f>IFERROR(VLOOKUP(D1744,Products!$A$2:$F$61,6,FALSE),"")</f>
        <v>1</v>
      </c>
      <c r="BL1744">
        <v>0</v>
      </c>
      <c r="BO1744">
        <v>0</v>
      </c>
      <c r="BP1744">
        <v>0</v>
      </c>
    </row>
    <row r="1745" spans="1:68" x14ac:dyDescent="0.35">
      <c r="A1745" s="26" t="str">
        <f>Orders!A1745</f>
        <v>ORD-01744</v>
      </c>
      <c r="B1745" s="33">
        <f>Orders!B1745</f>
        <v>45297</v>
      </c>
      <c r="C1745" t="str">
        <f>Orders!C1745</f>
        <v>CUST-0044</v>
      </c>
      <c r="D1745" t="str">
        <f>Orders!D1745</f>
        <v>PROD-043</v>
      </c>
      <c r="E1745" t="str">
        <f>Orders!E1745</f>
        <v>R020</v>
      </c>
      <c r="F1745">
        <f>Orders!F1745</f>
        <v>3</v>
      </c>
      <c r="G1745" s="35">
        <f>Orders!G1745</f>
        <v>3350</v>
      </c>
      <c r="H1745" s="37">
        <f>Orders!H1745</f>
        <v>15.2</v>
      </c>
      <c r="I1745" s="39">
        <f>Orders!I1745</f>
        <v>8522.4</v>
      </c>
      <c r="J1745" t="str">
        <f>Orders!J1745</f>
        <v>Pending</v>
      </c>
      <c r="K1745" t="str">
        <f>Orders!K1745</f>
        <v>Hyderabad</v>
      </c>
      <c r="L1745" t="str">
        <f>IFERROR(VLOOKUP(D1745,Products!$A$2:$F$61,3,FALSE),"")</f>
        <v>Beauty</v>
      </c>
      <c r="M1745">
        <f>IFERROR(VLOOKUP(D1745,Products!$A$2:$F$61,4,FALSE),"")</f>
        <v>1728</v>
      </c>
      <c r="N1745" t="str">
        <f>IFERROR(VLOOKUP(E1745,Sales_Reps!$A$2:$E$31,3,FALSE),"")</f>
        <v>East</v>
      </c>
      <c r="O1745" t="str">
        <f>IFERROR(VLOOKUP(C1745,Customers!$A$2:$F$301,5,FALSE),"")</f>
        <v>SMB</v>
      </c>
      <c r="P1745">
        <f>IFERROR(VLOOKUP(C1745,Customers!$A$2:$F$301,3,FALSE),"")</f>
        <v>29</v>
      </c>
      <c r="Q1745" s="41">
        <f t="shared" si="36"/>
        <v>0.48417910447761192</v>
      </c>
      <c r="R1745" t="str">
        <f>IFERROR(VLOOKUP(C1745,Customers!$A$2:$F$301,1,FALSE),"")</f>
        <v>CUST-0044</v>
      </c>
      <c r="S1745" s="27" t="b">
        <f>IFERROR(VLOOKUP(D1745,Products!$A$2:$F$61,6,FALSE),"")</f>
        <v>1</v>
      </c>
      <c r="BL1745">
        <v>0</v>
      </c>
      <c r="BO1745">
        <v>0</v>
      </c>
      <c r="BP1745">
        <v>0</v>
      </c>
    </row>
    <row r="1746" spans="1:68" x14ac:dyDescent="0.35">
      <c r="A1746" s="26" t="str">
        <f>Orders!A1746</f>
        <v>ORD-01745</v>
      </c>
      <c r="B1746" s="33">
        <f>Orders!B1746</f>
        <v>45425</v>
      </c>
      <c r="C1746" t="str">
        <f>Orders!C1746</f>
        <v>CUST-0264</v>
      </c>
      <c r="D1746" t="str">
        <f>Orders!D1746</f>
        <v>PROD-055</v>
      </c>
      <c r="E1746" t="str">
        <f>Orders!E1746</f>
        <v>R029</v>
      </c>
      <c r="F1746">
        <f>Orders!F1746</f>
        <v>10</v>
      </c>
      <c r="G1746" s="35">
        <f>Orders!G1746</f>
        <v>2860</v>
      </c>
      <c r="H1746" s="37">
        <f>Orders!H1746</f>
        <v>15</v>
      </c>
      <c r="I1746" s="39">
        <f>Orders!I1746</f>
        <v>24310</v>
      </c>
      <c r="J1746" t="str">
        <f>Orders!J1746</f>
        <v>Completed</v>
      </c>
      <c r="K1746" t="str">
        <f>Orders!K1746</f>
        <v>Pune</v>
      </c>
      <c r="L1746" t="str">
        <f>IFERROR(VLOOKUP(D1746,Products!$A$2:$F$61,3,FALSE),"")</f>
        <v>Sports</v>
      </c>
      <c r="M1746">
        <f>IFERROR(VLOOKUP(D1746,Products!$A$2:$F$61,4,FALSE),"")</f>
        <v>2028</v>
      </c>
      <c r="N1746" t="str">
        <f>IFERROR(VLOOKUP(E1746,Sales_Reps!$A$2:$E$31,3,FALSE),"")</f>
        <v>West</v>
      </c>
      <c r="O1746" t="str">
        <f>IFERROR(VLOOKUP(C1746,Customers!$A$2:$F$301,5,FALSE),"")</f>
        <v>Retail</v>
      </c>
      <c r="P1746">
        <f>IFERROR(VLOOKUP(C1746,Customers!$A$2:$F$301,3,FALSE),"")</f>
        <v>59</v>
      </c>
      <c r="Q1746" s="41">
        <f t="shared" si="36"/>
        <v>0.29090909090909089</v>
      </c>
      <c r="R1746" t="str">
        <f>IFERROR(VLOOKUP(C1746,Customers!$A$2:$F$301,1,FALSE),"")</f>
        <v>CUST-0264</v>
      </c>
      <c r="S1746" s="27" t="b">
        <f>IFERROR(VLOOKUP(D1746,Products!$A$2:$F$61,6,FALSE),"")</f>
        <v>1</v>
      </c>
      <c r="BL1746">
        <v>0</v>
      </c>
      <c r="BO1746">
        <v>0</v>
      </c>
      <c r="BP1746">
        <v>0</v>
      </c>
    </row>
    <row r="1747" spans="1:68" x14ac:dyDescent="0.35">
      <c r="A1747" s="26" t="str">
        <f>Orders!A1747</f>
        <v>ORD-01746</v>
      </c>
      <c r="B1747" s="33">
        <f>Orders!B1747</f>
        <v>45444</v>
      </c>
      <c r="C1747" t="str">
        <f>Orders!C1747</f>
        <v>CUST-0193</v>
      </c>
      <c r="D1747" t="str">
        <f>Orders!D1747</f>
        <v>PROD-047</v>
      </c>
      <c r="E1747" t="str">
        <f>Orders!E1747</f>
        <v>R018</v>
      </c>
      <c r="F1747">
        <f>Orders!F1747</f>
        <v>5</v>
      </c>
      <c r="G1747" s="35">
        <f>Orders!G1747</f>
        <v>3450</v>
      </c>
      <c r="H1747" s="37">
        <f>Orders!H1747</f>
        <v>2.2999999999999998</v>
      </c>
      <c r="I1747" s="39">
        <f>Orders!I1747</f>
        <v>16853.25</v>
      </c>
      <c r="J1747" t="str">
        <f>Orders!J1747</f>
        <v>Completed</v>
      </c>
      <c r="K1747" t="str">
        <f>Orders!K1747</f>
        <v>Bengaluru</v>
      </c>
      <c r="L1747" t="str">
        <f>IFERROR(VLOOKUP(D1747,Products!$A$2:$F$61,3,FALSE),"")</f>
        <v>Beauty</v>
      </c>
      <c r="M1747">
        <f>IFERROR(VLOOKUP(D1747,Products!$A$2:$F$61,4,FALSE),"")</f>
        <v>2420</v>
      </c>
      <c r="N1747" t="str">
        <f>IFERROR(VLOOKUP(E1747,Sales_Reps!$A$2:$E$31,3,FALSE),"")</f>
        <v>East</v>
      </c>
      <c r="O1747" t="str">
        <f>IFERROR(VLOOKUP(C1747,Customers!$A$2:$F$301,5,FALSE),"")</f>
        <v>Retail</v>
      </c>
      <c r="P1747">
        <f>IFERROR(VLOOKUP(C1747,Customers!$A$2:$F$301,3,FALSE),"")</f>
        <v>42</v>
      </c>
      <c r="Q1747" s="41">
        <f t="shared" si="36"/>
        <v>0.29855072463768118</v>
      </c>
      <c r="R1747" t="str">
        <f>IFERROR(VLOOKUP(C1747,Customers!$A$2:$F$301,1,FALSE),"")</f>
        <v>CUST-0193</v>
      </c>
      <c r="S1747" s="27" t="b">
        <f>IFERROR(VLOOKUP(D1747,Products!$A$2:$F$61,6,FALSE),"")</f>
        <v>1</v>
      </c>
      <c r="BL1747">
        <v>0</v>
      </c>
      <c r="BO1747">
        <v>0</v>
      </c>
      <c r="BP1747">
        <v>0</v>
      </c>
    </row>
    <row r="1748" spans="1:68" x14ac:dyDescent="0.35">
      <c r="A1748" s="26" t="str">
        <f>Orders!A1748</f>
        <v>ORD-01747</v>
      </c>
      <c r="B1748" s="33">
        <f>Orders!B1748</f>
        <v>45397</v>
      </c>
      <c r="C1748" t="str">
        <f>Orders!C1748</f>
        <v>CUST-0006</v>
      </c>
      <c r="D1748" t="str">
        <f>Orders!D1748</f>
        <v>PROD-024</v>
      </c>
      <c r="E1748" t="str">
        <f>Orders!E1748</f>
        <v>R015</v>
      </c>
      <c r="F1748">
        <f>Orders!F1748</f>
        <v>3</v>
      </c>
      <c r="G1748" s="35">
        <f>Orders!G1748</f>
        <v>2270</v>
      </c>
      <c r="H1748" s="37">
        <f>Orders!H1748</f>
        <v>2.8</v>
      </c>
      <c r="I1748" s="39">
        <f>Orders!I1748</f>
        <v>6619.32</v>
      </c>
      <c r="J1748" t="str">
        <f>Orders!J1748</f>
        <v>Pending</v>
      </c>
      <c r="K1748" t="str">
        <f>Orders!K1748</f>
        <v>Pune</v>
      </c>
      <c r="L1748" t="str">
        <f>IFERROR(VLOOKUP(D1748,Products!$A$2:$F$61,3,FALSE),"")</f>
        <v>Grocery</v>
      </c>
      <c r="M1748">
        <f>IFERROR(VLOOKUP(D1748,Products!$A$2:$F$61,4,FALSE),"")</f>
        <v>1203</v>
      </c>
      <c r="N1748" t="str">
        <f>IFERROR(VLOOKUP(E1748,Sales_Reps!$A$2:$E$31,3,FALSE),"")</f>
        <v>South</v>
      </c>
      <c r="O1748" t="str">
        <f>IFERROR(VLOOKUP(C1748,Customers!$A$2:$F$301,5,FALSE),"")</f>
        <v>SMB</v>
      </c>
      <c r="P1748">
        <f>IFERROR(VLOOKUP(C1748,Customers!$A$2:$F$301,3,FALSE),"")</f>
        <v>44</v>
      </c>
      <c r="Q1748" s="41">
        <f t="shared" si="36"/>
        <v>0.47004405286343615</v>
      </c>
      <c r="R1748" t="str">
        <f>IFERROR(VLOOKUP(C1748,Customers!$A$2:$F$301,1,FALSE),"")</f>
        <v>CUST-0006</v>
      </c>
      <c r="S1748" s="27" t="b">
        <f>IFERROR(VLOOKUP(D1748,Products!$A$2:$F$61,6,FALSE),"")</f>
        <v>1</v>
      </c>
      <c r="BL1748">
        <v>0</v>
      </c>
      <c r="BO1748">
        <v>0</v>
      </c>
      <c r="BP1748">
        <v>0</v>
      </c>
    </row>
    <row r="1749" spans="1:68" x14ac:dyDescent="0.35">
      <c r="A1749" s="26" t="str">
        <f>Orders!A1749</f>
        <v>ORD-01748</v>
      </c>
      <c r="B1749" s="33">
        <f>Orders!B1749</f>
        <v>45354</v>
      </c>
      <c r="C1749" t="str">
        <f>Orders!C1749</f>
        <v>CUST-0221</v>
      </c>
      <c r="D1749" t="str">
        <f>Orders!D1749</f>
        <v>PROD-028</v>
      </c>
      <c r="E1749" t="str">
        <f>Orders!E1749</f>
        <v>R007</v>
      </c>
      <c r="F1749">
        <f>Orders!F1749</f>
        <v>8</v>
      </c>
      <c r="G1749" s="35">
        <f>Orders!G1749</f>
        <v>3660</v>
      </c>
      <c r="H1749" s="37">
        <f>Orders!H1749</f>
        <v>16.8</v>
      </c>
      <c r="I1749" s="39">
        <f>Orders!I1749</f>
        <v>24360.959999999999</v>
      </c>
      <c r="J1749" t="str">
        <f>Orders!J1749</f>
        <v>Completed</v>
      </c>
      <c r="K1749" t="str">
        <f>Orders!K1749</f>
        <v>Delhi</v>
      </c>
      <c r="L1749" t="str">
        <f>IFERROR(VLOOKUP(D1749,Products!$A$2:$F$61,3,FALSE),"")</f>
        <v>Grocery</v>
      </c>
      <c r="M1749">
        <f>IFERROR(VLOOKUP(D1749,Products!$A$2:$F$61,4,FALSE),"")</f>
        <v>2214</v>
      </c>
      <c r="N1749" t="str">
        <f>IFERROR(VLOOKUP(E1749,Sales_Reps!$A$2:$E$31,3,FALSE),"")</f>
        <v>North</v>
      </c>
      <c r="O1749" t="str">
        <f>IFERROR(VLOOKUP(C1749,Customers!$A$2:$F$301,5,FALSE),"")</f>
        <v>SMB</v>
      </c>
      <c r="P1749">
        <f>IFERROR(VLOOKUP(C1749,Customers!$A$2:$F$301,3,FALSE),"")</f>
        <v>29</v>
      </c>
      <c r="Q1749" s="41">
        <f t="shared" si="36"/>
        <v>0.39508196721311473</v>
      </c>
      <c r="R1749" t="str">
        <f>IFERROR(VLOOKUP(C1749,Customers!$A$2:$F$301,1,FALSE),"")</f>
        <v>CUST-0221</v>
      </c>
      <c r="S1749" s="27" t="b">
        <f>IFERROR(VLOOKUP(D1749,Products!$A$2:$F$61,6,FALSE),"")</f>
        <v>0</v>
      </c>
      <c r="BL1749">
        <v>0</v>
      </c>
      <c r="BO1749">
        <v>0</v>
      </c>
      <c r="BP1749">
        <v>1</v>
      </c>
    </row>
    <row r="1750" spans="1:68" x14ac:dyDescent="0.35">
      <c r="A1750" s="26" t="str">
        <f>Orders!A1750</f>
        <v>ORD-01749</v>
      </c>
      <c r="B1750" s="33">
        <f>Orders!B1750</f>
        <v>45469</v>
      </c>
      <c r="C1750" t="str">
        <f>Orders!C1750</f>
        <v>CUST-0151</v>
      </c>
      <c r="D1750" t="str">
        <f>Orders!D1750</f>
        <v>PROD-045</v>
      </c>
      <c r="E1750" t="str">
        <f>Orders!E1750</f>
        <v>R008</v>
      </c>
      <c r="F1750">
        <f>Orders!F1750</f>
        <v>7</v>
      </c>
      <c r="G1750" s="35">
        <f>Orders!G1750</f>
        <v>3020</v>
      </c>
      <c r="H1750" s="37">
        <f>Orders!H1750</f>
        <v>17.8</v>
      </c>
      <c r="I1750" s="39">
        <f>Orders!I1750</f>
        <v>17377.080000000002</v>
      </c>
      <c r="J1750" t="str">
        <f>Orders!J1750</f>
        <v>Completed</v>
      </c>
      <c r="K1750" t="str">
        <f>Orders!K1750</f>
        <v>Mumbai</v>
      </c>
      <c r="L1750" t="str">
        <f>IFERROR(VLOOKUP(D1750,Products!$A$2:$F$61,3,FALSE),"")</f>
        <v>Beauty</v>
      </c>
      <c r="M1750">
        <f>IFERROR(VLOOKUP(D1750,Products!$A$2:$F$61,4,FALSE),"")</f>
        <v>1626</v>
      </c>
      <c r="N1750" t="str">
        <f>IFERROR(VLOOKUP(E1750,Sales_Reps!$A$2:$E$31,3,FALSE),"")</f>
        <v>North</v>
      </c>
      <c r="O1750" t="str">
        <f>IFERROR(VLOOKUP(C1750,Customers!$A$2:$F$301,5,FALSE),"")</f>
        <v>Retail</v>
      </c>
      <c r="P1750">
        <f>IFERROR(VLOOKUP(C1750,Customers!$A$2:$F$301,3,FALSE),"")</f>
        <v>53</v>
      </c>
      <c r="Q1750" s="41">
        <f t="shared" si="36"/>
        <v>0.46158940397350995</v>
      </c>
      <c r="R1750" t="str">
        <f>IFERROR(VLOOKUP(C1750,Customers!$A$2:$F$301,1,FALSE),"")</f>
        <v>CUST-0151</v>
      </c>
      <c r="S1750" s="27" t="b">
        <f>IFERROR(VLOOKUP(D1750,Products!$A$2:$F$61,6,FALSE),"")</f>
        <v>1</v>
      </c>
      <c r="BL1750">
        <v>0</v>
      </c>
      <c r="BO1750">
        <v>0</v>
      </c>
      <c r="BP1750">
        <v>0</v>
      </c>
    </row>
    <row r="1751" spans="1:68" x14ac:dyDescent="0.35">
      <c r="A1751" s="26" t="str">
        <f>Orders!A1751</f>
        <v>ORD-01750</v>
      </c>
      <c r="B1751" s="33">
        <f>Orders!B1751</f>
        <v>45587</v>
      </c>
      <c r="C1751" t="str">
        <f>Orders!C1751</f>
        <v>CUST-0188</v>
      </c>
      <c r="D1751" t="str">
        <f>Orders!D1751</f>
        <v>PROD-040</v>
      </c>
      <c r="E1751" t="str">
        <f>Orders!E1751</f>
        <v>R014</v>
      </c>
      <c r="F1751">
        <f>Orders!F1751</f>
        <v>7</v>
      </c>
      <c r="G1751" s="35">
        <f>Orders!G1751</f>
        <v>1080</v>
      </c>
      <c r="H1751" s="37">
        <f>Orders!H1751</f>
        <v>12.9</v>
      </c>
      <c r="I1751" s="39">
        <f>Orders!I1751</f>
        <v>6584.76</v>
      </c>
      <c r="J1751" t="str">
        <f>Orders!J1751</f>
        <v>Completed</v>
      </c>
      <c r="K1751" t="str">
        <f>Orders!K1751</f>
        <v>Bengaluru</v>
      </c>
      <c r="L1751" t="str">
        <f>IFERROR(VLOOKUP(D1751,Products!$A$2:$F$61,3,FALSE),"")</f>
        <v>Home</v>
      </c>
      <c r="M1751">
        <f>IFERROR(VLOOKUP(D1751,Products!$A$2:$F$61,4,FALSE),"")</f>
        <v>519</v>
      </c>
      <c r="N1751" t="str">
        <f>IFERROR(VLOOKUP(E1751,Sales_Reps!$A$2:$E$31,3,FALSE),"")</f>
        <v>South</v>
      </c>
      <c r="O1751" t="str">
        <f>IFERROR(VLOOKUP(C1751,Customers!$A$2:$F$301,5,FALSE),"")</f>
        <v>Retail</v>
      </c>
      <c r="P1751">
        <f>IFERROR(VLOOKUP(C1751,Customers!$A$2:$F$301,3,FALSE),"")</f>
        <v>54</v>
      </c>
      <c r="Q1751" s="41">
        <f t="shared" si="36"/>
        <v>0.51944444444444449</v>
      </c>
      <c r="R1751" t="str">
        <f>IFERROR(VLOOKUP(C1751,Customers!$A$2:$F$301,1,FALSE),"")</f>
        <v>CUST-0188</v>
      </c>
      <c r="S1751" s="27" t="b">
        <f>IFERROR(VLOOKUP(D1751,Products!$A$2:$F$61,6,FALSE),"")</f>
        <v>1</v>
      </c>
      <c r="BL1751">
        <v>0</v>
      </c>
      <c r="BO1751">
        <v>0</v>
      </c>
      <c r="BP1751">
        <v>0</v>
      </c>
    </row>
    <row r="1752" spans="1:68" x14ac:dyDescent="0.35">
      <c r="A1752" s="26" t="str">
        <f>Orders!A1752</f>
        <v>ORD-01751</v>
      </c>
      <c r="B1752" s="33">
        <f>Orders!B1752</f>
        <v>45494</v>
      </c>
      <c r="C1752" t="str">
        <f>Orders!C1752</f>
        <v>CUST-0010</v>
      </c>
      <c r="D1752" t="str">
        <f>Orders!D1752</f>
        <v>PROD-022</v>
      </c>
      <c r="E1752" t="str">
        <f>Orders!E1752</f>
        <v>R012</v>
      </c>
      <c r="F1752">
        <f>Orders!F1752</f>
        <v>2</v>
      </c>
      <c r="G1752" s="35">
        <f>Orders!G1752</f>
        <v>2270</v>
      </c>
      <c r="H1752" s="37">
        <f>Orders!H1752</f>
        <v>8.6</v>
      </c>
      <c r="I1752" s="39">
        <f>Orders!I1752</f>
        <v>4149.5600000000004</v>
      </c>
      <c r="J1752" t="str">
        <f>Orders!J1752</f>
        <v>Cancelled</v>
      </c>
      <c r="K1752" t="str">
        <f>Orders!K1752</f>
        <v>Mumbai</v>
      </c>
      <c r="L1752" t="str">
        <f>IFERROR(VLOOKUP(D1752,Products!$A$2:$F$61,3,FALSE),"")</f>
        <v>Grocery</v>
      </c>
      <c r="M1752">
        <f>IFERROR(VLOOKUP(D1752,Products!$A$2:$F$61,4,FALSE),"")</f>
        <v>1412</v>
      </c>
      <c r="N1752" t="str">
        <f>IFERROR(VLOOKUP(E1752,Sales_Reps!$A$2:$E$31,3,FALSE),"")</f>
        <v>South</v>
      </c>
      <c r="O1752" t="str">
        <f>IFERROR(VLOOKUP(C1752,Customers!$A$2:$F$301,5,FALSE),"")</f>
        <v>SMB</v>
      </c>
      <c r="P1752">
        <f>IFERROR(VLOOKUP(C1752,Customers!$A$2:$F$301,3,FALSE),"")</f>
        <v>61</v>
      </c>
      <c r="Q1752" s="41">
        <f t="shared" si="36"/>
        <v>0.37797356828193834</v>
      </c>
      <c r="R1752" t="str">
        <f>IFERROR(VLOOKUP(C1752,Customers!$A$2:$F$301,1,FALSE),"")</f>
        <v>CUST-0010</v>
      </c>
      <c r="S1752" s="27" t="b">
        <f>IFERROR(VLOOKUP(D1752,Products!$A$2:$F$61,6,FALSE),"")</f>
        <v>1</v>
      </c>
      <c r="BL1752">
        <v>0</v>
      </c>
      <c r="BO1752">
        <v>0</v>
      </c>
      <c r="BP1752">
        <v>0</v>
      </c>
    </row>
    <row r="1753" spans="1:68" x14ac:dyDescent="0.35">
      <c r="A1753" s="26" t="str">
        <f>Orders!A1753</f>
        <v>ORD-01752</v>
      </c>
      <c r="B1753" s="33">
        <f>Orders!B1753</f>
        <v>45445</v>
      </c>
      <c r="C1753" t="str">
        <f>Orders!C1753</f>
        <v>CUST-0018</v>
      </c>
      <c r="D1753" t="str">
        <f>Orders!D1753</f>
        <v>PROD-016</v>
      </c>
      <c r="E1753" t="str">
        <f>Orders!E1753</f>
        <v>R012</v>
      </c>
      <c r="F1753">
        <f>Orders!F1753</f>
        <v>10</v>
      </c>
      <c r="G1753" s="35">
        <f>Orders!G1753</f>
        <v>620</v>
      </c>
      <c r="H1753" s="37">
        <f>Orders!H1753</f>
        <v>26.1</v>
      </c>
      <c r="I1753" s="39">
        <f>Orders!I1753</f>
        <v>4581.8</v>
      </c>
      <c r="J1753" t="str">
        <f>Orders!J1753</f>
        <v>Completed</v>
      </c>
      <c r="K1753" t="str">
        <f>Orders!K1753</f>
        <v>Pune</v>
      </c>
      <c r="L1753" t="str">
        <f>IFERROR(VLOOKUP(D1753,Products!$A$2:$F$61,3,FALSE),"")</f>
        <v>Apparel</v>
      </c>
      <c r="M1753">
        <f>IFERROR(VLOOKUP(D1753,Products!$A$2:$F$61,4,FALSE),"")</f>
        <v>396</v>
      </c>
      <c r="N1753" t="str">
        <f>IFERROR(VLOOKUP(E1753,Sales_Reps!$A$2:$E$31,3,FALSE),"")</f>
        <v>South</v>
      </c>
      <c r="O1753" t="str">
        <f>IFERROR(VLOOKUP(C1753,Customers!$A$2:$F$301,5,FALSE),"")</f>
        <v>SMB</v>
      </c>
      <c r="P1753">
        <f>IFERROR(VLOOKUP(C1753,Customers!$A$2:$F$301,3,FALSE),"")</f>
        <v>54</v>
      </c>
      <c r="Q1753" s="41">
        <f t="shared" si="36"/>
        <v>0.36129032258064514</v>
      </c>
      <c r="R1753" t="str">
        <f>IFERROR(VLOOKUP(C1753,Customers!$A$2:$F$301,1,FALSE),"")</f>
        <v>CUST-0018</v>
      </c>
      <c r="S1753" s="27" t="b">
        <f>IFERROR(VLOOKUP(D1753,Products!$A$2:$F$61,6,FALSE),"")</f>
        <v>1</v>
      </c>
      <c r="BL1753">
        <v>0</v>
      </c>
      <c r="BO1753">
        <v>0</v>
      </c>
      <c r="BP1753">
        <v>0</v>
      </c>
    </row>
    <row r="1754" spans="1:68" x14ac:dyDescent="0.35">
      <c r="A1754" s="26" t="str">
        <f>Orders!A1754</f>
        <v>ORD-01753</v>
      </c>
      <c r="B1754" s="33">
        <f>Orders!B1754</f>
        <v>45561</v>
      </c>
      <c r="C1754" t="str">
        <f>Orders!C1754</f>
        <v>CUST-0262</v>
      </c>
      <c r="D1754" t="str">
        <f>Orders!D1754</f>
        <v>PROD-025</v>
      </c>
      <c r="E1754" t="str">
        <f>Orders!E1754</f>
        <v>R015</v>
      </c>
      <c r="F1754">
        <f>Orders!F1754</f>
        <v>2</v>
      </c>
      <c r="G1754" s="35">
        <f>Orders!G1754</f>
        <v>4060</v>
      </c>
      <c r="H1754" s="37">
        <f>Orders!H1754</f>
        <v>3.8</v>
      </c>
      <c r="I1754" s="39">
        <f>Orders!I1754</f>
        <v>7811.44</v>
      </c>
      <c r="J1754" t="str">
        <f>Orders!J1754</f>
        <v>Completed</v>
      </c>
      <c r="K1754" t="str">
        <f>Orders!K1754</f>
        <v>Mumbai</v>
      </c>
      <c r="L1754" t="str">
        <f>IFERROR(VLOOKUP(D1754,Products!$A$2:$F$61,3,FALSE),"")</f>
        <v>Grocery</v>
      </c>
      <c r="M1754">
        <f>IFERROR(VLOOKUP(D1754,Products!$A$2:$F$61,4,FALSE),"")</f>
        <v>2911</v>
      </c>
      <c r="N1754" t="str">
        <f>IFERROR(VLOOKUP(E1754,Sales_Reps!$A$2:$E$31,3,FALSE),"")</f>
        <v>South</v>
      </c>
      <c r="O1754" t="str">
        <f>IFERROR(VLOOKUP(C1754,Customers!$A$2:$F$301,5,FALSE),"")</f>
        <v>Retail</v>
      </c>
      <c r="P1754">
        <f>IFERROR(VLOOKUP(C1754,Customers!$A$2:$F$301,3,FALSE),"")</f>
        <v>52</v>
      </c>
      <c r="Q1754" s="41">
        <f t="shared" si="36"/>
        <v>0.28300492610837441</v>
      </c>
      <c r="R1754" t="str">
        <f>IFERROR(VLOOKUP(C1754,Customers!$A$2:$F$301,1,FALSE),"")</f>
        <v>CUST-0262</v>
      </c>
      <c r="S1754" s="27" t="b">
        <f>IFERROR(VLOOKUP(D1754,Products!$A$2:$F$61,6,FALSE),"")</f>
        <v>1</v>
      </c>
      <c r="BL1754">
        <v>0</v>
      </c>
      <c r="BO1754">
        <v>0</v>
      </c>
      <c r="BP1754">
        <v>0</v>
      </c>
    </row>
    <row r="1755" spans="1:68" x14ac:dyDescent="0.35">
      <c r="A1755" s="26" t="str">
        <f>Orders!A1755</f>
        <v>ORD-01754</v>
      </c>
      <c r="B1755" s="33">
        <f>Orders!B1755</f>
        <v>45488</v>
      </c>
      <c r="C1755" t="str">
        <f>Orders!C1755</f>
        <v>CUST-0282</v>
      </c>
      <c r="D1755" t="str">
        <f>Orders!D1755</f>
        <v>PROD-027</v>
      </c>
      <c r="E1755" t="str">
        <f>Orders!E1755</f>
        <v>R012</v>
      </c>
      <c r="F1755">
        <f>Orders!F1755</f>
        <v>1</v>
      </c>
      <c r="G1755" s="35">
        <f>Orders!G1755</f>
        <v>3780</v>
      </c>
      <c r="H1755" s="37">
        <f>Orders!H1755</f>
        <v>27.9</v>
      </c>
      <c r="I1755" s="39">
        <f>Orders!I1755</f>
        <v>2725.38</v>
      </c>
      <c r="J1755" t="str">
        <f>Orders!J1755</f>
        <v>Completed</v>
      </c>
      <c r="K1755" t="str">
        <f>Orders!K1755</f>
        <v>Hyderabad</v>
      </c>
      <c r="L1755" t="str">
        <f>IFERROR(VLOOKUP(D1755,Products!$A$2:$F$61,3,FALSE),"")</f>
        <v>Grocery</v>
      </c>
      <c r="M1755">
        <f>IFERROR(VLOOKUP(D1755,Products!$A$2:$F$61,4,FALSE),"")</f>
        <v>2436</v>
      </c>
      <c r="N1755" t="str">
        <f>IFERROR(VLOOKUP(E1755,Sales_Reps!$A$2:$E$31,3,FALSE),"")</f>
        <v>South</v>
      </c>
      <c r="O1755" t="str">
        <f>IFERROR(VLOOKUP(C1755,Customers!$A$2:$F$301,5,FALSE),"")</f>
        <v>Corporate</v>
      </c>
      <c r="P1755">
        <f>IFERROR(VLOOKUP(C1755,Customers!$A$2:$F$301,3,FALSE),"")</f>
        <v>29</v>
      </c>
      <c r="Q1755" s="41">
        <f t="shared" si="36"/>
        <v>0.35555555555555557</v>
      </c>
      <c r="R1755" t="str">
        <f>IFERROR(VLOOKUP(C1755,Customers!$A$2:$F$301,1,FALSE),"")</f>
        <v>CUST-0282</v>
      </c>
      <c r="S1755" s="27" t="b">
        <f>IFERROR(VLOOKUP(D1755,Products!$A$2:$F$61,6,FALSE),"")</f>
        <v>1</v>
      </c>
      <c r="BL1755">
        <v>0</v>
      </c>
      <c r="BO1755">
        <v>0</v>
      </c>
      <c r="BP1755">
        <v>0</v>
      </c>
    </row>
    <row r="1756" spans="1:68" x14ac:dyDescent="0.35">
      <c r="A1756" s="26" t="str">
        <f>Orders!A1756</f>
        <v>ORD-01755</v>
      </c>
      <c r="B1756" s="33">
        <f>Orders!B1756</f>
        <v>45617</v>
      </c>
      <c r="C1756" t="str">
        <f>Orders!C1756</f>
        <v>CUST-0194</v>
      </c>
      <c r="D1756" t="str">
        <f>Orders!D1756</f>
        <v>PROD-023</v>
      </c>
      <c r="E1756" t="str">
        <f>Orders!E1756</f>
        <v>R022</v>
      </c>
      <c r="F1756">
        <f>Orders!F1756</f>
        <v>8</v>
      </c>
      <c r="G1756" s="35">
        <f>Orders!G1756</f>
        <v>2380</v>
      </c>
      <c r="H1756" s="37">
        <f>Orders!H1756</f>
        <v>3.8</v>
      </c>
      <c r="I1756" s="39">
        <f>Orders!I1756</f>
        <v>18316.48</v>
      </c>
      <c r="J1756" t="str">
        <f>Orders!J1756</f>
        <v>Completed</v>
      </c>
      <c r="K1756" t="str">
        <f>Orders!K1756</f>
        <v>Delhi</v>
      </c>
      <c r="L1756" t="str">
        <f>IFERROR(VLOOKUP(D1756,Products!$A$2:$F$61,3,FALSE),"")</f>
        <v>Grocery</v>
      </c>
      <c r="M1756">
        <f>IFERROR(VLOOKUP(D1756,Products!$A$2:$F$61,4,FALSE),"")</f>
        <v>1182</v>
      </c>
      <c r="N1756" t="str">
        <f>IFERROR(VLOOKUP(E1756,Sales_Reps!$A$2:$E$31,3,FALSE),"")</f>
        <v>East</v>
      </c>
      <c r="O1756" t="str">
        <f>IFERROR(VLOOKUP(C1756,Customers!$A$2:$F$301,5,FALSE),"")</f>
        <v>SMB</v>
      </c>
      <c r="P1756">
        <f>IFERROR(VLOOKUP(C1756,Customers!$A$2:$F$301,3,FALSE),"")</f>
        <v>55</v>
      </c>
      <c r="Q1756" s="41">
        <f t="shared" si="36"/>
        <v>0.50336134453781511</v>
      </c>
      <c r="R1756" t="str">
        <f>IFERROR(VLOOKUP(C1756,Customers!$A$2:$F$301,1,FALSE),"")</f>
        <v>CUST-0194</v>
      </c>
      <c r="S1756" s="27" t="b">
        <f>IFERROR(VLOOKUP(D1756,Products!$A$2:$F$61,6,FALSE),"")</f>
        <v>1</v>
      </c>
      <c r="BL1756">
        <v>0</v>
      </c>
      <c r="BO1756">
        <v>0</v>
      </c>
      <c r="BP1756">
        <v>0</v>
      </c>
    </row>
    <row r="1757" spans="1:68" x14ac:dyDescent="0.35">
      <c r="A1757" s="26" t="str">
        <f>Orders!A1757</f>
        <v>ORD-01756</v>
      </c>
      <c r="B1757" s="33">
        <f>Orders!B1757</f>
        <v>45378</v>
      </c>
      <c r="C1757" t="str">
        <f>Orders!C1757</f>
        <v>CUST-0161</v>
      </c>
      <c r="D1757" t="str">
        <f>Orders!D1757</f>
        <v>PROD-026</v>
      </c>
      <c r="E1757" t="str">
        <f>Orders!E1757</f>
        <v>R024</v>
      </c>
      <c r="F1757">
        <f>Orders!F1757</f>
        <v>7</v>
      </c>
      <c r="G1757" s="35">
        <f>Orders!G1757</f>
        <v>4070</v>
      </c>
      <c r="H1757" s="37">
        <f>Orders!H1757</f>
        <v>0.3</v>
      </c>
      <c r="I1757" s="39">
        <f>Orders!I1757</f>
        <v>28404.53</v>
      </c>
      <c r="J1757" t="str">
        <f>Orders!J1757</f>
        <v>Completed</v>
      </c>
      <c r="K1757" t="str">
        <f>Orders!K1757</f>
        <v>Chennai</v>
      </c>
      <c r="L1757" t="str">
        <f>IFERROR(VLOOKUP(D1757,Products!$A$2:$F$61,3,FALSE),"")</f>
        <v>Grocery</v>
      </c>
      <c r="M1757">
        <f>IFERROR(VLOOKUP(D1757,Products!$A$2:$F$61,4,FALSE),"")</f>
        <v>2027</v>
      </c>
      <c r="N1757" t="str">
        <f>IFERROR(VLOOKUP(E1757,Sales_Reps!$A$2:$E$31,3,FALSE),"")</f>
        <v>West</v>
      </c>
      <c r="O1757" t="str">
        <f>IFERROR(VLOOKUP(C1757,Customers!$A$2:$F$301,5,FALSE),"")</f>
        <v>Retail</v>
      </c>
      <c r="P1757">
        <f>IFERROR(VLOOKUP(C1757,Customers!$A$2:$F$301,3,FALSE),"")</f>
        <v>38</v>
      </c>
      <c r="Q1757" s="41">
        <f t="shared" si="36"/>
        <v>0.50196560196560192</v>
      </c>
      <c r="R1757" t="str">
        <f>IFERROR(VLOOKUP(C1757,Customers!$A$2:$F$301,1,FALSE),"")</f>
        <v>CUST-0161</v>
      </c>
      <c r="S1757" s="27" t="b">
        <f>IFERROR(VLOOKUP(D1757,Products!$A$2:$F$61,6,FALSE),"")</f>
        <v>1</v>
      </c>
      <c r="BL1757">
        <v>0</v>
      </c>
      <c r="BO1757">
        <v>0</v>
      </c>
      <c r="BP1757">
        <v>0</v>
      </c>
    </row>
    <row r="1758" spans="1:68" x14ac:dyDescent="0.35">
      <c r="A1758" s="26" t="str">
        <f>Orders!A1758</f>
        <v>ORD-01757</v>
      </c>
      <c r="B1758" s="33">
        <f>Orders!B1758</f>
        <v>45459</v>
      </c>
      <c r="C1758" t="str">
        <f>Orders!C1758</f>
        <v>CUST-0120</v>
      </c>
      <c r="D1758" t="str">
        <f>Orders!D1758</f>
        <v>PROD-010</v>
      </c>
      <c r="E1758" t="str">
        <f>Orders!E1758</f>
        <v>R020</v>
      </c>
      <c r="F1758">
        <f>Orders!F1758</f>
        <v>6</v>
      </c>
      <c r="G1758" s="35">
        <f>Orders!G1758</f>
        <v>2640</v>
      </c>
      <c r="H1758" s="37">
        <f>Orders!H1758</f>
        <v>3.4</v>
      </c>
      <c r="I1758" s="39">
        <f>Orders!I1758</f>
        <v>15301.44</v>
      </c>
      <c r="J1758" t="str">
        <f>Orders!J1758</f>
        <v>Completed</v>
      </c>
      <c r="K1758" t="str">
        <f>Orders!K1758</f>
        <v>Mumbai</v>
      </c>
      <c r="L1758" t="str">
        <f>IFERROR(VLOOKUP(D1758,Products!$A$2:$F$61,3,FALSE),"")</f>
        <v>Electronics</v>
      </c>
      <c r="M1758">
        <f>IFERROR(VLOOKUP(D1758,Products!$A$2:$F$61,4,FALSE),"")</f>
        <v>1149</v>
      </c>
      <c r="N1758" t="str">
        <f>IFERROR(VLOOKUP(E1758,Sales_Reps!$A$2:$E$31,3,FALSE),"")</f>
        <v>East</v>
      </c>
      <c r="O1758" t="str">
        <f>IFERROR(VLOOKUP(C1758,Customers!$A$2:$F$301,5,FALSE),"")</f>
        <v>Retail</v>
      </c>
      <c r="P1758">
        <f>IFERROR(VLOOKUP(C1758,Customers!$A$2:$F$301,3,FALSE),"")</f>
        <v>29</v>
      </c>
      <c r="Q1758" s="41">
        <f t="shared" si="36"/>
        <v>0.56477272727272732</v>
      </c>
      <c r="R1758" t="str">
        <f>IFERROR(VLOOKUP(C1758,Customers!$A$2:$F$301,1,FALSE),"")</f>
        <v>CUST-0120</v>
      </c>
      <c r="S1758" s="27" t="b">
        <f>IFERROR(VLOOKUP(D1758,Products!$A$2:$F$61,6,FALSE),"")</f>
        <v>1</v>
      </c>
      <c r="BL1758">
        <v>0</v>
      </c>
      <c r="BO1758">
        <v>0</v>
      </c>
      <c r="BP1758">
        <v>0</v>
      </c>
    </row>
    <row r="1759" spans="1:68" x14ac:dyDescent="0.35">
      <c r="A1759" s="26" t="str">
        <f>Orders!A1759</f>
        <v>ORD-01758</v>
      </c>
      <c r="B1759" s="33">
        <f>Orders!B1759</f>
        <v>45377</v>
      </c>
      <c r="C1759" t="str">
        <f>Orders!C1759</f>
        <v>CUST-0250</v>
      </c>
      <c r="D1759" t="str">
        <f>Orders!D1759</f>
        <v>PROD-059</v>
      </c>
      <c r="E1759" t="str">
        <f>Orders!E1759</f>
        <v>R030</v>
      </c>
      <c r="F1759">
        <f>Orders!F1759</f>
        <v>10</v>
      </c>
      <c r="G1759" s="35">
        <f>Orders!G1759</f>
        <v>3780</v>
      </c>
      <c r="H1759" s="37">
        <f>Orders!H1759</f>
        <v>13.3</v>
      </c>
      <c r="I1759" s="39">
        <f>Orders!I1759</f>
        <v>32772.6</v>
      </c>
      <c r="J1759" t="str">
        <f>Orders!J1759</f>
        <v>Completed</v>
      </c>
      <c r="K1759" t="str">
        <f>Orders!K1759</f>
        <v>Delhi</v>
      </c>
      <c r="L1759" t="str">
        <f>IFERROR(VLOOKUP(D1759,Products!$A$2:$F$61,3,FALSE),"")</f>
        <v>Sports</v>
      </c>
      <c r="M1759">
        <f>IFERROR(VLOOKUP(D1759,Products!$A$2:$F$61,4,FALSE),"")</f>
        <v>1860</v>
      </c>
      <c r="N1759" t="str">
        <f>IFERROR(VLOOKUP(E1759,Sales_Reps!$A$2:$E$31,3,FALSE),"")</f>
        <v>West</v>
      </c>
      <c r="O1759" t="str">
        <f>IFERROR(VLOOKUP(C1759,Customers!$A$2:$F$301,5,FALSE),"")</f>
        <v>Retail</v>
      </c>
      <c r="P1759">
        <f>IFERROR(VLOOKUP(C1759,Customers!$A$2:$F$301,3,FALSE),"")</f>
        <v>31</v>
      </c>
      <c r="Q1759" s="41">
        <f t="shared" si="36"/>
        <v>0.50793650793650791</v>
      </c>
      <c r="R1759" t="str">
        <f>IFERROR(VLOOKUP(C1759,Customers!$A$2:$F$301,1,FALSE),"")</f>
        <v>CUST-0250</v>
      </c>
      <c r="S1759" s="27" t="b">
        <f>IFERROR(VLOOKUP(D1759,Products!$A$2:$F$61,6,FALSE),"")</f>
        <v>1</v>
      </c>
      <c r="BL1759">
        <v>0</v>
      </c>
      <c r="BO1759">
        <v>0</v>
      </c>
      <c r="BP1759">
        <v>0</v>
      </c>
    </row>
    <row r="1760" spans="1:68" x14ac:dyDescent="0.35">
      <c r="A1760" s="26" t="str">
        <f>Orders!A1760</f>
        <v>ORD-01759</v>
      </c>
      <c r="B1760" s="33">
        <f>Orders!B1760</f>
        <v>45302</v>
      </c>
      <c r="C1760" t="str">
        <f>Orders!C1760</f>
        <v>CUST-0054</v>
      </c>
      <c r="D1760" t="str">
        <f>Orders!D1760</f>
        <v>PROD-043</v>
      </c>
      <c r="E1760" t="str">
        <f>Orders!E1760</f>
        <v>R009</v>
      </c>
      <c r="F1760">
        <f>Orders!F1760</f>
        <v>9</v>
      </c>
      <c r="G1760" s="35">
        <f>Orders!G1760</f>
        <v>3350</v>
      </c>
      <c r="H1760" s="37">
        <f>Orders!H1760</f>
        <v>12.8</v>
      </c>
      <c r="I1760" s="39">
        <f>Orders!I1760</f>
        <v>26290.799999999999</v>
      </c>
      <c r="J1760" t="str">
        <f>Orders!J1760</f>
        <v>Completed</v>
      </c>
      <c r="K1760" t="str">
        <f>Orders!K1760</f>
        <v>Mumbai</v>
      </c>
      <c r="L1760" t="str">
        <f>IFERROR(VLOOKUP(D1760,Products!$A$2:$F$61,3,FALSE),"")</f>
        <v>Beauty</v>
      </c>
      <c r="M1760">
        <f>IFERROR(VLOOKUP(D1760,Products!$A$2:$F$61,4,FALSE),"")</f>
        <v>1728</v>
      </c>
      <c r="N1760" t="str">
        <f>IFERROR(VLOOKUP(E1760,Sales_Reps!$A$2:$E$31,3,FALSE),"")</f>
        <v>South</v>
      </c>
      <c r="O1760" t="str">
        <f>IFERROR(VLOOKUP(C1760,Customers!$A$2:$F$301,5,FALSE),"")</f>
        <v>Corporate</v>
      </c>
      <c r="P1760">
        <f>IFERROR(VLOOKUP(C1760,Customers!$A$2:$F$301,3,FALSE),"")</f>
        <v>62</v>
      </c>
      <c r="Q1760" s="41">
        <f t="shared" si="36"/>
        <v>0.48417910447761192</v>
      </c>
      <c r="R1760" t="str">
        <f>IFERROR(VLOOKUP(C1760,Customers!$A$2:$F$301,1,FALSE),"")</f>
        <v>CUST-0054</v>
      </c>
      <c r="S1760" s="27" t="b">
        <f>IFERROR(VLOOKUP(D1760,Products!$A$2:$F$61,6,FALSE),"")</f>
        <v>1</v>
      </c>
      <c r="BL1760">
        <v>0</v>
      </c>
      <c r="BO1760">
        <v>0</v>
      </c>
      <c r="BP1760">
        <v>0</v>
      </c>
    </row>
    <row r="1761" spans="1:68" x14ac:dyDescent="0.35">
      <c r="A1761" s="26" t="str">
        <f>Orders!A1761</f>
        <v>ORD-01760</v>
      </c>
      <c r="B1761" s="33">
        <f>Orders!B1761</f>
        <v>45459</v>
      </c>
      <c r="C1761" t="str">
        <f>Orders!C1761</f>
        <v>CUST-0247</v>
      </c>
      <c r="D1761" t="str">
        <f>Orders!D1761</f>
        <v>PROD-012</v>
      </c>
      <c r="E1761" t="str">
        <f>Orders!E1761</f>
        <v>R024</v>
      </c>
      <c r="F1761">
        <f>Orders!F1761</f>
        <v>7</v>
      </c>
      <c r="G1761" s="35">
        <f>Orders!G1761</f>
        <v>3160</v>
      </c>
      <c r="H1761" s="37">
        <f>Orders!H1761</f>
        <v>15.3</v>
      </c>
      <c r="I1761" s="39">
        <f>Orders!I1761</f>
        <v>18735.64</v>
      </c>
      <c r="J1761" t="str">
        <f>Orders!J1761</f>
        <v>Completed</v>
      </c>
      <c r="K1761" t="str">
        <f>Orders!K1761</f>
        <v>Pune</v>
      </c>
      <c r="L1761" t="str">
        <f>IFERROR(VLOOKUP(D1761,Products!$A$2:$F$61,3,FALSE),"")</f>
        <v>Apparel</v>
      </c>
      <c r="M1761">
        <f>IFERROR(VLOOKUP(D1761,Products!$A$2:$F$61,4,FALSE),"")</f>
        <v>1886</v>
      </c>
      <c r="N1761" t="str">
        <f>IFERROR(VLOOKUP(E1761,Sales_Reps!$A$2:$E$31,3,FALSE),"")</f>
        <v>West</v>
      </c>
      <c r="O1761" t="str">
        <f>IFERROR(VLOOKUP(C1761,Customers!$A$2:$F$301,5,FALSE),"")</f>
        <v>SMB</v>
      </c>
      <c r="P1761">
        <f>IFERROR(VLOOKUP(C1761,Customers!$A$2:$F$301,3,FALSE),"")</f>
        <v>35</v>
      </c>
      <c r="Q1761" s="41">
        <f t="shared" si="36"/>
        <v>0.4031645569620253</v>
      </c>
      <c r="R1761" t="str">
        <f>IFERROR(VLOOKUP(C1761,Customers!$A$2:$F$301,1,FALSE),"")</f>
        <v>CUST-0247</v>
      </c>
      <c r="S1761" s="27" t="b">
        <f>IFERROR(VLOOKUP(D1761,Products!$A$2:$F$61,6,FALSE),"")</f>
        <v>1</v>
      </c>
      <c r="BL1761">
        <v>0</v>
      </c>
      <c r="BO1761">
        <v>0</v>
      </c>
      <c r="BP1761">
        <v>0</v>
      </c>
    </row>
    <row r="1762" spans="1:68" x14ac:dyDescent="0.35">
      <c r="A1762" s="26" t="str">
        <f>Orders!A1762</f>
        <v>ORD-01761</v>
      </c>
      <c r="B1762" s="33">
        <f>Orders!B1762</f>
        <v>45428</v>
      </c>
      <c r="C1762" t="str">
        <f>Orders!C1762</f>
        <v>CUST-0127</v>
      </c>
      <c r="D1762" t="str">
        <f>Orders!D1762</f>
        <v>PROD-055</v>
      </c>
      <c r="E1762" t="str">
        <f>Orders!E1762</f>
        <v>R004</v>
      </c>
      <c r="F1762">
        <f>Orders!F1762</f>
        <v>6</v>
      </c>
      <c r="G1762" s="35">
        <f>Orders!G1762</f>
        <v>2860</v>
      </c>
      <c r="H1762" s="37">
        <f>Orders!H1762</f>
        <v>17.5</v>
      </c>
      <c r="I1762" s="39">
        <f>Orders!I1762</f>
        <v>14157</v>
      </c>
      <c r="J1762" t="str">
        <f>Orders!J1762</f>
        <v>Completed</v>
      </c>
      <c r="K1762" t="str">
        <f>Orders!K1762</f>
        <v>Bengaluru</v>
      </c>
      <c r="L1762" t="str">
        <f>IFERROR(VLOOKUP(D1762,Products!$A$2:$F$61,3,FALSE),"")</f>
        <v>Sports</v>
      </c>
      <c r="M1762">
        <f>IFERROR(VLOOKUP(D1762,Products!$A$2:$F$61,4,FALSE),"")</f>
        <v>2028</v>
      </c>
      <c r="N1762" t="str">
        <f>IFERROR(VLOOKUP(E1762,Sales_Reps!$A$2:$E$31,3,FALSE),"")</f>
        <v>North</v>
      </c>
      <c r="O1762" t="str">
        <f>IFERROR(VLOOKUP(C1762,Customers!$A$2:$F$301,5,FALSE),"")</f>
        <v>SMB</v>
      </c>
      <c r="P1762">
        <f>IFERROR(VLOOKUP(C1762,Customers!$A$2:$F$301,3,FALSE),"")</f>
        <v>36</v>
      </c>
      <c r="Q1762" s="41">
        <f t="shared" si="36"/>
        <v>0.29090909090909089</v>
      </c>
      <c r="R1762" t="str">
        <f>IFERROR(VLOOKUP(C1762,Customers!$A$2:$F$301,1,FALSE),"")</f>
        <v>CUST-0127</v>
      </c>
      <c r="S1762" s="27" t="b">
        <f>IFERROR(VLOOKUP(D1762,Products!$A$2:$F$61,6,FALSE),"")</f>
        <v>1</v>
      </c>
      <c r="BL1762">
        <v>0</v>
      </c>
      <c r="BO1762">
        <v>0</v>
      </c>
      <c r="BP1762">
        <v>0</v>
      </c>
    </row>
    <row r="1763" spans="1:68" x14ac:dyDescent="0.35">
      <c r="A1763" s="26" t="str">
        <f>Orders!A1763</f>
        <v>ORD-01762</v>
      </c>
      <c r="B1763" s="33">
        <f>Orders!B1763</f>
        <v>45341</v>
      </c>
      <c r="C1763" t="str">
        <f>Orders!C1763</f>
        <v>CUST-0030</v>
      </c>
      <c r="D1763" t="str">
        <f>Orders!D1763</f>
        <v>PROD-005</v>
      </c>
      <c r="E1763" t="str">
        <f>Orders!E1763</f>
        <v>R010</v>
      </c>
      <c r="F1763">
        <f>Orders!F1763</f>
        <v>9</v>
      </c>
      <c r="G1763" s="35">
        <f>Orders!G1763</f>
        <v>300</v>
      </c>
      <c r="H1763" s="37">
        <f>Orders!H1763</f>
        <v>25.2</v>
      </c>
      <c r="I1763" s="39">
        <f>Orders!I1763</f>
        <v>2019.6</v>
      </c>
      <c r="J1763" t="str">
        <f>Orders!J1763</f>
        <v>Completed</v>
      </c>
      <c r="K1763" t="str">
        <f>Orders!K1763</f>
        <v>Bengaluru</v>
      </c>
      <c r="L1763" t="str">
        <f>IFERROR(VLOOKUP(D1763,Products!$A$2:$F$61,3,FALSE),"")</f>
        <v>Electronics</v>
      </c>
      <c r="M1763">
        <f>IFERROR(VLOOKUP(D1763,Products!$A$2:$F$61,4,FALSE),"")</f>
        <v>128</v>
      </c>
      <c r="N1763" t="str">
        <f>IFERROR(VLOOKUP(E1763,Sales_Reps!$A$2:$E$31,3,FALSE),"")</f>
        <v>South</v>
      </c>
      <c r="O1763" t="str">
        <f>IFERROR(VLOOKUP(C1763,Customers!$A$2:$F$301,5,FALSE),"")</f>
        <v>Corporate</v>
      </c>
      <c r="P1763">
        <f>IFERROR(VLOOKUP(C1763,Customers!$A$2:$F$301,3,FALSE),"")</f>
        <v>43</v>
      </c>
      <c r="Q1763" s="41">
        <f t="shared" si="36"/>
        <v>0.57333333333333336</v>
      </c>
      <c r="R1763" t="str">
        <f>IFERROR(VLOOKUP(C1763,Customers!$A$2:$F$301,1,FALSE),"")</f>
        <v>CUST-0030</v>
      </c>
      <c r="S1763" s="27" t="b">
        <f>IFERROR(VLOOKUP(D1763,Products!$A$2:$F$61,6,FALSE),"")</f>
        <v>1</v>
      </c>
      <c r="BL1763">
        <v>0</v>
      </c>
      <c r="BO1763">
        <v>0</v>
      </c>
      <c r="BP1763">
        <v>0</v>
      </c>
    </row>
    <row r="1764" spans="1:68" x14ac:dyDescent="0.35">
      <c r="A1764" s="26" t="str">
        <f>Orders!A1764</f>
        <v>ORD-01763</v>
      </c>
      <c r="B1764" s="33">
        <f>Orders!B1764</f>
        <v>45296</v>
      </c>
      <c r="C1764" t="str">
        <f>Orders!C1764</f>
        <v>CUST-0205</v>
      </c>
      <c r="D1764" t="str">
        <f>Orders!D1764</f>
        <v>PROD-060</v>
      </c>
      <c r="E1764" t="str">
        <f>Orders!E1764</f>
        <v>R020</v>
      </c>
      <c r="F1764">
        <f>Orders!F1764</f>
        <v>5</v>
      </c>
      <c r="G1764" s="35">
        <f>Orders!G1764</f>
        <v>190</v>
      </c>
      <c r="H1764" s="37">
        <f>Orders!H1764</f>
        <v>1.8</v>
      </c>
      <c r="I1764" s="39">
        <f>Orders!I1764</f>
        <v>932.9</v>
      </c>
      <c r="J1764" t="str">
        <f>Orders!J1764</f>
        <v>Completed</v>
      </c>
      <c r="K1764" t="str">
        <f>Orders!K1764</f>
        <v>Pune</v>
      </c>
      <c r="L1764" t="str">
        <f>IFERROR(VLOOKUP(D1764,Products!$A$2:$F$61,3,FALSE),"")</f>
        <v>Sports</v>
      </c>
      <c r="M1764">
        <f>IFERROR(VLOOKUP(D1764,Products!$A$2:$F$61,4,FALSE),"")</f>
        <v>147</v>
      </c>
      <c r="N1764" t="str">
        <f>IFERROR(VLOOKUP(E1764,Sales_Reps!$A$2:$E$31,3,FALSE),"")</f>
        <v>East</v>
      </c>
      <c r="O1764" t="str">
        <f>IFERROR(VLOOKUP(C1764,Customers!$A$2:$F$301,5,FALSE),"")</f>
        <v>Corporate</v>
      </c>
      <c r="P1764">
        <f>IFERROR(VLOOKUP(C1764,Customers!$A$2:$F$301,3,FALSE),"")</f>
        <v>29</v>
      </c>
      <c r="Q1764" s="41">
        <f t="shared" si="36"/>
        <v>0.22631578947368422</v>
      </c>
      <c r="R1764" t="str">
        <f>IFERROR(VLOOKUP(C1764,Customers!$A$2:$F$301,1,FALSE),"")</f>
        <v>CUST-0205</v>
      </c>
      <c r="S1764" s="27" t="b">
        <f>IFERROR(VLOOKUP(D1764,Products!$A$2:$F$61,6,FALSE),"")</f>
        <v>1</v>
      </c>
      <c r="BL1764">
        <v>0</v>
      </c>
      <c r="BO1764">
        <v>0</v>
      </c>
      <c r="BP1764">
        <v>0</v>
      </c>
    </row>
    <row r="1765" spans="1:68" x14ac:dyDescent="0.35">
      <c r="A1765" s="26" t="str">
        <f>Orders!A1765</f>
        <v>ORD-01764</v>
      </c>
      <c r="B1765" s="33">
        <f>Orders!B1765</f>
        <v>45533</v>
      </c>
      <c r="C1765" t="str">
        <f>Orders!C1765</f>
        <v>CUST-0172</v>
      </c>
      <c r="D1765" t="str">
        <f>Orders!D1765</f>
        <v>PROD-054</v>
      </c>
      <c r="E1765" t="str">
        <f>Orders!E1765</f>
        <v>R021</v>
      </c>
      <c r="F1765">
        <f>Orders!F1765</f>
        <v>7</v>
      </c>
      <c r="G1765" s="35">
        <f>Orders!G1765</f>
        <v>1010</v>
      </c>
      <c r="H1765" s="37">
        <f>Orders!H1765</f>
        <v>11.2</v>
      </c>
      <c r="I1765" s="39">
        <f>Orders!I1765</f>
        <v>6278.16</v>
      </c>
      <c r="J1765" t="str">
        <f>Orders!J1765</f>
        <v>Completed</v>
      </c>
      <c r="K1765" t="str">
        <f>Orders!K1765</f>
        <v>Pune</v>
      </c>
      <c r="L1765" t="str">
        <f>IFERROR(VLOOKUP(D1765,Products!$A$2:$F$61,3,FALSE),"")</f>
        <v>Sports</v>
      </c>
      <c r="M1765">
        <f>IFERROR(VLOOKUP(D1765,Products!$A$2:$F$61,4,FALSE),"")</f>
        <v>516</v>
      </c>
      <c r="N1765" t="str">
        <f>IFERROR(VLOOKUP(E1765,Sales_Reps!$A$2:$E$31,3,FALSE),"")</f>
        <v>East</v>
      </c>
      <c r="O1765" t="str">
        <f>IFERROR(VLOOKUP(C1765,Customers!$A$2:$F$301,5,FALSE),"")</f>
        <v>Retail</v>
      </c>
      <c r="P1765">
        <f>IFERROR(VLOOKUP(C1765,Customers!$A$2:$F$301,3,FALSE),"")</f>
        <v>65</v>
      </c>
      <c r="Q1765" s="41">
        <f t="shared" si="36"/>
        <v>0.4891089108910891</v>
      </c>
      <c r="R1765" t="str">
        <f>IFERROR(VLOOKUP(C1765,Customers!$A$2:$F$301,1,FALSE),"")</f>
        <v>CUST-0172</v>
      </c>
      <c r="S1765" s="27" t="b">
        <f>IFERROR(VLOOKUP(D1765,Products!$A$2:$F$61,6,FALSE),"")</f>
        <v>1</v>
      </c>
      <c r="BL1765">
        <v>0</v>
      </c>
      <c r="BO1765">
        <v>0</v>
      </c>
      <c r="BP1765">
        <v>0</v>
      </c>
    </row>
    <row r="1766" spans="1:68" x14ac:dyDescent="0.35">
      <c r="A1766" s="26" t="str">
        <f>Orders!A1766</f>
        <v>ORD-01765</v>
      </c>
      <c r="B1766" s="33">
        <f>Orders!B1766</f>
        <v>45515</v>
      </c>
      <c r="C1766" t="str">
        <f>Orders!C1766</f>
        <v>CUST-0283</v>
      </c>
      <c r="D1766" t="str">
        <f>Orders!D1766</f>
        <v>PROD-051</v>
      </c>
      <c r="E1766" t="str">
        <f>Orders!E1766</f>
        <v>R001</v>
      </c>
      <c r="F1766">
        <f>Orders!F1766</f>
        <v>8</v>
      </c>
      <c r="G1766" s="35">
        <f>Orders!G1766</f>
        <v>3450</v>
      </c>
      <c r="H1766" s="37">
        <f>Orders!H1766</f>
        <v>8.4</v>
      </c>
      <c r="I1766" s="39">
        <f>Orders!I1766</f>
        <v>25281.599999999999</v>
      </c>
      <c r="J1766" t="str">
        <f>Orders!J1766</f>
        <v>Completed</v>
      </c>
      <c r="K1766" t="str">
        <f>Orders!K1766</f>
        <v>Delhi</v>
      </c>
      <c r="L1766" t="str">
        <f>IFERROR(VLOOKUP(D1766,Products!$A$2:$F$61,3,FALSE),"")</f>
        <v>Sports</v>
      </c>
      <c r="M1766">
        <f>IFERROR(VLOOKUP(D1766,Products!$A$2:$F$61,4,FALSE),"")</f>
        <v>2467</v>
      </c>
      <c r="N1766" t="str">
        <f>IFERROR(VLOOKUP(E1766,Sales_Reps!$A$2:$E$31,3,FALSE),"")</f>
        <v>North</v>
      </c>
      <c r="O1766" t="str">
        <f>IFERROR(VLOOKUP(C1766,Customers!$A$2:$F$301,5,FALSE),"")</f>
        <v>SMB</v>
      </c>
      <c r="P1766">
        <f>IFERROR(VLOOKUP(C1766,Customers!$A$2:$F$301,3,FALSE),"")</f>
        <v>50</v>
      </c>
      <c r="Q1766" s="41">
        <f t="shared" si="36"/>
        <v>0.28492753623188405</v>
      </c>
      <c r="R1766" t="str">
        <f>IFERROR(VLOOKUP(C1766,Customers!$A$2:$F$301,1,FALSE),"")</f>
        <v>CUST-0283</v>
      </c>
      <c r="S1766" s="27" t="b">
        <f>IFERROR(VLOOKUP(D1766,Products!$A$2:$F$61,6,FALSE),"")</f>
        <v>1</v>
      </c>
      <c r="BL1766">
        <v>0</v>
      </c>
      <c r="BO1766">
        <v>0</v>
      </c>
      <c r="BP1766">
        <v>0</v>
      </c>
    </row>
    <row r="1767" spans="1:68" x14ac:dyDescent="0.35">
      <c r="A1767" s="26" t="str">
        <f>Orders!A1767</f>
        <v>ORD-01766</v>
      </c>
      <c r="B1767" s="33">
        <f>Orders!B1767</f>
        <v>45597</v>
      </c>
      <c r="C1767" t="str">
        <f>Orders!C1767</f>
        <v>CUST-0005</v>
      </c>
      <c r="D1767" t="str">
        <f>Orders!D1767</f>
        <v>PROD-005</v>
      </c>
      <c r="E1767" t="str">
        <f>Orders!E1767</f>
        <v>R001</v>
      </c>
      <c r="F1767">
        <f>Orders!F1767</f>
        <v>3</v>
      </c>
      <c r="G1767" s="35">
        <f>Orders!G1767</f>
        <v>300</v>
      </c>
      <c r="H1767" s="37">
        <f>Orders!H1767</f>
        <v>7.5</v>
      </c>
      <c r="I1767" s="39">
        <f>Orders!I1767</f>
        <v>832.5</v>
      </c>
      <c r="J1767" t="str">
        <f>Orders!J1767</f>
        <v>Refunded</v>
      </c>
      <c r="K1767" t="str">
        <f>Orders!K1767</f>
        <v>Chennai</v>
      </c>
      <c r="L1767" t="str">
        <f>IFERROR(VLOOKUP(D1767,Products!$A$2:$F$61,3,FALSE),"")</f>
        <v>Electronics</v>
      </c>
      <c r="M1767">
        <f>IFERROR(VLOOKUP(D1767,Products!$A$2:$F$61,4,FALSE),"")</f>
        <v>128</v>
      </c>
      <c r="N1767" t="str">
        <f>IFERROR(VLOOKUP(E1767,Sales_Reps!$A$2:$E$31,3,FALSE),"")</f>
        <v>North</v>
      </c>
      <c r="O1767" t="str">
        <f>IFERROR(VLOOKUP(C1767,Customers!$A$2:$F$301,5,FALSE),"")</f>
        <v>Corporate</v>
      </c>
      <c r="P1767">
        <f>IFERROR(VLOOKUP(C1767,Customers!$A$2:$F$301,3,FALSE),"")</f>
        <v>52</v>
      </c>
      <c r="Q1767" s="41">
        <f t="shared" si="36"/>
        <v>0.57333333333333336</v>
      </c>
      <c r="R1767" t="str">
        <f>IFERROR(VLOOKUP(C1767,Customers!$A$2:$F$301,1,FALSE),"")</f>
        <v>CUST-0005</v>
      </c>
      <c r="S1767" s="27" t="b">
        <f>IFERROR(VLOOKUP(D1767,Products!$A$2:$F$61,6,FALSE),"")</f>
        <v>1</v>
      </c>
      <c r="BL1767">
        <v>0</v>
      </c>
      <c r="BO1767">
        <v>0</v>
      </c>
      <c r="BP1767">
        <v>0</v>
      </c>
    </row>
    <row r="1768" spans="1:68" x14ac:dyDescent="0.35">
      <c r="A1768" s="26" t="str">
        <f>Orders!A1768</f>
        <v>ORD-01767</v>
      </c>
      <c r="B1768" s="33">
        <f>Orders!B1768</f>
        <v>45370</v>
      </c>
      <c r="C1768" t="str">
        <f>Orders!C1768</f>
        <v>CUST-0095</v>
      </c>
      <c r="D1768" t="str">
        <f>Orders!D1768</f>
        <v>PROD-031</v>
      </c>
      <c r="E1768" t="str">
        <f>Orders!E1768</f>
        <v>R018</v>
      </c>
      <c r="F1768">
        <f>Orders!F1768</f>
        <v>4</v>
      </c>
      <c r="G1768" s="35">
        <f>Orders!G1768</f>
        <v>3730</v>
      </c>
      <c r="H1768" s="37">
        <f>Orders!H1768</f>
        <v>24.8</v>
      </c>
      <c r="I1768" s="39">
        <f>Orders!I1768</f>
        <v>11219.84</v>
      </c>
      <c r="J1768" t="str">
        <f>Orders!J1768</f>
        <v>Completed</v>
      </c>
      <c r="K1768" t="str">
        <f>Orders!K1768</f>
        <v>Mumbai</v>
      </c>
      <c r="L1768" t="str">
        <f>IFERROR(VLOOKUP(D1768,Products!$A$2:$F$61,3,FALSE),"")</f>
        <v>Home</v>
      </c>
      <c r="M1768">
        <f>IFERROR(VLOOKUP(D1768,Products!$A$2:$F$61,4,FALSE),"")</f>
        <v>2135</v>
      </c>
      <c r="N1768" t="str">
        <f>IFERROR(VLOOKUP(E1768,Sales_Reps!$A$2:$E$31,3,FALSE),"")</f>
        <v>East</v>
      </c>
      <c r="O1768" t="str">
        <f>IFERROR(VLOOKUP(C1768,Customers!$A$2:$F$301,5,FALSE),"")</f>
        <v>SMB</v>
      </c>
      <c r="P1768">
        <f>IFERROR(VLOOKUP(C1768,Customers!$A$2:$F$301,3,FALSE),"")</f>
        <v>54</v>
      </c>
      <c r="Q1768" s="41">
        <f t="shared" si="36"/>
        <v>0.42761394101876676</v>
      </c>
      <c r="R1768" t="str">
        <f>IFERROR(VLOOKUP(C1768,Customers!$A$2:$F$301,1,FALSE),"")</f>
        <v>CUST-0095</v>
      </c>
      <c r="S1768" s="27" t="b">
        <f>IFERROR(VLOOKUP(D1768,Products!$A$2:$F$61,6,FALSE),"")</f>
        <v>1</v>
      </c>
      <c r="BL1768">
        <v>0</v>
      </c>
      <c r="BO1768">
        <v>0</v>
      </c>
      <c r="BP1768">
        <v>0</v>
      </c>
    </row>
    <row r="1769" spans="1:68" x14ac:dyDescent="0.35">
      <c r="A1769" s="26" t="str">
        <f>Orders!A1769</f>
        <v>ORD-01768</v>
      </c>
      <c r="B1769" s="33">
        <f>Orders!B1769</f>
        <v>45462</v>
      </c>
      <c r="C1769" t="str">
        <f>Orders!C1769</f>
        <v>CUST-0142</v>
      </c>
      <c r="D1769" t="str">
        <f>Orders!D1769</f>
        <v>PROD-058</v>
      </c>
      <c r="E1769" t="str">
        <f>Orders!E1769</f>
        <v>R020</v>
      </c>
      <c r="F1769">
        <f>Orders!F1769</f>
        <v>5</v>
      </c>
      <c r="G1769" s="35">
        <f>Orders!G1769</f>
        <v>2400</v>
      </c>
      <c r="H1769" s="37">
        <f>Orders!H1769</f>
        <v>9.1999999999999993</v>
      </c>
      <c r="I1769" s="39">
        <f>Orders!I1769</f>
        <v>10896</v>
      </c>
      <c r="J1769" t="str">
        <f>Orders!J1769</f>
        <v>Completed</v>
      </c>
      <c r="K1769" t="str">
        <f>Orders!K1769</f>
        <v>Chennai</v>
      </c>
      <c r="L1769" t="str">
        <f>IFERROR(VLOOKUP(D1769,Products!$A$2:$F$61,3,FALSE),"")</f>
        <v>Sports</v>
      </c>
      <c r="M1769">
        <f>IFERROR(VLOOKUP(D1769,Products!$A$2:$F$61,4,FALSE),"")</f>
        <v>974</v>
      </c>
      <c r="N1769" t="str">
        <f>IFERROR(VLOOKUP(E1769,Sales_Reps!$A$2:$E$31,3,FALSE),"")</f>
        <v>East</v>
      </c>
      <c r="O1769" t="str">
        <f>IFERROR(VLOOKUP(C1769,Customers!$A$2:$F$301,5,FALSE),"")</f>
        <v>Corporate</v>
      </c>
      <c r="P1769">
        <f>IFERROR(VLOOKUP(C1769,Customers!$A$2:$F$301,3,FALSE),"")</f>
        <v>55</v>
      </c>
      <c r="Q1769" s="41">
        <f t="shared" si="36"/>
        <v>0.59416666666666662</v>
      </c>
      <c r="R1769" t="str">
        <f>IFERROR(VLOOKUP(C1769,Customers!$A$2:$F$301,1,FALSE),"")</f>
        <v>CUST-0142</v>
      </c>
      <c r="S1769" s="27" t="b">
        <f>IFERROR(VLOOKUP(D1769,Products!$A$2:$F$61,6,FALSE),"")</f>
        <v>1</v>
      </c>
      <c r="BL1769">
        <v>0</v>
      </c>
      <c r="BO1769">
        <v>0</v>
      </c>
      <c r="BP1769">
        <v>0</v>
      </c>
    </row>
    <row r="1770" spans="1:68" x14ac:dyDescent="0.35">
      <c r="A1770" s="26" t="str">
        <f>Orders!A1770</f>
        <v>ORD-01769</v>
      </c>
      <c r="B1770" s="33">
        <f>Orders!B1770</f>
        <v>45609</v>
      </c>
      <c r="C1770" t="str">
        <f>Orders!C1770</f>
        <v>CUST-0028</v>
      </c>
      <c r="D1770" t="str">
        <f>Orders!D1770</f>
        <v>PROD-021</v>
      </c>
      <c r="E1770" t="str">
        <f>Orders!E1770</f>
        <v>R001</v>
      </c>
      <c r="F1770">
        <f>Orders!F1770</f>
        <v>3</v>
      </c>
      <c r="G1770" s="35">
        <f>Orders!G1770</f>
        <v>2760</v>
      </c>
      <c r="H1770" s="37">
        <f>Orders!H1770</f>
        <v>2.4</v>
      </c>
      <c r="I1770" s="39">
        <f>Orders!I1770</f>
        <v>8081.28</v>
      </c>
      <c r="J1770" t="str">
        <f>Orders!J1770</f>
        <v>Completed</v>
      </c>
      <c r="K1770" t="str">
        <f>Orders!K1770</f>
        <v>Bengaluru</v>
      </c>
      <c r="L1770" t="str">
        <f>IFERROR(VLOOKUP(D1770,Products!$A$2:$F$61,3,FALSE),"")</f>
        <v>Grocery</v>
      </c>
      <c r="M1770">
        <f>IFERROR(VLOOKUP(D1770,Products!$A$2:$F$61,4,FALSE),"")</f>
        <v>1435</v>
      </c>
      <c r="N1770" t="str">
        <f>IFERROR(VLOOKUP(E1770,Sales_Reps!$A$2:$E$31,3,FALSE),"")</f>
        <v>North</v>
      </c>
      <c r="O1770" t="str">
        <f>IFERROR(VLOOKUP(C1770,Customers!$A$2:$F$301,5,FALSE),"")</f>
        <v>Retail</v>
      </c>
      <c r="P1770">
        <f>IFERROR(VLOOKUP(C1770,Customers!$A$2:$F$301,3,FALSE),"")</f>
        <v>59</v>
      </c>
      <c r="Q1770" s="41">
        <f t="shared" si="36"/>
        <v>0.48007246376811596</v>
      </c>
      <c r="R1770" t="str">
        <f>IFERROR(VLOOKUP(C1770,Customers!$A$2:$F$301,1,FALSE),"")</f>
        <v>CUST-0028</v>
      </c>
      <c r="S1770" s="27" t="b">
        <f>IFERROR(VLOOKUP(D1770,Products!$A$2:$F$61,6,FALSE),"")</f>
        <v>1</v>
      </c>
      <c r="BL1770">
        <v>0</v>
      </c>
      <c r="BO1770">
        <v>0</v>
      </c>
      <c r="BP1770">
        <v>0</v>
      </c>
    </row>
    <row r="1771" spans="1:68" x14ac:dyDescent="0.35">
      <c r="A1771" s="26" t="str">
        <f>Orders!A1771</f>
        <v>ORD-01770</v>
      </c>
      <c r="B1771" s="33">
        <f>Orders!B1771</f>
        <v>45548</v>
      </c>
      <c r="C1771" t="str">
        <f>Orders!C1771</f>
        <v>CUST-0118</v>
      </c>
      <c r="D1771" t="str">
        <f>Orders!D1771</f>
        <v>PROD-053</v>
      </c>
      <c r="E1771" t="str">
        <f>Orders!E1771</f>
        <v>R009</v>
      </c>
      <c r="F1771">
        <f>Orders!F1771</f>
        <v>8</v>
      </c>
      <c r="G1771" s="35">
        <f>Orders!G1771</f>
        <v>470</v>
      </c>
      <c r="H1771" s="37">
        <f>Orders!H1771</f>
        <v>24.8</v>
      </c>
      <c r="I1771" s="39">
        <f>Orders!I1771</f>
        <v>2827.52</v>
      </c>
      <c r="J1771" t="str">
        <f>Orders!J1771</f>
        <v>Pending</v>
      </c>
      <c r="K1771" t="str">
        <f>Orders!K1771</f>
        <v>Hyderabad</v>
      </c>
      <c r="L1771" t="str">
        <f>IFERROR(VLOOKUP(D1771,Products!$A$2:$F$61,3,FALSE),"")</f>
        <v>Sports</v>
      </c>
      <c r="M1771">
        <f>IFERROR(VLOOKUP(D1771,Products!$A$2:$F$61,4,FALSE),"")</f>
        <v>302</v>
      </c>
      <c r="N1771" t="str">
        <f>IFERROR(VLOOKUP(E1771,Sales_Reps!$A$2:$E$31,3,FALSE),"")</f>
        <v>South</v>
      </c>
      <c r="O1771" t="str">
        <f>IFERROR(VLOOKUP(C1771,Customers!$A$2:$F$301,5,FALSE),"")</f>
        <v>Retail</v>
      </c>
      <c r="P1771">
        <f>IFERROR(VLOOKUP(C1771,Customers!$A$2:$F$301,3,FALSE),"")</f>
        <v>26</v>
      </c>
      <c r="Q1771" s="41">
        <f t="shared" si="36"/>
        <v>0.35744680851063831</v>
      </c>
      <c r="R1771" t="str">
        <f>IFERROR(VLOOKUP(C1771,Customers!$A$2:$F$301,1,FALSE),"")</f>
        <v>CUST-0118</v>
      </c>
      <c r="S1771" s="27" t="b">
        <f>IFERROR(VLOOKUP(D1771,Products!$A$2:$F$61,6,FALSE),"")</f>
        <v>0</v>
      </c>
      <c r="BL1771">
        <v>0.5</v>
      </c>
      <c r="BO1771">
        <v>0</v>
      </c>
      <c r="BP1771">
        <v>1</v>
      </c>
    </row>
    <row r="1772" spans="1:68" x14ac:dyDescent="0.35">
      <c r="A1772" s="26" t="str">
        <f>Orders!A1772</f>
        <v>ORD-01771</v>
      </c>
      <c r="B1772" s="33">
        <f>Orders!B1772</f>
        <v>45633</v>
      </c>
      <c r="C1772" t="str">
        <f>Orders!C1772</f>
        <v>CUST-0231</v>
      </c>
      <c r="D1772" t="str">
        <f>Orders!D1772</f>
        <v>PROD-053</v>
      </c>
      <c r="E1772" t="str">
        <f>Orders!E1772</f>
        <v>R027</v>
      </c>
      <c r="F1772">
        <f>Orders!F1772</f>
        <v>3</v>
      </c>
      <c r="G1772" s="35">
        <f>Orders!G1772</f>
        <v>470</v>
      </c>
      <c r="H1772" s="37">
        <f>Orders!H1772</f>
        <v>18.600000000000001</v>
      </c>
      <c r="I1772" s="39">
        <f>Orders!I1772</f>
        <v>1147.74</v>
      </c>
      <c r="J1772" t="str">
        <f>Orders!J1772</f>
        <v>Completed</v>
      </c>
      <c r="K1772" t="str">
        <f>Orders!K1772</f>
        <v>Chennai</v>
      </c>
      <c r="L1772" t="str">
        <f>IFERROR(VLOOKUP(D1772,Products!$A$2:$F$61,3,FALSE),"")</f>
        <v>Sports</v>
      </c>
      <c r="M1772">
        <f>IFERROR(VLOOKUP(D1772,Products!$A$2:$F$61,4,FALSE),"")</f>
        <v>302</v>
      </c>
      <c r="N1772" t="str">
        <f>IFERROR(VLOOKUP(E1772,Sales_Reps!$A$2:$E$31,3,FALSE),"")</f>
        <v>West</v>
      </c>
      <c r="O1772" t="str">
        <f>IFERROR(VLOOKUP(C1772,Customers!$A$2:$F$301,5,FALSE),"")</f>
        <v>Retail</v>
      </c>
      <c r="P1772">
        <f>IFERROR(VLOOKUP(C1772,Customers!$A$2:$F$301,3,FALSE),"")</f>
        <v>61</v>
      </c>
      <c r="Q1772" s="41">
        <f t="shared" si="36"/>
        <v>0.35744680851063831</v>
      </c>
      <c r="R1772" t="str">
        <f>IFERROR(VLOOKUP(C1772,Customers!$A$2:$F$301,1,FALSE),"")</f>
        <v>CUST-0231</v>
      </c>
      <c r="S1772" s="27" t="b">
        <f>IFERROR(VLOOKUP(D1772,Products!$A$2:$F$61,6,FALSE),"")</f>
        <v>0</v>
      </c>
      <c r="BL1772">
        <v>0</v>
      </c>
      <c r="BO1772">
        <v>0</v>
      </c>
      <c r="BP1772">
        <v>1</v>
      </c>
    </row>
    <row r="1773" spans="1:68" x14ac:dyDescent="0.35">
      <c r="A1773" s="26" t="str">
        <f>Orders!A1773</f>
        <v>ORD-01772</v>
      </c>
      <c r="B1773" s="33">
        <f>Orders!B1773</f>
        <v>45580</v>
      </c>
      <c r="C1773" t="str">
        <f>Orders!C1773</f>
        <v>CUST-0264</v>
      </c>
      <c r="D1773" t="str">
        <f>Orders!D1773</f>
        <v>PROD-032</v>
      </c>
      <c r="E1773" t="str">
        <f>Orders!E1773</f>
        <v>R028</v>
      </c>
      <c r="F1773">
        <f>Orders!F1773</f>
        <v>2</v>
      </c>
      <c r="G1773" s="35">
        <f>Orders!G1773</f>
        <v>370</v>
      </c>
      <c r="H1773" s="37">
        <f>Orders!H1773</f>
        <v>24</v>
      </c>
      <c r="I1773" s="39">
        <f>Orders!I1773</f>
        <v>562.4</v>
      </c>
      <c r="J1773" t="str">
        <f>Orders!J1773</f>
        <v>Completed</v>
      </c>
      <c r="K1773" t="str">
        <f>Orders!K1773</f>
        <v>Pune</v>
      </c>
      <c r="L1773" t="str">
        <f>IFERROR(VLOOKUP(D1773,Products!$A$2:$F$61,3,FALSE),"")</f>
        <v>Home</v>
      </c>
      <c r="M1773">
        <f>IFERROR(VLOOKUP(D1773,Products!$A$2:$F$61,4,FALSE),"")</f>
        <v>288</v>
      </c>
      <c r="N1773" t="str">
        <f>IFERROR(VLOOKUP(E1773,Sales_Reps!$A$2:$E$31,3,FALSE),"")</f>
        <v>West</v>
      </c>
      <c r="O1773" t="str">
        <f>IFERROR(VLOOKUP(C1773,Customers!$A$2:$F$301,5,FALSE),"")</f>
        <v>Retail</v>
      </c>
      <c r="P1773">
        <f>IFERROR(VLOOKUP(C1773,Customers!$A$2:$F$301,3,FALSE),"")</f>
        <v>59</v>
      </c>
      <c r="Q1773" s="41">
        <f t="shared" si="36"/>
        <v>0.22162162162162163</v>
      </c>
      <c r="R1773" t="str">
        <f>IFERROR(VLOOKUP(C1773,Customers!$A$2:$F$301,1,FALSE),"")</f>
        <v>CUST-0264</v>
      </c>
      <c r="S1773" s="27" t="b">
        <f>IFERROR(VLOOKUP(D1773,Products!$A$2:$F$61,6,FALSE),"")</f>
        <v>1</v>
      </c>
      <c r="BL1773">
        <v>0</v>
      </c>
      <c r="BO1773">
        <v>0</v>
      </c>
      <c r="BP1773">
        <v>0</v>
      </c>
    </row>
    <row r="1774" spans="1:68" x14ac:dyDescent="0.35">
      <c r="A1774" s="26" t="str">
        <f>Orders!A1774</f>
        <v>ORD-01773</v>
      </c>
      <c r="B1774" s="33">
        <f>Orders!B1774</f>
        <v>45329</v>
      </c>
      <c r="C1774" t="str">
        <f>Orders!C1774</f>
        <v>CUST-0120</v>
      </c>
      <c r="D1774" t="str">
        <f>Orders!D1774</f>
        <v>PROD-029</v>
      </c>
      <c r="E1774" t="str">
        <f>Orders!E1774</f>
        <v>R001</v>
      </c>
      <c r="F1774">
        <f>Orders!F1774</f>
        <v>6</v>
      </c>
      <c r="G1774" s="35">
        <f>Orders!G1774</f>
        <v>2210</v>
      </c>
      <c r="H1774" s="37">
        <f>Orders!H1774</f>
        <v>28.3</v>
      </c>
      <c r="I1774" s="39">
        <f>Orders!I1774</f>
        <v>9507.42</v>
      </c>
      <c r="J1774" t="str">
        <f>Orders!J1774</f>
        <v>Cancelled</v>
      </c>
      <c r="K1774" t="str">
        <f>Orders!K1774</f>
        <v>Mumbai</v>
      </c>
      <c r="L1774" t="str">
        <f>IFERROR(VLOOKUP(D1774,Products!$A$2:$F$61,3,FALSE),"")</f>
        <v>Grocery</v>
      </c>
      <c r="M1774">
        <f>IFERROR(VLOOKUP(D1774,Products!$A$2:$F$61,4,FALSE),"")</f>
        <v>1010</v>
      </c>
      <c r="N1774" t="str">
        <f>IFERROR(VLOOKUP(E1774,Sales_Reps!$A$2:$E$31,3,FALSE),"")</f>
        <v>North</v>
      </c>
      <c r="O1774" t="str">
        <f>IFERROR(VLOOKUP(C1774,Customers!$A$2:$F$301,5,FALSE),"")</f>
        <v>Retail</v>
      </c>
      <c r="P1774">
        <f>IFERROR(VLOOKUP(C1774,Customers!$A$2:$F$301,3,FALSE),"")</f>
        <v>29</v>
      </c>
      <c r="Q1774" s="41">
        <f t="shared" si="36"/>
        <v>0.54298642533936647</v>
      </c>
      <c r="R1774" t="str">
        <f>IFERROR(VLOOKUP(C1774,Customers!$A$2:$F$301,1,FALSE),"")</f>
        <v>CUST-0120</v>
      </c>
      <c r="S1774" s="27" t="b">
        <f>IFERROR(VLOOKUP(D1774,Products!$A$2:$F$61,6,FALSE),"")</f>
        <v>1</v>
      </c>
      <c r="BL1774">
        <v>0</v>
      </c>
      <c r="BO1774">
        <v>0</v>
      </c>
      <c r="BP1774">
        <v>0</v>
      </c>
    </row>
    <row r="1775" spans="1:68" x14ac:dyDescent="0.35">
      <c r="A1775" s="26" t="str">
        <f>Orders!A1775</f>
        <v>ORD-01774</v>
      </c>
      <c r="B1775" s="33">
        <f>Orders!B1775</f>
        <v>45549</v>
      </c>
      <c r="C1775" t="str">
        <f>Orders!C1775</f>
        <v>CUST-0185</v>
      </c>
      <c r="D1775" t="str">
        <f>Orders!D1775</f>
        <v>PROD-056</v>
      </c>
      <c r="E1775" t="str">
        <f>Orders!E1775</f>
        <v>R002</v>
      </c>
      <c r="F1775">
        <f>Orders!F1775</f>
        <v>3</v>
      </c>
      <c r="G1775" s="35">
        <f>Orders!G1775</f>
        <v>6940</v>
      </c>
      <c r="H1775" s="37">
        <f>Orders!H1775</f>
        <v>27.2</v>
      </c>
      <c r="I1775" s="39">
        <f>Orders!I1775</f>
        <v>15156.96</v>
      </c>
      <c r="J1775" t="str">
        <f>Orders!J1775</f>
        <v>Refunded</v>
      </c>
      <c r="K1775" t="str">
        <f>Orders!K1775</f>
        <v>Hyderabad</v>
      </c>
      <c r="L1775" t="str">
        <f>IFERROR(VLOOKUP(D1775,Products!$A$2:$F$61,3,FALSE),"")</f>
        <v>Sports</v>
      </c>
      <c r="M1775">
        <f>IFERROR(VLOOKUP(D1775,Products!$A$2:$F$61,4,FALSE),"")</f>
        <v>2827</v>
      </c>
      <c r="N1775" t="str">
        <f>IFERROR(VLOOKUP(E1775,Sales_Reps!$A$2:$E$31,3,FALSE),"")</f>
        <v>North</v>
      </c>
      <c r="O1775" t="str">
        <f>IFERROR(VLOOKUP(C1775,Customers!$A$2:$F$301,5,FALSE),"")</f>
        <v>SMB</v>
      </c>
      <c r="P1775">
        <f>IFERROR(VLOOKUP(C1775,Customers!$A$2:$F$301,3,FALSE),"")</f>
        <v>43</v>
      </c>
      <c r="Q1775" s="41">
        <f t="shared" si="36"/>
        <v>0.5926512968299712</v>
      </c>
      <c r="R1775" t="str">
        <f>IFERROR(VLOOKUP(C1775,Customers!$A$2:$F$301,1,FALSE),"")</f>
        <v>CUST-0185</v>
      </c>
      <c r="S1775" s="27" t="b">
        <f>IFERROR(VLOOKUP(D1775,Products!$A$2:$F$61,6,FALSE),"")</f>
        <v>1</v>
      </c>
      <c r="BL1775">
        <v>0</v>
      </c>
      <c r="BO1775">
        <v>0</v>
      </c>
      <c r="BP1775">
        <v>0</v>
      </c>
    </row>
    <row r="1776" spans="1:68" x14ac:dyDescent="0.35">
      <c r="A1776" s="26" t="str">
        <f>Orders!A1776</f>
        <v>ORD-01775</v>
      </c>
      <c r="B1776" s="33">
        <f>Orders!B1776</f>
        <v>45423</v>
      </c>
      <c r="C1776" t="str">
        <f>Orders!C1776</f>
        <v>CUST-0174</v>
      </c>
      <c r="D1776" t="str">
        <f>Orders!D1776</f>
        <v>PROD-033</v>
      </c>
      <c r="E1776" t="str">
        <f>Orders!E1776</f>
        <v>R018</v>
      </c>
      <c r="F1776">
        <f>Orders!F1776</f>
        <v>10</v>
      </c>
      <c r="G1776" s="35">
        <f>Orders!G1776</f>
        <v>2030</v>
      </c>
      <c r="H1776" s="37">
        <f>Orders!H1776</f>
        <v>25.6</v>
      </c>
      <c r="I1776" s="39">
        <f>Orders!I1776</f>
        <v>15103.2</v>
      </c>
      <c r="J1776" t="str">
        <f>Orders!J1776</f>
        <v>Completed</v>
      </c>
      <c r="K1776" t="str">
        <f>Orders!K1776</f>
        <v>Pune</v>
      </c>
      <c r="L1776" t="str">
        <f>IFERROR(VLOOKUP(D1776,Products!$A$2:$F$61,3,FALSE),"")</f>
        <v>Home</v>
      </c>
      <c r="M1776">
        <f>IFERROR(VLOOKUP(D1776,Products!$A$2:$F$61,4,FALSE),"")</f>
        <v>1143</v>
      </c>
      <c r="N1776" t="str">
        <f>IFERROR(VLOOKUP(E1776,Sales_Reps!$A$2:$E$31,3,FALSE),"")</f>
        <v>East</v>
      </c>
      <c r="O1776" t="str">
        <f>IFERROR(VLOOKUP(C1776,Customers!$A$2:$F$301,5,FALSE),"")</f>
        <v>Retail</v>
      </c>
      <c r="P1776">
        <f>IFERROR(VLOOKUP(C1776,Customers!$A$2:$F$301,3,FALSE),"")</f>
        <v>54</v>
      </c>
      <c r="Q1776" s="41">
        <f t="shared" si="36"/>
        <v>0.43694581280788175</v>
      </c>
      <c r="R1776" t="str">
        <f>IFERROR(VLOOKUP(C1776,Customers!$A$2:$F$301,1,FALSE),"")</f>
        <v>CUST-0174</v>
      </c>
      <c r="S1776" s="27" t="b">
        <f>IFERROR(VLOOKUP(D1776,Products!$A$2:$F$61,6,FALSE),"")</f>
        <v>1</v>
      </c>
      <c r="BL1776">
        <v>0</v>
      </c>
      <c r="BO1776">
        <v>0</v>
      </c>
      <c r="BP1776">
        <v>0</v>
      </c>
    </row>
    <row r="1777" spans="1:68" x14ac:dyDescent="0.35">
      <c r="A1777" s="26" t="str">
        <f>Orders!A1777</f>
        <v>ORD-01776</v>
      </c>
      <c r="B1777" s="33">
        <f>Orders!B1777</f>
        <v>45533</v>
      </c>
      <c r="C1777" t="str">
        <f>Orders!C1777</f>
        <v>CUST-0174</v>
      </c>
      <c r="D1777" t="str">
        <f>Orders!D1777</f>
        <v>PROD-054</v>
      </c>
      <c r="E1777" t="str">
        <f>Orders!E1777</f>
        <v>R017</v>
      </c>
      <c r="F1777">
        <f>Orders!F1777</f>
        <v>9</v>
      </c>
      <c r="G1777" s="35">
        <f>Orders!G1777</f>
        <v>1010</v>
      </c>
      <c r="H1777" s="37">
        <f>Orders!H1777</f>
        <v>9.3000000000000007</v>
      </c>
      <c r="I1777" s="39">
        <f>Orders!I1777</f>
        <v>8244.6299999999992</v>
      </c>
      <c r="J1777" t="str">
        <f>Orders!J1777</f>
        <v>Completed</v>
      </c>
      <c r="K1777" t="str">
        <f>Orders!K1777</f>
        <v>Pune</v>
      </c>
      <c r="L1777" t="str">
        <f>IFERROR(VLOOKUP(D1777,Products!$A$2:$F$61,3,FALSE),"")</f>
        <v>Sports</v>
      </c>
      <c r="M1777">
        <f>IFERROR(VLOOKUP(D1777,Products!$A$2:$F$61,4,FALSE),"")</f>
        <v>516</v>
      </c>
      <c r="N1777" t="str">
        <f>IFERROR(VLOOKUP(E1777,Sales_Reps!$A$2:$E$31,3,FALSE),"")</f>
        <v>East</v>
      </c>
      <c r="O1777" t="str">
        <f>IFERROR(VLOOKUP(C1777,Customers!$A$2:$F$301,5,FALSE),"")</f>
        <v>Retail</v>
      </c>
      <c r="P1777">
        <f>IFERROR(VLOOKUP(C1777,Customers!$A$2:$F$301,3,FALSE),"")</f>
        <v>54</v>
      </c>
      <c r="Q1777" s="41">
        <f t="shared" si="36"/>
        <v>0.4891089108910891</v>
      </c>
      <c r="R1777" t="str">
        <f>IFERROR(VLOOKUP(C1777,Customers!$A$2:$F$301,1,FALSE),"")</f>
        <v>CUST-0174</v>
      </c>
      <c r="S1777" s="27" t="b">
        <f>IFERROR(VLOOKUP(D1777,Products!$A$2:$F$61,6,FALSE),"")</f>
        <v>1</v>
      </c>
      <c r="BL1777">
        <v>0</v>
      </c>
      <c r="BO1777">
        <v>0</v>
      </c>
      <c r="BP1777">
        <v>0</v>
      </c>
    </row>
    <row r="1778" spans="1:68" x14ac:dyDescent="0.35">
      <c r="A1778" s="26" t="str">
        <f>Orders!A1778</f>
        <v>ORD-01777</v>
      </c>
      <c r="B1778" s="33">
        <f>Orders!B1778</f>
        <v>45571</v>
      </c>
      <c r="C1778" t="str">
        <f>Orders!C1778</f>
        <v>CUST-0084</v>
      </c>
      <c r="D1778" t="str">
        <f>Orders!D1778</f>
        <v>PROD-017</v>
      </c>
      <c r="E1778" t="str">
        <f>Orders!E1778</f>
        <v>R002</v>
      </c>
      <c r="F1778">
        <f>Orders!F1778</f>
        <v>5</v>
      </c>
      <c r="G1778" s="35">
        <f>Orders!G1778</f>
        <v>2510</v>
      </c>
      <c r="H1778" s="37">
        <f>Orders!H1778</f>
        <v>22.2</v>
      </c>
      <c r="I1778" s="39">
        <f>Orders!I1778</f>
        <v>9763.9</v>
      </c>
      <c r="J1778" t="str">
        <f>Orders!J1778</f>
        <v>Completed</v>
      </c>
      <c r="K1778" t="str">
        <f>Orders!K1778</f>
        <v>Chennai</v>
      </c>
      <c r="L1778" t="str">
        <f>IFERROR(VLOOKUP(D1778,Products!$A$2:$F$61,3,FALSE),"")</f>
        <v>Apparel</v>
      </c>
      <c r="M1778">
        <f>IFERROR(VLOOKUP(D1778,Products!$A$2:$F$61,4,FALSE),"")</f>
        <v>1075</v>
      </c>
      <c r="N1778" t="str">
        <f>IFERROR(VLOOKUP(E1778,Sales_Reps!$A$2:$E$31,3,FALSE),"")</f>
        <v>North</v>
      </c>
      <c r="O1778" t="str">
        <f>IFERROR(VLOOKUP(C1778,Customers!$A$2:$F$301,5,FALSE),"")</f>
        <v>Retail</v>
      </c>
      <c r="P1778">
        <f>IFERROR(VLOOKUP(C1778,Customers!$A$2:$F$301,3,FALSE),"")</f>
        <v>28</v>
      </c>
      <c r="Q1778" s="41">
        <f t="shared" si="36"/>
        <v>0.57171314741035861</v>
      </c>
      <c r="R1778" t="str">
        <f>IFERROR(VLOOKUP(C1778,Customers!$A$2:$F$301,1,FALSE),"")</f>
        <v>CUST-0084</v>
      </c>
      <c r="S1778" s="27" t="b">
        <f>IFERROR(VLOOKUP(D1778,Products!$A$2:$F$61,6,FALSE),"")</f>
        <v>0</v>
      </c>
      <c r="BL1778">
        <v>0</v>
      </c>
      <c r="BO1778">
        <v>0</v>
      </c>
      <c r="BP1778">
        <v>1</v>
      </c>
    </row>
    <row r="1779" spans="1:68" x14ac:dyDescent="0.35">
      <c r="A1779" s="26" t="str">
        <f>Orders!A1779</f>
        <v>ORD-01778</v>
      </c>
      <c r="B1779" s="33">
        <f>Orders!B1779</f>
        <v>45441</v>
      </c>
      <c r="C1779" t="str">
        <f>Orders!C1779</f>
        <v>CUST-0270</v>
      </c>
      <c r="D1779" t="str">
        <f>Orders!D1779</f>
        <v>PROD-032</v>
      </c>
      <c r="E1779" t="str">
        <f>Orders!E1779</f>
        <v>R002</v>
      </c>
      <c r="F1779">
        <f>Orders!F1779</f>
        <v>10</v>
      </c>
      <c r="G1779" s="35">
        <f>Orders!G1779</f>
        <v>370</v>
      </c>
      <c r="H1779" s="37">
        <f>Orders!H1779</f>
        <v>29</v>
      </c>
      <c r="I1779" s="39">
        <f>Orders!I1779</f>
        <v>2627</v>
      </c>
      <c r="J1779" t="str">
        <f>Orders!J1779</f>
        <v>Completed</v>
      </c>
      <c r="K1779" t="str">
        <f>Orders!K1779</f>
        <v>Bengaluru</v>
      </c>
      <c r="L1779" t="str">
        <f>IFERROR(VLOOKUP(D1779,Products!$A$2:$F$61,3,FALSE),"")</f>
        <v>Home</v>
      </c>
      <c r="M1779">
        <f>IFERROR(VLOOKUP(D1779,Products!$A$2:$F$61,4,FALSE),"")</f>
        <v>288</v>
      </c>
      <c r="N1779" t="str">
        <f>IFERROR(VLOOKUP(E1779,Sales_Reps!$A$2:$E$31,3,FALSE),"")</f>
        <v>North</v>
      </c>
      <c r="O1779" t="str">
        <f>IFERROR(VLOOKUP(C1779,Customers!$A$2:$F$301,5,FALSE),"")</f>
        <v>Retail</v>
      </c>
      <c r="P1779">
        <f>IFERROR(VLOOKUP(C1779,Customers!$A$2:$F$301,3,FALSE),"")</f>
        <v>29</v>
      </c>
      <c r="Q1779" s="41">
        <f t="shared" si="36"/>
        <v>0.22162162162162163</v>
      </c>
      <c r="R1779" t="str">
        <f>IFERROR(VLOOKUP(C1779,Customers!$A$2:$F$301,1,FALSE),"")</f>
        <v>CUST-0270</v>
      </c>
      <c r="S1779" s="27" t="b">
        <f>IFERROR(VLOOKUP(D1779,Products!$A$2:$F$61,6,FALSE),"")</f>
        <v>1</v>
      </c>
      <c r="BL1779">
        <v>0</v>
      </c>
      <c r="BO1779">
        <v>0</v>
      </c>
      <c r="BP1779">
        <v>0</v>
      </c>
    </row>
    <row r="1780" spans="1:68" x14ac:dyDescent="0.35">
      <c r="A1780" s="26" t="str">
        <f>Orders!A1780</f>
        <v>ORD-01779</v>
      </c>
      <c r="B1780" s="33">
        <f>Orders!B1780</f>
        <v>45403</v>
      </c>
      <c r="C1780" t="str">
        <f>Orders!C1780</f>
        <v>CUST-0178</v>
      </c>
      <c r="D1780" t="str">
        <f>Orders!D1780</f>
        <v>PROD-019</v>
      </c>
      <c r="E1780" t="str">
        <f>Orders!E1780</f>
        <v>R021</v>
      </c>
      <c r="F1780">
        <f>Orders!F1780</f>
        <v>3</v>
      </c>
      <c r="G1780" s="35">
        <f>Orders!G1780</f>
        <v>2480</v>
      </c>
      <c r="H1780" s="37">
        <f>Orders!H1780</f>
        <v>9.6</v>
      </c>
      <c r="I1780" s="39">
        <f>Orders!I1780</f>
        <v>6725.76</v>
      </c>
      <c r="J1780" t="str">
        <f>Orders!J1780</f>
        <v>Completed</v>
      </c>
      <c r="K1780" t="str">
        <f>Orders!K1780</f>
        <v>Hyderabad</v>
      </c>
      <c r="L1780" t="str">
        <f>IFERROR(VLOOKUP(D1780,Products!$A$2:$F$61,3,FALSE),"")</f>
        <v>Apparel</v>
      </c>
      <c r="M1780">
        <f>IFERROR(VLOOKUP(D1780,Products!$A$2:$F$61,4,FALSE),"")</f>
        <v>1173</v>
      </c>
      <c r="N1780" t="str">
        <f>IFERROR(VLOOKUP(E1780,Sales_Reps!$A$2:$E$31,3,FALSE),"")</f>
        <v>East</v>
      </c>
      <c r="O1780" t="str">
        <f>IFERROR(VLOOKUP(C1780,Customers!$A$2:$F$301,5,FALSE),"")</f>
        <v>Retail</v>
      </c>
      <c r="P1780">
        <f>IFERROR(VLOOKUP(C1780,Customers!$A$2:$F$301,3,FALSE),"")</f>
        <v>25</v>
      </c>
      <c r="Q1780" s="41">
        <f t="shared" si="36"/>
        <v>0.52701612903225803</v>
      </c>
      <c r="R1780" t="str">
        <f>IFERROR(VLOOKUP(C1780,Customers!$A$2:$F$301,1,FALSE),"")</f>
        <v>CUST-0178</v>
      </c>
      <c r="S1780" s="27" t="b">
        <f>IFERROR(VLOOKUP(D1780,Products!$A$2:$F$61,6,FALSE),"")</f>
        <v>1</v>
      </c>
      <c r="BL1780">
        <v>0</v>
      </c>
      <c r="BO1780">
        <v>0</v>
      </c>
      <c r="BP1780">
        <v>0</v>
      </c>
    </row>
    <row r="1781" spans="1:68" x14ac:dyDescent="0.35">
      <c r="A1781" s="26" t="str">
        <f>Orders!A1781</f>
        <v>ORD-01780</v>
      </c>
      <c r="B1781" s="33">
        <f>Orders!B1781</f>
        <v>45644</v>
      </c>
      <c r="C1781" t="str">
        <f>Orders!C1781</f>
        <v>CUST-0019</v>
      </c>
      <c r="D1781" t="str">
        <f>Orders!D1781</f>
        <v>PROD-010</v>
      </c>
      <c r="E1781" t="str">
        <f>Orders!E1781</f>
        <v>R017</v>
      </c>
      <c r="F1781">
        <f>Orders!F1781</f>
        <v>3</v>
      </c>
      <c r="G1781" s="35">
        <f>Orders!G1781</f>
        <v>2640</v>
      </c>
      <c r="H1781" s="37">
        <f>Orders!H1781</f>
        <v>10.199999999999999</v>
      </c>
      <c r="I1781" s="39">
        <f>Orders!I1781</f>
        <v>7112.16</v>
      </c>
      <c r="J1781" t="str">
        <f>Orders!J1781</f>
        <v>Cancelled</v>
      </c>
      <c r="K1781" t="str">
        <f>Orders!K1781</f>
        <v>Chennai</v>
      </c>
      <c r="L1781" t="str">
        <f>IFERROR(VLOOKUP(D1781,Products!$A$2:$F$61,3,FALSE),"")</f>
        <v>Electronics</v>
      </c>
      <c r="M1781">
        <f>IFERROR(VLOOKUP(D1781,Products!$A$2:$F$61,4,FALSE),"")</f>
        <v>1149</v>
      </c>
      <c r="N1781" t="str">
        <f>IFERROR(VLOOKUP(E1781,Sales_Reps!$A$2:$E$31,3,FALSE),"")</f>
        <v>East</v>
      </c>
      <c r="O1781" t="str">
        <f>IFERROR(VLOOKUP(C1781,Customers!$A$2:$F$301,5,FALSE),"")</f>
        <v>Retail</v>
      </c>
      <c r="P1781">
        <f>IFERROR(VLOOKUP(C1781,Customers!$A$2:$F$301,3,FALSE),"")</f>
        <v>22</v>
      </c>
      <c r="Q1781" s="41">
        <f t="shared" si="36"/>
        <v>0.56477272727272732</v>
      </c>
      <c r="R1781" t="str">
        <f>IFERROR(VLOOKUP(C1781,Customers!$A$2:$F$301,1,FALSE),"")</f>
        <v>CUST-0019</v>
      </c>
      <c r="S1781" s="27" t="b">
        <f>IFERROR(VLOOKUP(D1781,Products!$A$2:$F$61,6,FALSE),"")</f>
        <v>1</v>
      </c>
      <c r="BL1781">
        <v>0</v>
      </c>
      <c r="BO1781">
        <v>0</v>
      </c>
      <c r="BP1781">
        <v>0</v>
      </c>
    </row>
    <row r="1782" spans="1:68" x14ac:dyDescent="0.35">
      <c r="A1782" s="26" t="str">
        <f>Orders!A1782</f>
        <v>ORD-01781</v>
      </c>
      <c r="B1782" s="33">
        <f>Orders!B1782</f>
        <v>45504</v>
      </c>
      <c r="C1782" t="str">
        <f>Orders!C1782</f>
        <v>CUST-0276</v>
      </c>
      <c r="D1782" t="str">
        <f>Orders!D1782</f>
        <v>PROD-035</v>
      </c>
      <c r="E1782" t="str">
        <f>Orders!E1782</f>
        <v>R020</v>
      </c>
      <c r="F1782">
        <f>Orders!F1782</f>
        <v>1</v>
      </c>
      <c r="G1782" s="35">
        <f>Orders!G1782</f>
        <v>1090</v>
      </c>
      <c r="H1782" s="37">
        <f>Orders!H1782</f>
        <v>21.6</v>
      </c>
      <c r="I1782" s="39">
        <f>Orders!I1782</f>
        <v>854.56</v>
      </c>
      <c r="J1782" t="str">
        <f>Orders!J1782</f>
        <v>Cancelled</v>
      </c>
      <c r="K1782" t="str">
        <f>Orders!K1782</f>
        <v>Chennai</v>
      </c>
      <c r="L1782" t="str">
        <f>IFERROR(VLOOKUP(D1782,Products!$A$2:$F$61,3,FALSE),"")</f>
        <v>Home</v>
      </c>
      <c r="M1782">
        <f>IFERROR(VLOOKUP(D1782,Products!$A$2:$F$61,4,FALSE),"")</f>
        <v>464</v>
      </c>
      <c r="N1782" t="str">
        <f>IFERROR(VLOOKUP(E1782,Sales_Reps!$A$2:$E$31,3,FALSE),"")</f>
        <v>East</v>
      </c>
      <c r="O1782" t="str">
        <f>IFERROR(VLOOKUP(C1782,Customers!$A$2:$F$301,5,FALSE),"")</f>
        <v>Retail</v>
      </c>
      <c r="P1782">
        <f>IFERROR(VLOOKUP(C1782,Customers!$A$2:$F$301,3,FALSE),"")</f>
        <v>26</v>
      </c>
      <c r="Q1782" s="41">
        <f t="shared" si="36"/>
        <v>0.57431192660550456</v>
      </c>
      <c r="R1782" t="str">
        <f>IFERROR(VLOOKUP(C1782,Customers!$A$2:$F$301,1,FALSE),"")</f>
        <v>CUST-0276</v>
      </c>
      <c r="S1782" s="27" t="b">
        <f>IFERROR(VLOOKUP(D1782,Products!$A$2:$F$61,6,FALSE),"")</f>
        <v>1</v>
      </c>
      <c r="BL1782">
        <v>0</v>
      </c>
      <c r="BO1782">
        <v>0</v>
      </c>
      <c r="BP1782">
        <v>0</v>
      </c>
    </row>
    <row r="1783" spans="1:68" x14ac:dyDescent="0.35">
      <c r="A1783" s="26" t="str">
        <f>Orders!A1783</f>
        <v>ORD-01782</v>
      </c>
      <c r="B1783" s="33">
        <f>Orders!B1783</f>
        <v>45606</v>
      </c>
      <c r="C1783" t="str">
        <f>Orders!C1783</f>
        <v>CUST-0076</v>
      </c>
      <c r="D1783" t="str">
        <f>Orders!D1783</f>
        <v>PROD-043</v>
      </c>
      <c r="E1783" t="str">
        <f>Orders!E1783</f>
        <v>R002</v>
      </c>
      <c r="F1783">
        <f>Orders!F1783</f>
        <v>10</v>
      </c>
      <c r="G1783" s="35">
        <f>Orders!G1783</f>
        <v>3350</v>
      </c>
      <c r="H1783" s="37">
        <f>Orders!H1783</f>
        <v>12.1</v>
      </c>
      <c r="I1783" s="39">
        <f>Orders!I1783</f>
        <v>29446.5</v>
      </c>
      <c r="J1783" t="str">
        <f>Orders!J1783</f>
        <v>Completed</v>
      </c>
      <c r="K1783" t="str">
        <f>Orders!K1783</f>
        <v>Mumbai</v>
      </c>
      <c r="L1783" t="str">
        <f>IFERROR(VLOOKUP(D1783,Products!$A$2:$F$61,3,FALSE),"")</f>
        <v>Beauty</v>
      </c>
      <c r="M1783">
        <f>IFERROR(VLOOKUP(D1783,Products!$A$2:$F$61,4,FALSE),"")</f>
        <v>1728</v>
      </c>
      <c r="N1783" t="str">
        <f>IFERROR(VLOOKUP(E1783,Sales_Reps!$A$2:$E$31,3,FALSE),"")</f>
        <v>North</v>
      </c>
      <c r="O1783" t="str">
        <f>IFERROR(VLOOKUP(C1783,Customers!$A$2:$F$301,5,FALSE),"")</f>
        <v>Retail</v>
      </c>
      <c r="P1783">
        <f>IFERROR(VLOOKUP(C1783,Customers!$A$2:$F$301,3,FALSE),"")</f>
        <v>38</v>
      </c>
      <c r="Q1783" s="41">
        <f t="shared" si="36"/>
        <v>0.48417910447761192</v>
      </c>
      <c r="R1783" t="str">
        <f>IFERROR(VLOOKUP(C1783,Customers!$A$2:$F$301,1,FALSE),"")</f>
        <v>CUST-0076</v>
      </c>
      <c r="S1783" s="27" t="b">
        <f>IFERROR(VLOOKUP(D1783,Products!$A$2:$F$61,6,FALSE),"")</f>
        <v>1</v>
      </c>
      <c r="BL1783">
        <v>0</v>
      </c>
      <c r="BO1783">
        <v>0</v>
      </c>
      <c r="BP1783">
        <v>0</v>
      </c>
    </row>
    <row r="1784" spans="1:68" x14ac:dyDescent="0.35">
      <c r="A1784" s="26" t="str">
        <f>Orders!A1784</f>
        <v>ORD-01783</v>
      </c>
      <c r="B1784" s="33">
        <f>Orders!B1784</f>
        <v>45562</v>
      </c>
      <c r="C1784" t="str">
        <f>Orders!C1784</f>
        <v>CUST-0085</v>
      </c>
      <c r="D1784" t="str">
        <f>Orders!D1784</f>
        <v>PROD-050</v>
      </c>
      <c r="E1784" t="str">
        <f>Orders!E1784</f>
        <v>R015</v>
      </c>
      <c r="F1784">
        <f>Orders!F1784</f>
        <v>4</v>
      </c>
      <c r="G1784" s="35">
        <f>Orders!G1784</f>
        <v>6080</v>
      </c>
      <c r="H1784" s="37">
        <f>Orders!H1784</f>
        <v>26.7</v>
      </c>
      <c r="I1784" s="39">
        <f>Orders!I1784</f>
        <v>17826.560000000001</v>
      </c>
      <c r="J1784" t="str">
        <f>Orders!J1784</f>
        <v>Cancelled</v>
      </c>
      <c r="K1784" t="str">
        <f>Orders!K1784</f>
        <v>Chennai</v>
      </c>
      <c r="L1784" t="str">
        <f>IFERROR(VLOOKUP(D1784,Products!$A$2:$F$61,3,FALSE),"")</f>
        <v>Beauty</v>
      </c>
      <c r="M1784">
        <f>IFERROR(VLOOKUP(D1784,Products!$A$2:$F$61,4,FALSE),"")</f>
        <v>2617</v>
      </c>
      <c r="N1784" t="str">
        <f>IFERROR(VLOOKUP(E1784,Sales_Reps!$A$2:$E$31,3,FALSE),"")</f>
        <v>South</v>
      </c>
      <c r="O1784" t="str">
        <f>IFERROR(VLOOKUP(C1784,Customers!$A$2:$F$301,5,FALSE),"")</f>
        <v>Retail</v>
      </c>
      <c r="P1784">
        <f>IFERROR(VLOOKUP(C1784,Customers!$A$2:$F$301,3,FALSE),"")</f>
        <v>26</v>
      </c>
      <c r="Q1784" s="41">
        <f t="shared" si="36"/>
        <v>0.56957236842105263</v>
      </c>
      <c r="R1784" t="str">
        <f>IFERROR(VLOOKUP(C1784,Customers!$A$2:$F$301,1,FALSE),"")</f>
        <v>CUST-0085</v>
      </c>
      <c r="S1784" s="27" t="b">
        <f>IFERROR(VLOOKUP(D1784,Products!$A$2:$F$61,6,FALSE),"")</f>
        <v>1</v>
      </c>
      <c r="BL1784">
        <v>0</v>
      </c>
      <c r="BO1784">
        <v>0</v>
      </c>
      <c r="BP1784">
        <v>0</v>
      </c>
    </row>
    <row r="1785" spans="1:68" x14ac:dyDescent="0.35">
      <c r="A1785" s="26" t="str">
        <f>Orders!A1785</f>
        <v>ORD-01784</v>
      </c>
      <c r="B1785" s="33">
        <f>Orders!B1785</f>
        <v>45372</v>
      </c>
      <c r="C1785" t="str">
        <f>Orders!C1785</f>
        <v>CUST-0245</v>
      </c>
      <c r="D1785" t="str">
        <f>Orders!D1785</f>
        <v>PROD-049</v>
      </c>
      <c r="E1785" t="str">
        <f>Orders!E1785</f>
        <v>R002</v>
      </c>
      <c r="F1785">
        <f>Orders!F1785</f>
        <v>3</v>
      </c>
      <c r="G1785" s="35">
        <f>Orders!G1785</f>
        <v>960</v>
      </c>
      <c r="H1785" s="37">
        <f>Orders!H1785</f>
        <v>13.2</v>
      </c>
      <c r="I1785" s="39">
        <f>Orders!I1785</f>
        <v>2499.84</v>
      </c>
      <c r="J1785" t="str">
        <f>Orders!J1785</f>
        <v>Completed</v>
      </c>
      <c r="K1785" t="str">
        <f>Orders!K1785</f>
        <v>Hyderabad</v>
      </c>
      <c r="L1785" t="str">
        <f>IFERROR(VLOOKUP(D1785,Products!$A$2:$F$61,3,FALSE),"")</f>
        <v>Beauty</v>
      </c>
      <c r="M1785">
        <f>IFERROR(VLOOKUP(D1785,Products!$A$2:$F$61,4,FALSE),"")</f>
        <v>675</v>
      </c>
      <c r="N1785" t="str">
        <f>IFERROR(VLOOKUP(E1785,Sales_Reps!$A$2:$E$31,3,FALSE),"")</f>
        <v>North</v>
      </c>
      <c r="O1785" t="str">
        <f>IFERROR(VLOOKUP(C1785,Customers!$A$2:$F$301,5,FALSE),"")</f>
        <v>Retail</v>
      </c>
      <c r="P1785">
        <f>IFERROR(VLOOKUP(C1785,Customers!$A$2:$F$301,3,FALSE),"")</f>
        <v>65</v>
      </c>
      <c r="Q1785" s="41">
        <f t="shared" si="36"/>
        <v>0.296875</v>
      </c>
      <c r="R1785" t="str">
        <f>IFERROR(VLOOKUP(C1785,Customers!$A$2:$F$301,1,FALSE),"")</f>
        <v>CUST-0245</v>
      </c>
      <c r="S1785" s="27" t="b">
        <f>IFERROR(VLOOKUP(D1785,Products!$A$2:$F$61,6,FALSE),"")</f>
        <v>1</v>
      </c>
      <c r="BL1785">
        <v>0</v>
      </c>
      <c r="BO1785">
        <v>0</v>
      </c>
      <c r="BP1785">
        <v>0</v>
      </c>
    </row>
    <row r="1786" spans="1:68" x14ac:dyDescent="0.35">
      <c r="A1786" s="26" t="str">
        <f>Orders!A1786</f>
        <v>ORD-01785</v>
      </c>
      <c r="B1786" s="33">
        <f>Orders!B1786</f>
        <v>45610</v>
      </c>
      <c r="C1786" t="str">
        <f>Orders!C1786</f>
        <v>CUST-0135</v>
      </c>
      <c r="D1786" t="str">
        <f>Orders!D1786</f>
        <v>PROD-028</v>
      </c>
      <c r="E1786" t="str">
        <f>Orders!E1786</f>
        <v>R007</v>
      </c>
      <c r="F1786">
        <f>Orders!F1786</f>
        <v>9</v>
      </c>
      <c r="G1786" s="35">
        <f>Orders!G1786</f>
        <v>3660</v>
      </c>
      <c r="H1786" s="37">
        <f>Orders!H1786</f>
        <v>9.3000000000000007</v>
      </c>
      <c r="I1786" s="39">
        <f>Orders!I1786</f>
        <v>29876.58</v>
      </c>
      <c r="J1786" t="str">
        <f>Orders!J1786</f>
        <v>Cancelled</v>
      </c>
      <c r="K1786" t="str">
        <f>Orders!K1786</f>
        <v>Pune</v>
      </c>
      <c r="L1786" t="str">
        <f>IFERROR(VLOOKUP(D1786,Products!$A$2:$F$61,3,FALSE),"")</f>
        <v>Grocery</v>
      </c>
      <c r="M1786">
        <f>IFERROR(VLOOKUP(D1786,Products!$A$2:$F$61,4,FALSE),"")</f>
        <v>2214</v>
      </c>
      <c r="N1786" t="str">
        <f>IFERROR(VLOOKUP(E1786,Sales_Reps!$A$2:$E$31,3,FALSE),"")</f>
        <v>North</v>
      </c>
      <c r="O1786" t="str">
        <f>IFERROR(VLOOKUP(C1786,Customers!$A$2:$F$301,5,FALSE),"")</f>
        <v>SMB</v>
      </c>
      <c r="P1786">
        <f>IFERROR(VLOOKUP(C1786,Customers!$A$2:$F$301,3,FALSE),"")</f>
        <v>24</v>
      </c>
      <c r="Q1786" s="41">
        <f t="shared" si="36"/>
        <v>0.39508196721311473</v>
      </c>
      <c r="R1786" t="str">
        <f>IFERROR(VLOOKUP(C1786,Customers!$A$2:$F$301,1,FALSE),"")</f>
        <v>CUST-0135</v>
      </c>
      <c r="S1786" s="27" t="b">
        <f>IFERROR(VLOOKUP(D1786,Products!$A$2:$F$61,6,FALSE),"")</f>
        <v>0</v>
      </c>
      <c r="BL1786">
        <v>0</v>
      </c>
      <c r="BO1786">
        <v>0</v>
      </c>
      <c r="BP1786">
        <v>1</v>
      </c>
    </row>
    <row r="1787" spans="1:68" x14ac:dyDescent="0.35">
      <c r="A1787" s="26" t="str">
        <f>Orders!A1787</f>
        <v>ORD-01786</v>
      </c>
      <c r="B1787" s="33">
        <f>Orders!B1787</f>
        <v>45388</v>
      </c>
      <c r="C1787" t="str">
        <f>Orders!C1787</f>
        <v>CUST-0224</v>
      </c>
      <c r="D1787" t="str">
        <f>Orders!D1787</f>
        <v>PROD-047</v>
      </c>
      <c r="E1787" t="str">
        <f>Orders!E1787</f>
        <v>R019</v>
      </c>
      <c r="F1787">
        <f>Orders!F1787</f>
        <v>6</v>
      </c>
      <c r="G1787" s="35">
        <f>Orders!G1787</f>
        <v>3450</v>
      </c>
      <c r="H1787" s="37">
        <f>Orders!H1787</f>
        <v>8.1999999999999993</v>
      </c>
      <c r="I1787" s="39">
        <f>Orders!I1787</f>
        <v>19002.599999999999</v>
      </c>
      <c r="J1787" t="str">
        <f>Orders!J1787</f>
        <v>Completed</v>
      </c>
      <c r="K1787" t="str">
        <f>Orders!K1787</f>
        <v>Chennai</v>
      </c>
      <c r="L1787" t="str">
        <f>IFERROR(VLOOKUP(D1787,Products!$A$2:$F$61,3,FALSE),"")</f>
        <v>Beauty</v>
      </c>
      <c r="M1787">
        <f>IFERROR(VLOOKUP(D1787,Products!$A$2:$F$61,4,FALSE),"")</f>
        <v>2420</v>
      </c>
      <c r="N1787" t="str">
        <f>IFERROR(VLOOKUP(E1787,Sales_Reps!$A$2:$E$31,3,FALSE),"")</f>
        <v>East</v>
      </c>
      <c r="O1787" t="str">
        <f>IFERROR(VLOOKUP(C1787,Customers!$A$2:$F$301,5,FALSE),"")</f>
        <v>Corporate</v>
      </c>
      <c r="P1787">
        <f>IFERROR(VLOOKUP(C1787,Customers!$A$2:$F$301,3,FALSE),"")</f>
        <v>24</v>
      </c>
      <c r="Q1787" s="41">
        <f t="shared" si="36"/>
        <v>0.29855072463768118</v>
      </c>
      <c r="R1787" t="str">
        <f>IFERROR(VLOOKUP(C1787,Customers!$A$2:$F$301,1,FALSE),"")</f>
        <v>CUST-0224</v>
      </c>
      <c r="S1787" s="27" t="b">
        <f>IFERROR(VLOOKUP(D1787,Products!$A$2:$F$61,6,FALSE),"")</f>
        <v>1</v>
      </c>
      <c r="BL1787">
        <v>0</v>
      </c>
      <c r="BO1787">
        <v>0</v>
      </c>
      <c r="BP1787">
        <v>0</v>
      </c>
    </row>
    <row r="1788" spans="1:68" x14ac:dyDescent="0.35">
      <c r="A1788" s="26" t="str">
        <f>Orders!A1788</f>
        <v>ORD-01787</v>
      </c>
      <c r="B1788" s="33">
        <f>Orders!B1788</f>
        <v>45421</v>
      </c>
      <c r="C1788" t="str">
        <f>Orders!C1788</f>
        <v>CUST-0036</v>
      </c>
      <c r="D1788" t="str">
        <f>Orders!D1788</f>
        <v>PROD-039</v>
      </c>
      <c r="E1788" t="str">
        <f>Orders!E1788</f>
        <v>R020</v>
      </c>
      <c r="F1788">
        <f>Orders!F1788</f>
        <v>7</v>
      </c>
      <c r="G1788" s="35">
        <f>Orders!G1788</f>
        <v>4610</v>
      </c>
      <c r="H1788" s="37">
        <f>Orders!H1788</f>
        <v>10.4</v>
      </c>
      <c r="I1788" s="39">
        <f>Orders!I1788</f>
        <v>28913.919999999998</v>
      </c>
      <c r="J1788" t="str">
        <f>Orders!J1788</f>
        <v>Completed</v>
      </c>
      <c r="K1788" t="str">
        <f>Orders!K1788</f>
        <v>Mumbai</v>
      </c>
      <c r="L1788" t="str">
        <f>IFERROR(VLOOKUP(D1788,Products!$A$2:$F$61,3,FALSE),"")</f>
        <v>Home</v>
      </c>
      <c r="M1788">
        <f>IFERROR(VLOOKUP(D1788,Products!$A$2:$F$61,4,FALSE),"")</f>
        <v>1850</v>
      </c>
      <c r="N1788" t="str">
        <f>IFERROR(VLOOKUP(E1788,Sales_Reps!$A$2:$E$31,3,FALSE),"")</f>
        <v>East</v>
      </c>
      <c r="O1788" t="str">
        <f>IFERROR(VLOOKUP(C1788,Customers!$A$2:$F$301,5,FALSE),"")</f>
        <v>Retail</v>
      </c>
      <c r="P1788">
        <f>IFERROR(VLOOKUP(C1788,Customers!$A$2:$F$301,3,FALSE),"")</f>
        <v>35</v>
      </c>
      <c r="Q1788" s="41">
        <f t="shared" si="36"/>
        <v>0.59869848156182215</v>
      </c>
      <c r="R1788" t="str">
        <f>IFERROR(VLOOKUP(C1788,Customers!$A$2:$F$301,1,FALSE),"")</f>
        <v>CUST-0036</v>
      </c>
      <c r="S1788" s="27" t="b">
        <f>IFERROR(VLOOKUP(D1788,Products!$A$2:$F$61,6,FALSE),"")</f>
        <v>1</v>
      </c>
      <c r="BL1788">
        <v>0</v>
      </c>
      <c r="BO1788">
        <v>0</v>
      </c>
      <c r="BP1788">
        <v>0</v>
      </c>
    </row>
    <row r="1789" spans="1:68" x14ac:dyDescent="0.35">
      <c r="A1789" s="26" t="str">
        <f>Orders!A1789</f>
        <v>ORD-01788</v>
      </c>
      <c r="B1789" s="33">
        <f>Orders!B1789</f>
        <v>45529</v>
      </c>
      <c r="C1789" t="str">
        <f>Orders!C1789</f>
        <v>CUST-0197</v>
      </c>
      <c r="D1789" t="str">
        <f>Orders!D1789</f>
        <v>PROD-057</v>
      </c>
      <c r="E1789" t="str">
        <f>Orders!E1789</f>
        <v>R009</v>
      </c>
      <c r="F1789">
        <f>Orders!F1789</f>
        <v>2</v>
      </c>
      <c r="G1789" s="35">
        <f>Orders!G1789</f>
        <v>960</v>
      </c>
      <c r="H1789" s="37">
        <f>Orders!H1789</f>
        <v>16.5</v>
      </c>
      <c r="I1789" s="39">
        <f>Orders!I1789</f>
        <v>1603.2</v>
      </c>
      <c r="J1789" t="str">
        <f>Orders!J1789</f>
        <v>Completed</v>
      </c>
      <c r="K1789" t="str">
        <f>Orders!K1789</f>
        <v>Bengaluru</v>
      </c>
      <c r="L1789" t="str">
        <f>IFERROR(VLOOKUP(D1789,Products!$A$2:$F$61,3,FALSE),"")</f>
        <v>Sports</v>
      </c>
      <c r="M1789">
        <f>IFERROR(VLOOKUP(D1789,Products!$A$2:$F$61,4,FALSE),"")</f>
        <v>705</v>
      </c>
      <c r="N1789" t="str">
        <f>IFERROR(VLOOKUP(E1789,Sales_Reps!$A$2:$E$31,3,FALSE),"")</f>
        <v>South</v>
      </c>
      <c r="O1789" t="str">
        <f>IFERROR(VLOOKUP(C1789,Customers!$A$2:$F$301,5,FALSE),"")</f>
        <v>Retail</v>
      </c>
      <c r="P1789">
        <f>IFERROR(VLOOKUP(C1789,Customers!$A$2:$F$301,3,FALSE),"")</f>
        <v>55</v>
      </c>
      <c r="Q1789" s="41">
        <f t="shared" si="36"/>
        <v>0.265625</v>
      </c>
      <c r="R1789" t="str">
        <f>IFERROR(VLOOKUP(C1789,Customers!$A$2:$F$301,1,FALSE),"")</f>
        <v>CUST-0197</v>
      </c>
      <c r="S1789" s="27" t="b">
        <f>IFERROR(VLOOKUP(D1789,Products!$A$2:$F$61,6,FALSE),"")</f>
        <v>1</v>
      </c>
      <c r="BL1789">
        <v>0</v>
      </c>
      <c r="BO1789">
        <v>0</v>
      </c>
      <c r="BP1789">
        <v>0</v>
      </c>
    </row>
    <row r="1790" spans="1:68" x14ac:dyDescent="0.35">
      <c r="A1790" s="26" t="str">
        <f>Orders!A1790</f>
        <v>ORD-01789</v>
      </c>
      <c r="B1790" s="33">
        <f>Orders!B1790</f>
        <v>45553</v>
      </c>
      <c r="C1790" t="str">
        <f>Orders!C1790</f>
        <v>CUST-0111</v>
      </c>
      <c r="D1790" t="str">
        <f>Orders!D1790</f>
        <v>PROD-032</v>
      </c>
      <c r="E1790" t="str">
        <f>Orders!E1790</f>
        <v>R023</v>
      </c>
      <c r="F1790">
        <f>Orders!F1790</f>
        <v>7</v>
      </c>
      <c r="G1790" s="35">
        <f>Orders!G1790</f>
        <v>370</v>
      </c>
      <c r="H1790" s="37">
        <f>Orders!H1790</f>
        <v>1.4</v>
      </c>
      <c r="I1790" s="39">
        <f>Orders!I1790</f>
        <v>2553.7399999999998</v>
      </c>
      <c r="J1790" t="str">
        <f>Orders!J1790</f>
        <v>Refunded</v>
      </c>
      <c r="K1790" t="str">
        <f>Orders!K1790</f>
        <v>Chennai</v>
      </c>
      <c r="L1790" t="str">
        <f>IFERROR(VLOOKUP(D1790,Products!$A$2:$F$61,3,FALSE),"")</f>
        <v>Home</v>
      </c>
      <c r="M1790">
        <f>IFERROR(VLOOKUP(D1790,Products!$A$2:$F$61,4,FALSE),"")</f>
        <v>288</v>
      </c>
      <c r="N1790" t="str">
        <f>IFERROR(VLOOKUP(E1790,Sales_Reps!$A$2:$E$31,3,FALSE),"")</f>
        <v>East</v>
      </c>
      <c r="O1790" t="str">
        <f>IFERROR(VLOOKUP(C1790,Customers!$A$2:$F$301,5,FALSE),"")</f>
        <v>SMB</v>
      </c>
      <c r="P1790">
        <f>IFERROR(VLOOKUP(C1790,Customers!$A$2:$F$301,3,FALSE),"")</f>
        <v>64</v>
      </c>
      <c r="Q1790" s="41">
        <f t="shared" si="36"/>
        <v>0.22162162162162163</v>
      </c>
      <c r="R1790" t="str">
        <f>IFERROR(VLOOKUP(C1790,Customers!$A$2:$F$301,1,FALSE),"")</f>
        <v>CUST-0111</v>
      </c>
      <c r="S1790" s="27" t="b">
        <f>IFERROR(VLOOKUP(D1790,Products!$A$2:$F$61,6,FALSE),"")</f>
        <v>1</v>
      </c>
      <c r="BL1790">
        <v>0</v>
      </c>
      <c r="BO1790">
        <v>0</v>
      </c>
      <c r="BP1790">
        <v>0</v>
      </c>
    </row>
    <row r="1791" spans="1:68" x14ac:dyDescent="0.35">
      <c r="A1791" s="26" t="str">
        <f>Orders!A1791</f>
        <v>ORD-01790</v>
      </c>
      <c r="B1791" s="33">
        <f>Orders!B1791</f>
        <v>45535</v>
      </c>
      <c r="C1791" t="str">
        <f>Orders!C1791</f>
        <v>CUST-0198</v>
      </c>
      <c r="D1791" t="str">
        <f>Orders!D1791</f>
        <v>PROD-024</v>
      </c>
      <c r="E1791" t="str">
        <f>Orders!E1791</f>
        <v>R004</v>
      </c>
      <c r="F1791">
        <f>Orders!F1791</f>
        <v>3</v>
      </c>
      <c r="G1791" s="35">
        <f>Orders!G1791</f>
        <v>2270</v>
      </c>
      <c r="H1791" s="37">
        <f>Orders!H1791</f>
        <v>12.6</v>
      </c>
      <c r="I1791" s="39">
        <f>Orders!I1791</f>
        <v>5951.94</v>
      </c>
      <c r="J1791" t="str">
        <f>Orders!J1791</f>
        <v>Completed</v>
      </c>
      <c r="K1791" t="str">
        <f>Orders!K1791</f>
        <v>Chennai</v>
      </c>
      <c r="L1791" t="str">
        <f>IFERROR(VLOOKUP(D1791,Products!$A$2:$F$61,3,FALSE),"")</f>
        <v>Grocery</v>
      </c>
      <c r="M1791">
        <f>IFERROR(VLOOKUP(D1791,Products!$A$2:$F$61,4,FALSE),"")</f>
        <v>1203</v>
      </c>
      <c r="N1791" t="str">
        <f>IFERROR(VLOOKUP(E1791,Sales_Reps!$A$2:$E$31,3,FALSE),"")</f>
        <v>North</v>
      </c>
      <c r="O1791" t="str">
        <f>IFERROR(VLOOKUP(C1791,Customers!$A$2:$F$301,5,FALSE),"")</f>
        <v>Corporate</v>
      </c>
      <c r="P1791">
        <f>IFERROR(VLOOKUP(C1791,Customers!$A$2:$F$301,3,FALSE),"")</f>
        <v>22</v>
      </c>
      <c r="Q1791" s="41">
        <f t="shared" si="36"/>
        <v>0.47004405286343615</v>
      </c>
      <c r="R1791" t="str">
        <f>IFERROR(VLOOKUP(C1791,Customers!$A$2:$F$301,1,FALSE),"")</f>
        <v>CUST-0198</v>
      </c>
      <c r="S1791" s="27" t="b">
        <f>IFERROR(VLOOKUP(D1791,Products!$A$2:$F$61,6,FALSE),"")</f>
        <v>1</v>
      </c>
      <c r="BL1791">
        <v>0</v>
      </c>
      <c r="BO1791">
        <v>0</v>
      </c>
      <c r="BP1791">
        <v>0</v>
      </c>
    </row>
    <row r="1792" spans="1:68" x14ac:dyDescent="0.35">
      <c r="A1792" s="26" t="str">
        <f>Orders!A1792</f>
        <v>ORD-00268</v>
      </c>
      <c r="B1792" s="33">
        <f>Orders!B1792</f>
        <v>45301</v>
      </c>
      <c r="C1792" t="str">
        <f>Orders!C1792</f>
        <v>CUST-0049</v>
      </c>
      <c r="D1792" t="str">
        <f>Orders!D1792</f>
        <v>PROD-036</v>
      </c>
      <c r="E1792" t="str">
        <f>Orders!E1792</f>
        <v>R014</v>
      </c>
      <c r="F1792">
        <f>Orders!F1792</f>
        <v>1</v>
      </c>
      <c r="G1792" s="35">
        <f>Orders!G1792</f>
        <v>3250</v>
      </c>
      <c r="H1792" s="37">
        <f>Orders!H1792</f>
        <v>17.8</v>
      </c>
      <c r="I1792" s="39">
        <f>Orders!I1792</f>
        <v>2671.5</v>
      </c>
      <c r="J1792" t="str">
        <f>Orders!J1792</f>
        <v>Completed</v>
      </c>
      <c r="K1792" t="str">
        <f>Orders!K1792</f>
        <v>Mumbai</v>
      </c>
      <c r="L1792" t="str">
        <f>IFERROR(VLOOKUP(D1792,Products!$A$2:$F$61,3,FALSE),"")</f>
        <v>Home</v>
      </c>
      <c r="M1792">
        <f>IFERROR(VLOOKUP(D1792,Products!$A$2:$F$61,4,FALSE),"")</f>
        <v>1556</v>
      </c>
      <c r="N1792" t="str">
        <f>IFERROR(VLOOKUP(E1792,Sales_Reps!$A$2:$E$31,3,FALSE),"")</f>
        <v>South</v>
      </c>
      <c r="O1792" t="str">
        <f>IFERROR(VLOOKUP(C1792,Customers!$A$2:$F$301,5,FALSE),"")</f>
        <v>Corporate</v>
      </c>
      <c r="P1792">
        <f>IFERROR(VLOOKUP(C1792,Customers!$A$2:$F$301,3,FALSE),"")</f>
        <v>42</v>
      </c>
      <c r="Q1792" s="41">
        <f t="shared" si="36"/>
        <v>0.52123076923076928</v>
      </c>
      <c r="R1792" t="str">
        <f>IFERROR(VLOOKUP(C1792,Customers!$A$2:$F$301,1,FALSE),"")</f>
        <v>CUST-0049</v>
      </c>
      <c r="S1792" s="27" t="b">
        <f>IFERROR(VLOOKUP(D1792,Products!$A$2:$F$61,6,FALSE),"")</f>
        <v>1</v>
      </c>
      <c r="BL1792">
        <v>0.5</v>
      </c>
      <c r="BO1792">
        <v>0</v>
      </c>
      <c r="BP1792">
        <v>0</v>
      </c>
    </row>
    <row r="1793" spans="1:68" x14ac:dyDescent="0.35">
      <c r="A1793" s="26" t="str">
        <f>Orders!A1793</f>
        <v>ORD-01792</v>
      </c>
      <c r="B1793" s="33">
        <f>Orders!B1793</f>
        <v>45404</v>
      </c>
      <c r="C1793" t="str">
        <f>Orders!C1793</f>
        <v>CUST-0029</v>
      </c>
      <c r="D1793" t="str">
        <f>Orders!D1793</f>
        <v>PROD-016</v>
      </c>
      <c r="E1793" t="str">
        <f>Orders!E1793</f>
        <v>R018</v>
      </c>
      <c r="F1793">
        <f>Orders!F1793</f>
        <v>5</v>
      </c>
      <c r="G1793" s="35">
        <f>Orders!G1793</f>
        <v>620</v>
      </c>
      <c r="H1793" s="37">
        <f>Orders!H1793</f>
        <v>19.399999999999999</v>
      </c>
      <c r="I1793" s="39">
        <f>Orders!I1793</f>
        <v>2498.6</v>
      </c>
      <c r="J1793" t="str">
        <f>Orders!J1793</f>
        <v>Pending</v>
      </c>
      <c r="K1793" t="str">
        <f>Orders!K1793</f>
        <v>Chennai</v>
      </c>
      <c r="L1793" t="str">
        <f>IFERROR(VLOOKUP(D1793,Products!$A$2:$F$61,3,FALSE),"")</f>
        <v>Apparel</v>
      </c>
      <c r="M1793">
        <f>IFERROR(VLOOKUP(D1793,Products!$A$2:$F$61,4,FALSE),"")</f>
        <v>396</v>
      </c>
      <c r="N1793" t="str">
        <f>IFERROR(VLOOKUP(E1793,Sales_Reps!$A$2:$E$31,3,FALSE),"")</f>
        <v>East</v>
      </c>
      <c r="O1793" t="str">
        <f>IFERROR(VLOOKUP(C1793,Customers!$A$2:$F$301,5,FALSE),"")</f>
        <v>Corporate</v>
      </c>
      <c r="P1793">
        <f>IFERROR(VLOOKUP(C1793,Customers!$A$2:$F$301,3,FALSE),"")</f>
        <v>54</v>
      </c>
      <c r="Q1793" s="41">
        <f t="shared" si="36"/>
        <v>0.36129032258064514</v>
      </c>
      <c r="R1793" t="str">
        <f>IFERROR(VLOOKUP(C1793,Customers!$A$2:$F$301,1,FALSE),"")</f>
        <v>CUST-0029</v>
      </c>
      <c r="S1793" s="27" t="b">
        <f>IFERROR(VLOOKUP(D1793,Products!$A$2:$F$61,6,FALSE),"")</f>
        <v>1</v>
      </c>
      <c r="BL1793">
        <v>0</v>
      </c>
      <c r="BO1793">
        <v>0</v>
      </c>
      <c r="BP1793">
        <v>0</v>
      </c>
    </row>
    <row r="1794" spans="1:68" x14ac:dyDescent="0.35">
      <c r="A1794" s="26" t="str">
        <f>Orders!A1794</f>
        <v>ORD-01793</v>
      </c>
      <c r="B1794" s="33">
        <f>Orders!B1794</f>
        <v>45600</v>
      </c>
      <c r="C1794" t="str">
        <f>Orders!C1794</f>
        <v>CUST-0018</v>
      </c>
      <c r="D1794" t="str">
        <f>Orders!D1794</f>
        <v>PROD-008</v>
      </c>
      <c r="E1794" t="str">
        <f>Orders!E1794</f>
        <v>R005</v>
      </c>
      <c r="F1794">
        <f>Orders!F1794</f>
        <v>6</v>
      </c>
      <c r="G1794" s="35">
        <f>Orders!G1794</f>
        <v>2660</v>
      </c>
      <c r="H1794" s="37">
        <f>Orders!H1794</f>
        <v>14.9</v>
      </c>
      <c r="I1794" s="39">
        <f>Orders!I1794</f>
        <v>13581.96</v>
      </c>
      <c r="J1794" t="str">
        <f>Orders!J1794</f>
        <v>Completed</v>
      </c>
      <c r="K1794" t="str">
        <f>Orders!K1794</f>
        <v>Pune</v>
      </c>
      <c r="L1794" t="str">
        <f>IFERROR(VLOOKUP(D1794,Products!$A$2:$F$61,3,FALSE),"")</f>
        <v>Electronics</v>
      </c>
      <c r="M1794">
        <f>IFERROR(VLOOKUP(D1794,Products!$A$2:$F$61,4,FALSE),"")</f>
        <v>1259</v>
      </c>
      <c r="N1794" t="str">
        <f>IFERROR(VLOOKUP(E1794,Sales_Reps!$A$2:$E$31,3,FALSE),"")</f>
        <v>North</v>
      </c>
      <c r="O1794" t="str">
        <f>IFERROR(VLOOKUP(C1794,Customers!$A$2:$F$301,5,FALSE),"")</f>
        <v>SMB</v>
      </c>
      <c r="P1794">
        <f>IFERROR(VLOOKUP(C1794,Customers!$A$2:$F$301,3,FALSE),"")</f>
        <v>54</v>
      </c>
      <c r="Q1794" s="41">
        <f t="shared" ref="Q1794:Q1857" si="37">IFERROR((G1794-M1794)/G1794,0)</f>
        <v>0.52669172932330832</v>
      </c>
      <c r="R1794" t="str">
        <f>IFERROR(VLOOKUP(C1794,Customers!$A$2:$F$301,1,FALSE),"")</f>
        <v>CUST-0018</v>
      </c>
      <c r="S1794" s="27" t="b">
        <f>IFERROR(VLOOKUP(D1794,Products!$A$2:$F$61,6,FALSE),"")</f>
        <v>0</v>
      </c>
      <c r="BL1794">
        <v>0</v>
      </c>
      <c r="BO1794">
        <v>0</v>
      </c>
      <c r="BP1794">
        <v>1</v>
      </c>
    </row>
    <row r="1795" spans="1:68" x14ac:dyDescent="0.35">
      <c r="A1795" s="26" t="str">
        <f>Orders!A1795</f>
        <v>ORD-01794</v>
      </c>
      <c r="B1795" s="33">
        <f>Orders!B1795</f>
        <v>45526</v>
      </c>
      <c r="C1795" t="str">
        <f>Orders!C1795</f>
        <v>CUST-0007</v>
      </c>
      <c r="D1795" t="str">
        <f>Orders!D1795</f>
        <v>PROD-014</v>
      </c>
      <c r="E1795" t="str">
        <f>Orders!E1795</f>
        <v>R001</v>
      </c>
      <c r="F1795">
        <f>Orders!F1795</f>
        <v>5</v>
      </c>
      <c r="G1795" s="35">
        <f>Orders!G1795</f>
        <v>3620</v>
      </c>
      <c r="H1795" s="37">
        <f>Orders!H1795</f>
        <v>21</v>
      </c>
      <c r="I1795" s="39">
        <f>Orders!I1795</f>
        <v>14299</v>
      </c>
      <c r="J1795" t="str">
        <f>Orders!J1795</f>
        <v>Cancelled</v>
      </c>
      <c r="K1795" t="str">
        <f>Orders!K1795</f>
        <v>Bengaluru</v>
      </c>
      <c r="L1795" t="str">
        <f>IFERROR(VLOOKUP(D1795,Products!$A$2:$F$61,3,FALSE),"")</f>
        <v>Apparel</v>
      </c>
      <c r="M1795">
        <f>IFERROR(VLOOKUP(D1795,Products!$A$2:$F$61,4,FALSE),"")</f>
        <v>2509</v>
      </c>
      <c r="N1795" t="str">
        <f>IFERROR(VLOOKUP(E1795,Sales_Reps!$A$2:$E$31,3,FALSE),"")</f>
        <v>North</v>
      </c>
      <c r="O1795" t="str">
        <f>IFERROR(VLOOKUP(C1795,Customers!$A$2:$F$301,5,FALSE),"")</f>
        <v>Retail</v>
      </c>
      <c r="P1795">
        <f>IFERROR(VLOOKUP(C1795,Customers!$A$2:$F$301,3,FALSE),"")</f>
        <v>47</v>
      </c>
      <c r="Q1795" s="41">
        <f t="shared" si="37"/>
        <v>0.3069060773480663</v>
      </c>
      <c r="R1795" t="str">
        <f>IFERROR(VLOOKUP(C1795,Customers!$A$2:$F$301,1,FALSE),"")</f>
        <v>CUST-0007</v>
      </c>
      <c r="S1795" s="27" t="b">
        <f>IFERROR(VLOOKUP(D1795,Products!$A$2:$F$61,6,FALSE),"")</f>
        <v>1</v>
      </c>
      <c r="BL1795">
        <v>0</v>
      </c>
      <c r="BO1795">
        <v>0</v>
      </c>
      <c r="BP1795">
        <v>0</v>
      </c>
    </row>
    <row r="1796" spans="1:68" x14ac:dyDescent="0.35">
      <c r="A1796" s="26" t="str">
        <f>Orders!A1796</f>
        <v>ORD-01795</v>
      </c>
      <c r="B1796" s="33">
        <f>Orders!B1796</f>
        <v>45580</v>
      </c>
      <c r="C1796" t="str">
        <f>Orders!C1796</f>
        <v>CUST-0014</v>
      </c>
      <c r="D1796" t="str">
        <f>Orders!D1796</f>
        <v>PROD-013</v>
      </c>
      <c r="E1796" t="str">
        <f>Orders!E1796</f>
        <v>R021</v>
      </c>
      <c r="F1796">
        <f>Orders!F1796</f>
        <v>1</v>
      </c>
      <c r="G1796" s="35">
        <f>Orders!G1796</f>
        <v>3640</v>
      </c>
      <c r="H1796" s="37">
        <f>Orders!H1796</f>
        <v>15.8</v>
      </c>
      <c r="I1796" s="39">
        <f>Orders!I1796</f>
        <v>3064.88</v>
      </c>
      <c r="J1796" t="str">
        <f>Orders!J1796</f>
        <v>Completed</v>
      </c>
      <c r="K1796" t="str">
        <f>Orders!K1796</f>
        <v>Bengaluru</v>
      </c>
      <c r="L1796" t="str">
        <f>IFERROR(VLOOKUP(D1796,Products!$A$2:$F$61,3,FALSE),"")</f>
        <v>Apparel</v>
      </c>
      <c r="M1796">
        <f>IFERROR(VLOOKUP(D1796,Products!$A$2:$F$61,4,FALSE),"")</f>
        <v>2611</v>
      </c>
      <c r="N1796" t="str">
        <f>IFERROR(VLOOKUP(E1796,Sales_Reps!$A$2:$E$31,3,FALSE),"")</f>
        <v>East</v>
      </c>
      <c r="O1796" t="str">
        <f>IFERROR(VLOOKUP(C1796,Customers!$A$2:$F$301,5,FALSE),"")</f>
        <v>Retail</v>
      </c>
      <c r="P1796">
        <f>IFERROR(VLOOKUP(C1796,Customers!$A$2:$F$301,3,FALSE),"")</f>
        <v>48</v>
      </c>
      <c r="Q1796" s="41">
        <f t="shared" si="37"/>
        <v>0.28269230769230769</v>
      </c>
      <c r="R1796" t="str">
        <f>IFERROR(VLOOKUP(C1796,Customers!$A$2:$F$301,1,FALSE),"")</f>
        <v>CUST-0014</v>
      </c>
      <c r="S1796" s="27" t="b">
        <f>IFERROR(VLOOKUP(D1796,Products!$A$2:$F$61,6,FALSE),"")</f>
        <v>1</v>
      </c>
      <c r="BL1796">
        <v>0</v>
      </c>
      <c r="BO1796">
        <v>0</v>
      </c>
      <c r="BP1796">
        <v>0</v>
      </c>
    </row>
    <row r="1797" spans="1:68" x14ac:dyDescent="0.35">
      <c r="A1797" s="26" t="str">
        <f>Orders!A1797</f>
        <v>ORD-01796</v>
      </c>
      <c r="B1797" s="33">
        <f>Orders!B1797</f>
        <v>45444</v>
      </c>
      <c r="C1797" t="str">
        <f>Orders!C1797</f>
        <v>CUST-0215</v>
      </c>
      <c r="D1797" t="str">
        <f>Orders!D1797</f>
        <v>PROD-009</v>
      </c>
      <c r="E1797" t="str">
        <f>Orders!E1797</f>
        <v>R007</v>
      </c>
      <c r="F1797">
        <f>Orders!F1797</f>
        <v>1</v>
      </c>
      <c r="G1797" s="35">
        <f>Orders!G1797</f>
        <v>1220</v>
      </c>
      <c r="H1797" s="37">
        <f>Orders!H1797</f>
        <v>0.6</v>
      </c>
      <c r="I1797" s="39">
        <f>Orders!I1797</f>
        <v>1212.68</v>
      </c>
      <c r="J1797" t="str">
        <f>Orders!J1797</f>
        <v>Refunded</v>
      </c>
      <c r="K1797" t="str">
        <f>Orders!K1797</f>
        <v>Hyderabad</v>
      </c>
      <c r="L1797" t="str">
        <f>IFERROR(VLOOKUP(D1797,Products!$A$2:$F$61,3,FALSE),"")</f>
        <v>Electronics</v>
      </c>
      <c r="M1797">
        <f>IFERROR(VLOOKUP(D1797,Products!$A$2:$F$61,4,FALSE),"")</f>
        <v>517</v>
      </c>
      <c r="N1797" t="str">
        <f>IFERROR(VLOOKUP(E1797,Sales_Reps!$A$2:$E$31,3,FALSE),"")</f>
        <v>North</v>
      </c>
      <c r="O1797" t="str">
        <f>IFERROR(VLOOKUP(C1797,Customers!$A$2:$F$301,5,FALSE),"")</f>
        <v>Retail</v>
      </c>
      <c r="P1797">
        <f>IFERROR(VLOOKUP(C1797,Customers!$A$2:$F$301,3,FALSE),"")</f>
        <v>52</v>
      </c>
      <c r="Q1797" s="41">
        <f t="shared" si="37"/>
        <v>0.57622950819672136</v>
      </c>
      <c r="R1797" t="str">
        <f>IFERROR(VLOOKUP(C1797,Customers!$A$2:$F$301,1,FALSE),"")</f>
        <v>CUST-0215</v>
      </c>
      <c r="S1797" s="27" t="b">
        <f>IFERROR(VLOOKUP(D1797,Products!$A$2:$F$61,6,FALSE),"")</f>
        <v>1</v>
      </c>
      <c r="BL1797">
        <v>0</v>
      </c>
      <c r="BO1797">
        <v>0</v>
      </c>
      <c r="BP1797">
        <v>0</v>
      </c>
    </row>
    <row r="1798" spans="1:68" x14ac:dyDescent="0.35">
      <c r="A1798" s="26" t="str">
        <f>Orders!A1798</f>
        <v>ORD-01797</v>
      </c>
      <c r="B1798" s="33">
        <f>Orders!B1798</f>
        <v>45350</v>
      </c>
      <c r="C1798" t="str">
        <f>Orders!C1798</f>
        <v>CUST-0056</v>
      </c>
      <c r="D1798" t="str">
        <f>Orders!D1798</f>
        <v>PROD-019</v>
      </c>
      <c r="E1798" t="str">
        <f>Orders!E1798</f>
        <v>R002</v>
      </c>
      <c r="F1798">
        <f>Orders!F1798</f>
        <v>10</v>
      </c>
      <c r="G1798" s="35">
        <f>Orders!G1798</f>
        <v>2480</v>
      </c>
      <c r="H1798" s="37">
        <f>Orders!H1798</f>
        <v>0.6</v>
      </c>
      <c r="I1798" s="39">
        <f>Orders!I1798</f>
        <v>24651.200000000001</v>
      </c>
      <c r="J1798" t="str">
        <f>Orders!J1798</f>
        <v>Completed</v>
      </c>
      <c r="K1798" t="str">
        <f>Orders!K1798</f>
        <v>Bengaluru</v>
      </c>
      <c r="L1798" t="str">
        <f>IFERROR(VLOOKUP(D1798,Products!$A$2:$F$61,3,FALSE),"")</f>
        <v>Apparel</v>
      </c>
      <c r="M1798">
        <f>IFERROR(VLOOKUP(D1798,Products!$A$2:$F$61,4,FALSE),"")</f>
        <v>1173</v>
      </c>
      <c r="N1798" t="str">
        <f>IFERROR(VLOOKUP(E1798,Sales_Reps!$A$2:$E$31,3,FALSE),"")</f>
        <v>North</v>
      </c>
      <c r="O1798" t="str">
        <f>IFERROR(VLOOKUP(C1798,Customers!$A$2:$F$301,5,FALSE),"")</f>
        <v>SMB</v>
      </c>
      <c r="P1798">
        <f>IFERROR(VLOOKUP(C1798,Customers!$A$2:$F$301,3,FALSE),"")</f>
        <v>46</v>
      </c>
      <c r="Q1798" s="41">
        <f t="shared" si="37"/>
        <v>0.52701612903225803</v>
      </c>
      <c r="R1798" t="str">
        <f>IFERROR(VLOOKUP(C1798,Customers!$A$2:$F$301,1,FALSE),"")</f>
        <v>CUST-0056</v>
      </c>
      <c r="S1798" s="27" t="b">
        <f>IFERROR(VLOOKUP(D1798,Products!$A$2:$F$61,6,FALSE),"")</f>
        <v>1</v>
      </c>
      <c r="BL1798">
        <v>0</v>
      </c>
      <c r="BO1798">
        <v>0</v>
      </c>
      <c r="BP1798">
        <v>0</v>
      </c>
    </row>
    <row r="1799" spans="1:68" x14ac:dyDescent="0.35">
      <c r="A1799" s="26" t="str">
        <f>Orders!A1799</f>
        <v>ORD-01798</v>
      </c>
      <c r="B1799" s="33">
        <f>Orders!B1799</f>
        <v>45634</v>
      </c>
      <c r="C1799" t="str">
        <f>Orders!C1799</f>
        <v>CUST-0231</v>
      </c>
      <c r="D1799" t="str">
        <f>Orders!D1799</f>
        <v>PROD-044</v>
      </c>
      <c r="E1799" t="str">
        <f>Orders!E1799</f>
        <v>R027</v>
      </c>
      <c r="F1799">
        <f>Orders!F1799</f>
        <v>9</v>
      </c>
      <c r="G1799" s="35">
        <f>Orders!G1799</f>
        <v>1650</v>
      </c>
      <c r="H1799" s="37">
        <f>Orders!H1799</f>
        <v>26.8</v>
      </c>
      <c r="I1799" s="39">
        <f>Orders!I1799</f>
        <v>10870.2</v>
      </c>
      <c r="J1799" t="str">
        <f>Orders!J1799</f>
        <v>Completed</v>
      </c>
      <c r="K1799" t="str">
        <f>Orders!K1799</f>
        <v>Chennai</v>
      </c>
      <c r="L1799" t="str">
        <f>IFERROR(VLOOKUP(D1799,Products!$A$2:$F$61,3,FALSE),"")</f>
        <v>Beauty</v>
      </c>
      <c r="M1799">
        <f>IFERROR(VLOOKUP(D1799,Products!$A$2:$F$61,4,FALSE),"")</f>
        <v>1222</v>
      </c>
      <c r="N1799" t="str">
        <f>IFERROR(VLOOKUP(E1799,Sales_Reps!$A$2:$E$31,3,FALSE),"")</f>
        <v>West</v>
      </c>
      <c r="O1799" t="str">
        <f>IFERROR(VLOOKUP(C1799,Customers!$A$2:$F$301,5,FALSE),"")</f>
        <v>Retail</v>
      </c>
      <c r="P1799">
        <f>IFERROR(VLOOKUP(C1799,Customers!$A$2:$F$301,3,FALSE),"")</f>
        <v>61</v>
      </c>
      <c r="Q1799" s="41">
        <f t="shared" si="37"/>
        <v>0.2593939393939394</v>
      </c>
      <c r="R1799" t="str">
        <f>IFERROR(VLOOKUP(C1799,Customers!$A$2:$F$301,1,FALSE),"")</f>
        <v>CUST-0231</v>
      </c>
      <c r="S1799" s="27" t="b">
        <f>IFERROR(VLOOKUP(D1799,Products!$A$2:$F$61,6,FALSE),"")</f>
        <v>1</v>
      </c>
      <c r="BL1799">
        <v>0</v>
      </c>
      <c r="BO1799">
        <v>0</v>
      </c>
      <c r="BP1799">
        <v>0</v>
      </c>
    </row>
    <row r="1800" spans="1:68" x14ac:dyDescent="0.35">
      <c r="A1800" s="26" t="str">
        <f>Orders!A1800</f>
        <v>ORD-01799</v>
      </c>
      <c r="B1800" s="33">
        <f>Orders!B1800</f>
        <v>45560</v>
      </c>
      <c r="C1800" t="str">
        <f>Orders!C1800</f>
        <v>CUST-0138</v>
      </c>
      <c r="D1800" t="str">
        <f>Orders!D1800</f>
        <v>PROD-045</v>
      </c>
      <c r="E1800" t="str">
        <f>Orders!E1800</f>
        <v>R008</v>
      </c>
      <c r="F1800">
        <f>Orders!F1800</f>
        <v>10</v>
      </c>
      <c r="G1800" s="35">
        <f>Orders!G1800</f>
        <v>3020</v>
      </c>
      <c r="H1800" s="37">
        <f>Orders!H1800</f>
        <v>2.6</v>
      </c>
      <c r="I1800" s="39">
        <f>Orders!I1800</f>
        <v>29414.799999999999</v>
      </c>
      <c r="J1800" t="str">
        <f>Orders!J1800</f>
        <v>Completed</v>
      </c>
      <c r="K1800" t="str">
        <f>Orders!K1800</f>
        <v>Chennai</v>
      </c>
      <c r="L1800" t="str">
        <f>IFERROR(VLOOKUP(D1800,Products!$A$2:$F$61,3,FALSE),"")</f>
        <v>Beauty</v>
      </c>
      <c r="M1800">
        <f>IFERROR(VLOOKUP(D1800,Products!$A$2:$F$61,4,FALSE),"")</f>
        <v>1626</v>
      </c>
      <c r="N1800" t="str">
        <f>IFERROR(VLOOKUP(E1800,Sales_Reps!$A$2:$E$31,3,FALSE),"")</f>
        <v>North</v>
      </c>
      <c r="O1800" t="str">
        <f>IFERROR(VLOOKUP(C1800,Customers!$A$2:$F$301,5,FALSE),"")</f>
        <v>Retail</v>
      </c>
      <c r="P1800">
        <f>IFERROR(VLOOKUP(C1800,Customers!$A$2:$F$301,3,FALSE),"")</f>
        <v>24</v>
      </c>
      <c r="Q1800" s="41">
        <f t="shared" si="37"/>
        <v>0.46158940397350995</v>
      </c>
      <c r="R1800" t="str">
        <f>IFERROR(VLOOKUP(C1800,Customers!$A$2:$F$301,1,FALSE),"")</f>
        <v>CUST-0138</v>
      </c>
      <c r="S1800" s="27" t="b">
        <f>IFERROR(VLOOKUP(D1800,Products!$A$2:$F$61,6,FALSE),"")</f>
        <v>1</v>
      </c>
      <c r="BL1800">
        <v>0</v>
      </c>
      <c r="BO1800">
        <v>0</v>
      </c>
      <c r="BP1800">
        <v>0</v>
      </c>
    </row>
    <row r="1801" spans="1:68" x14ac:dyDescent="0.35">
      <c r="A1801" s="26" t="str">
        <f>Orders!A1801</f>
        <v>ORD-01800</v>
      </c>
      <c r="B1801" s="33">
        <f>Orders!B1801</f>
        <v>45544</v>
      </c>
      <c r="C1801" t="str">
        <f>Orders!C1801</f>
        <v>CUST-0007</v>
      </c>
      <c r="D1801" t="str">
        <f>Orders!D1801</f>
        <v>PROD-011</v>
      </c>
      <c r="E1801" t="str">
        <f>Orders!E1801</f>
        <v>R014</v>
      </c>
      <c r="F1801">
        <f>Orders!F1801</f>
        <v>5</v>
      </c>
      <c r="G1801" s="35">
        <f>Orders!G1801</f>
        <v>3450</v>
      </c>
      <c r="H1801" s="37">
        <f>Orders!H1801</f>
        <v>25.3</v>
      </c>
      <c r="I1801" s="39">
        <f>Orders!I1801</f>
        <v>12885.75</v>
      </c>
      <c r="J1801" t="str">
        <f>Orders!J1801</f>
        <v>Completed</v>
      </c>
      <c r="K1801" t="str">
        <f>Orders!K1801</f>
        <v>Bengaluru</v>
      </c>
      <c r="L1801" t="str">
        <f>IFERROR(VLOOKUP(D1801,Products!$A$2:$F$61,3,FALSE),"")</f>
        <v>Apparel</v>
      </c>
      <c r="M1801">
        <f>IFERROR(VLOOKUP(D1801,Products!$A$2:$F$61,4,FALSE),"")</f>
        <v>1748</v>
      </c>
      <c r="N1801" t="str">
        <f>IFERROR(VLOOKUP(E1801,Sales_Reps!$A$2:$E$31,3,FALSE),"")</f>
        <v>South</v>
      </c>
      <c r="O1801" t="str">
        <f>IFERROR(VLOOKUP(C1801,Customers!$A$2:$F$301,5,FALSE),"")</f>
        <v>Retail</v>
      </c>
      <c r="P1801">
        <f>IFERROR(VLOOKUP(C1801,Customers!$A$2:$F$301,3,FALSE),"")</f>
        <v>47</v>
      </c>
      <c r="Q1801" s="41">
        <f t="shared" si="37"/>
        <v>0.49333333333333335</v>
      </c>
      <c r="R1801" t="str">
        <f>IFERROR(VLOOKUP(C1801,Customers!$A$2:$F$301,1,FALSE),"")</f>
        <v>CUST-0007</v>
      </c>
      <c r="S1801" s="27" t="b">
        <f>IFERROR(VLOOKUP(D1801,Products!$A$2:$F$61,6,FALSE),"")</f>
        <v>1</v>
      </c>
      <c r="BL1801">
        <v>0</v>
      </c>
      <c r="BO1801">
        <v>0</v>
      </c>
      <c r="BP1801">
        <v>0</v>
      </c>
    </row>
    <row r="1802" spans="1:68" x14ac:dyDescent="0.35">
      <c r="A1802" s="26" t="str">
        <f>Orders!A1802</f>
        <v>ORD-01801</v>
      </c>
      <c r="B1802" s="33">
        <f>Orders!B1802</f>
        <v>45457</v>
      </c>
      <c r="C1802" t="str">
        <f>Orders!C1802</f>
        <v>CUST-0118</v>
      </c>
      <c r="D1802" t="str">
        <f>Orders!D1802</f>
        <v>PROD-009</v>
      </c>
      <c r="E1802" t="str">
        <f>Orders!E1802</f>
        <v>R019</v>
      </c>
      <c r="F1802">
        <f>Orders!F1802</f>
        <v>7</v>
      </c>
      <c r="G1802" s="35">
        <f>Orders!G1802</f>
        <v>1220</v>
      </c>
      <c r="H1802" s="37">
        <f>Orders!H1802</f>
        <v>13.1</v>
      </c>
      <c r="I1802" s="39">
        <f>Orders!I1802</f>
        <v>7421.26</v>
      </c>
      <c r="J1802" t="str">
        <f>Orders!J1802</f>
        <v>Completed</v>
      </c>
      <c r="K1802" t="str">
        <f>Orders!K1802</f>
        <v>Hyderabad</v>
      </c>
      <c r="L1802" t="str">
        <f>IFERROR(VLOOKUP(D1802,Products!$A$2:$F$61,3,FALSE),"")</f>
        <v>Electronics</v>
      </c>
      <c r="M1802">
        <f>IFERROR(VLOOKUP(D1802,Products!$A$2:$F$61,4,FALSE),"")</f>
        <v>517</v>
      </c>
      <c r="N1802" t="str">
        <f>IFERROR(VLOOKUP(E1802,Sales_Reps!$A$2:$E$31,3,FALSE),"")</f>
        <v>East</v>
      </c>
      <c r="O1802" t="str">
        <f>IFERROR(VLOOKUP(C1802,Customers!$A$2:$F$301,5,FALSE),"")</f>
        <v>Retail</v>
      </c>
      <c r="P1802">
        <f>IFERROR(VLOOKUP(C1802,Customers!$A$2:$F$301,3,FALSE),"")</f>
        <v>26</v>
      </c>
      <c r="Q1802" s="41">
        <f t="shared" si="37"/>
        <v>0.57622950819672136</v>
      </c>
      <c r="R1802" t="str">
        <f>IFERROR(VLOOKUP(C1802,Customers!$A$2:$F$301,1,FALSE),"")</f>
        <v>CUST-0118</v>
      </c>
      <c r="S1802" s="27" t="b">
        <f>IFERROR(VLOOKUP(D1802,Products!$A$2:$F$61,6,FALSE),"")</f>
        <v>1</v>
      </c>
      <c r="BL1802">
        <v>0</v>
      </c>
      <c r="BO1802">
        <v>0</v>
      </c>
      <c r="BP1802">
        <v>0</v>
      </c>
    </row>
    <row r="1803" spans="1:68" x14ac:dyDescent="0.35">
      <c r="A1803" s="26" t="str">
        <f>Orders!A1803</f>
        <v>ORD-01802</v>
      </c>
      <c r="B1803" s="33">
        <f>Orders!B1803</f>
        <v>45578</v>
      </c>
      <c r="C1803" t="str">
        <f>Orders!C1803</f>
        <v>CUST-0064</v>
      </c>
      <c r="D1803" t="str">
        <f>Orders!D1803</f>
        <v>PROD-027</v>
      </c>
      <c r="E1803" t="str">
        <f>Orders!E1803</f>
        <v>R005</v>
      </c>
      <c r="F1803">
        <f>Orders!F1803</f>
        <v>10</v>
      </c>
      <c r="G1803" s="35">
        <f>Orders!G1803</f>
        <v>3780</v>
      </c>
      <c r="H1803" s="37">
        <f>Orders!H1803</f>
        <v>23.7</v>
      </c>
      <c r="I1803" s="39">
        <f>Orders!I1803</f>
        <v>28841.4</v>
      </c>
      <c r="J1803" t="str">
        <f>Orders!J1803</f>
        <v>Completed</v>
      </c>
      <c r="K1803" t="str">
        <f>Orders!K1803</f>
        <v>Hyderabad</v>
      </c>
      <c r="L1803" t="str">
        <f>IFERROR(VLOOKUP(D1803,Products!$A$2:$F$61,3,FALSE),"")</f>
        <v>Grocery</v>
      </c>
      <c r="M1803">
        <f>IFERROR(VLOOKUP(D1803,Products!$A$2:$F$61,4,FALSE),"")</f>
        <v>2436</v>
      </c>
      <c r="N1803" t="str">
        <f>IFERROR(VLOOKUP(E1803,Sales_Reps!$A$2:$E$31,3,FALSE),"")</f>
        <v>North</v>
      </c>
      <c r="O1803" t="str">
        <f>IFERROR(VLOOKUP(C1803,Customers!$A$2:$F$301,5,FALSE),"")</f>
        <v>SMB</v>
      </c>
      <c r="P1803">
        <f>IFERROR(VLOOKUP(C1803,Customers!$A$2:$F$301,3,FALSE),"")</f>
        <v>40</v>
      </c>
      <c r="Q1803" s="41">
        <f t="shared" si="37"/>
        <v>0.35555555555555557</v>
      </c>
      <c r="R1803" t="str">
        <f>IFERROR(VLOOKUP(C1803,Customers!$A$2:$F$301,1,FALSE),"")</f>
        <v>CUST-0064</v>
      </c>
      <c r="S1803" s="27" t="b">
        <f>IFERROR(VLOOKUP(D1803,Products!$A$2:$F$61,6,FALSE),"")</f>
        <v>1</v>
      </c>
      <c r="BL1803">
        <v>0</v>
      </c>
      <c r="BO1803">
        <v>0</v>
      </c>
      <c r="BP1803">
        <v>0</v>
      </c>
    </row>
    <row r="1804" spans="1:68" x14ac:dyDescent="0.35">
      <c r="A1804" s="26" t="str">
        <f>Orders!A1804</f>
        <v>ORD-01803</v>
      </c>
      <c r="B1804" s="33">
        <f>Orders!B1804</f>
        <v>45405</v>
      </c>
      <c r="C1804" t="str">
        <f>Orders!C1804</f>
        <v>CUST-0298</v>
      </c>
      <c r="D1804" t="str">
        <f>Orders!D1804</f>
        <v>PROD-008</v>
      </c>
      <c r="E1804" t="str">
        <f>Orders!E1804</f>
        <v>R002</v>
      </c>
      <c r="F1804">
        <f>Orders!F1804</f>
        <v>8</v>
      </c>
      <c r="G1804" s="35">
        <f>Orders!G1804</f>
        <v>2660</v>
      </c>
      <c r="H1804" s="37">
        <f>Orders!H1804</f>
        <v>16.100000000000001</v>
      </c>
      <c r="I1804" s="39">
        <f>Orders!I1804</f>
        <v>17853.919999999998</v>
      </c>
      <c r="J1804" t="str">
        <f>Orders!J1804</f>
        <v>Completed</v>
      </c>
      <c r="K1804" t="str">
        <f>Orders!K1804</f>
        <v>Delhi</v>
      </c>
      <c r="L1804" t="str">
        <f>IFERROR(VLOOKUP(D1804,Products!$A$2:$F$61,3,FALSE),"")</f>
        <v>Electronics</v>
      </c>
      <c r="M1804">
        <f>IFERROR(VLOOKUP(D1804,Products!$A$2:$F$61,4,FALSE),"")</f>
        <v>1259</v>
      </c>
      <c r="N1804" t="str">
        <f>IFERROR(VLOOKUP(E1804,Sales_Reps!$A$2:$E$31,3,FALSE),"")</f>
        <v>North</v>
      </c>
      <c r="O1804" t="str">
        <f>IFERROR(VLOOKUP(C1804,Customers!$A$2:$F$301,5,FALSE),"")</f>
        <v>Retail</v>
      </c>
      <c r="P1804">
        <f>IFERROR(VLOOKUP(C1804,Customers!$A$2:$F$301,3,FALSE),"")</f>
        <v>44</v>
      </c>
      <c r="Q1804" s="41">
        <f t="shared" si="37"/>
        <v>0.52669172932330832</v>
      </c>
      <c r="R1804" t="str">
        <f>IFERROR(VLOOKUP(C1804,Customers!$A$2:$F$301,1,FALSE),"")</f>
        <v>CUST-0298</v>
      </c>
      <c r="S1804" s="27" t="b">
        <f>IFERROR(VLOOKUP(D1804,Products!$A$2:$F$61,6,FALSE),"")</f>
        <v>0</v>
      </c>
      <c r="BL1804">
        <v>0</v>
      </c>
      <c r="BO1804">
        <v>0</v>
      </c>
      <c r="BP1804">
        <v>1</v>
      </c>
    </row>
    <row r="1805" spans="1:68" x14ac:dyDescent="0.35">
      <c r="A1805" s="26" t="str">
        <f>Orders!A1805</f>
        <v>ORD-01804</v>
      </c>
      <c r="B1805" s="33">
        <f>Orders!B1805</f>
        <v>45338</v>
      </c>
      <c r="C1805" t="str">
        <f>Orders!C1805</f>
        <v>CUST-0020</v>
      </c>
      <c r="D1805" t="str">
        <f>Orders!D1805</f>
        <v>PROD-035</v>
      </c>
      <c r="E1805" t="str">
        <f>Orders!E1805</f>
        <v>R008</v>
      </c>
      <c r="F1805">
        <f>Orders!F1805</f>
        <v>6</v>
      </c>
      <c r="G1805" s="35">
        <f>Orders!G1805</f>
        <v>1090</v>
      </c>
      <c r="H1805" s="37">
        <f>Orders!H1805</f>
        <v>20</v>
      </c>
      <c r="I1805" s="39">
        <f>Orders!I1805</f>
        <v>5232</v>
      </c>
      <c r="J1805" t="str">
        <f>Orders!J1805</f>
        <v>Pending</v>
      </c>
      <c r="K1805" t="str">
        <f>Orders!K1805</f>
        <v>Hyderabad</v>
      </c>
      <c r="L1805" t="str">
        <f>IFERROR(VLOOKUP(D1805,Products!$A$2:$F$61,3,FALSE),"")</f>
        <v>Home</v>
      </c>
      <c r="M1805">
        <f>IFERROR(VLOOKUP(D1805,Products!$A$2:$F$61,4,FALSE),"")</f>
        <v>464</v>
      </c>
      <c r="N1805" t="str">
        <f>IFERROR(VLOOKUP(E1805,Sales_Reps!$A$2:$E$31,3,FALSE),"")</f>
        <v>North</v>
      </c>
      <c r="O1805" t="str">
        <f>IFERROR(VLOOKUP(C1805,Customers!$A$2:$F$301,5,FALSE),"")</f>
        <v>Retail</v>
      </c>
      <c r="P1805">
        <f>IFERROR(VLOOKUP(C1805,Customers!$A$2:$F$301,3,FALSE),"")</f>
        <v>46</v>
      </c>
      <c r="Q1805" s="41">
        <f t="shared" si="37"/>
        <v>0.57431192660550456</v>
      </c>
      <c r="R1805" t="str">
        <f>IFERROR(VLOOKUP(C1805,Customers!$A$2:$F$301,1,FALSE),"")</f>
        <v>CUST-0020</v>
      </c>
      <c r="S1805" s="27" t="b">
        <f>IFERROR(VLOOKUP(D1805,Products!$A$2:$F$61,6,FALSE),"")</f>
        <v>1</v>
      </c>
      <c r="BL1805">
        <v>0</v>
      </c>
      <c r="BO1805">
        <v>0</v>
      </c>
      <c r="BP1805">
        <v>0</v>
      </c>
    </row>
    <row r="1806" spans="1:68" x14ac:dyDescent="0.35">
      <c r="A1806" s="26" t="str">
        <f>Orders!A1806</f>
        <v>ORD-01805</v>
      </c>
      <c r="B1806" s="33">
        <f>Orders!B1806</f>
        <v>45324</v>
      </c>
      <c r="C1806" t="str">
        <f>Orders!C1806</f>
        <v>CUST-9725</v>
      </c>
      <c r="D1806" t="str">
        <f>Orders!D1806</f>
        <v>PROD-037</v>
      </c>
      <c r="E1806" t="str">
        <f>Orders!E1806</f>
        <v>R016</v>
      </c>
      <c r="F1806">
        <f>Orders!F1806</f>
        <v>2</v>
      </c>
      <c r="G1806" s="35">
        <f>Orders!G1806</f>
        <v>660</v>
      </c>
      <c r="H1806" s="37">
        <f>Orders!H1806</f>
        <v>18.7</v>
      </c>
      <c r="I1806" s="39">
        <f>Orders!I1806</f>
        <v>1073.1600000000001</v>
      </c>
      <c r="J1806" t="str">
        <f>Orders!J1806</f>
        <v>Completed</v>
      </c>
      <c r="K1806" t="str">
        <f>Orders!K1806</f>
        <v>Mumbai</v>
      </c>
      <c r="L1806" t="str">
        <f>IFERROR(VLOOKUP(D1806,Products!$A$2:$F$61,3,FALSE),"")</f>
        <v>Home</v>
      </c>
      <c r="M1806">
        <f>IFERROR(VLOOKUP(D1806,Products!$A$2:$F$61,4,FALSE),"")</f>
        <v>329</v>
      </c>
      <c r="N1806" t="str">
        <f>IFERROR(VLOOKUP(E1806,Sales_Reps!$A$2:$E$31,3,FALSE),"")</f>
        <v>South</v>
      </c>
      <c r="O1806" t="str">
        <f>IFERROR(VLOOKUP(C1806,Customers!$A$2:$F$301,5,FALSE),"")</f>
        <v/>
      </c>
      <c r="P1806" t="str">
        <f>IFERROR(VLOOKUP(C1806,Customers!$A$2:$F$301,3,FALSE),"")</f>
        <v/>
      </c>
      <c r="Q1806" s="41">
        <f t="shared" si="37"/>
        <v>0.50151515151515147</v>
      </c>
      <c r="R1806" t="str">
        <f>IFERROR(VLOOKUP(C1806,Customers!$A$2:$F$301,1,FALSE),"")</f>
        <v/>
      </c>
      <c r="S1806" s="27" t="b">
        <f>IFERROR(VLOOKUP(D1806,Products!$A$2:$F$61,6,FALSE),"")</f>
        <v>1</v>
      </c>
      <c r="BL1806">
        <v>0</v>
      </c>
      <c r="BO1806">
        <v>1</v>
      </c>
      <c r="BP1806">
        <v>0</v>
      </c>
    </row>
    <row r="1807" spans="1:68" x14ac:dyDescent="0.35">
      <c r="A1807" s="26" t="str">
        <f>Orders!A1807</f>
        <v>ORD-01806</v>
      </c>
      <c r="B1807" s="33">
        <f>Orders!B1807</f>
        <v>45332</v>
      </c>
      <c r="C1807" t="str">
        <f>Orders!C1807</f>
        <v>CUST-0063</v>
      </c>
      <c r="D1807" t="str">
        <f>Orders!D1807</f>
        <v>PROD-035</v>
      </c>
      <c r="E1807" t="str">
        <f>Orders!E1807</f>
        <v>R015</v>
      </c>
      <c r="F1807">
        <f>Orders!F1807</f>
        <v>7</v>
      </c>
      <c r="G1807" s="35">
        <f>Orders!G1807</f>
        <v>1090</v>
      </c>
      <c r="H1807" s="37">
        <f>Orders!H1807</f>
        <v>19.399999999999999</v>
      </c>
      <c r="I1807" s="39">
        <f>Orders!I1807</f>
        <v>6149.78</v>
      </c>
      <c r="J1807" t="str">
        <f>Orders!J1807</f>
        <v>Pending</v>
      </c>
      <c r="K1807" t="str">
        <f>Orders!K1807</f>
        <v>Mumbai</v>
      </c>
      <c r="L1807" t="str">
        <f>IFERROR(VLOOKUP(D1807,Products!$A$2:$F$61,3,FALSE),"")</f>
        <v>Home</v>
      </c>
      <c r="M1807">
        <f>IFERROR(VLOOKUP(D1807,Products!$A$2:$F$61,4,FALSE),"")</f>
        <v>464</v>
      </c>
      <c r="N1807" t="str">
        <f>IFERROR(VLOOKUP(E1807,Sales_Reps!$A$2:$E$31,3,FALSE),"")</f>
        <v>South</v>
      </c>
      <c r="O1807" t="str">
        <f>IFERROR(VLOOKUP(C1807,Customers!$A$2:$F$301,5,FALSE),"")</f>
        <v>SMB</v>
      </c>
      <c r="P1807">
        <f>IFERROR(VLOOKUP(C1807,Customers!$A$2:$F$301,3,FALSE),"")</f>
        <v>53</v>
      </c>
      <c r="Q1807" s="41">
        <f t="shared" si="37"/>
        <v>0.57431192660550456</v>
      </c>
      <c r="R1807" t="str">
        <f>IFERROR(VLOOKUP(C1807,Customers!$A$2:$F$301,1,FALSE),"")</f>
        <v>CUST-0063</v>
      </c>
      <c r="S1807" s="27" t="b">
        <f>IFERROR(VLOOKUP(D1807,Products!$A$2:$F$61,6,FALSE),"")</f>
        <v>1</v>
      </c>
      <c r="BL1807">
        <v>0</v>
      </c>
      <c r="BO1807">
        <v>0</v>
      </c>
      <c r="BP1807">
        <v>0</v>
      </c>
    </row>
    <row r="1808" spans="1:68" x14ac:dyDescent="0.35">
      <c r="A1808" s="26" t="str">
        <f>Orders!A1808</f>
        <v>ORD-01807</v>
      </c>
      <c r="B1808" s="33">
        <f>Orders!B1808</f>
        <v>45429</v>
      </c>
      <c r="C1808" t="str">
        <f>Orders!C1808</f>
        <v>CUST-0193</v>
      </c>
      <c r="D1808" t="str">
        <f>Orders!D1808</f>
        <v>PROD-029</v>
      </c>
      <c r="E1808" t="str">
        <f>Orders!E1808</f>
        <v>R015</v>
      </c>
      <c r="F1808">
        <f>Orders!F1808</f>
        <v>3</v>
      </c>
      <c r="G1808" s="35">
        <f>Orders!G1808</f>
        <v>2210</v>
      </c>
      <c r="H1808" s="37">
        <f>Orders!H1808</f>
        <v>11</v>
      </c>
      <c r="I1808" s="39">
        <f>Orders!I1808</f>
        <v>5900.7</v>
      </c>
      <c r="J1808" t="str">
        <f>Orders!J1808</f>
        <v>Completed</v>
      </c>
      <c r="K1808" t="str">
        <f>Orders!K1808</f>
        <v>Bengaluru</v>
      </c>
      <c r="L1808" t="str">
        <f>IFERROR(VLOOKUP(D1808,Products!$A$2:$F$61,3,FALSE),"")</f>
        <v>Grocery</v>
      </c>
      <c r="M1808">
        <f>IFERROR(VLOOKUP(D1808,Products!$A$2:$F$61,4,FALSE),"")</f>
        <v>1010</v>
      </c>
      <c r="N1808" t="str">
        <f>IFERROR(VLOOKUP(E1808,Sales_Reps!$A$2:$E$31,3,FALSE),"")</f>
        <v>South</v>
      </c>
      <c r="O1808" t="str">
        <f>IFERROR(VLOOKUP(C1808,Customers!$A$2:$F$301,5,FALSE),"")</f>
        <v>Retail</v>
      </c>
      <c r="P1808">
        <f>IFERROR(VLOOKUP(C1808,Customers!$A$2:$F$301,3,FALSE),"")</f>
        <v>42</v>
      </c>
      <c r="Q1808" s="41">
        <f t="shared" si="37"/>
        <v>0.54298642533936647</v>
      </c>
      <c r="R1808" t="str">
        <f>IFERROR(VLOOKUP(C1808,Customers!$A$2:$F$301,1,FALSE),"")</f>
        <v>CUST-0193</v>
      </c>
      <c r="S1808" s="27" t="b">
        <f>IFERROR(VLOOKUP(D1808,Products!$A$2:$F$61,6,FALSE),"")</f>
        <v>1</v>
      </c>
      <c r="BL1808">
        <v>0</v>
      </c>
      <c r="BO1808">
        <v>0</v>
      </c>
      <c r="BP1808">
        <v>0</v>
      </c>
    </row>
    <row r="1809" spans="1:68" x14ac:dyDescent="0.35">
      <c r="A1809" s="26" t="str">
        <f>Orders!A1809</f>
        <v>ORD-01808</v>
      </c>
      <c r="B1809" s="33">
        <f>Orders!B1809</f>
        <v>45420</v>
      </c>
      <c r="C1809" t="str">
        <f>Orders!C1809</f>
        <v>CUST-0142</v>
      </c>
      <c r="D1809" t="str">
        <f>Orders!D1809</f>
        <v>PROD-006</v>
      </c>
      <c r="E1809" t="str">
        <f>Orders!E1809</f>
        <v>R029</v>
      </c>
      <c r="F1809">
        <f>Orders!F1809</f>
        <v>2</v>
      </c>
      <c r="G1809" s="35">
        <f>Orders!G1809</f>
        <v>3970</v>
      </c>
      <c r="H1809" s="37">
        <f>Orders!H1809</f>
        <v>24.9</v>
      </c>
      <c r="I1809" s="39">
        <f>Orders!I1809</f>
        <v>5962.94</v>
      </c>
      <c r="J1809" t="str">
        <f>Orders!J1809</f>
        <v>Completed</v>
      </c>
      <c r="K1809" t="str">
        <f>Orders!K1809</f>
        <v>Chennai</v>
      </c>
      <c r="L1809" t="str">
        <f>IFERROR(VLOOKUP(D1809,Products!$A$2:$F$61,3,FALSE),"")</f>
        <v>Electronics</v>
      </c>
      <c r="M1809">
        <f>IFERROR(VLOOKUP(D1809,Products!$A$2:$F$61,4,FALSE),"")</f>
        <v>2865</v>
      </c>
      <c r="N1809" t="str">
        <f>IFERROR(VLOOKUP(E1809,Sales_Reps!$A$2:$E$31,3,FALSE),"")</f>
        <v>West</v>
      </c>
      <c r="O1809" t="str">
        <f>IFERROR(VLOOKUP(C1809,Customers!$A$2:$F$301,5,FALSE),"")</f>
        <v>Corporate</v>
      </c>
      <c r="P1809">
        <f>IFERROR(VLOOKUP(C1809,Customers!$A$2:$F$301,3,FALSE),"")</f>
        <v>55</v>
      </c>
      <c r="Q1809" s="41">
        <f t="shared" si="37"/>
        <v>0.27833753148614609</v>
      </c>
      <c r="R1809" t="str">
        <f>IFERROR(VLOOKUP(C1809,Customers!$A$2:$F$301,1,FALSE),"")</f>
        <v>CUST-0142</v>
      </c>
      <c r="S1809" s="27" t="b">
        <f>IFERROR(VLOOKUP(D1809,Products!$A$2:$F$61,6,FALSE),"")</f>
        <v>1</v>
      </c>
      <c r="BL1809">
        <v>0</v>
      </c>
      <c r="BO1809">
        <v>0</v>
      </c>
      <c r="BP1809">
        <v>0</v>
      </c>
    </row>
    <row r="1810" spans="1:68" x14ac:dyDescent="0.35">
      <c r="A1810" s="26" t="str">
        <f>Orders!A1810</f>
        <v>ORD-01809</v>
      </c>
      <c r="B1810" s="33">
        <f>Orders!B1810</f>
        <v>45403</v>
      </c>
      <c r="C1810" t="str">
        <f>Orders!C1810</f>
        <v>CUST-0264</v>
      </c>
      <c r="D1810" t="str">
        <f>Orders!D1810</f>
        <v>PROD-039</v>
      </c>
      <c r="E1810" t="str">
        <f>Orders!E1810</f>
        <v>R021</v>
      </c>
      <c r="F1810">
        <f>Orders!F1810</f>
        <v>7</v>
      </c>
      <c r="G1810" s="35">
        <f>Orders!G1810</f>
        <v>4610</v>
      </c>
      <c r="H1810" s="37">
        <f>Orders!H1810</f>
        <v>6.3</v>
      </c>
      <c r="I1810" s="39">
        <f>Orders!I1810</f>
        <v>30236.99</v>
      </c>
      <c r="J1810" t="str">
        <f>Orders!J1810</f>
        <v>Completed</v>
      </c>
      <c r="K1810" t="str">
        <f>Orders!K1810</f>
        <v>Pune</v>
      </c>
      <c r="L1810" t="str">
        <f>IFERROR(VLOOKUP(D1810,Products!$A$2:$F$61,3,FALSE),"")</f>
        <v>Home</v>
      </c>
      <c r="M1810">
        <f>IFERROR(VLOOKUP(D1810,Products!$A$2:$F$61,4,FALSE),"")</f>
        <v>1850</v>
      </c>
      <c r="N1810" t="str">
        <f>IFERROR(VLOOKUP(E1810,Sales_Reps!$A$2:$E$31,3,FALSE),"")</f>
        <v>East</v>
      </c>
      <c r="O1810" t="str">
        <f>IFERROR(VLOOKUP(C1810,Customers!$A$2:$F$301,5,FALSE),"")</f>
        <v>Retail</v>
      </c>
      <c r="P1810">
        <f>IFERROR(VLOOKUP(C1810,Customers!$A$2:$F$301,3,FALSE),"")</f>
        <v>59</v>
      </c>
      <c r="Q1810" s="41">
        <f t="shared" si="37"/>
        <v>0.59869848156182215</v>
      </c>
      <c r="R1810" t="str">
        <f>IFERROR(VLOOKUP(C1810,Customers!$A$2:$F$301,1,FALSE),"")</f>
        <v>CUST-0264</v>
      </c>
      <c r="S1810" s="27" t="b">
        <f>IFERROR(VLOOKUP(D1810,Products!$A$2:$F$61,6,FALSE),"")</f>
        <v>1</v>
      </c>
      <c r="BL1810">
        <v>0</v>
      </c>
      <c r="BO1810">
        <v>0</v>
      </c>
      <c r="BP1810">
        <v>0</v>
      </c>
    </row>
    <row r="1811" spans="1:68" x14ac:dyDescent="0.35">
      <c r="A1811" s="26" t="str">
        <f>Orders!A1811</f>
        <v>ORD-01810</v>
      </c>
      <c r="B1811" s="33">
        <f>Orders!B1811</f>
        <v>45403</v>
      </c>
      <c r="C1811" t="str">
        <f>Orders!C1811</f>
        <v>CUST-0121</v>
      </c>
      <c r="D1811" t="str">
        <f>Orders!D1811</f>
        <v>PROD-049</v>
      </c>
      <c r="E1811" t="str">
        <f>Orders!E1811</f>
        <v>R026</v>
      </c>
      <c r="F1811">
        <f>Orders!F1811</f>
        <v>10</v>
      </c>
      <c r="G1811" s="35">
        <f>Orders!G1811</f>
        <v>960</v>
      </c>
      <c r="H1811" s="37">
        <f>Orders!H1811</f>
        <v>14.6</v>
      </c>
      <c r="I1811" s="39">
        <f>Orders!I1811</f>
        <v>8198.4</v>
      </c>
      <c r="J1811" t="str">
        <f>Orders!J1811</f>
        <v>Completed</v>
      </c>
      <c r="K1811" t="str">
        <f>Orders!K1811</f>
        <v>Delhi</v>
      </c>
      <c r="L1811" t="str">
        <f>IFERROR(VLOOKUP(D1811,Products!$A$2:$F$61,3,FALSE),"")</f>
        <v>Beauty</v>
      </c>
      <c r="M1811">
        <f>IFERROR(VLOOKUP(D1811,Products!$A$2:$F$61,4,FALSE),"")</f>
        <v>675</v>
      </c>
      <c r="N1811" t="str">
        <f>IFERROR(VLOOKUP(E1811,Sales_Reps!$A$2:$E$31,3,FALSE),"")</f>
        <v>West</v>
      </c>
      <c r="O1811" t="str">
        <f>IFERROR(VLOOKUP(C1811,Customers!$A$2:$F$301,5,FALSE),"")</f>
        <v>SMB</v>
      </c>
      <c r="P1811">
        <f>IFERROR(VLOOKUP(C1811,Customers!$A$2:$F$301,3,FALSE),"")</f>
        <v>55</v>
      </c>
      <c r="Q1811" s="41">
        <f t="shared" si="37"/>
        <v>0.296875</v>
      </c>
      <c r="R1811" t="str">
        <f>IFERROR(VLOOKUP(C1811,Customers!$A$2:$F$301,1,FALSE),"")</f>
        <v>CUST-0121</v>
      </c>
      <c r="S1811" s="27" t="b">
        <f>IFERROR(VLOOKUP(D1811,Products!$A$2:$F$61,6,FALSE),"")</f>
        <v>1</v>
      </c>
      <c r="BL1811">
        <v>0</v>
      </c>
      <c r="BO1811">
        <v>0</v>
      </c>
      <c r="BP1811">
        <v>0</v>
      </c>
    </row>
    <row r="1812" spans="1:68" x14ac:dyDescent="0.35">
      <c r="A1812" s="26" t="str">
        <f>Orders!A1812</f>
        <v>ORD-01811</v>
      </c>
      <c r="B1812" s="33">
        <f>Orders!B1812</f>
        <v>45600</v>
      </c>
      <c r="C1812" t="str">
        <f>Orders!C1812</f>
        <v>CUST-0152</v>
      </c>
      <c r="D1812" t="str">
        <f>Orders!D1812</f>
        <v>PROD-045</v>
      </c>
      <c r="E1812" t="str">
        <f>Orders!E1812</f>
        <v>R016</v>
      </c>
      <c r="F1812">
        <f>Orders!F1812</f>
        <v>8</v>
      </c>
      <c r="G1812" s="35">
        <f>Orders!G1812</f>
        <v>3020</v>
      </c>
      <c r="H1812" s="37">
        <f>Orders!H1812</f>
        <v>14.5</v>
      </c>
      <c r="I1812" s="39">
        <f>Orders!I1812</f>
        <v>20656.8</v>
      </c>
      <c r="J1812" t="str">
        <f>Orders!J1812</f>
        <v>Completed</v>
      </c>
      <c r="K1812" t="str">
        <f>Orders!K1812</f>
        <v>Bengaluru</v>
      </c>
      <c r="L1812" t="str">
        <f>IFERROR(VLOOKUP(D1812,Products!$A$2:$F$61,3,FALSE),"")</f>
        <v>Beauty</v>
      </c>
      <c r="M1812">
        <f>IFERROR(VLOOKUP(D1812,Products!$A$2:$F$61,4,FALSE),"")</f>
        <v>1626</v>
      </c>
      <c r="N1812" t="str">
        <f>IFERROR(VLOOKUP(E1812,Sales_Reps!$A$2:$E$31,3,FALSE),"")</f>
        <v>South</v>
      </c>
      <c r="O1812" t="str">
        <f>IFERROR(VLOOKUP(C1812,Customers!$A$2:$F$301,5,FALSE),"")</f>
        <v>SMB</v>
      </c>
      <c r="P1812">
        <f>IFERROR(VLOOKUP(C1812,Customers!$A$2:$F$301,3,FALSE),"")</f>
        <v>64</v>
      </c>
      <c r="Q1812" s="41">
        <f t="shared" si="37"/>
        <v>0.46158940397350995</v>
      </c>
      <c r="R1812" t="str">
        <f>IFERROR(VLOOKUP(C1812,Customers!$A$2:$F$301,1,FALSE),"")</f>
        <v>CUST-0152</v>
      </c>
      <c r="S1812" s="27" t="b">
        <f>IFERROR(VLOOKUP(D1812,Products!$A$2:$F$61,6,FALSE),"")</f>
        <v>1</v>
      </c>
      <c r="BL1812">
        <v>0</v>
      </c>
      <c r="BO1812">
        <v>0</v>
      </c>
      <c r="BP1812">
        <v>0</v>
      </c>
    </row>
    <row r="1813" spans="1:68" x14ac:dyDescent="0.35">
      <c r="A1813" s="26" t="str">
        <f>Orders!A1813</f>
        <v>ORD-01812</v>
      </c>
      <c r="B1813" s="33">
        <f>Orders!B1813</f>
        <v>45629</v>
      </c>
      <c r="C1813" t="str">
        <f>Orders!C1813</f>
        <v>CUST-0008</v>
      </c>
      <c r="D1813" t="str">
        <f>Orders!D1813</f>
        <v>PROD-019</v>
      </c>
      <c r="E1813" t="str">
        <f>Orders!E1813</f>
        <v>R026</v>
      </c>
      <c r="F1813">
        <f>Orders!F1813</f>
        <v>7</v>
      </c>
      <c r="G1813" s="35">
        <f>Orders!G1813</f>
        <v>2480</v>
      </c>
      <c r="H1813" s="37">
        <f>Orders!H1813</f>
        <v>17.3</v>
      </c>
      <c r="I1813" s="39">
        <f>Orders!I1813</f>
        <v>14356.72</v>
      </c>
      <c r="J1813" t="str">
        <f>Orders!J1813</f>
        <v>Completed</v>
      </c>
      <c r="K1813" t="str">
        <f>Orders!K1813</f>
        <v>Pune</v>
      </c>
      <c r="L1813" t="str">
        <f>IFERROR(VLOOKUP(D1813,Products!$A$2:$F$61,3,FALSE),"")</f>
        <v>Apparel</v>
      </c>
      <c r="M1813">
        <f>IFERROR(VLOOKUP(D1813,Products!$A$2:$F$61,4,FALSE),"")</f>
        <v>1173</v>
      </c>
      <c r="N1813" t="str">
        <f>IFERROR(VLOOKUP(E1813,Sales_Reps!$A$2:$E$31,3,FALSE),"")</f>
        <v>West</v>
      </c>
      <c r="O1813" t="str">
        <f>IFERROR(VLOOKUP(C1813,Customers!$A$2:$F$301,5,FALSE),"")</f>
        <v>SMB</v>
      </c>
      <c r="P1813">
        <f>IFERROR(VLOOKUP(C1813,Customers!$A$2:$F$301,3,FALSE),"")</f>
        <v>39</v>
      </c>
      <c r="Q1813" s="41">
        <f t="shared" si="37"/>
        <v>0.52701612903225803</v>
      </c>
      <c r="R1813" t="str">
        <f>IFERROR(VLOOKUP(C1813,Customers!$A$2:$F$301,1,FALSE),"")</f>
        <v>CUST-0008</v>
      </c>
      <c r="S1813" s="27" t="b">
        <f>IFERROR(VLOOKUP(D1813,Products!$A$2:$F$61,6,FALSE),"")</f>
        <v>1</v>
      </c>
      <c r="BL1813">
        <v>0</v>
      </c>
      <c r="BO1813">
        <v>0</v>
      </c>
      <c r="BP1813">
        <v>0</v>
      </c>
    </row>
    <row r="1814" spans="1:68" x14ac:dyDescent="0.35">
      <c r="A1814" s="26" t="str">
        <f>Orders!A1814</f>
        <v>ORD-01813</v>
      </c>
      <c r="B1814" s="33">
        <f>Orders!B1814</f>
        <v>45330</v>
      </c>
      <c r="C1814" t="str">
        <f>Orders!C1814</f>
        <v>CUST-0285</v>
      </c>
      <c r="D1814" t="str">
        <f>Orders!D1814</f>
        <v>PROD-004</v>
      </c>
      <c r="E1814" t="str">
        <f>Orders!E1814</f>
        <v>R013</v>
      </c>
      <c r="F1814">
        <f>Orders!F1814</f>
        <v>10</v>
      </c>
      <c r="G1814" s="35">
        <f>Orders!G1814</f>
        <v>3870</v>
      </c>
      <c r="H1814" s="37">
        <f>Orders!H1814</f>
        <v>22.4</v>
      </c>
      <c r="I1814" s="39">
        <f>Orders!I1814</f>
        <v>30031.200000000001</v>
      </c>
      <c r="J1814" t="str">
        <f>Orders!J1814</f>
        <v>Pending</v>
      </c>
      <c r="K1814" t="str">
        <f>Orders!K1814</f>
        <v>Hyderabad</v>
      </c>
      <c r="L1814" t="str">
        <f>IFERROR(VLOOKUP(D1814,Products!$A$2:$F$61,3,FALSE),"")</f>
        <v>Electronics</v>
      </c>
      <c r="M1814">
        <f>IFERROR(VLOOKUP(D1814,Products!$A$2:$F$61,4,FALSE),"")</f>
        <v>1559</v>
      </c>
      <c r="N1814" t="str">
        <f>IFERROR(VLOOKUP(E1814,Sales_Reps!$A$2:$E$31,3,FALSE),"")</f>
        <v>South</v>
      </c>
      <c r="O1814" t="str">
        <f>IFERROR(VLOOKUP(C1814,Customers!$A$2:$F$301,5,FALSE),"")</f>
        <v>Retail</v>
      </c>
      <c r="P1814">
        <f>IFERROR(VLOOKUP(C1814,Customers!$A$2:$F$301,3,FALSE),"")</f>
        <v>22</v>
      </c>
      <c r="Q1814" s="41">
        <f t="shared" si="37"/>
        <v>0.59715762273901807</v>
      </c>
      <c r="R1814" t="str">
        <f>IFERROR(VLOOKUP(C1814,Customers!$A$2:$F$301,1,FALSE),"")</f>
        <v>CUST-0285</v>
      </c>
      <c r="S1814" s="27" t="b">
        <f>IFERROR(VLOOKUP(D1814,Products!$A$2:$F$61,6,FALSE),"")</f>
        <v>1</v>
      </c>
      <c r="BL1814">
        <v>0</v>
      </c>
      <c r="BO1814">
        <v>0</v>
      </c>
      <c r="BP1814">
        <v>0</v>
      </c>
    </row>
    <row r="1815" spans="1:68" x14ac:dyDescent="0.35">
      <c r="A1815" s="26" t="str">
        <f>Orders!A1815</f>
        <v>ORD-01814</v>
      </c>
      <c r="B1815" s="33">
        <f>Orders!B1815</f>
        <v>45551</v>
      </c>
      <c r="C1815" t="str">
        <f>Orders!C1815</f>
        <v>CUST-0072</v>
      </c>
      <c r="D1815" t="str">
        <f>Orders!D1815</f>
        <v>PROD-037</v>
      </c>
      <c r="E1815" t="str">
        <f>Orders!E1815</f>
        <v>R022</v>
      </c>
      <c r="F1815">
        <f>Orders!F1815</f>
        <v>6</v>
      </c>
      <c r="G1815" s="35">
        <f>Orders!G1815</f>
        <v>660</v>
      </c>
      <c r="H1815" s="37">
        <f>Orders!H1815</f>
        <v>27.3</v>
      </c>
      <c r="I1815" s="39">
        <f>Orders!I1815</f>
        <v>2878.92</v>
      </c>
      <c r="J1815" t="str">
        <f>Orders!J1815</f>
        <v>Completed</v>
      </c>
      <c r="K1815" t="str">
        <f>Orders!K1815</f>
        <v>Mumbai</v>
      </c>
      <c r="L1815" t="str">
        <f>IFERROR(VLOOKUP(D1815,Products!$A$2:$F$61,3,FALSE),"")</f>
        <v>Home</v>
      </c>
      <c r="M1815">
        <f>IFERROR(VLOOKUP(D1815,Products!$A$2:$F$61,4,FALSE),"")</f>
        <v>329</v>
      </c>
      <c r="N1815" t="str">
        <f>IFERROR(VLOOKUP(E1815,Sales_Reps!$A$2:$E$31,3,FALSE),"")</f>
        <v>East</v>
      </c>
      <c r="O1815" t="str">
        <f>IFERROR(VLOOKUP(C1815,Customers!$A$2:$F$301,5,FALSE),"")</f>
        <v>Corporate</v>
      </c>
      <c r="P1815">
        <f>IFERROR(VLOOKUP(C1815,Customers!$A$2:$F$301,3,FALSE),"")</f>
        <v>62</v>
      </c>
      <c r="Q1815" s="41">
        <f t="shared" si="37"/>
        <v>0.50151515151515147</v>
      </c>
      <c r="R1815" t="str">
        <f>IFERROR(VLOOKUP(C1815,Customers!$A$2:$F$301,1,FALSE),"")</f>
        <v>CUST-0072</v>
      </c>
      <c r="S1815" s="27" t="b">
        <f>IFERROR(VLOOKUP(D1815,Products!$A$2:$F$61,6,FALSE),"")</f>
        <v>1</v>
      </c>
      <c r="BL1815">
        <v>0</v>
      </c>
      <c r="BO1815">
        <v>0</v>
      </c>
      <c r="BP1815">
        <v>0</v>
      </c>
    </row>
    <row r="1816" spans="1:68" x14ac:dyDescent="0.35">
      <c r="A1816" s="26" t="str">
        <f>Orders!A1816</f>
        <v>ORD-01815</v>
      </c>
      <c r="B1816" s="33">
        <f>Orders!B1816</f>
        <v>45321</v>
      </c>
      <c r="C1816" t="str">
        <f>Orders!C1816</f>
        <v>CUST-9630</v>
      </c>
      <c r="D1816" t="str">
        <f>Orders!D1816</f>
        <v>PROD-004</v>
      </c>
      <c r="E1816" t="str">
        <f>Orders!E1816</f>
        <v>R026</v>
      </c>
      <c r="F1816">
        <f>Orders!F1816</f>
        <v>3</v>
      </c>
      <c r="G1816" s="35">
        <f>Orders!G1816</f>
        <v>3870</v>
      </c>
      <c r="H1816" s="37">
        <f>Orders!H1816</f>
        <v>7.6</v>
      </c>
      <c r="I1816" s="39">
        <f>Orders!I1816</f>
        <v>10727.64</v>
      </c>
      <c r="J1816" t="str">
        <f>Orders!J1816</f>
        <v>Cancelled</v>
      </c>
      <c r="K1816" t="str">
        <f>Orders!K1816</f>
        <v>Chennai</v>
      </c>
      <c r="L1816" t="str">
        <f>IFERROR(VLOOKUP(D1816,Products!$A$2:$F$61,3,FALSE),"")</f>
        <v>Electronics</v>
      </c>
      <c r="M1816">
        <f>IFERROR(VLOOKUP(D1816,Products!$A$2:$F$61,4,FALSE),"")</f>
        <v>1559</v>
      </c>
      <c r="N1816" t="str">
        <f>IFERROR(VLOOKUP(E1816,Sales_Reps!$A$2:$E$31,3,FALSE),"")</f>
        <v>West</v>
      </c>
      <c r="O1816" t="str">
        <f>IFERROR(VLOOKUP(C1816,Customers!$A$2:$F$301,5,FALSE),"")</f>
        <v/>
      </c>
      <c r="P1816" t="str">
        <f>IFERROR(VLOOKUP(C1816,Customers!$A$2:$F$301,3,FALSE),"")</f>
        <v/>
      </c>
      <c r="Q1816" s="41">
        <f t="shared" si="37"/>
        <v>0.59715762273901807</v>
      </c>
      <c r="R1816" t="str">
        <f>IFERROR(VLOOKUP(C1816,Customers!$A$2:$F$301,1,FALSE),"")</f>
        <v/>
      </c>
      <c r="S1816" s="27" t="b">
        <f>IFERROR(VLOOKUP(D1816,Products!$A$2:$F$61,6,FALSE),"")</f>
        <v>1</v>
      </c>
      <c r="BL1816">
        <v>0</v>
      </c>
      <c r="BO1816">
        <v>1</v>
      </c>
      <c r="BP1816">
        <v>0</v>
      </c>
    </row>
    <row r="1817" spans="1:68" x14ac:dyDescent="0.35">
      <c r="A1817" s="26" t="str">
        <f>Orders!A1817</f>
        <v>ORD-01816</v>
      </c>
      <c r="B1817" s="33">
        <f>Orders!B1817</f>
        <v>45542</v>
      </c>
      <c r="C1817" t="str">
        <f>Orders!C1817</f>
        <v>CUST-0243</v>
      </c>
      <c r="D1817" t="str">
        <f>Orders!D1817</f>
        <v>PROD-019</v>
      </c>
      <c r="E1817" t="str">
        <f>Orders!E1817</f>
        <v>R006</v>
      </c>
      <c r="F1817">
        <f>Orders!F1817</f>
        <v>10</v>
      </c>
      <c r="G1817" s="35">
        <f>Orders!G1817</f>
        <v>2480</v>
      </c>
      <c r="H1817" s="37">
        <f>Orders!H1817</f>
        <v>21.5</v>
      </c>
      <c r="I1817" s="39">
        <f>Orders!I1817</f>
        <v>19468</v>
      </c>
      <c r="J1817" t="str">
        <f>Orders!J1817</f>
        <v>Pending</v>
      </c>
      <c r="K1817" t="str">
        <f>Orders!K1817</f>
        <v>Pune</v>
      </c>
      <c r="L1817" t="str">
        <f>IFERROR(VLOOKUP(D1817,Products!$A$2:$F$61,3,FALSE),"")</f>
        <v>Apparel</v>
      </c>
      <c r="M1817">
        <f>IFERROR(VLOOKUP(D1817,Products!$A$2:$F$61,4,FALSE),"")</f>
        <v>1173</v>
      </c>
      <c r="N1817" t="str">
        <f>IFERROR(VLOOKUP(E1817,Sales_Reps!$A$2:$E$31,3,FALSE),"")</f>
        <v>North</v>
      </c>
      <c r="O1817" t="str">
        <f>IFERROR(VLOOKUP(C1817,Customers!$A$2:$F$301,5,FALSE),"")</f>
        <v>SMB</v>
      </c>
      <c r="P1817">
        <f>IFERROR(VLOOKUP(C1817,Customers!$A$2:$F$301,3,FALSE),"")</f>
        <v>44</v>
      </c>
      <c r="Q1817" s="41">
        <f t="shared" si="37"/>
        <v>0.52701612903225803</v>
      </c>
      <c r="R1817" t="str">
        <f>IFERROR(VLOOKUP(C1817,Customers!$A$2:$F$301,1,FALSE),"")</f>
        <v>CUST-0243</v>
      </c>
      <c r="S1817" s="27" t="b">
        <f>IFERROR(VLOOKUP(D1817,Products!$A$2:$F$61,6,FALSE),"")</f>
        <v>1</v>
      </c>
      <c r="BL1817">
        <v>0</v>
      </c>
      <c r="BO1817">
        <v>0</v>
      </c>
      <c r="BP1817">
        <v>0</v>
      </c>
    </row>
    <row r="1818" spans="1:68" x14ac:dyDescent="0.35">
      <c r="A1818" s="26" t="str">
        <f>Orders!A1818</f>
        <v>ORD-01817</v>
      </c>
      <c r="B1818" s="33">
        <f>Orders!B1818</f>
        <v>45643</v>
      </c>
      <c r="C1818" t="str">
        <f>Orders!C1818</f>
        <v>CUST-0231</v>
      </c>
      <c r="D1818" t="str">
        <f>Orders!D1818</f>
        <v>PROD-010</v>
      </c>
      <c r="E1818" t="str">
        <f>Orders!E1818</f>
        <v>R001</v>
      </c>
      <c r="F1818">
        <f>Orders!F1818</f>
        <v>8</v>
      </c>
      <c r="G1818" s="35">
        <f>Orders!G1818</f>
        <v>2640</v>
      </c>
      <c r="H1818" s="37">
        <f>Orders!H1818</f>
        <v>22.3</v>
      </c>
      <c r="I1818" s="39">
        <f>Orders!I1818</f>
        <v>16410.240000000002</v>
      </c>
      <c r="J1818" t="str">
        <f>Orders!J1818</f>
        <v>Completed</v>
      </c>
      <c r="K1818" t="str">
        <f>Orders!K1818</f>
        <v>Chennai</v>
      </c>
      <c r="L1818" t="str">
        <f>IFERROR(VLOOKUP(D1818,Products!$A$2:$F$61,3,FALSE),"")</f>
        <v>Electronics</v>
      </c>
      <c r="M1818">
        <f>IFERROR(VLOOKUP(D1818,Products!$A$2:$F$61,4,FALSE),"")</f>
        <v>1149</v>
      </c>
      <c r="N1818" t="str">
        <f>IFERROR(VLOOKUP(E1818,Sales_Reps!$A$2:$E$31,3,FALSE),"")</f>
        <v>North</v>
      </c>
      <c r="O1818" t="str">
        <f>IFERROR(VLOOKUP(C1818,Customers!$A$2:$F$301,5,FALSE),"")</f>
        <v>Retail</v>
      </c>
      <c r="P1818">
        <f>IFERROR(VLOOKUP(C1818,Customers!$A$2:$F$301,3,FALSE),"")</f>
        <v>61</v>
      </c>
      <c r="Q1818" s="41">
        <f t="shared" si="37"/>
        <v>0.56477272727272732</v>
      </c>
      <c r="R1818" t="str">
        <f>IFERROR(VLOOKUP(C1818,Customers!$A$2:$F$301,1,FALSE),"")</f>
        <v>CUST-0231</v>
      </c>
      <c r="S1818" s="27" t="b">
        <f>IFERROR(VLOOKUP(D1818,Products!$A$2:$F$61,6,FALSE),"")</f>
        <v>1</v>
      </c>
      <c r="BL1818">
        <v>0</v>
      </c>
      <c r="BO1818">
        <v>0</v>
      </c>
      <c r="BP1818">
        <v>0</v>
      </c>
    </row>
    <row r="1819" spans="1:68" x14ac:dyDescent="0.35">
      <c r="A1819" s="26" t="str">
        <f>Orders!A1819</f>
        <v>ORD-01818</v>
      </c>
      <c r="B1819" s="33">
        <f>Orders!B1819</f>
        <v>45559</v>
      </c>
      <c r="C1819" t="str">
        <f>Orders!C1819</f>
        <v>CUST-0229</v>
      </c>
      <c r="D1819" t="str">
        <f>Orders!D1819</f>
        <v>PROD-030</v>
      </c>
      <c r="E1819" t="str">
        <f>Orders!E1819</f>
        <v>R001</v>
      </c>
      <c r="F1819">
        <f>Orders!F1819</f>
        <v>8</v>
      </c>
      <c r="G1819" s="35">
        <f>Orders!G1819</f>
        <v>970</v>
      </c>
      <c r="H1819" s="37">
        <f>Orders!H1819</f>
        <v>13.1</v>
      </c>
      <c r="I1819" s="39">
        <f>Orders!I1819</f>
        <v>6743.44</v>
      </c>
      <c r="J1819" t="str">
        <f>Orders!J1819</f>
        <v>Completed</v>
      </c>
      <c r="K1819" t="str">
        <f>Orders!K1819</f>
        <v>Hyderabad</v>
      </c>
      <c r="L1819" t="str">
        <f>IFERROR(VLOOKUP(D1819,Products!$A$2:$F$61,3,FALSE),"")</f>
        <v>Grocery</v>
      </c>
      <c r="M1819">
        <f>IFERROR(VLOOKUP(D1819,Products!$A$2:$F$61,4,FALSE),"")</f>
        <v>434</v>
      </c>
      <c r="N1819" t="str">
        <f>IFERROR(VLOOKUP(E1819,Sales_Reps!$A$2:$E$31,3,FALSE),"")</f>
        <v>North</v>
      </c>
      <c r="O1819" t="str">
        <f>IFERROR(VLOOKUP(C1819,Customers!$A$2:$F$301,5,FALSE),"")</f>
        <v>SMB</v>
      </c>
      <c r="P1819">
        <f>IFERROR(VLOOKUP(C1819,Customers!$A$2:$F$301,3,FALSE),"")</f>
        <v>25</v>
      </c>
      <c r="Q1819" s="41">
        <f t="shared" si="37"/>
        <v>0.5525773195876289</v>
      </c>
      <c r="R1819" t="str">
        <f>IFERROR(VLOOKUP(C1819,Customers!$A$2:$F$301,1,FALSE),"")</f>
        <v>CUST-0229</v>
      </c>
      <c r="S1819" s="27" t="b">
        <f>IFERROR(VLOOKUP(D1819,Products!$A$2:$F$61,6,FALSE),"")</f>
        <v>1</v>
      </c>
      <c r="BL1819">
        <v>0</v>
      </c>
      <c r="BO1819">
        <v>0</v>
      </c>
      <c r="BP1819">
        <v>0</v>
      </c>
    </row>
    <row r="1820" spans="1:68" x14ac:dyDescent="0.35">
      <c r="A1820" s="26" t="str">
        <f>Orders!A1820</f>
        <v>ORD-01819</v>
      </c>
      <c r="B1820" s="33">
        <f>Orders!B1820</f>
        <v>45416</v>
      </c>
      <c r="C1820" t="str">
        <f>Orders!C1820</f>
        <v>CUST-0218</v>
      </c>
      <c r="D1820" t="str">
        <f>Orders!D1820</f>
        <v>PROD-057</v>
      </c>
      <c r="E1820" t="str">
        <f>Orders!E1820</f>
        <v>R001</v>
      </c>
      <c r="F1820">
        <f>Orders!F1820</f>
        <v>6</v>
      </c>
      <c r="G1820" s="35">
        <f>Orders!G1820</f>
        <v>960</v>
      </c>
      <c r="H1820" s="37">
        <f>Orders!H1820</f>
        <v>3.2</v>
      </c>
      <c r="I1820" s="39">
        <f>Orders!I1820</f>
        <v>5575.68</v>
      </c>
      <c r="J1820" t="str">
        <f>Orders!J1820</f>
        <v>Completed</v>
      </c>
      <c r="K1820" t="str">
        <f>Orders!K1820</f>
        <v>Mumbai</v>
      </c>
      <c r="L1820" t="str">
        <f>IFERROR(VLOOKUP(D1820,Products!$A$2:$F$61,3,FALSE),"")</f>
        <v>Sports</v>
      </c>
      <c r="M1820">
        <f>IFERROR(VLOOKUP(D1820,Products!$A$2:$F$61,4,FALSE),"")</f>
        <v>705</v>
      </c>
      <c r="N1820" t="str">
        <f>IFERROR(VLOOKUP(E1820,Sales_Reps!$A$2:$E$31,3,FALSE),"")</f>
        <v>North</v>
      </c>
      <c r="O1820" t="str">
        <f>IFERROR(VLOOKUP(C1820,Customers!$A$2:$F$301,5,FALSE),"")</f>
        <v>Retail</v>
      </c>
      <c r="P1820">
        <f>IFERROR(VLOOKUP(C1820,Customers!$A$2:$F$301,3,FALSE),"")</f>
        <v>39</v>
      </c>
      <c r="Q1820" s="41">
        <f t="shared" si="37"/>
        <v>0.265625</v>
      </c>
      <c r="R1820" t="str">
        <f>IFERROR(VLOOKUP(C1820,Customers!$A$2:$F$301,1,FALSE),"")</f>
        <v>CUST-0218</v>
      </c>
      <c r="S1820" s="27" t="b">
        <f>IFERROR(VLOOKUP(D1820,Products!$A$2:$F$61,6,FALSE),"")</f>
        <v>1</v>
      </c>
      <c r="BL1820">
        <v>0</v>
      </c>
      <c r="BO1820">
        <v>0</v>
      </c>
      <c r="BP1820">
        <v>0</v>
      </c>
    </row>
    <row r="1821" spans="1:68" x14ac:dyDescent="0.35">
      <c r="A1821" s="26" t="str">
        <f>Orders!A1821</f>
        <v>ORD-01820</v>
      </c>
      <c r="B1821" s="33">
        <f>Orders!B1821</f>
        <v>45469</v>
      </c>
      <c r="C1821" t="str">
        <f>Orders!C1821</f>
        <v>CUST-0015</v>
      </c>
      <c r="D1821" t="str">
        <f>Orders!D1821</f>
        <v>PROD-033</v>
      </c>
      <c r="E1821" t="str">
        <f>Orders!E1821</f>
        <v>R008</v>
      </c>
      <c r="F1821">
        <f>Orders!F1821</f>
        <v>9</v>
      </c>
      <c r="G1821" s="35">
        <f>Orders!G1821</f>
        <v>2030</v>
      </c>
      <c r="H1821" s="37">
        <f>Orders!H1821</f>
        <v>12.6</v>
      </c>
      <c r="I1821" s="39">
        <f>Orders!I1821</f>
        <v>15967.98</v>
      </c>
      <c r="J1821" t="str">
        <f>Orders!J1821</f>
        <v>Cancelled</v>
      </c>
      <c r="K1821" t="str">
        <f>Orders!K1821</f>
        <v>Chennai</v>
      </c>
      <c r="L1821" t="str">
        <f>IFERROR(VLOOKUP(D1821,Products!$A$2:$F$61,3,FALSE),"")</f>
        <v>Home</v>
      </c>
      <c r="M1821">
        <f>IFERROR(VLOOKUP(D1821,Products!$A$2:$F$61,4,FALSE),"")</f>
        <v>1143</v>
      </c>
      <c r="N1821" t="str">
        <f>IFERROR(VLOOKUP(E1821,Sales_Reps!$A$2:$E$31,3,FALSE),"")</f>
        <v>North</v>
      </c>
      <c r="O1821" t="str">
        <f>IFERROR(VLOOKUP(C1821,Customers!$A$2:$F$301,5,FALSE),"")</f>
        <v>Retail</v>
      </c>
      <c r="P1821">
        <f>IFERROR(VLOOKUP(C1821,Customers!$A$2:$F$301,3,FALSE),"")</f>
        <v>31</v>
      </c>
      <c r="Q1821" s="41">
        <f t="shared" si="37"/>
        <v>0.43694581280788175</v>
      </c>
      <c r="R1821" t="str">
        <f>IFERROR(VLOOKUP(C1821,Customers!$A$2:$F$301,1,FALSE),"")</f>
        <v>CUST-0015</v>
      </c>
      <c r="S1821" s="27" t="b">
        <f>IFERROR(VLOOKUP(D1821,Products!$A$2:$F$61,6,FALSE),"")</f>
        <v>1</v>
      </c>
      <c r="BL1821">
        <v>0</v>
      </c>
      <c r="BO1821">
        <v>0</v>
      </c>
      <c r="BP1821">
        <v>0</v>
      </c>
    </row>
    <row r="1822" spans="1:68" x14ac:dyDescent="0.35">
      <c r="A1822" s="26" t="str">
        <f>Orders!A1822</f>
        <v>ORD-01821</v>
      </c>
      <c r="B1822" s="33">
        <f>Orders!B1822</f>
        <v>45387</v>
      </c>
      <c r="C1822" t="str">
        <f>Orders!C1822</f>
        <v>CUST-0291</v>
      </c>
      <c r="D1822" t="str">
        <f>Orders!D1822</f>
        <v>PROD-042</v>
      </c>
      <c r="E1822" t="str">
        <f>Orders!E1822</f>
        <v>R024</v>
      </c>
      <c r="F1822">
        <f>Orders!F1822</f>
        <v>10</v>
      </c>
      <c r="G1822" s="35">
        <f>Orders!G1822</f>
        <v>2290</v>
      </c>
      <c r="H1822" s="37">
        <f>Orders!H1822</f>
        <v>22.2</v>
      </c>
      <c r="I1822" s="39">
        <f>Orders!I1822</f>
        <v>17816.2</v>
      </c>
      <c r="J1822" t="str">
        <f>Orders!J1822</f>
        <v>Completed</v>
      </c>
      <c r="K1822" t="str">
        <f>Orders!K1822</f>
        <v>Pune</v>
      </c>
      <c r="L1822" t="str">
        <f>IFERROR(VLOOKUP(D1822,Products!$A$2:$F$61,3,FALSE),"")</f>
        <v>Beauty</v>
      </c>
      <c r="M1822">
        <f>IFERROR(VLOOKUP(D1822,Products!$A$2:$F$61,4,FALSE),"")</f>
        <v>1219</v>
      </c>
      <c r="N1822" t="str">
        <f>IFERROR(VLOOKUP(E1822,Sales_Reps!$A$2:$E$31,3,FALSE),"")</f>
        <v>West</v>
      </c>
      <c r="O1822" t="str">
        <f>IFERROR(VLOOKUP(C1822,Customers!$A$2:$F$301,5,FALSE),"")</f>
        <v>SMB</v>
      </c>
      <c r="P1822">
        <f>IFERROR(VLOOKUP(C1822,Customers!$A$2:$F$301,3,FALSE),"")</f>
        <v>29</v>
      </c>
      <c r="Q1822" s="41">
        <f t="shared" si="37"/>
        <v>0.46768558951965067</v>
      </c>
      <c r="R1822" t="str">
        <f>IFERROR(VLOOKUP(C1822,Customers!$A$2:$F$301,1,FALSE),"")</f>
        <v>CUST-0291</v>
      </c>
      <c r="S1822" s="27" t="b">
        <f>IFERROR(VLOOKUP(D1822,Products!$A$2:$F$61,6,FALSE),"")</f>
        <v>1</v>
      </c>
      <c r="BL1822">
        <v>0.5</v>
      </c>
      <c r="BO1822">
        <v>0</v>
      </c>
      <c r="BP1822">
        <v>0</v>
      </c>
    </row>
    <row r="1823" spans="1:68" x14ac:dyDescent="0.35">
      <c r="A1823" s="26" t="str">
        <f>Orders!A1823</f>
        <v>ORD-01822</v>
      </c>
      <c r="B1823" s="33">
        <f>Orders!B1823</f>
        <v>45373</v>
      </c>
      <c r="C1823" t="str">
        <f>Orders!C1823</f>
        <v>CUST-0276</v>
      </c>
      <c r="D1823" t="str">
        <f>Orders!D1823</f>
        <v>PROD-020</v>
      </c>
      <c r="E1823" t="str">
        <f>Orders!E1823</f>
        <v>R027</v>
      </c>
      <c r="F1823">
        <f>Orders!F1823</f>
        <v>7</v>
      </c>
      <c r="G1823" s="35">
        <f>Orders!G1823</f>
        <v>820</v>
      </c>
      <c r="H1823" s="37">
        <f>Orders!H1823</f>
        <v>6.4</v>
      </c>
      <c r="I1823" s="39">
        <f>Orders!I1823</f>
        <v>5372.64</v>
      </c>
      <c r="J1823" t="str">
        <f>Orders!J1823</f>
        <v>Refunded</v>
      </c>
      <c r="K1823" t="str">
        <f>Orders!K1823</f>
        <v>Chennai</v>
      </c>
      <c r="L1823" t="str">
        <f>IFERROR(VLOOKUP(D1823,Products!$A$2:$F$61,3,FALSE),"")</f>
        <v>Apparel</v>
      </c>
      <c r="M1823">
        <f>IFERROR(VLOOKUP(D1823,Products!$A$2:$F$61,4,FALSE),"")</f>
        <v>391</v>
      </c>
      <c r="N1823" t="str">
        <f>IFERROR(VLOOKUP(E1823,Sales_Reps!$A$2:$E$31,3,FALSE),"")</f>
        <v>West</v>
      </c>
      <c r="O1823" t="str">
        <f>IFERROR(VLOOKUP(C1823,Customers!$A$2:$F$301,5,FALSE),"")</f>
        <v>Retail</v>
      </c>
      <c r="P1823">
        <f>IFERROR(VLOOKUP(C1823,Customers!$A$2:$F$301,3,FALSE),"")</f>
        <v>26</v>
      </c>
      <c r="Q1823" s="41">
        <f t="shared" si="37"/>
        <v>0.52317073170731709</v>
      </c>
      <c r="R1823" t="str">
        <f>IFERROR(VLOOKUP(C1823,Customers!$A$2:$F$301,1,FALSE),"")</f>
        <v>CUST-0276</v>
      </c>
      <c r="S1823" s="27" t="b">
        <f>IFERROR(VLOOKUP(D1823,Products!$A$2:$F$61,6,FALSE),"")</f>
        <v>1</v>
      </c>
      <c r="BL1823">
        <v>0</v>
      </c>
      <c r="BO1823">
        <v>0</v>
      </c>
      <c r="BP1823">
        <v>0</v>
      </c>
    </row>
    <row r="1824" spans="1:68" x14ac:dyDescent="0.35">
      <c r="A1824" s="26" t="str">
        <f>Orders!A1824</f>
        <v>ORD-01823</v>
      </c>
      <c r="B1824" s="33">
        <f>Orders!B1824</f>
        <v>45614</v>
      </c>
      <c r="C1824" t="str">
        <f>Orders!C1824</f>
        <v>CUST-0139</v>
      </c>
      <c r="D1824" t="str">
        <f>Orders!D1824</f>
        <v>PROD-040</v>
      </c>
      <c r="E1824" t="str">
        <f>Orders!E1824</f>
        <v>R030</v>
      </c>
      <c r="F1824">
        <f>Orders!F1824</f>
        <v>5</v>
      </c>
      <c r="G1824" s="35">
        <f>Orders!G1824</f>
        <v>1080</v>
      </c>
      <c r="H1824" s="37">
        <f>Orders!H1824</f>
        <v>6</v>
      </c>
      <c r="I1824" s="39">
        <f>Orders!I1824</f>
        <v>5076</v>
      </c>
      <c r="J1824" t="str">
        <f>Orders!J1824</f>
        <v>Completed</v>
      </c>
      <c r="K1824" t="str">
        <f>Orders!K1824</f>
        <v>Hyderabad</v>
      </c>
      <c r="L1824" t="str">
        <f>IFERROR(VLOOKUP(D1824,Products!$A$2:$F$61,3,FALSE),"")</f>
        <v>Home</v>
      </c>
      <c r="M1824">
        <f>IFERROR(VLOOKUP(D1824,Products!$A$2:$F$61,4,FALSE),"")</f>
        <v>519</v>
      </c>
      <c r="N1824" t="str">
        <f>IFERROR(VLOOKUP(E1824,Sales_Reps!$A$2:$E$31,3,FALSE),"")</f>
        <v>West</v>
      </c>
      <c r="O1824" t="str">
        <f>IFERROR(VLOOKUP(C1824,Customers!$A$2:$F$301,5,FALSE),"")</f>
        <v>SMB</v>
      </c>
      <c r="P1824">
        <f>IFERROR(VLOOKUP(C1824,Customers!$A$2:$F$301,3,FALSE),"")</f>
        <v>65</v>
      </c>
      <c r="Q1824" s="41">
        <f t="shared" si="37"/>
        <v>0.51944444444444449</v>
      </c>
      <c r="R1824" t="str">
        <f>IFERROR(VLOOKUP(C1824,Customers!$A$2:$F$301,1,FALSE),"")</f>
        <v>CUST-0139</v>
      </c>
      <c r="S1824" s="27" t="b">
        <f>IFERROR(VLOOKUP(D1824,Products!$A$2:$F$61,6,FALSE),"")</f>
        <v>1</v>
      </c>
      <c r="BL1824">
        <v>0</v>
      </c>
      <c r="BO1824">
        <v>0</v>
      </c>
      <c r="BP1824">
        <v>0</v>
      </c>
    </row>
    <row r="1825" spans="1:68" x14ac:dyDescent="0.35">
      <c r="A1825" s="26" t="str">
        <f>Orders!A1825</f>
        <v>ORD-01824</v>
      </c>
      <c r="B1825" s="33">
        <f>Orders!B1825</f>
        <v>45310</v>
      </c>
      <c r="C1825" t="str">
        <f>Orders!C1825</f>
        <v>CUST-0087</v>
      </c>
      <c r="D1825" t="str">
        <f>Orders!D1825</f>
        <v>PROD-060</v>
      </c>
      <c r="E1825" t="str">
        <f>Orders!E1825</f>
        <v>R028</v>
      </c>
      <c r="F1825">
        <f>Orders!F1825</f>
        <v>4</v>
      </c>
      <c r="G1825" s="35">
        <f>Orders!G1825</f>
        <v>190</v>
      </c>
      <c r="H1825" s="37">
        <f>Orders!H1825</f>
        <v>6.3</v>
      </c>
      <c r="I1825" s="39">
        <f>Orders!I1825</f>
        <v>712.12</v>
      </c>
      <c r="J1825" t="str">
        <f>Orders!J1825</f>
        <v>Refunded</v>
      </c>
      <c r="K1825" t="str">
        <f>Orders!K1825</f>
        <v>Pune</v>
      </c>
      <c r="L1825" t="str">
        <f>IFERROR(VLOOKUP(D1825,Products!$A$2:$F$61,3,FALSE),"")</f>
        <v>Sports</v>
      </c>
      <c r="M1825">
        <f>IFERROR(VLOOKUP(D1825,Products!$A$2:$F$61,4,FALSE),"")</f>
        <v>147</v>
      </c>
      <c r="N1825" t="str">
        <f>IFERROR(VLOOKUP(E1825,Sales_Reps!$A$2:$E$31,3,FALSE),"")</f>
        <v>West</v>
      </c>
      <c r="O1825" t="str">
        <f>IFERROR(VLOOKUP(C1825,Customers!$A$2:$F$301,5,FALSE),"")</f>
        <v>SMB</v>
      </c>
      <c r="P1825">
        <f>IFERROR(VLOOKUP(C1825,Customers!$A$2:$F$301,3,FALSE),"")</f>
        <v>49</v>
      </c>
      <c r="Q1825" s="41">
        <f t="shared" si="37"/>
        <v>0.22631578947368422</v>
      </c>
      <c r="R1825" t="str">
        <f>IFERROR(VLOOKUP(C1825,Customers!$A$2:$F$301,1,FALSE),"")</f>
        <v>CUST-0087</v>
      </c>
      <c r="S1825" s="27" t="b">
        <f>IFERROR(VLOOKUP(D1825,Products!$A$2:$F$61,6,FALSE),"")</f>
        <v>1</v>
      </c>
      <c r="BL1825">
        <v>0</v>
      </c>
      <c r="BO1825">
        <v>0</v>
      </c>
      <c r="BP1825">
        <v>0</v>
      </c>
    </row>
    <row r="1826" spans="1:68" x14ac:dyDescent="0.35">
      <c r="A1826" s="26" t="str">
        <f>Orders!A1826</f>
        <v>ORD-01825</v>
      </c>
      <c r="B1826" s="33">
        <f>Orders!B1826</f>
        <v>45319</v>
      </c>
      <c r="C1826" t="str">
        <f>Orders!C1826</f>
        <v>CUST-0203</v>
      </c>
      <c r="D1826" t="str">
        <f>Orders!D1826</f>
        <v>PROD-017</v>
      </c>
      <c r="E1826" t="str">
        <f>Orders!E1826</f>
        <v>R029</v>
      </c>
      <c r="F1826">
        <f>Orders!F1826</f>
        <v>6</v>
      </c>
      <c r="G1826" s="35">
        <f>Orders!G1826</f>
        <v>2510</v>
      </c>
      <c r="H1826" s="37">
        <f>Orders!H1826</f>
        <v>11.5</v>
      </c>
      <c r="I1826" s="39">
        <f>Orders!I1826</f>
        <v>13328.1</v>
      </c>
      <c r="J1826" t="str">
        <f>Orders!J1826</f>
        <v>Completed</v>
      </c>
      <c r="K1826" t="str">
        <f>Orders!K1826</f>
        <v>Chennai</v>
      </c>
      <c r="L1826" t="str">
        <f>IFERROR(VLOOKUP(D1826,Products!$A$2:$F$61,3,FALSE),"")</f>
        <v>Apparel</v>
      </c>
      <c r="M1826">
        <f>IFERROR(VLOOKUP(D1826,Products!$A$2:$F$61,4,FALSE),"")</f>
        <v>1075</v>
      </c>
      <c r="N1826" t="str">
        <f>IFERROR(VLOOKUP(E1826,Sales_Reps!$A$2:$E$31,3,FALSE),"")</f>
        <v>West</v>
      </c>
      <c r="O1826" t="str">
        <f>IFERROR(VLOOKUP(C1826,Customers!$A$2:$F$301,5,FALSE),"")</f>
        <v>SMB</v>
      </c>
      <c r="P1826">
        <f>IFERROR(VLOOKUP(C1826,Customers!$A$2:$F$301,3,FALSE),"")</f>
        <v>55</v>
      </c>
      <c r="Q1826" s="41">
        <f t="shared" si="37"/>
        <v>0.57171314741035861</v>
      </c>
      <c r="R1826" t="str">
        <f>IFERROR(VLOOKUP(C1826,Customers!$A$2:$F$301,1,FALSE),"")</f>
        <v>CUST-0203</v>
      </c>
      <c r="S1826" s="27" t="b">
        <f>IFERROR(VLOOKUP(D1826,Products!$A$2:$F$61,6,FALSE),"")</f>
        <v>0</v>
      </c>
      <c r="BL1826">
        <v>0</v>
      </c>
      <c r="BO1826">
        <v>0</v>
      </c>
      <c r="BP1826">
        <v>1</v>
      </c>
    </row>
    <row r="1827" spans="1:68" x14ac:dyDescent="0.35">
      <c r="A1827" s="26" t="str">
        <f>Orders!A1827</f>
        <v>ORD-01826</v>
      </c>
      <c r="B1827" s="33">
        <f>Orders!B1827</f>
        <v>45299</v>
      </c>
      <c r="C1827" t="str">
        <f>Orders!C1827</f>
        <v>CUST-0180</v>
      </c>
      <c r="D1827" t="str">
        <f>Orders!D1827</f>
        <v>PROD-018</v>
      </c>
      <c r="E1827" t="str">
        <f>Orders!E1827</f>
        <v>R015</v>
      </c>
      <c r="F1827">
        <f>Orders!F1827</f>
        <v>2</v>
      </c>
      <c r="G1827" s="35">
        <f>Orders!G1827</f>
        <v>3560</v>
      </c>
      <c r="H1827" s="37">
        <f>Orders!H1827</f>
        <v>10.5</v>
      </c>
      <c r="I1827" s="39">
        <f>Orders!I1827</f>
        <v>6372.4</v>
      </c>
      <c r="J1827" t="str">
        <f>Orders!J1827</f>
        <v>Completed</v>
      </c>
      <c r="K1827" t="str">
        <f>Orders!K1827</f>
        <v>Chennai</v>
      </c>
      <c r="L1827" t="str">
        <f>IFERROR(VLOOKUP(D1827,Products!$A$2:$F$61,3,FALSE),"")</f>
        <v>Apparel</v>
      </c>
      <c r="M1827">
        <f>IFERROR(VLOOKUP(D1827,Products!$A$2:$F$61,4,FALSE),"")</f>
        <v>2629</v>
      </c>
      <c r="N1827" t="str">
        <f>IFERROR(VLOOKUP(E1827,Sales_Reps!$A$2:$E$31,3,FALSE),"")</f>
        <v>South</v>
      </c>
      <c r="O1827" t="str">
        <f>IFERROR(VLOOKUP(C1827,Customers!$A$2:$F$301,5,FALSE),"")</f>
        <v>Retail</v>
      </c>
      <c r="P1827">
        <f>IFERROR(VLOOKUP(C1827,Customers!$A$2:$F$301,3,FALSE),"")</f>
        <v>36</v>
      </c>
      <c r="Q1827" s="41">
        <f t="shared" si="37"/>
        <v>0.26151685393258428</v>
      </c>
      <c r="R1827" t="str">
        <f>IFERROR(VLOOKUP(C1827,Customers!$A$2:$F$301,1,FALSE),"")</f>
        <v>CUST-0180</v>
      </c>
      <c r="S1827" s="27" t="b">
        <f>IFERROR(VLOOKUP(D1827,Products!$A$2:$F$61,6,FALSE),"")</f>
        <v>1</v>
      </c>
      <c r="BL1827">
        <v>0</v>
      </c>
      <c r="BO1827">
        <v>0</v>
      </c>
      <c r="BP1827">
        <v>0</v>
      </c>
    </row>
    <row r="1828" spans="1:68" x14ac:dyDescent="0.35">
      <c r="A1828" s="26" t="str">
        <f>Orders!A1828</f>
        <v>ORD-01827</v>
      </c>
      <c r="B1828" s="33">
        <f>Orders!B1828</f>
        <v>45556</v>
      </c>
      <c r="C1828" t="str">
        <f>Orders!C1828</f>
        <v>CUST-0130</v>
      </c>
      <c r="D1828" t="str">
        <f>Orders!D1828</f>
        <v>PROD-020</v>
      </c>
      <c r="E1828" t="str">
        <f>Orders!E1828</f>
        <v>R013</v>
      </c>
      <c r="F1828">
        <f>Orders!F1828</f>
        <v>3</v>
      </c>
      <c r="G1828" s="35">
        <f>Orders!G1828</f>
        <v>820</v>
      </c>
      <c r="H1828" s="37">
        <f>Orders!H1828</f>
        <v>13</v>
      </c>
      <c r="I1828" s="39">
        <f>Orders!I1828</f>
        <v>2140.1999999999998</v>
      </c>
      <c r="J1828" t="str">
        <f>Orders!J1828</f>
        <v>Cancelled</v>
      </c>
      <c r="K1828" t="str">
        <f>Orders!K1828</f>
        <v>Bengaluru</v>
      </c>
      <c r="L1828" t="str">
        <f>IFERROR(VLOOKUP(D1828,Products!$A$2:$F$61,3,FALSE),"")</f>
        <v>Apparel</v>
      </c>
      <c r="M1828">
        <f>IFERROR(VLOOKUP(D1828,Products!$A$2:$F$61,4,FALSE),"")</f>
        <v>391</v>
      </c>
      <c r="N1828" t="str">
        <f>IFERROR(VLOOKUP(E1828,Sales_Reps!$A$2:$E$31,3,FALSE),"")</f>
        <v>South</v>
      </c>
      <c r="O1828" t="str">
        <f>IFERROR(VLOOKUP(C1828,Customers!$A$2:$F$301,5,FALSE),"")</f>
        <v>Corporate</v>
      </c>
      <c r="P1828">
        <f>IFERROR(VLOOKUP(C1828,Customers!$A$2:$F$301,3,FALSE),"")</f>
        <v>41</v>
      </c>
      <c r="Q1828" s="41">
        <f t="shared" si="37"/>
        <v>0.52317073170731709</v>
      </c>
      <c r="R1828" t="str">
        <f>IFERROR(VLOOKUP(C1828,Customers!$A$2:$F$301,1,FALSE),"")</f>
        <v>CUST-0130</v>
      </c>
      <c r="S1828" s="27" t="b">
        <f>IFERROR(VLOOKUP(D1828,Products!$A$2:$F$61,6,FALSE),"")</f>
        <v>1</v>
      </c>
      <c r="BL1828">
        <v>0</v>
      </c>
      <c r="BO1828">
        <v>0</v>
      </c>
      <c r="BP1828">
        <v>0</v>
      </c>
    </row>
    <row r="1829" spans="1:68" x14ac:dyDescent="0.35">
      <c r="A1829" s="26" t="str">
        <f>Orders!A1829</f>
        <v>ORD-01828</v>
      </c>
      <c r="B1829" s="33">
        <f>Orders!B1829</f>
        <v>45500</v>
      </c>
      <c r="C1829" t="str">
        <f>Orders!C1829</f>
        <v>CUST-0049</v>
      </c>
      <c r="D1829" t="str">
        <f>Orders!D1829</f>
        <v>PROD-013</v>
      </c>
      <c r="E1829" t="str">
        <f>Orders!E1829</f>
        <v>R003</v>
      </c>
      <c r="F1829">
        <f>Orders!F1829</f>
        <v>6</v>
      </c>
      <c r="G1829" s="35">
        <f>Orders!G1829</f>
        <v>3640</v>
      </c>
      <c r="H1829" s="37">
        <f>Orders!H1829</f>
        <v>14</v>
      </c>
      <c r="I1829" s="39">
        <f>Orders!I1829</f>
        <v>18782.400000000001</v>
      </c>
      <c r="J1829" t="str">
        <f>Orders!J1829</f>
        <v>Completed</v>
      </c>
      <c r="K1829" t="str">
        <f>Orders!K1829</f>
        <v>Mumbai</v>
      </c>
      <c r="L1829" t="str">
        <f>IFERROR(VLOOKUP(D1829,Products!$A$2:$F$61,3,FALSE),"")</f>
        <v>Apparel</v>
      </c>
      <c r="M1829">
        <f>IFERROR(VLOOKUP(D1829,Products!$A$2:$F$61,4,FALSE),"")</f>
        <v>2611</v>
      </c>
      <c r="N1829" t="str">
        <f>IFERROR(VLOOKUP(E1829,Sales_Reps!$A$2:$E$31,3,FALSE),"")</f>
        <v>North</v>
      </c>
      <c r="O1829" t="str">
        <f>IFERROR(VLOOKUP(C1829,Customers!$A$2:$F$301,5,FALSE),"")</f>
        <v>Corporate</v>
      </c>
      <c r="P1829">
        <f>IFERROR(VLOOKUP(C1829,Customers!$A$2:$F$301,3,FALSE),"")</f>
        <v>42</v>
      </c>
      <c r="Q1829" s="41">
        <f t="shared" si="37"/>
        <v>0.28269230769230769</v>
      </c>
      <c r="R1829" t="str">
        <f>IFERROR(VLOOKUP(C1829,Customers!$A$2:$F$301,1,FALSE),"")</f>
        <v>CUST-0049</v>
      </c>
      <c r="S1829" s="27" t="b">
        <f>IFERROR(VLOOKUP(D1829,Products!$A$2:$F$61,6,FALSE),"")</f>
        <v>1</v>
      </c>
      <c r="BL1829">
        <v>0</v>
      </c>
      <c r="BO1829">
        <v>0</v>
      </c>
      <c r="BP1829">
        <v>0</v>
      </c>
    </row>
    <row r="1830" spans="1:68" x14ac:dyDescent="0.35">
      <c r="A1830" s="26" t="str">
        <f>Orders!A1830</f>
        <v>ORD-01829</v>
      </c>
      <c r="B1830" s="33">
        <f>Orders!B1830</f>
        <v>45370</v>
      </c>
      <c r="C1830" t="str">
        <f>Orders!C1830</f>
        <v>CUST-0182</v>
      </c>
      <c r="D1830" t="str">
        <f>Orders!D1830</f>
        <v>PROD-028</v>
      </c>
      <c r="E1830" t="str">
        <f>Orders!E1830</f>
        <v>R019</v>
      </c>
      <c r="F1830">
        <f>Orders!F1830</f>
        <v>5</v>
      </c>
      <c r="G1830" s="35">
        <f>Orders!G1830</f>
        <v>3660</v>
      </c>
      <c r="H1830" s="37">
        <f>Orders!H1830</f>
        <v>28.7</v>
      </c>
      <c r="I1830" s="39">
        <f>Orders!I1830</f>
        <v>13047.9</v>
      </c>
      <c r="J1830" t="str">
        <f>Orders!J1830</f>
        <v>Completed</v>
      </c>
      <c r="K1830" t="str">
        <f>Orders!K1830</f>
        <v>Mumbai</v>
      </c>
      <c r="L1830" t="str">
        <f>IFERROR(VLOOKUP(D1830,Products!$A$2:$F$61,3,FALSE),"")</f>
        <v>Grocery</v>
      </c>
      <c r="M1830">
        <f>IFERROR(VLOOKUP(D1830,Products!$A$2:$F$61,4,FALSE),"")</f>
        <v>2214</v>
      </c>
      <c r="N1830" t="str">
        <f>IFERROR(VLOOKUP(E1830,Sales_Reps!$A$2:$E$31,3,FALSE),"")</f>
        <v>East</v>
      </c>
      <c r="O1830" t="str">
        <f>IFERROR(VLOOKUP(C1830,Customers!$A$2:$F$301,5,FALSE),"")</f>
        <v>Retail</v>
      </c>
      <c r="P1830">
        <f>IFERROR(VLOOKUP(C1830,Customers!$A$2:$F$301,3,FALSE),"")</f>
        <v>54</v>
      </c>
      <c r="Q1830" s="41">
        <f t="shared" si="37"/>
        <v>0.39508196721311473</v>
      </c>
      <c r="R1830" t="str">
        <f>IFERROR(VLOOKUP(C1830,Customers!$A$2:$F$301,1,FALSE),"")</f>
        <v>CUST-0182</v>
      </c>
      <c r="S1830" s="27" t="b">
        <f>IFERROR(VLOOKUP(D1830,Products!$A$2:$F$61,6,FALSE),"")</f>
        <v>0</v>
      </c>
      <c r="BL1830">
        <v>0</v>
      </c>
      <c r="BO1830">
        <v>0</v>
      </c>
      <c r="BP1830">
        <v>1</v>
      </c>
    </row>
    <row r="1831" spans="1:68" x14ac:dyDescent="0.35">
      <c r="A1831" s="26" t="str">
        <f>Orders!A1831</f>
        <v>ORD-01830</v>
      </c>
      <c r="B1831" s="33">
        <f>Orders!B1831</f>
        <v>45521</v>
      </c>
      <c r="C1831" t="str">
        <f>Orders!C1831</f>
        <v>CUST-0291</v>
      </c>
      <c r="D1831" t="str">
        <f>Orders!D1831</f>
        <v>PROD-055</v>
      </c>
      <c r="E1831" t="str">
        <f>Orders!E1831</f>
        <v>R030</v>
      </c>
      <c r="F1831">
        <f>Orders!F1831</f>
        <v>2</v>
      </c>
      <c r="G1831" s="35">
        <f>Orders!G1831</f>
        <v>2860</v>
      </c>
      <c r="H1831" s="37">
        <f>Orders!H1831</f>
        <v>21.1</v>
      </c>
      <c r="I1831" s="39">
        <f>Orders!I1831</f>
        <v>4513.08</v>
      </c>
      <c r="J1831" t="str">
        <f>Orders!J1831</f>
        <v>Completed</v>
      </c>
      <c r="K1831" t="str">
        <f>Orders!K1831</f>
        <v>Pune</v>
      </c>
      <c r="L1831" t="str">
        <f>IFERROR(VLOOKUP(D1831,Products!$A$2:$F$61,3,FALSE),"")</f>
        <v>Sports</v>
      </c>
      <c r="M1831">
        <f>IFERROR(VLOOKUP(D1831,Products!$A$2:$F$61,4,FALSE),"")</f>
        <v>2028</v>
      </c>
      <c r="N1831" t="str">
        <f>IFERROR(VLOOKUP(E1831,Sales_Reps!$A$2:$E$31,3,FALSE),"")</f>
        <v>West</v>
      </c>
      <c r="O1831" t="str">
        <f>IFERROR(VLOOKUP(C1831,Customers!$A$2:$F$301,5,FALSE),"")</f>
        <v>SMB</v>
      </c>
      <c r="P1831">
        <f>IFERROR(VLOOKUP(C1831,Customers!$A$2:$F$301,3,FALSE),"")</f>
        <v>29</v>
      </c>
      <c r="Q1831" s="41">
        <f t="shared" si="37"/>
        <v>0.29090909090909089</v>
      </c>
      <c r="R1831" t="str">
        <f>IFERROR(VLOOKUP(C1831,Customers!$A$2:$F$301,1,FALSE),"")</f>
        <v>CUST-0291</v>
      </c>
      <c r="S1831" s="27" t="b">
        <f>IFERROR(VLOOKUP(D1831,Products!$A$2:$F$61,6,FALSE),"")</f>
        <v>1</v>
      </c>
      <c r="BL1831">
        <v>0</v>
      </c>
      <c r="BO1831">
        <v>0</v>
      </c>
      <c r="BP1831">
        <v>0</v>
      </c>
    </row>
    <row r="1832" spans="1:68" x14ac:dyDescent="0.35">
      <c r="A1832" s="26" t="str">
        <f>Orders!A1832</f>
        <v>ORD-01831</v>
      </c>
      <c r="B1832" s="33">
        <f>Orders!B1832</f>
        <v>45481</v>
      </c>
      <c r="C1832" t="str">
        <f>Orders!C1832</f>
        <v>CUST-0167</v>
      </c>
      <c r="D1832" t="str">
        <f>Orders!D1832</f>
        <v>PROD-015</v>
      </c>
      <c r="E1832" t="str">
        <f>Orders!E1832</f>
        <v>R019</v>
      </c>
      <c r="F1832">
        <f>Orders!F1832</f>
        <v>1</v>
      </c>
      <c r="G1832" s="35">
        <f>Orders!G1832</f>
        <v>2720</v>
      </c>
      <c r="H1832" s="37">
        <f>Orders!H1832</f>
        <v>22.1</v>
      </c>
      <c r="I1832" s="39">
        <f>Orders!I1832</f>
        <v>2118.88</v>
      </c>
      <c r="J1832" t="str">
        <f>Orders!J1832</f>
        <v>Completed</v>
      </c>
      <c r="K1832" t="str">
        <f>Orders!K1832</f>
        <v>Delhi</v>
      </c>
      <c r="L1832" t="str">
        <f>IFERROR(VLOOKUP(D1832,Products!$A$2:$F$61,3,FALSE),"")</f>
        <v>Apparel</v>
      </c>
      <c r="M1832">
        <f>IFERROR(VLOOKUP(D1832,Products!$A$2:$F$61,4,FALSE),"")</f>
        <v>1962</v>
      </c>
      <c r="N1832" t="str">
        <f>IFERROR(VLOOKUP(E1832,Sales_Reps!$A$2:$E$31,3,FALSE),"")</f>
        <v>East</v>
      </c>
      <c r="O1832" t="str">
        <f>IFERROR(VLOOKUP(C1832,Customers!$A$2:$F$301,5,FALSE),"")</f>
        <v>Retail</v>
      </c>
      <c r="P1832">
        <f>IFERROR(VLOOKUP(C1832,Customers!$A$2:$F$301,3,FALSE),"")</f>
        <v>43</v>
      </c>
      <c r="Q1832" s="41">
        <f t="shared" si="37"/>
        <v>0.2786764705882353</v>
      </c>
      <c r="R1832" t="str">
        <f>IFERROR(VLOOKUP(C1832,Customers!$A$2:$F$301,1,FALSE),"")</f>
        <v>CUST-0167</v>
      </c>
      <c r="S1832" s="27" t="b">
        <f>IFERROR(VLOOKUP(D1832,Products!$A$2:$F$61,6,FALSE),"")</f>
        <v>1</v>
      </c>
      <c r="BL1832">
        <v>0</v>
      </c>
      <c r="BO1832">
        <v>0</v>
      </c>
      <c r="BP1832">
        <v>0</v>
      </c>
    </row>
    <row r="1833" spans="1:68" x14ac:dyDescent="0.35">
      <c r="A1833" s="26" t="str">
        <f>Orders!A1833</f>
        <v>ORD-01832</v>
      </c>
      <c r="B1833" s="33">
        <f>Orders!B1833</f>
        <v>45633</v>
      </c>
      <c r="C1833" t="str">
        <f>Orders!C1833</f>
        <v>CUST-0223</v>
      </c>
      <c r="D1833" t="str">
        <f>Orders!D1833</f>
        <v>PROD-055</v>
      </c>
      <c r="E1833" t="str">
        <f>Orders!E1833</f>
        <v>R004</v>
      </c>
      <c r="F1833">
        <f>Orders!F1833</f>
        <v>6</v>
      </c>
      <c r="G1833" s="35">
        <f>Orders!G1833</f>
        <v>2860</v>
      </c>
      <c r="H1833" s="37">
        <f>Orders!H1833</f>
        <v>10.5</v>
      </c>
      <c r="I1833" s="39">
        <f>Orders!I1833</f>
        <v>15358.2</v>
      </c>
      <c r="J1833" t="str">
        <f>Orders!J1833</f>
        <v>Cancelled</v>
      </c>
      <c r="K1833" t="str">
        <f>Orders!K1833</f>
        <v>Bengaluru</v>
      </c>
      <c r="L1833" t="str">
        <f>IFERROR(VLOOKUP(D1833,Products!$A$2:$F$61,3,FALSE),"")</f>
        <v>Sports</v>
      </c>
      <c r="M1833">
        <f>IFERROR(VLOOKUP(D1833,Products!$A$2:$F$61,4,FALSE),"")</f>
        <v>2028</v>
      </c>
      <c r="N1833" t="str">
        <f>IFERROR(VLOOKUP(E1833,Sales_Reps!$A$2:$E$31,3,FALSE),"")</f>
        <v>North</v>
      </c>
      <c r="O1833" t="str">
        <f>IFERROR(VLOOKUP(C1833,Customers!$A$2:$F$301,5,FALSE),"")</f>
        <v>Retail</v>
      </c>
      <c r="P1833">
        <f>IFERROR(VLOOKUP(C1833,Customers!$A$2:$F$301,3,FALSE),"")</f>
        <v>46</v>
      </c>
      <c r="Q1833" s="41">
        <f t="shared" si="37"/>
        <v>0.29090909090909089</v>
      </c>
      <c r="R1833" t="str">
        <f>IFERROR(VLOOKUP(C1833,Customers!$A$2:$F$301,1,FALSE),"")</f>
        <v>CUST-0223</v>
      </c>
      <c r="S1833" s="27" t="b">
        <f>IFERROR(VLOOKUP(D1833,Products!$A$2:$F$61,6,FALSE),"")</f>
        <v>1</v>
      </c>
      <c r="BL1833">
        <v>0</v>
      </c>
      <c r="BO1833">
        <v>0</v>
      </c>
      <c r="BP1833">
        <v>0</v>
      </c>
    </row>
    <row r="1834" spans="1:68" x14ac:dyDescent="0.35">
      <c r="A1834" s="26" t="str">
        <f>Orders!A1834</f>
        <v>ORD-01833</v>
      </c>
      <c r="B1834" s="33">
        <f>Orders!B1834</f>
        <v>45305</v>
      </c>
      <c r="C1834" t="str">
        <f>Orders!C1834</f>
        <v>CUST-0050</v>
      </c>
      <c r="D1834" t="str">
        <f>Orders!D1834</f>
        <v>PROD-017</v>
      </c>
      <c r="E1834" t="str">
        <f>Orders!E1834</f>
        <v>R020</v>
      </c>
      <c r="F1834">
        <f>Orders!F1834</f>
        <v>1</v>
      </c>
      <c r="G1834" s="35">
        <f>Orders!G1834</f>
        <v>2510</v>
      </c>
      <c r="H1834" s="37">
        <f>Orders!H1834</f>
        <v>12</v>
      </c>
      <c r="I1834" s="39">
        <f>Orders!I1834</f>
        <v>2208.8000000000002</v>
      </c>
      <c r="J1834" t="str">
        <f>Orders!J1834</f>
        <v>Completed</v>
      </c>
      <c r="K1834" t="str">
        <f>Orders!K1834</f>
        <v>Mumbai</v>
      </c>
      <c r="L1834" t="str">
        <f>IFERROR(VLOOKUP(D1834,Products!$A$2:$F$61,3,FALSE),"")</f>
        <v>Apparel</v>
      </c>
      <c r="M1834">
        <f>IFERROR(VLOOKUP(D1834,Products!$A$2:$F$61,4,FALSE),"")</f>
        <v>1075</v>
      </c>
      <c r="N1834" t="str">
        <f>IFERROR(VLOOKUP(E1834,Sales_Reps!$A$2:$E$31,3,FALSE),"")</f>
        <v>East</v>
      </c>
      <c r="O1834" t="str">
        <f>IFERROR(VLOOKUP(C1834,Customers!$A$2:$F$301,5,FALSE),"")</f>
        <v>Retail</v>
      </c>
      <c r="P1834">
        <f>IFERROR(VLOOKUP(C1834,Customers!$A$2:$F$301,3,FALSE),"")</f>
        <v>37</v>
      </c>
      <c r="Q1834" s="41">
        <f t="shared" si="37"/>
        <v>0.57171314741035861</v>
      </c>
      <c r="R1834" t="str">
        <f>IFERROR(VLOOKUP(C1834,Customers!$A$2:$F$301,1,FALSE),"")</f>
        <v>CUST-0050</v>
      </c>
      <c r="S1834" s="27" t="b">
        <f>IFERROR(VLOOKUP(D1834,Products!$A$2:$F$61,6,FALSE),"")</f>
        <v>0</v>
      </c>
      <c r="BL1834">
        <v>0</v>
      </c>
      <c r="BO1834">
        <v>0</v>
      </c>
      <c r="BP1834">
        <v>1</v>
      </c>
    </row>
    <row r="1835" spans="1:68" x14ac:dyDescent="0.35">
      <c r="A1835" s="26" t="str">
        <f>Orders!A1835</f>
        <v>ORD-01834</v>
      </c>
      <c r="B1835" s="33">
        <f>Orders!B1835</f>
        <v>45593</v>
      </c>
      <c r="C1835" t="str">
        <f>Orders!C1835</f>
        <v>CUST-0242</v>
      </c>
      <c r="D1835" t="str">
        <f>Orders!D1835</f>
        <v>PROD-017</v>
      </c>
      <c r="E1835" t="str">
        <f>Orders!E1835</f>
        <v>R020</v>
      </c>
      <c r="F1835">
        <f>Orders!F1835</f>
        <v>4</v>
      </c>
      <c r="G1835" s="35">
        <f>Orders!G1835</f>
        <v>2510</v>
      </c>
      <c r="H1835" s="37">
        <f>Orders!H1835</f>
        <v>23.2</v>
      </c>
      <c r="I1835" s="39">
        <f>Orders!I1835</f>
        <v>7710.72</v>
      </c>
      <c r="J1835" t="str">
        <f>Orders!J1835</f>
        <v>Completed</v>
      </c>
      <c r="K1835" t="str">
        <f>Orders!K1835</f>
        <v>Chennai</v>
      </c>
      <c r="L1835" t="str">
        <f>IFERROR(VLOOKUP(D1835,Products!$A$2:$F$61,3,FALSE),"")</f>
        <v>Apparel</v>
      </c>
      <c r="M1835">
        <f>IFERROR(VLOOKUP(D1835,Products!$A$2:$F$61,4,FALSE),"")</f>
        <v>1075</v>
      </c>
      <c r="N1835" t="str">
        <f>IFERROR(VLOOKUP(E1835,Sales_Reps!$A$2:$E$31,3,FALSE),"")</f>
        <v>East</v>
      </c>
      <c r="O1835" t="str">
        <f>IFERROR(VLOOKUP(C1835,Customers!$A$2:$F$301,5,FALSE),"")</f>
        <v>SMB</v>
      </c>
      <c r="P1835">
        <f>IFERROR(VLOOKUP(C1835,Customers!$A$2:$F$301,3,FALSE),"")</f>
        <v>59</v>
      </c>
      <c r="Q1835" s="41">
        <f t="shared" si="37"/>
        <v>0.57171314741035861</v>
      </c>
      <c r="R1835" t="str">
        <f>IFERROR(VLOOKUP(C1835,Customers!$A$2:$F$301,1,FALSE),"")</f>
        <v>CUST-0242</v>
      </c>
      <c r="S1835" s="27" t="b">
        <f>IFERROR(VLOOKUP(D1835,Products!$A$2:$F$61,6,FALSE),"")</f>
        <v>0</v>
      </c>
      <c r="BL1835">
        <v>0</v>
      </c>
      <c r="BO1835">
        <v>0</v>
      </c>
      <c r="BP1835">
        <v>1</v>
      </c>
    </row>
    <row r="1836" spans="1:68" x14ac:dyDescent="0.35">
      <c r="A1836" s="26" t="str">
        <f>Orders!A1836</f>
        <v>ORD-01835</v>
      </c>
      <c r="B1836" s="33">
        <f>Orders!B1836</f>
        <v>45555</v>
      </c>
      <c r="C1836" t="str">
        <f>Orders!C1836</f>
        <v>CUST-0144</v>
      </c>
      <c r="D1836" t="str">
        <f>Orders!D1836</f>
        <v>PROD-049</v>
      </c>
      <c r="E1836" t="str">
        <f>Orders!E1836</f>
        <v>R005</v>
      </c>
      <c r="F1836">
        <f>Orders!F1836</f>
        <v>8</v>
      </c>
      <c r="G1836" s="35">
        <f>Orders!G1836</f>
        <v>960</v>
      </c>
      <c r="H1836" s="37">
        <f>Orders!H1836</f>
        <v>20.3</v>
      </c>
      <c r="I1836" s="39">
        <f>Orders!I1836</f>
        <v>6120.96</v>
      </c>
      <c r="J1836" t="str">
        <f>Orders!J1836</f>
        <v>Pending</v>
      </c>
      <c r="K1836" t="str">
        <f>Orders!K1836</f>
        <v>Chennai</v>
      </c>
      <c r="L1836" t="str">
        <f>IFERROR(VLOOKUP(D1836,Products!$A$2:$F$61,3,FALSE),"")</f>
        <v>Beauty</v>
      </c>
      <c r="M1836">
        <f>IFERROR(VLOOKUP(D1836,Products!$A$2:$F$61,4,FALSE),"")</f>
        <v>675</v>
      </c>
      <c r="N1836" t="str">
        <f>IFERROR(VLOOKUP(E1836,Sales_Reps!$A$2:$E$31,3,FALSE),"")</f>
        <v>North</v>
      </c>
      <c r="O1836" t="str">
        <f>IFERROR(VLOOKUP(C1836,Customers!$A$2:$F$301,5,FALSE),"")</f>
        <v>Retail</v>
      </c>
      <c r="P1836">
        <f>IFERROR(VLOOKUP(C1836,Customers!$A$2:$F$301,3,FALSE),"")</f>
        <v>49</v>
      </c>
      <c r="Q1836" s="41">
        <f t="shared" si="37"/>
        <v>0.296875</v>
      </c>
      <c r="R1836" t="str">
        <f>IFERROR(VLOOKUP(C1836,Customers!$A$2:$F$301,1,FALSE),"")</f>
        <v>CUST-0144</v>
      </c>
      <c r="S1836" s="27" t="b">
        <f>IFERROR(VLOOKUP(D1836,Products!$A$2:$F$61,6,FALSE),"")</f>
        <v>1</v>
      </c>
      <c r="BL1836">
        <v>0</v>
      </c>
      <c r="BO1836">
        <v>0</v>
      </c>
      <c r="BP1836">
        <v>0</v>
      </c>
    </row>
    <row r="1837" spans="1:68" x14ac:dyDescent="0.35">
      <c r="A1837" s="26" t="str">
        <f>Orders!A1837</f>
        <v>ORD-01836</v>
      </c>
      <c r="B1837" s="33">
        <f>Orders!B1837</f>
        <v>45406</v>
      </c>
      <c r="C1837" t="str">
        <f>Orders!C1837</f>
        <v>CUST-0140</v>
      </c>
      <c r="D1837" t="str">
        <f>Orders!D1837</f>
        <v>PROD-038</v>
      </c>
      <c r="E1837" t="str">
        <f>Orders!E1837</f>
        <v>R010</v>
      </c>
      <c r="F1837">
        <f>Orders!F1837</f>
        <v>3</v>
      </c>
      <c r="G1837" s="35">
        <f>Orders!G1837</f>
        <v>5490</v>
      </c>
      <c r="H1837" s="37">
        <f>Orders!H1837</f>
        <v>25.2</v>
      </c>
      <c r="I1837" s="39">
        <f>Orders!I1837</f>
        <v>12319.56</v>
      </c>
      <c r="J1837" t="str">
        <f>Orders!J1837</f>
        <v>Completed</v>
      </c>
      <c r="K1837" t="str">
        <f>Orders!K1837</f>
        <v>Hyderabad</v>
      </c>
      <c r="L1837" t="str">
        <f>IFERROR(VLOOKUP(D1837,Products!$A$2:$F$61,3,FALSE),"")</f>
        <v>Home</v>
      </c>
      <c r="M1837">
        <f>IFERROR(VLOOKUP(D1837,Products!$A$2:$F$61,4,FALSE),"")</f>
        <v>2549</v>
      </c>
      <c r="N1837" t="str">
        <f>IFERROR(VLOOKUP(E1837,Sales_Reps!$A$2:$E$31,3,FALSE),"")</f>
        <v>South</v>
      </c>
      <c r="O1837" t="str">
        <f>IFERROR(VLOOKUP(C1837,Customers!$A$2:$F$301,5,FALSE),"")</f>
        <v>SMB</v>
      </c>
      <c r="P1837">
        <f>IFERROR(VLOOKUP(C1837,Customers!$A$2:$F$301,3,FALSE),"")</f>
        <v>39</v>
      </c>
      <c r="Q1837" s="41">
        <f t="shared" si="37"/>
        <v>0.53570127504553733</v>
      </c>
      <c r="R1837" t="str">
        <f>IFERROR(VLOOKUP(C1837,Customers!$A$2:$F$301,1,FALSE),"")</f>
        <v>CUST-0140</v>
      </c>
      <c r="S1837" s="27" t="b">
        <f>IFERROR(VLOOKUP(D1837,Products!$A$2:$F$61,6,FALSE),"")</f>
        <v>1</v>
      </c>
      <c r="BL1837">
        <v>0</v>
      </c>
      <c r="BO1837">
        <v>0</v>
      </c>
      <c r="BP1837">
        <v>0</v>
      </c>
    </row>
    <row r="1838" spans="1:68" x14ac:dyDescent="0.35">
      <c r="A1838" s="26" t="str">
        <f>Orders!A1838</f>
        <v>ORD-01837</v>
      </c>
      <c r="B1838" s="33">
        <f>Orders!B1838</f>
        <v>45647</v>
      </c>
      <c r="C1838" t="str">
        <f>Orders!C1838</f>
        <v>CUST-0174</v>
      </c>
      <c r="D1838" t="str">
        <f>Orders!D1838</f>
        <v>PROD-017</v>
      </c>
      <c r="E1838" t="str">
        <f>Orders!E1838</f>
        <v>R006</v>
      </c>
      <c r="F1838">
        <f>Orders!F1838</f>
        <v>2</v>
      </c>
      <c r="G1838" s="35">
        <f>Orders!G1838</f>
        <v>2510</v>
      </c>
      <c r="H1838" s="37">
        <f>Orders!H1838</f>
        <v>28.2</v>
      </c>
      <c r="I1838" s="39">
        <f>Orders!I1838</f>
        <v>3604.36</v>
      </c>
      <c r="J1838" t="str">
        <f>Orders!J1838</f>
        <v>Completed</v>
      </c>
      <c r="K1838" t="str">
        <f>Orders!K1838</f>
        <v>Pune</v>
      </c>
      <c r="L1838" t="str">
        <f>IFERROR(VLOOKUP(D1838,Products!$A$2:$F$61,3,FALSE),"")</f>
        <v>Apparel</v>
      </c>
      <c r="M1838">
        <f>IFERROR(VLOOKUP(D1838,Products!$A$2:$F$61,4,FALSE),"")</f>
        <v>1075</v>
      </c>
      <c r="N1838" t="str">
        <f>IFERROR(VLOOKUP(E1838,Sales_Reps!$A$2:$E$31,3,FALSE),"")</f>
        <v>North</v>
      </c>
      <c r="O1838" t="str">
        <f>IFERROR(VLOOKUP(C1838,Customers!$A$2:$F$301,5,FALSE),"")</f>
        <v>Retail</v>
      </c>
      <c r="P1838">
        <f>IFERROR(VLOOKUP(C1838,Customers!$A$2:$F$301,3,FALSE),"")</f>
        <v>54</v>
      </c>
      <c r="Q1838" s="41">
        <f t="shared" si="37"/>
        <v>0.57171314741035861</v>
      </c>
      <c r="R1838" t="str">
        <f>IFERROR(VLOOKUP(C1838,Customers!$A$2:$F$301,1,FALSE),"")</f>
        <v>CUST-0174</v>
      </c>
      <c r="S1838" s="27" t="b">
        <f>IFERROR(VLOOKUP(D1838,Products!$A$2:$F$61,6,FALSE),"")</f>
        <v>0</v>
      </c>
      <c r="BL1838">
        <v>0</v>
      </c>
      <c r="BO1838">
        <v>0</v>
      </c>
      <c r="BP1838">
        <v>1</v>
      </c>
    </row>
    <row r="1839" spans="1:68" x14ac:dyDescent="0.35">
      <c r="A1839" s="26" t="str">
        <f>Orders!A1839</f>
        <v>ORD-01838</v>
      </c>
      <c r="B1839" s="33">
        <f>Orders!B1839</f>
        <v>45386</v>
      </c>
      <c r="C1839" t="str">
        <f>Orders!C1839</f>
        <v>CUST-0290</v>
      </c>
      <c r="D1839" t="str">
        <f>Orders!D1839</f>
        <v>PROD-020</v>
      </c>
      <c r="E1839" t="str">
        <f>Orders!E1839</f>
        <v>R011</v>
      </c>
      <c r="F1839">
        <f>Orders!F1839</f>
        <v>1</v>
      </c>
      <c r="G1839" s="35">
        <f>Orders!G1839</f>
        <v>820</v>
      </c>
      <c r="H1839" s="37">
        <f>Orders!H1839</f>
        <v>4.7</v>
      </c>
      <c r="I1839" s="39">
        <f>Orders!I1839</f>
        <v>781.46</v>
      </c>
      <c r="J1839" t="str">
        <f>Orders!J1839</f>
        <v>Completed</v>
      </c>
      <c r="K1839" t="str">
        <f>Orders!K1839</f>
        <v>Delhi</v>
      </c>
      <c r="L1839" t="str">
        <f>IFERROR(VLOOKUP(D1839,Products!$A$2:$F$61,3,FALSE),"")</f>
        <v>Apparel</v>
      </c>
      <c r="M1839">
        <f>IFERROR(VLOOKUP(D1839,Products!$A$2:$F$61,4,FALSE),"")</f>
        <v>391</v>
      </c>
      <c r="N1839" t="str">
        <f>IFERROR(VLOOKUP(E1839,Sales_Reps!$A$2:$E$31,3,FALSE),"")</f>
        <v>South</v>
      </c>
      <c r="O1839" t="str">
        <f>IFERROR(VLOOKUP(C1839,Customers!$A$2:$F$301,5,FALSE),"")</f>
        <v>Retail</v>
      </c>
      <c r="P1839">
        <f>IFERROR(VLOOKUP(C1839,Customers!$A$2:$F$301,3,FALSE),"")</f>
        <v>63</v>
      </c>
      <c r="Q1839" s="41">
        <f t="shared" si="37"/>
        <v>0.52317073170731709</v>
      </c>
      <c r="R1839" t="str">
        <f>IFERROR(VLOOKUP(C1839,Customers!$A$2:$F$301,1,FALSE),"")</f>
        <v>CUST-0290</v>
      </c>
      <c r="S1839" s="27" t="b">
        <f>IFERROR(VLOOKUP(D1839,Products!$A$2:$F$61,6,FALSE),"")</f>
        <v>1</v>
      </c>
      <c r="BL1839">
        <v>0</v>
      </c>
      <c r="BO1839">
        <v>0</v>
      </c>
      <c r="BP1839">
        <v>0</v>
      </c>
    </row>
    <row r="1840" spans="1:68" x14ac:dyDescent="0.35">
      <c r="A1840" s="26" t="str">
        <f>Orders!A1840</f>
        <v>ORD-01839</v>
      </c>
      <c r="B1840" s="33">
        <f>Orders!B1840</f>
        <v>45453</v>
      </c>
      <c r="C1840" t="str">
        <f>Orders!C1840</f>
        <v>CUST-0170</v>
      </c>
      <c r="D1840" t="str">
        <f>Orders!D1840</f>
        <v>PROD-005</v>
      </c>
      <c r="E1840" t="str">
        <f>Orders!E1840</f>
        <v>R018</v>
      </c>
      <c r="F1840">
        <f>Orders!F1840</f>
        <v>6</v>
      </c>
      <c r="G1840" s="35">
        <f>Orders!G1840</f>
        <v>300</v>
      </c>
      <c r="H1840" s="37">
        <f>Orders!H1840</f>
        <v>13.3</v>
      </c>
      <c r="I1840" s="39">
        <f>Orders!I1840</f>
        <v>1560.6</v>
      </c>
      <c r="J1840" t="str">
        <f>Orders!J1840</f>
        <v>Completed</v>
      </c>
      <c r="K1840" t="str">
        <f>Orders!K1840</f>
        <v>Mumbai</v>
      </c>
      <c r="L1840" t="str">
        <f>IFERROR(VLOOKUP(D1840,Products!$A$2:$F$61,3,FALSE),"")</f>
        <v>Electronics</v>
      </c>
      <c r="M1840">
        <f>IFERROR(VLOOKUP(D1840,Products!$A$2:$F$61,4,FALSE),"")</f>
        <v>128</v>
      </c>
      <c r="N1840" t="str">
        <f>IFERROR(VLOOKUP(E1840,Sales_Reps!$A$2:$E$31,3,FALSE),"")</f>
        <v>East</v>
      </c>
      <c r="O1840" t="str">
        <f>IFERROR(VLOOKUP(C1840,Customers!$A$2:$F$301,5,FALSE),"")</f>
        <v>SMB</v>
      </c>
      <c r="P1840">
        <f>IFERROR(VLOOKUP(C1840,Customers!$A$2:$F$301,3,FALSE),"")</f>
        <v>22</v>
      </c>
      <c r="Q1840" s="41">
        <f t="shared" si="37"/>
        <v>0.57333333333333336</v>
      </c>
      <c r="R1840" t="str">
        <f>IFERROR(VLOOKUP(C1840,Customers!$A$2:$F$301,1,FALSE),"")</f>
        <v>CUST-0170</v>
      </c>
      <c r="S1840" s="27" t="b">
        <f>IFERROR(VLOOKUP(D1840,Products!$A$2:$F$61,6,FALSE),"")</f>
        <v>1</v>
      </c>
      <c r="BL1840">
        <v>0</v>
      </c>
      <c r="BO1840">
        <v>0</v>
      </c>
      <c r="BP1840">
        <v>0</v>
      </c>
    </row>
    <row r="1841" spans="1:68" x14ac:dyDescent="0.35">
      <c r="A1841" s="26" t="str">
        <f>Orders!A1841</f>
        <v>ORD-01840</v>
      </c>
      <c r="B1841" s="33">
        <f>Orders!B1841</f>
        <v>45492</v>
      </c>
      <c r="C1841" t="str">
        <f>Orders!C1841</f>
        <v>CUST-0180</v>
      </c>
      <c r="D1841" t="str">
        <f>Orders!D1841</f>
        <v>PROD-043</v>
      </c>
      <c r="E1841" t="str">
        <f>Orders!E1841</f>
        <v>R016</v>
      </c>
      <c r="F1841">
        <f>Orders!F1841</f>
        <v>4</v>
      </c>
      <c r="G1841" s="35">
        <f>Orders!G1841</f>
        <v>3350</v>
      </c>
      <c r="H1841" s="37">
        <f>Orders!H1841</f>
        <v>5.8</v>
      </c>
      <c r="I1841" s="39">
        <f>Orders!I1841</f>
        <v>12622.8</v>
      </c>
      <c r="J1841" t="str">
        <f>Orders!J1841</f>
        <v>Pending</v>
      </c>
      <c r="K1841" t="str">
        <f>Orders!K1841</f>
        <v>Chennai</v>
      </c>
      <c r="L1841" t="str">
        <f>IFERROR(VLOOKUP(D1841,Products!$A$2:$F$61,3,FALSE),"")</f>
        <v>Beauty</v>
      </c>
      <c r="M1841">
        <f>IFERROR(VLOOKUP(D1841,Products!$A$2:$F$61,4,FALSE),"")</f>
        <v>1728</v>
      </c>
      <c r="N1841" t="str">
        <f>IFERROR(VLOOKUP(E1841,Sales_Reps!$A$2:$E$31,3,FALSE),"")</f>
        <v>South</v>
      </c>
      <c r="O1841" t="str">
        <f>IFERROR(VLOOKUP(C1841,Customers!$A$2:$F$301,5,FALSE),"")</f>
        <v>Retail</v>
      </c>
      <c r="P1841">
        <f>IFERROR(VLOOKUP(C1841,Customers!$A$2:$F$301,3,FALSE),"")</f>
        <v>36</v>
      </c>
      <c r="Q1841" s="41">
        <f t="shared" si="37"/>
        <v>0.48417910447761192</v>
      </c>
      <c r="R1841" t="str">
        <f>IFERROR(VLOOKUP(C1841,Customers!$A$2:$F$301,1,FALSE),"")</f>
        <v>CUST-0180</v>
      </c>
      <c r="S1841" s="27" t="b">
        <f>IFERROR(VLOOKUP(D1841,Products!$A$2:$F$61,6,FALSE),"")</f>
        <v>1</v>
      </c>
      <c r="BL1841">
        <v>0</v>
      </c>
      <c r="BO1841">
        <v>0</v>
      </c>
      <c r="BP1841">
        <v>0</v>
      </c>
    </row>
    <row r="1842" spans="1:68" x14ac:dyDescent="0.35">
      <c r="A1842" s="26" t="str">
        <f>Orders!A1842</f>
        <v>ORD-01841</v>
      </c>
      <c r="B1842" s="33">
        <f>Orders!B1842</f>
        <v>45605</v>
      </c>
      <c r="C1842" t="str">
        <f>Orders!C1842</f>
        <v>CUST-0286</v>
      </c>
      <c r="D1842" t="str">
        <f>Orders!D1842</f>
        <v>PROD-036</v>
      </c>
      <c r="E1842" t="str">
        <f>Orders!E1842</f>
        <v>R025</v>
      </c>
      <c r="F1842">
        <f>Orders!F1842</f>
        <v>3</v>
      </c>
      <c r="G1842" s="35">
        <f>Orders!G1842</f>
        <v>3250</v>
      </c>
      <c r="H1842" s="37">
        <f>Orders!H1842</f>
        <v>19.600000000000001</v>
      </c>
      <c r="I1842" s="39">
        <f>Orders!I1842</f>
        <v>7839</v>
      </c>
      <c r="J1842" t="str">
        <f>Orders!J1842</f>
        <v>Pending</v>
      </c>
      <c r="K1842" t="str">
        <f>Orders!K1842</f>
        <v>Delhi</v>
      </c>
      <c r="L1842" t="str">
        <f>IFERROR(VLOOKUP(D1842,Products!$A$2:$F$61,3,FALSE),"")</f>
        <v>Home</v>
      </c>
      <c r="M1842">
        <f>IFERROR(VLOOKUP(D1842,Products!$A$2:$F$61,4,FALSE),"")</f>
        <v>1556</v>
      </c>
      <c r="N1842" t="str">
        <f>IFERROR(VLOOKUP(E1842,Sales_Reps!$A$2:$E$31,3,FALSE),"")</f>
        <v>West</v>
      </c>
      <c r="O1842" t="str">
        <f>IFERROR(VLOOKUP(C1842,Customers!$A$2:$F$301,5,FALSE),"")</f>
        <v>Retail</v>
      </c>
      <c r="P1842">
        <f>IFERROR(VLOOKUP(C1842,Customers!$A$2:$F$301,3,FALSE),"")</f>
        <v>62</v>
      </c>
      <c r="Q1842" s="41">
        <f t="shared" si="37"/>
        <v>0.52123076923076928</v>
      </c>
      <c r="R1842" t="str">
        <f>IFERROR(VLOOKUP(C1842,Customers!$A$2:$F$301,1,FALSE),"")</f>
        <v>CUST-0286</v>
      </c>
      <c r="S1842" s="27" t="b">
        <f>IFERROR(VLOOKUP(D1842,Products!$A$2:$F$61,6,FALSE),"")</f>
        <v>1</v>
      </c>
      <c r="BL1842">
        <v>0</v>
      </c>
      <c r="BO1842">
        <v>0</v>
      </c>
      <c r="BP1842">
        <v>0</v>
      </c>
    </row>
    <row r="1843" spans="1:68" x14ac:dyDescent="0.35">
      <c r="A1843" s="26" t="str">
        <f>Orders!A1843</f>
        <v>ORD-01842</v>
      </c>
      <c r="B1843" s="33">
        <f>Orders!B1843</f>
        <v>45344</v>
      </c>
      <c r="C1843" t="str">
        <f>Orders!C1843</f>
        <v>CUST-0056</v>
      </c>
      <c r="D1843" t="str">
        <f>Orders!D1843</f>
        <v>PROD-044</v>
      </c>
      <c r="E1843" t="str">
        <f>Orders!E1843</f>
        <v>R027</v>
      </c>
      <c r="F1843">
        <f>Orders!F1843</f>
        <v>10</v>
      </c>
      <c r="G1843" s="35">
        <f>Orders!G1843</f>
        <v>1650</v>
      </c>
      <c r="H1843" s="37">
        <f>Orders!H1843</f>
        <v>22.5</v>
      </c>
      <c r="I1843" s="39">
        <f>Orders!I1843</f>
        <v>12787.5</v>
      </c>
      <c r="J1843" t="str">
        <f>Orders!J1843</f>
        <v>Cancelled</v>
      </c>
      <c r="K1843" t="str">
        <f>Orders!K1843</f>
        <v>Bengaluru</v>
      </c>
      <c r="L1843" t="str">
        <f>IFERROR(VLOOKUP(D1843,Products!$A$2:$F$61,3,FALSE),"")</f>
        <v>Beauty</v>
      </c>
      <c r="M1843">
        <f>IFERROR(VLOOKUP(D1843,Products!$A$2:$F$61,4,FALSE),"")</f>
        <v>1222</v>
      </c>
      <c r="N1843" t="str">
        <f>IFERROR(VLOOKUP(E1843,Sales_Reps!$A$2:$E$31,3,FALSE),"")</f>
        <v>West</v>
      </c>
      <c r="O1843" t="str">
        <f>IFERROR(VLOOKUP(C1843,Customers!$A$2:$F$301,5,FALSE),"")</f>
        <v>SMB</v>
      </c>
      <c r="P1843">
        <f>IFERROR(VLOOKUP(C1843,Customers!$A$2:$F$301,3,FALSE),"")</f>
        <v>46</v>
      </c>
      <c r="Q1843" s="41">
        <f t="shared" si="37"/>
        <v>0.2593939393939394</v>
      </c>
      <c r="R1843" t="str">
        <f>IFERROR(VLOOKUP(C1843,Customers!$A$2:$F$301,1,FALSE),"")</f>
        <v>CUST-0056</v>
      </c>
      <c r="S1843" s="27" t="b">
        <f>IFERROR(VLOOKUP(D1843,Products!$A$2:$F$61,6,FALSE),"")</f>
        <v>1</v>
      </c>
      <c r="BL1843">
        <v>0</v>
      </c>
      <c r="BO1843">
        <v>0</v>
      </c>
      <c r="BP1843">
        <v>0</v>
      </c>
    </row>
    <row r="1844" spans="1:68" x14ac:dyDescent="0.35">
      <c r="A1844" s="26" t="str">
        <f>Orders!A1844</f>
        <v>ORD-01843</v>
      </c>
      <c r="B1844" s="33">
        <f>Orders!B1844</f>
        <v>45506</v>
      </c>
      <c r="C1844" t="str">
        <f>Orders!C1844</f>
        <v>CUST-0292</v>
      </c>
      <c r="D1844" t="str">
        <f>Orders!D1844</f>
        <v>PROD-009</v>
      </c>
      <c r="E1844" t="str">
        <f>Orders!E1844</f>
        <v>R026</v>
      </c>
      <c r="F1844">
        <f>Orders!F1844</f>
        <v>2</v>
      </c>
      <c r="G1844" s="35">
        <f>Orders!G1844</f>
        <v>1220</v>
      </c>
      <c r="H1844" s="37">
        <f>Orders!H1844</f>
        <v>10.5</v>
      </c>
      <c r="I1844" s="39">
        <f>Orders!I1844</f>
        <v>2183.8000000000002</v>
      </c>
      <c r="J1844" t="str">
        <f>Orders!J1844</f>
        <v>Completed</v>
      </c>
      <c r="K1844" t="str">
        <f>Orders!K1844</f>
        <v>Bengaluru</v>
      </c>
      <c r="L1844" t="str">
        <f>IFERROR(VLOOKUP(D1844,Products!$A$2:$F$61,3,FALSE),"")</f>
        <v>Electronics</v>
      </c>
      <c r="M1844">
        <f>IFERROR(VLOOKUP(D1844,Products!$A$2:$F$61,4,FALSE),"")</f>
        <v>517</v>
      </c>
      <c r="N1844" t="str">
        <f>IFERROR(VLOOKUP(E1844,Sales_Reps!$A$2:$E$31,3,FALSE),"")</f>
        <v>West</v>
      </c>
      <c r="O1844" t="str">
        <f>IFERROR(VLOOKUP(C1844,Customers!$A$2:$F$301,5,FALSE),"")</f>
        <v>Retail</v>
      </c>
      <c r="P1844">
        <f>IFERROR(VLOOKUP(C1844,Customers!$A$2:$F$301,3,FALSE),"")</f>
        <v>32</v>
      </c>
      <c r="Q1844" s="41">
        <f t="shared" si="37"/>
        <v>0.57622950819672136</v>
      </c>
      <c r="R1844" t="str">
        <f>IFERROR(VLOOKUP(C1844,Customers!$A$2:$F$301,1,FALSE),"")</f>
        <v>CUST-0292</v>
      </c>
      <c r="S1844" s="27" t="b">
        <f>IFERROR(VLOOKUP(D1844,Products!$A$2:$F$61,6,FALSE),"")</f>
        <v>1</v>
      </c>
      <c r="BL1844">
        <v>0</v>
      </c>
      <c r="BO1844">
        <v>0</v>
      </c>
      <c r="BP1844">
        <v>0</v>
      </c>
    </row>
    <row r="1845" spans="1:68" x14ac:dyDescent="0.35">
      <c r="A1845" s="26" t="str">
        <f>Orders!A1845</f>
        <v>ORD-01844</v>
      </c>
      <c r="B1845" s="33">
        <f>Orders!B1845</f>
        <v>45521</v>
      </c>
      <c r="C1845" t="str">
        <f>Orders!C1845</f>
        <v>CUST-0020</v>
      </c>
      <c r="D1845" t="str">
        <f>Orders!D1845</f>
        <v>PROD-049</v>
      </c>
      <c r="E1845" t="str">
        <f>Orders!E1845</f>
        <v>R026</v>
      </c>
      <c r="F1845">
        <f>Orders!F1845</f>
        <v>7</v>
      </c>
      <c r="G1845" s="35">
        <f>Orders!G1845</f>
        <v>960</v>
      </c>
      <c r="H1845" s="37">
        <f>Orders!H1845</f>
        <v>5.4</v>
      </c>
      <c r="I1845" s="39">
        <f>Orders!I1845</f>
        <v>6357.12</v>
      </c>
      <c r="J1845" t="str">
        <f>Orders!J1845</f>
        <v>Refunded</v>
      </c>
      <c r="K1845" t="str">
        <f>Orders!K1845</f>
        <v>Hyderabad</v>
      </c>
      <c r="L1845" t="str">
        <f>IFERROR(VLOOKUP(D1845,Products!$A$2:$F$61,3,FALSE),"")</f>
        <v>Beauty</v>
      </c>
      <c r="M1845">
        <f>IFERROR(VLOOKUP(D1845,Products!$A$2:$F$61,4,FALSE),"")</f>
        <v>675</v>
      </c>
      <c r="N1845" t="str">
        <f>IFERROR(VLOOKUP(E1845,Sales_Reps!$A$2:$E$31,3,FALSE),"")</f>
        <v>West</v>
      </c>
      <c r="O1845" t="str">
        <f>IFERROR(VLOOKUP(C1845,Customers!$A$2:$F$301,5,FALSE),"")</f>
        <v>Retail</v>
      </c>
      <c r="P1845">
        <f>IFERROR(VLOOKUP(C1845,Customers!$A$2:$F$301,3,FALSE),"")</f>
        <v>46</v>
      </c>
      <c r="Q1845" s="41">
        <f t="shared" si="37"/>
        <v>0.296875</v>
      </c>
      <c r="R1845" t="str">
        <f>IFERROR(VLOOKUP(C1845,Customers!$A$2:$F$301,1,FALSE),"")</f>
        <v>CUST-0020</v>
      </c>
      <c r="S1845" s="27" t="b">
        <f>IFERROR(VLOOKUP(D1845,Products!$A$2:$F$61,6,FALSE),"")</f>
        <v>1</v>
      </c>
      <c r="BL1845">
        <v>0</v>
      </c>
      <c r="BO1845">
        <v>0</v>
      </c>
      <c r="BP1845">
        <v>0</v>
      </c>
    </row>
    <row r="1846" spans="1:68" x14ac:dyDescent="0.35">
      <c r="A1846" s="26" t="str">
        <f>Orders!A1846</f>
        <v>ORD-01845</v>
      </c>
      <c r="B1846" s="33">
        <f>Orders!B1846</f>
        <v>45389</v>
      </c>
      <c r="C1846" t="str">
        <f>Orders!C1846</f>
        <v>CUST-0089</v>
      </c>
      <c r="D1846" t="str">
        <f>Orders!D1846</f>
        <v>PROD-046</v>
      </c>
      <c r="E1846" t="str">
        <f>Orders!E1846</f>
        <v>R014</v>
      </c>
      <c r="F1846">
        <f>Orders!F1846</f>
        <v>3</v>
      </c>
      <c r="G1846" s="35">
        <f>Orders!G1846</f>
        <v>4880</v>
      </c>
      <c r="H1846" s="37">
        <f>Orders!H1846</f>
        <v>17.100000000000001</v>
      </c>
      <c r="I1846" s="39">
        <f>Orders!I1846</f>
        <v>12136.56</v>
      </c>
      <c r="J1846" t="str">
        <f>Orders!J1846</f>
        <v>Completed</v>
      </c>
      <c r="K1846" t="str">
        <f>Orders!K1846</f>
        <v>Mumbai</v>
      </c>
      <c r="L1846" t="str">
        <f>IFERROR(VLOOKUP(D1846,Products!$A$2:$F$61,3,FALSE),"")</f>
        <v>Beauty</v>
      </c>
      <c r="M1846">
        <f>IFERROR(VLOOKUP(D1846,Products!$A$2:$F$61,4,FALSE),"")</f>
        <v>2768</v>
      </c>
      <c r="N1846" t="str">
        <f>IFERROR(VLOOKUP(E1846,Sales_Reps!$A$2:$E$31,3,FALSE),"")</f>
        <v>South</v>
      </c>
      <c r="O1846" t="str">
        <f>IFERROR(VLOOKUP(C1846,Customers!$A$2:$F$301,5,FALSE),"")</f>
        <v>SMB</v>
      </c>
      <c r="P1846">
        <f>IFERROR(VLOOKUP(C1846,Customers!$A$2:$F$301,3,FALSE),"")</f>
        <v>43</v>
      </c>
      <c r="Q1846" s="41">
        <f t="shared" si="37"/>
        <v>0.43278688524590164</v>
      </c>
      <c r="R1846" t="str">
        <f>IFERROR(VLOOKUP(C1846,Customers!$A$2:$F$301,1,FALSE),"")</f>
        <v>CUST-0089</v>
      </c>
      <c r="S1846" s="27" t="b">
        <f>IFERROR(VLOOKUP(D1846,Products!$A$2:$F$61,6,FALSE),"")</f>
        <v>1</v>
      </c>
      <c r="BL1846">
        <v>0</v>
      </c>
      <c r="BO1846">
        <v>0</v>
      </c>
      <c r="BP1846">
        <v>0</v>
      </c>
    </row>
    <row r="1847" spans="1:68" x14ac:dyDescent="0.35">
      <c r="A1847" s="26" t="str">
        <f>Orders!A1847</f>
        <v>ORD-01846</v>
      </c>
      <c r="B1847" s="33">
        <f>Orders!B1847</f>
        <v>45390</v>
      </c>
      <c r="C1847" t="str">
        <f>Orders!C1847</f>
        <v>CUST-0242</v>
      </c>
      <c r="D1847" t="str">
        <f>Orders!D1847</f>
        <v>PROD-024</v>
      </c>
      <c r="E1847" t="str">
        <f>Orders!E1847</f>
        <v>R028</v>
      </c>
      <c r="F1847">
        <f>Orders!F1847</f>
        <v>5</v>
      </c>
      <c r="G1847" s="35">
        <f>Orders!G1847</f>
        <v>2270</v>
      </c>
      <c r="H1847" s="37">
        <f>Orders!H1847</f>
        <v>12.4</v>
      </c>
      <c r="I1847" s="39">
        <f>Orders!I1847</f>
        <v>9942.6</v>
      </c>
      <c r="J1847" t="str">
        <f>Orders!J1847</f>
        <v>Completed</v>
      </c>
      <c r="K1847" t="str">
        <f>Orders!K1847</f>
        <v>Chennai</v>
      </c>
      <c r="L1847" t="str">
        <f>IFERROR(VLOOKUP(D1847,Products!$A$2:$F$61,3,FALSE),"")</f>
        <v>Grocery</v>
      </c>
      <c r="M1847">
        <f>IFERROR(VLOOKUP(D1847,Products!$A$2:$F$61,4,FALSE),"")</f>
        <v>1203</v>
      </c>
      <c r="N1847" t="str">
        <f>IFERROR(VLOOKUP(E1847,Sales_Reps!$A$2:$E$31,3,FALSE),"")</f>
        <v>West</v>
      </c>
      <c r="O1847" t="str">
        <f>IFERROR(VLOOKUP(C1847,Customers!$A$2:$F$301,5,FALSE),"")</f>
        <v>SMB</v>
      </c>
      <c r="P1847">
        <f>IFERROR(VLOOKUP(C1847,Customers!$A$2:$F$301,3,FALSE),"")</f>
        <v>59</v>
      </c>
      <c r="Q1847" s="41">
        <f t="shared" si="37"/>
        <v>0.47004405286343615</v>
      </c>
      <c r="R1847" t="str">
        <f>IFERROR(VLOOKUP(C1847,Customers!$A$2:$F$301,1,FALSE),"")</f>
        <v>CUST-0242</v>
      </c>
      <c r="S1847" s="27" t="b">
        <f>IFERROR(VLOOKUP(D1847,Products!$A$2:$F$61,6,FALSE),"")</f>
        <v>1</v>
      </c>
      <c r="BL1847">
        <v>0</v>
      </c>
      <c r="BO1847">
        <v>0</v>
      </c>
      <c r="BP1847">
        <v>0</v>
      </c>
    </row>
    <row r="1848" spans="1:68" x14ac:dyDescent="0.35">
      <c r="A1848" s="26" t="str">
        <f>Orders!A1848</f>
        <v>ORD-01847</v>
      </c>
      <c r="B1848" s="33">
        <f>Orders!B1848</f>
        <v>45413</v>
      </c>
      <c r="C1848" t="str">
        <f>Orders!C1848</f>
        <v>CUST-0249</v>
      </c>
      <c r="D1848" t="str">
        <f>Orders!D1848</f>
        <v>PROD-035</v>
      </c>
      <c r="E1848" t="str">
        <f>Orders!E1848</f>
        <v>R028</v>
      </c>
      <c r="F1848">
        <f>Orders!F1848</f>
        <v>1</v>
      </c>
      <c r="G1848" s="35">
        <f>Orders!G1848</f>
        <v>1090</v>
      </c>
      <c r="H1848" s="37">
        <f>Orders!H1848</f>
        <v>17.3</v>
      </c>
      <c r="I1848" s="39">
        <f>Orders!I1848</f>
        <v>901.43</v>
      </c>
      <c r="J1848" t="str">
        <f>Orders!J1848</f>
        <v>Completed</v>
      </c>
      <c r="K1848" t="str">
        <f>Orders!K1848</f>
        <v>Mumbai</v>
      </c>
      <c r="L1848" t="str">
        <f>IFERROR(VLOOKUP(D1848,Products!$A$2:$F$61,3,FALSE),"")</f>
        <v>Home</v>
      </c>
      <c r="M1848">
        <f>IFERROR(VLOOKUP(D1848,Products!$A$2:$F$61,4,FALSE),"")</f>
        <v>464</v>
      </c>
      <c r="N1848" t="str">
        <f>IFERROR(VLOOKUP(E1848,Sales_Reps!$A$2:$E$31,3,FALSE),"")</f>
        <v>West</v>
      </c>
      <c r="O1848" t="str">
        <f>IFERROR(VLOOKUP(C1848,Customers!$A$2:$F$301,5,FALSE),"")</f>
        <v>Retail</v>
      </c>
      <c r="P1848">
        <f>IFERROR(VLOOKUP(C1848,Customers!$A$2:$F$301,3,FALSE),"")</f>
        <v>44</v>
      </c>
      <c r="Q1848" s="41">
        <f t="shared" si="37"/>
        <v>0.57431192660550456</v>
      </c>
      <c r="R1848" t="str">
        <f>IFERROR(VLOOKUP(C1848,Customers!$A$2:$F$301,1,FALSE),"")</f>
        <v>CUST-0249</v>
      </c>
      <c r="S1848" s="27" t="b">
        <f>IFERROR(VLOOKUP(D1848,Products!$A$2:$F$61,6,FALSE),"")</f>
        <v>1</v>
      </c>
      <c r="BL1848">
        <v>0</v>
      </c>
      <c r="BO1848">
        <v>0</v>
      </c>
      <c r="BP1848">
        <v>0</v>
      </c>
    </row>
    <row r="1849" spans="1:68" x14ac:dyDescent="0.35">
      <c r="A1849" s="26" t="str">
        <f>Orders!A1849</f>
        <v>ORD-01848</v>
      </c>
      <c r="B1849" s="33">
        <f>Orders!B1849</f>
        <v>45535</v>
      </c>
      <c r="C1849" t="str">
        <f>Orders!C1849</f>
        <v>CUST-0032</v>
      </c>
      <c r="D1849" t="str">
        <f>Orders!D1849</f>
        <v>PROD-034</v>
      </c>
      <c r="E1849" t="str">
        <f>Orders!E1849</f>
        <v>R029</v>
      </c>
      <c r="F1849">
        <f>Orders!F1849</f>
        <v>8</v>
      </c>
      <c r="G1849" s="35">
        <f>Orders!G1849</f>
        <v>5080</v>
      </c>
      <c r="H1849" s="37">
        <f>Orders!H1849</f>
        <v>0.9</v>
      </c>
      <c r="I1849" s="39">
        <f>Orders!I1849</f>
        <v>40274.239999999998</v>
      </c>
      <c r="J1849" t="str">
        <f>Orders!J1849</f>
        <v>Completed</v>
      </c>
      <c r="K1849" t="str">
        <f>Orders!K1849</f>
        <v>Hyderabad</v>
      </c>
      <c r="L1849" t="str">
        <f>IFERROR(VLOOKUP(D1849,Products!$A$2:$F$61,3,FALSE),"")</f>
        <v>Home</v>
      </c>
      <c r="M1849">
        <f>IFERROR(VLOOKUP(D1849,Products!$A$2:$F$61,4,FALSE),"")</f>
        <v>2459</v>
      </c>
      <c r="N1849" t="str">
        <f>IFERROR(VLOOKUP(E1849,Sales_Reps!$A$2:$E$31,3,FALSE),"")</f>
        <v>West</v>
      </c>
      <c r="O1849" t="str">
        <f>IFERROR(VLOOKUP(C1849,Customers!$A$2:$F$301,5,FALSE),"")</f>
        <v>Retail</v>
      </c>
      <c r="P1849">
        <f>IFERROR(VLOOKUP(C1849,Customers!$A$2:$F$301,3,FALSE),"")</f>
        <v>28</v>
      </c>
      <c r="Q1849" s="41">
        <f t="shared" si="37"/>
        <v>0.51594488188976373</v>
      </c>
      <c r="R1849" t="str">
        <f>IFERROR(VLOOKUP(C1849,Customers!$A$2:$F$301,1,FALSE),"")</f>
        <v>CUST-0032</v>
      </c>
      <c r="S1849" s="27" t="b">
        <f>IFERROR(VLOOKUP(D1849,Products!$A$2:$F$61,6,FALSE),"")</f>
        <v>1</v>
      </c>
      <c r="BL1849">
        <v>0</v>
      </c>
      <c r="BO1849">
        <v>0</v>
      </c>
      <c r="BP1849">
        <v>0</v>
      </c>
    </row>
    <row r="1850" spans="1:68" x14ac:dyDescent="0.35">
      <c r="A1850" s="26" t="str">
        <f>Orders!A1850</f>
        <v>ORD-01849</v>
      </c>
      <c r="B1850" s="33">
        <f>Orders!B1850</f>
        <v>45569</v>
      </c>
      <c r="C1850" t="str">
        <f>Orders!C1850</f>
        <v>CUST-0217</v>
      </c>
      <c r="D1850" t="str">
        <f>Orders!D1850</f>
        <v>PROD-039</v>
      </c>
      <c r="E1850" t="str">
        <f>Orders!E1850</f>
        <v>R017</v>
      </c>
      <c r="F1850">
        <f>Orders!F1850</f>
        <v>7</v>
      </c>
      <c r="G1850" s="35">
        <f>Orders!G1850</f>
        <v>4610</v>
      </c>
      <c r="H1850" s="37">
        <f>Orders!H1850</f>
        <v>0.9</v>
      </c>
      <c r="I1850" s="39">
        <f>Orders!I1850</f>
        <v>31979.57</v>
      </c>
      <c r="J1850" t="str">
        <f>Orders!J1850</f>
        <v>Completed</v>
      </c>
      <c r="K1850" t="str">
        <f>Orders!K1850</f>
        <v>Pune</v>
      </c>
      <c r="L1850" t="str">
        <f>IFERROR(VLOOKUP(D1850,Products!$A$2:$F$61,3,FALSE),"")</f>
        <v>Home</v>
      </c>
      <c r="M1850">
        <f>IFERROR(VLOOKUP(D1850,Products!$A$2:$F$61,4,FALSE),"")</f>
        <v>1850</v>
      </c>
      <c r="N1850" t="str">
        <f>IFERROR(VLOOKUP(E1850,Sales_Reps!$A$2:$E$31,3,FALSE),"")</f>
        <v>East</v>
      </c>
      <c r="O1850" t="str">
        <f>IFERROR(VLOOKUP(C1850,Customers!$A$2:$F$301,5,FALSE),"")</f>
        <v>SMB</v>
      </c>
      <c r="P1850">
        <f>IFERROR(VLOOKUP(C1850,Customers!$A$2:$F$301,3,FALSE),"")</f>
        <v>59</v>
      </c>
      <c r="Q1850" s="41">
        <f t="shared" si="37"/>
        <v>0.59869848156182215</v>
      </c>
      <c r="R1850" t="str">
        <f>IFERROR(VLOOKUP(C1850,Customers!$A$2:$F$301,1,FALSE),"")</f>
        <v>CUST-0217</v>
      </c>
      <c r="S1850" s="27" t="b">
        <f>IFERROR(VLOOKUP(D1850,Products!$A$2:$F$61,6,FALSE),"")</f>
        <v>1</v>
      </c>
      <c r="BL1850">
        <v>0</v>
      </c>
      <c r="BO1850">
        <v>0</v>
      </c>
      <c r="BP1850">
        <v>0</v>
      </c>
    </row>
    <row r="1851" spans="1:68" x14ac:dyDescent="0.35">
      <c r="A1851" s="26" t="str">
        <f>Orders!A1851</f>
        <v>ORD-01850</v>
      </c>
      <c r="B1851" s="33">
        <f>Orders!B1851</f>
        <v>45527</v>
      </c>
      <c r="C1851" t="str">
        <f>Orders!C1851</f>
        <v>CUST-0284</v>
      </c>
      <c r="D1851" t="str">
        <f>Orders!D1851</f>
        <v>PROD-045</v>
      </c>
      <c r="E1851" t="str">
        <f>Orders!E1851</f>
        <v>R028</v>
      </c>
      <c r="F1851">
        <f>Orders!F1851</f>
        <v>1</v>
      </c>
      <c r="G1851" s="35">
        <f>Orders!G1851</f>
        <v>3020</v>
      </c>
      <c r="H1851" s="37">
        <f>Orders!H1851</f>
        <v>10.3</v>
      </c>
      <c r="I1851" s="39">
        <f>Orders!I1851</f>
        <v>2708.94</v>
      </c>
      <c r="J1851" t="str">
        <f>Orders!J1851</f>
        <v>Completed</v>
      </c>
      <c r="K1851" t="str">
        <f>Orders!K1851</f>
        <v>Hyderabad</v>
      </c>
      <c r="L1851" t="str">
        <f>IFERROR(VLOOKUP(D1851,Products!$A$2:$F$61,3,FALSE),"")</f>
        <v>Beauty</v>
      </c>
      <c r="M1851">
        <f>IFERROR(VLOOKUP(D1851,Products!$A$2:$F$61,4,FALSE),"")</f>
        <v>1626</v>
      </c>
      <c r="N1851" t="str">
        <f>IFERROR(VLOOKUP(E1851,Sales_Reps!$A$2:$E$31,3,FALSE),"")</f>
        <v>West</v>
      </c>
      <c r="O1851" t="str">
        <f>IFERROR(VLOOKUP(C1851,Customers!$A$2:$F$301,5,FALSE),"")</f>
        <v>SMB</v>
      </c>
      <c r="P1851">
        <f>IFERROR(VLOOKUP(C1851,Customers!$A$2:$F$301,3,FALSE),"")</f>
        <v>65</v>
      </c>
      <c r="Q1851" s="41">
        <f t="shared" si="37"/>
        <v>0.46158940397350995</v>
      </c>
      <c r="R1851" t="str">
        <f>IFERROR(VLOOKUP(C1851,Customers!$A$2:$F$301,1,FALSE),"")</f>
        <v>CUST-0284</v>
      </c>
      <c r="S1851" s="27" t="b">
        <f>IFERROR(VLOOKUP(D1851,Products!$A$2:$F$61,6,FALSE),"")</f>
        <v>1</v>
      </c>
      <c r="BL1851">
        <v>0</v>
      </c>
      <c r="BO1851">
        <v>0</v>
      </c>
      <c r="BP1851">
        <v>0</v>
      </c>
    </row>
    <row r="1852" spans="1:68" x14ac:dyDescent="0.35">
      <c r="A1852" s="26" t="str">
        <f>Orders!A1852</f>
        <v>ORD-01851</v>
      </c>
      <c r="B1852" s="33">
        <f>Orders!B1852</f>
        <v>45453</v>
      </c>
      <c r="C1852" t="str">
        <f>Orders!C1852</f>
        <v>CUST-0167</v>
      </c>
      <c r="D1852" t="str">
        <f>Orders!D1852</f>
        <v>PROD-022</v>
      </c>
      <c r="E1852" t="str">
        <f>Orders!E1852</f>
        <v>R028</v>
      </c>
      <c r="F1852">
        <f>Orders!F1852</f>
        <v>6</v>
      </c>
      <c r="G1852" s="35">
        <f>Orders!G1852</f>
        <v>2270</v>
      </c>
      <c r="H1852" s="37">
        <f>Orders!H1852</f>
        <v>23.1</v>
      </c>
      <c r="I1852" s="39">
        <f>Orders!I1852</f>
        <v>10473.780000000001</v>
      </c>
      <c r="J1852" t="str">
        <f>Orders!J1852</f>
        <v>Completed</v>
      </c>
      <c r="K1852" t="str">
        <f>Orders!K1852</f>
        <v>Delhi</v>
      </c>
      <c r="L1852" t="str">
        <f>IFERROR(VLOOKUP(D1852,Products!$A$2:$F$61,3,FALSE),"")</f>
        <v>Grocery</v>
      </c>
      <c r="M1852">
        <f>IFERROR(VLOOKUP(D1852,Products!$A$2:$F$61,4,FALSE),"")</f>
        <v>1412</v>
      </c>
      <c r="N1852" t="str">
        <f>IFERROR(VLOOKUP(E1852,Sales_Reps!$A$2:$E$31,3,FALSE),"")</f>
        <v>West</v>
      </c>
      <c r="O1852" t="str">
        <f>IFERROR(VLOOKUP(C1852,Customers!$A$2:$F$301,5,FALSE),"")</f>
        <v>Retail</v>
      </c>
      <c r="P1852">
        <f>IFERROR(VLOOKUP(C1852,Customers!$A$2:$F$301,3,FALSE),"")</f>
        <v>43</v>
      </c>
      <c r="Q1852" s="41">
        <f t="shared" si="37"/>
        <v>0.37797356828193834</v>
      </c>
      <c r="R1852" t="str">
        <f>IFERROR(VLOOKUP(C1852,Customers!$A$2:$F$301,1,FALSE),"")</f>
        <v>CUST-0167</v>
      </c>
      <c r="S1852" s="27" t="b">
        <f>IFERROR(VLOOKUP(D1852,Products!$A$2:$F$61,6,FALSE),"")</f>
        <v>1</v>
      </c>
      <c r="BL1852">
        <v>0</v>
      </c>
      <c r="BO1852">
        <v>0</v>
      </c>
      <c r="BP1852">
        <v>0</v>
      </c>
    </row>
    <row r="1853" spans="1:68" x14ac:dyDescent="0.35">
      <c r="A1853" s="26" t="str">
        <f>Orders!A1853</f>
        <v>ORD-01852</v>
      </c>
      <c r="B1853" s="33">
        <f>Orders!B1853</f>
        <v>45605</v>
      </c>
      <c r="C1853" t="str">
        <f>Orders!C1853</f>
        <v>CUST-0008</v>
      </c>
      <c r="D1853" t="str">
        <f>Orders!D1853</f>
        <v>PROD-026</v>
      </c>
      <c r="E1853" t="str">
        <f>Orders!E1853</f>
        <v>R010</v>
      </c>
      <c r="F1853">
        <f>Orders!F1853</f>
        <v>6</v>
      </c>
      <c r="G1853" s="35">
        <f>Orders!G1853</f>
        <v>4070</v>
      </c>
      <c r="H1853" s="37">
        <f>Orders!H1853</f>
        <v>28.9</v>
      </c>
      <c r="I1853" s="39">
        <f>Orders!I1853</f>
        <v>17362.62</v>
      </c>
      <c r="J1853" t="str">
        <f>Orders!J1853</f>
        <v>Completed</v>
      </c>
      <c r="K1853" t="str">
        <f>Orders!K1853</f>
        <v>Pune</v>
      </c>
      <c r="L1853" t="str">
        <f>IFERROR(VLOOKUP(D1853,Products!$A$2:$F$61,3,FALSE),"")</f>
        <v>Grocery</v>
      </c>
      <c r="M1853">
        <f>IFERROR(VLOOKUP(D1853,Products!$A$2:$F$61,4,FALSE),"")</f>
        <v>2027</v>
      </c>
      <c r="N1853" t="str">
        <f>IFERROR(VLOOKUP(E1853,Sales_Reps!$A$2:$E$31,3,FALSE),"")</f>
        <v>South</v>
      </c>
      <c r="O1853" t="str">
        <f>IFERROR(VLOOKUP(C1853,Customers!$A$2:$F$301,5,FALSE),"")</f>
        <v>SMB</v>
      </c>
      <c r="P1853">
        <f>IFERROR(VLOOKUP(C1853,Customers!$A$2:$F$301,3,FALSE),"")</f>
        <v>39</v>
      </c>
      <c r="Q1853" s="41">
        <f t="shared" si="37"/>
        <v>0.50196560196560192</v>
      </c>
      <c r="R1853" t="str">
        <f>IFERROR(VLOOKUP(C1853,Customers!$A$2:$F$301,1,FALSE),"")</f>
        <v>CUST-0008</v>
      </c>
      <c r="S1853" s="27" t="b">
        <f>IFERROR(VLOOKUP(D1853,Products!$A$2:$F$61,6,FALSE),"")</f>
        <v>1</v>
      </c>
      <c r="BL1853">
        <v>0</v>
      </c>
      <c r="BO1853">
        <v>0</v>
      </c>
      <c r="BP1853">
        <v>0</v>
      </c>
    </row>
    <row r="1854" spans="1:68" x14ac:dyDescent="0.35">
      <c r="A1854" s="26" t="str">
        <f>Orders!A1854</f>
        <v>ORD-01853</v>
      </c>
      <c r="B1854" s="33">
        <f>Orders!B1854</f>
        <v>45650</v>
      </c>
      <c r="C1854" t="str">
        <f>Orders!C1854</f>
        <v>CUST-0277</v>
      </c>
      <c r="D1854" t="str">
        <f>Orders!D1854</f>
        <v>PROD-009</v>
      </c>
      <c r="E1854" t="str">
        <f>Orders!E1854</f>
        <v>R017</v>
      </c>
      <c r="F1854">
        <f>Orders!F1854</f>
        <v>5</v>
      </c>
      <c r="G1854" s="35">
        <f>Orders!G1854</f>
        <v>1220</v>
      </c>
      <c r="H1854" s="37">
        <f>Orders!H1854</f>
        <v>18.7</v>
      </c>
      <c r="I1854" s="39">
        <f>Orders!I1854</f>
        <v>4959.3</v>
      </c>
      <c r="J1854" t="str">
        <f>Orders!J1854</f>
        <v>Completed</v>
      </c>
      <c r="K1854" t="str">
        <f>Orders!K1854</f>
        <v>Chennai</v>
      </c>
      <c r="L1854" t="str">
        <f>IFERROR(VLOOKUP(D1854,Products!$A$2:$F$61,3,FALSE),"")</f>
        <v>Electronics</v>
      </c>
      <c r="M1854">
        <f>IFERROR(VLOOKUP(D1854,Products!$A$2:$F$61,4,FALSE),"")</f>
        <v>517</v>
      </c>
      <c r="N1854" t="str">
        <f>IFERROR(VLOOKUP(E1854,Sales_Reps!$A$2:$E$31,3,FALSE),"")</f>
        <v>East</v>
      </c>
      <c r="O1854" t="str">
        <f>IFERROR(VLOOKUP(C1854,Customers!$A$2:$F$301,5,FALSE),"")</f>
        <v>Corporate</v>
      </c>
      <c r="P1854">
        <f>IFERROR(VLOOKUP(C1854,Customers!$A$2:$F$301,3,FALSE),"")</f>
        <v>34</v>
      </c>
      <c r="Q1854" s="41">
        <f t="shared" si="37"/>
        <v>0.57622950819672136</v>
      </c>
      <c r="R1854" t="str">
        <f>IFERROR(VLOOKUP(C1854,Customers!$A$2:$F$301,1,FALSE),"")</f>
        <v>CUST-0277</v>
      </c>
      <c r="S1854" s="27" t="b">
        <f>IFERROR(VLOOKUP(D1854,Products!$A$2:$F$61,6,FALSE),"")</f>
        <v>1</v>
      </c>
      <c r="BL1854">
        <v>0</v>
      </c>
      <c r="BO1854">
        <v>0</v>
      </c>
      <c r="BP1854">
        <v>0</v>
      </c>
    </row>
    <row r="1855" spans="1:68" x14ac:dyDescent="0.35">
      <c r="A1855" s="26" t="str">
        <f>Orders!A1855</f>
        <v>ORD-01854</v>
      </c>
      <c r="B1855" s="33">
        <f>Orders!B1855</f>
        <v>45412</v>
      </c>
      <c r="C1855" t="str">
        <f>Orders!C1855</f>
        <v>CUST-0025</v>
      </c>
      <c r="D1855" t="str">
        <f>Orders!D1855</f>
        <v>PROD-019</v>
      </c>
      <c r="E1855" t="str">
        <f>Orders!E1855</f>
        <v>R024</v>
      </c>
      <c r="F1855">
        <f>Orders!F1855</f>
        <v>8</v>
      </c>
      <c r="G1855" s="35">
        <f>Orders!G1855</f>
        <v>2480</v>
      </c>
      <c r="H1855" s="37">
        <f>Orders!H1855</f>
        <v>3.2</v>
      </c>
      <c r="I1855" s="39">
        <f>Orders!I1855</f>
        <v>19205.12</v>
      </c>
      <c r="J1855" t="str">
        <f>Orders!J1855</f>
        <v>Cancelled</v>
      </c>
      <c r="K1855" t="str">
        <f>Orders!K1855</f>
        <v>Bengaluru</v>
      </c>
      <c r="L1855" t="str">
        <f>IFERROR(VLOOKUP(D1855,Products!$A$2:$F$61,3,FALSE),"")</f>
        <v>Apparel</v>
      </c>
      <c r="M1855">
        <f>IFERROR(VLOOKUP(D1855,Products!$A$2:$F$61,4,FALSE),"")</f>
        <v>1173</v>
      </c>
      <c r="N1855" t="str">
        <f>IFERROR(VLOOKUP(E1855,Sales_Reps!$A$2:$E$31,3,FALSE),"")</f>
        <v>West</v>
      </c>
      <c r="O1855" t="str">
        <f>IFERROR(VLOOKUP(C1855,Customers!$A$2:$F$301,5,FALSE),"")</f>
        <v>Retail</v>
      </c>
      <c r="P1855">
        <f>IFERROR(VLOOKUP(C1855,Customers!$A$2:$F$301,3,FALSE),"")</f>
        <v>23</v>
      </c>
      <c r="Q1855" s="41">
        <f t="shared" si="37"/>
        <v>0.52701612903225803</v>
      </c>
      <c r="R1855" t="str">
        <f>IFERROR(VLOOKUP(C1855,Customers!$A$2:$F$301,1,FALSE),"")</f>
        <v>CUST-0025</v>
      </c>
      <c r="S1855" s="27" t="b">
        <f>IFERROR(VLOOKUP(D1855,Products!$A$2:$F$61,6,FALSE),"")</f>
        <v>1</v>
      </c>
      <c r="BL1855">
        <v>0</v>
      </c>
      <c r="BO1855">
        <v>0</v>
      </c>
      <c r="BP1855">
        <v>0</v>
      </c>
    </row>
    <row r="1856" spans="1:68" x14ac:dyDescent="0.35">
      <c r="A1856" s="26" t="str">
        <f>Orders!A1856</f>
        <v>ORD-01855</v>
      </c>
      <c r="B1856" s="33">
        <f>Orders!B1856</f>
        <v>45554</v>
      </c>
      <c r="C1856" t="str">
        <f>Orders!C1856</f>
        <v>CUST-0228</v>
      </c>
      <c r="D1856" t="str">
        <f>Orders!D1856</f>
        <v>PROD-055</v>
      </c>
      <c r="E1856" t="str">
        <f>Orders!E1856</f>
        <v>R007</v>
      </c>
      <c r="F1856">
        <f>Orders!F1856</f>
        <v>7</v>
      </c>
      <c r="G1856" s="35">
        <f>Orders!G1856</f>
        <v>2860</v>
      </c>
      <c r="H1856" s="37">
        <f>Orders!H1856</f>
        <v>8.4</v>
      </c>
      <c r="I1856" s="39">
        <f>Orders!I1856</f>
        <v>18338.32</v>
      </c>
      <c r="J1856" t="str">
        <f>Orders!J1856</f>
        <v>Completed</v>
      </c>
      <c r="K1856" t="str">
        <f>Orders!K1856</f>
        <v>Pune</v>
      </c>
      <c r="L1856" t="str">
        <f>IFERROR(VLOOKUP(D1856,Products!$A$2:$F$61,3,FALSE),"")</f>
        <v>Sports</v>
      </c>
      <c r="M1856">
        <f>IFERROR(VLOOKUP(D1856,Products!$A$2:$F$61,4,FALSE),"")</f>
        <v>2028</v>
      </c>
      <c r="N1856" t="str">
        <f>IFERROR(VLOOKUP(E1856,Sales_Reps!$A$2:$E$31,3,FALSE),"")</f>
        <v>North</v>
      </c>
      <c r="O1856" t="str">
        <f>IFERROR(VLOOKUP(C1856,Customers!$A$2:$F$301,5,FALSE),"")</f>
        <v>Corporate</v>
      </c>
      <c r="P1856">
        <f>IFERROR(VLOOKUP(C1856,Customers!$A$2:$F$301,3,FALSE),"")</f>
        <v>37</v>
      </c>
      <c r="Q1856" s="41">
        <f t="shared" si="37"/>
        <v>0.29090909090909089</v>
      </c>
      <c r="R1856" t="str">
        <f>IFERROR(VLOOKUP(C1856,Customers!$A$2:$F$301,1,FALSE),"")</f>
        <v>CUST-0228</v>
      </c>
      <c r="S1856" s="27" t="b">
        <f>IFERROR(VLOOKUP(D1856,Products!$A$2:$F$61,6,FALSE),"")</f>
        <v>1</v>
      </c>
      <c r="BL1856">
        <v>0</v>
      </c>
      <c r="BO1856">
        <v>0</v>
      </c>
      <c r="BP1856">
        <v>0</v>
      </c>
    </row>
    <row r="1857" spans="1:68" x14ac:dyDescent="0.35">
      <c r="A1857" s="26" t="str">
        <f>Orders!A1857</f>
        <v>ORD-01856</v>
      </c>
      <c r="B1857" s="33">
        <f>Orders!B1857</f>
        <v>45365</v>
      </c>
      <c r="C1857" t="str">
        <f>Orders!C1857</f>
        <v>CUST-0078</v>
      </c>
      <c r="D1857" t="str">
        <f>Orders!D1857</f>
        <v>PROD-027</v>
      </c>
      <c r="E1857" t="str">
        <f>Orders!E1857</f>
        <v>R024</v>
      </c>
      <c r="F1857">
        <f>Orders!F1857</f>
        <v>1</v>
      </c>
      <c r="G1857" s="35">
        <f>Orders!G1857</f>
        <v>3780</v>
      </c>
      <c r="H1857" s="37">
        <f>Orders!H1857</f>
        <v>16.3</v>
      </c>
      <c r="I1857" s="39">
        <f>Orders!I1857</f>
        <v>3163.86</v>
      </c>
      <c r="J1857" t="str">
        <f>Orders!J1857</f>
        <v>Cancelled</v>
      </c>
      <c r="K1857" t="str">
        <f>Orders!K1857</f>
        <v>Delhi</v>
      </c>
      <c r="L1857" t="str">
        <f>IFERROR(VLOOKUP(D1857,Products!$A$2:$F$61,3,FALSE),"")</f>
        <v>Grocery</v>
      </c>
      <c r="M1857">
        <f>IFERROR(VLOOKUP(D1857,Products!$A$2:$F$61,4,FALSE),"")</f>
        <v>2436</v>
      </c>
      <c r="N1857" t="str">
        <f>IFERROR(VLOOKUP(E1857,Sales_Reps!$A$2:$E$31,3,FALSE),"")</f>
        <v>West</v>
      </c>
      <c r="O1857" t="str">
        <f>IFERROR(VLOOKUP(C1857,Customers!$A$2:$F$301,5,FALSE),"")</f>
        <v>Retail</v>
      </c>
      <c r="P1857">
        <f>IFERROR(VLOOKUP(C1857,Customers!$A$2:$F$301,3,FALSE),"")</f>
        <v>31</v>
      </c>
      <c r="Q1857" s="41">
        <f t="shared" si="37"/>
        <v>0.35555555555555557</v>
      </c>
      <c r="R1857" t="str">
        <f>IFERROR(VLOOKUP(C1857,Customers!$A$2:$F$301,1,FALSE),"")</f>
        <v>CUST-0078</v>
      </c>
      <c r="S1857" s="27" t="b">
        <f>IFERROR(VLOOKUP(D1857,Products!$A$2:$F$61,6,FALSE),"")</f>
        <v>1</v>
      </c>
      <c r="BL1857">
        <v>0</v>
      </c>
      <c r="BO1857">
        <v>0</v>
      </c>
      <c r="BP1857">
        <v>0</v>
      </c>
    </row>
    <row r="1858" spans="1:68" x14ac:dyDescent="0.35">
      <c r="A1858" s="26" t="str">
        <f>Orders!A1858</f>
        <v>ORD-01857</v>
      </c>
      <c r="B1858" s="33">
        <f>Orders!B1858</f>
        <v>45504</v>
      </c>
      <c r="C1858" t="str">
        <f>Orders!C1858</f>
        <v>CUST-0205</v>
      </c>
      <c r="D1858" t="str">
        <f>Orders!D1858</f>
        <v>PROD-055</v>
      </c>
      <c r="E1858" t="str">
        <f>Orders!E1858</f>
        <v>R025</v>
      </c>
      <c r="F1858">
        <f>Orders!F1858</f>
        <v>6</v>
      </c>
      <c r="G1858" s="35">
        <f>Orders!G1858</f>
        <v>2860</v>
      </c>
      <c r="H1858" s="37">
        <f>Orders!H1858</f>
        <v>10.7</v>
      </c>
      <c r="I1858" s="39">
        <f>Orders!I1858</f>
        <v>15323.88</v>
      </c>
      <c r="J1858" t="str">
        <f>Orders!J1858</f>
        <v>Completed</v>
      </c>
      <c r="K1858" t="str">
        <f>Orders!K1858</f>
        <v>Pune</v>
      </c>
      <c r="L1858" t="str">
        <f>IFERROR(VLOOKUP(D1858,Products!$A$2:$F$61,3,FALSE),"")</f>
        <v>Sports</v>
      </c>
      <c r="M1858">
        <f>IFERROR(VLOOKUP(D1858,Products!$A$2:$F$61,4,FALSE),"")</f>
        <v>2028</v>
      </c>
      <c r="N1858" t="str">
        <f>IFERROR(VLOOKUP(E1858,Sales_Reps!$A$2:$E$31,3,FALSE),"")</f>
        <v>West</v>
      </c>
      <c r="O1858" t="str">
        <f>IFERROR(VLOOKUP(C1858,Customers!$A$2:$F$301,5,FALSE),"")</f>
        <v>Corporate</v>
      </c>
      <c r="P1858">
        <f>IFERROR(VLOOKUP(C1858,Customers!$A$2:$F$301,3,FALSE),"")</f>
        <v>29</v>
      </c>
      <c r="Q1858" s="41">
        <f t="shared" ref="Q1858:Q1921" si="38">IFERROR((G1858-M1858)/G1858,0)</f>
        <v>0.29090909090909089</v>
      </c>
      <c r="R1858" t="str">
        <f>IFERROR(VLOOKUP(C1858,Customers!$A$2:$F$301,1,FALSE),"")</f>
        <v>CUST-0205</v>
      </c>
      <c r="S1858" s="27" t="b">
        <f>IFERROR(VLOOKUP(D1858,Products!$A$2:$F$61,6,FALSE),"")</f>
        <v>1</v>
      </c>
      <c r="BL1858">
        <v>0</v>
      </c>
      <c r="BO1858">
        <v>0</v>
      </c>
      <c r="BP1858">
        <v>0</v>
      </c>
    </row>
    <row r="1859" spans="1:68" x14ac:dyDescent="0.35">
      <c r="A1859" s="26" t="str">
        <f>Orders!A1859</f>
        <v>ORD-01858</v>
      </c>
      <c r="B1859" s="33">
        <f>Orders!B1859</f>
        <v>45652</v>
      </c>
      <c r="C1859" t="str">
        <f>Orders!C1859</f>
        <v>CUST-0044</v>
      </c>
      <c r="D1859" t="str">
        <f>Orders!D1859</f>
        <v>PROD-058</v>
      </c>
      <c r="E1859" t="str">
        <f>Orders!E1859</f>
        <v>R027</v>
      </c>
      <c r="F1859">
        <f>Orders!F1859</f>
        <v>3</v>
      </c>
      <c r="G1859" s="35">
        <f>Orders!G1859</f>
        <v>2400</v>
      </c>
      <c r="H1859" s="37">
        <f>Orders!H1859</f>
        <v>20.7</v>
      </c>
      <c r="I1859" s="39">
        <f>Orders!I1859</f>
        <v>5709.6</v>
      </c>
      <c r="J1859" t="str">
        <f>Orders!J1859</f>
        <v>Completed</v>
      </c>
      <c r="K1859" t="str">
        <f>Orders!K1859</f>
        <v>Hyderabad</v>
      </c>
      <c r="L1859" t="str">
        <f>IFERROR(VLOOKUP(D1859,Products!$A$2:$F$61,3,FALSE),"")</f>
        <v>Sports</v>
      </c>
      <c r="M1859">
        <f>IFERROR(VLOOKUP(D1859,Products!$A$2:$F$61,4,FALSE),"")</f>
        <v>974</v>
      </c>
      <c r="N1859" t="str">
        <f>IFERROR(VLOOKUP(E1859,Sales_Reps!$A$2:$E$31,3,FALSE),"")</f>
        <v>West</v>
      </c>
      <c r="O1859" t="str">
        <f>IFERROR(VLOOKUP(C1859,Customers!$A$2:$F$301,5,FALSE),"")</f>
        <v>SMB</v>
      </c>
      <c r="P1859">
        <f>IFERROR(VLOOKUP(C1859,Customers!$A$2:$F$301,3,FALSE),"")</f>
        <v>29</v>
      </c>
      <c r="Q1859" s="41">
        <f t="shared" si="38"/>
        <v>0.59416666666666662</v>
      </c>
      <c r="R1859" t="str">
        <f>IFERROR(VLOOKUP(C1859,Customers!$A$2:$F$301,1,FALSE),"")</f>
        <v>CUST-0044</v>
      </c>
      <c r="S1859" s="27" t="b">
        <f>IFERROR(VLOOKUP(D1859,Products!$A$2:$F$61,6,FALSE),"")</f>
        <v>1</v>
      </c>
      <c r="BL1859">
        <v>0</v>
      </c>
      <c r="BO1859">
        <v>0</v>
      </c>
      <c r="BP1859">
        <v>0</v>
      </c>
    </row>
    <row r="1860" spans="1:68" x14ac:dyDescent="0.35">
      <c r="A1860" s="26" t="str">
        <f>Orders!A1860</f>
        <v>ORD-01859</v>
      </c>
      <c r="B1860" s="33">
        <f>Orders!B1860</f>
        <v>45330</v>
      </c>
      <c r="C1860" t="str">
        <f>Orders!C1860</f>
        <v>CUST-0188</v>
      </c>
      <c r="D1860" t="str">
        <f>Orders!D1860</f>
        <v>PROD-023</v>
      </c>
      <c r="E1860" t="str">
        <f>Orders!E1860</f>
        <v>R025</v>
      </c>
      <c r="F1860">
        <f>Orders!F1860</f>
        <v>8</v>
      </c>
      <c r="G1860" s="35">
        <f>Orders!G1860</f>
        <v>2380</v>
      </c>
      <c r="H1860" s="37">
        <f>Orders!H1860</f>
        <v>22.3</v>
      </c>
      <c r="I1860" s="39">
        <f>Orders!I1860</f>
        <v>14794.08</v>
      </c>
      <c r="J1860" t="str">
        <f>Orders!J1860</f>
        <v>Refunded</v>
      </c>
      <c r="K1860" t="str">
        <f>Orders!K1860</f>
        <v>Bengaluru</v>
      </c>
      <c r="L1860" t="str">
        <f>IFERROR(VLOOKUP(D1860,Products!$A$2:$F$61,3,FALSE),"")</f>
        <v>Grocery</v>
      </c>
      <c r="M1860">
        <f>IFERROR(VLOOKUP(D1860,Products!$A$2:$F$61,4,FALSE),"")</f>
        <v>1182</v>
      </c>
      <c r="N1860" t="str">
        <f>IFERROR(VLOOKUP(E1860,Sales_Reps!$A$2:$E$31,3,FALSE),"")</f>
        <v>West</v>
      </c>
      <c r="O1860" t="str">
        <f>IFERROR(VLOOKUP(C1860,Customers!$A$2:$F$301,5,FALSE),"")</f>
        <v>Retail</v>
      </c>
      <c r="P1860">
        <f>IFERROR(VLOOKUP(C1860,Customers!$A$2:$F$301,3,FALSE),"")</f>
        <v>54</v>
      </c>
      <c r="Q1860" s="41">
        <f t="shared" si="38"/>
        <v>0.50336134453781511</v>
      </c>
      <c r="R1860" t="str">
        <f>IFERROR(VLOOKUP(C1860,Customers!$A$2:$F$301,1,FALSE),"")</f>
        <v>CUST-0188</v>
      </c>
      <c r="S1860" s="27" t="b">
        <f>IFERROR(VLOOKUP(D1860,Products!$A$2:$F$61,6,FALSE),"")</f>
        <v>1</v>
      </c>
      <c r="BL1860">
        <v>0</v>
      </c>
      <c r="BO1860">
        <v>0</v>
      </c>
      <c r="BP1860">
        <v>0</v>
      </c>
    </row>
    <row r="1861" spans="1:68" x14ac:dyDescent="0.35">
      <c r="A1861" s="26" t="str">
        <f>Orders!A1861</f>
        <v>ORD-01860</v>
      </c>
      <c r="B1861" s="33">
        <f>Orders!B1861</f>
        <v>45533</v>
      </c>
      <c r="C1861" t="str">
        <f>Orders!C1861</f>
        <v>CUST-0165</v>
      </c>
      <c r="D1861" t="str">
        <f>Orders!D1861</f>
        <v>PROD-048</v>
      </c>
      <c r="E1861" t="str">
        <f>Orders!E1861</f>
        <v>R006</v>
      </c>
      <c r="F1861">
        <f>Orders!F1861</f>
        <v>7</v>
      </c>
      <c r="G1861" s="35">
        <f>Orders!G1861</f>
        <v>5100</v>
      </c>
      <c r="H1861" s="37">
        <f>Orders!H1861</f>
        <v>22.9</v>
      </c>
      <c r="I1861" s="39">
        <f>Orders!I1861</f>
        <v>27524.7</v>
      </c>
      <c r="J1861" t="str">
        <f>Orders!J1861</f>
        <v>Cancelled</v>
      </c>
      <c r="K1861" t="str">
        <f>Orders!K1861</f>
        <v>Pune</v>
      </c>
      <c r="L1861" t="str">
        <f>IFERROR(VLOOKUP(D1861,Products!$A$2:$F$61,3,FALSE),"")</f>
        <v>Beauty</v>
      </c>
      <c r="M1861">
        <f>IFERROR(VLOOKUP(D1861,Products!$A$2:$F$61,4,FALSE),"")</f>
        <v>2237</v>
      </c>
      <c r="N1861" t="str">
        <f>IFERROR(VLOOKUP(E1861,Sales_Reps!$A$2:$E$31,3,FALSE),"")</f>
        <v>North</v>
      </c>
      <c r="O1861" t="str">
        <f>IFERROR(VLOOKUP(C1861,Customers!$A$2:$F$301,5,FALSE),"")</f>
        <v>Retail</v>
      </c>
      <c r="P1861">
        <f>IFERROR(VLOOKUP(C1861,Customers!$A$2:$F$301,3,FALSE),"")</f>
        <v>29</v>
      </c>
      <c r="Q1861" s="41">
        <f t="shared" si="38"/>
        <v>0.56137254901960787</v>
      </c>
      <c r="R1861" t="str">
        <f>IFERROR(VLOOKUP(C1861,Customers!$A$2:$F$301,1,FALSE),"")</f>
        <v>CUST-0165</v>
      </c>
      <c r="S1861" s="27" t="b">
        <f>IFERROR(VLOOKUP(D1861,Products!$A$2:$F$61,6,FALSE),"")</f>
        <v>1</v>
      </c>
      <c r="BL1861">
        <v>0</v>
      </c>
      <c r="BO1861">
        <v>0</v>
      </c>
      <c r="BP1861">
        <v>0</v>
      </c>
    </row>
    <row r="1862" spans="1:68" x14ac:dyDescent="0.35">
      <c r="A1862" s="26" t="str">
        <f>Orders!A1862</f>
        <v>ORD-01861</v>
      </c>
      <c r="B1862" s="33">
        <f>Orders!B1862</f>
        <v>45463</v>
      </c>
      <c r="C1862" t="str">
        <f>Orders!C1862</f>
        <v>CUST-0059</v>
      </c>
      <c r="D1862" t="str">
        <f>Orders!D1862</f>
        <v>PROD-005</v>
      </c>
      <c r="E1862" t="str">
        <f>Orders!E1862</f>
        <v>R015</v>
      </c>
      <c r="F1862">
        <f>Orders!F1862</f>
        <v>7</v>
      </c>
      <c r="G1862" s="35">
        <f>Orders!G1862</f>
        <v>300</v>
      </c>
      <c r="H1862" s="37">
        <f>Orders!H1862</f>
        <v>15.3</v>
      </c>
      <c r="I1862" s="39">
        <f>Orders!I1862</f>
        <v>1778.7</v>
      </c>
      <c r="J1862" t="str">
        <f>Orders!J1862</f>
        <v>Completed</v>
      </c>
      <c r="K1862" t="str">
        <f>Orders!K1862</f>
        <v>Pune</v>
      </c>
      <c r="L1862" t="str">
        <f>IFERROR(VLOOKUP(D1862,Products!$A$2:$F$61,3,FALSE),"")</f>
        <v>Electronics</v>
      </c>
      <c r="M1862">
        <f>IFERROR(VLOOKUP(D1862,Products!$A$2:$F$61,4,FALSE),"")</f>
        <v>128</v>
      </c>
      <c r="N1862" t="str">
        <f>IFERROR(VLOOKUP(E1862,Sales_Reps!$A$2:$E$31,3,FALSE),"")</f>
        <v>South</v>
      </c>
      <c r="O1862" t="str">
        <f>IFERROR(VLOOKUP(C1862,Customers!$A$2:$F$301,5,FALSE),"")</f>
        <v>Corporate</v>
      </c>
      <c r="P1862">
        <f>IFERROR(VLOOKUP(C1862,Customers!$A$2:$F$301,3,FALSE),"")</f>
        <v>29</v>
      </c>
      <c r="Q1862" s="41">
        <f t="shared" si="38"/>
        <v>0.57333333333333336</v>
      </c>
      <c r="R1862" t="str">
        <f>IFERROR(VLOOKUP(C1862,Customers!$A$2:$F$301,1,FALSE),"")</f>
        <v>CUST-0059</v>
      </c>
      <c r="S1862" s="27" t="b">
        <f>IFERROR(VLOOKUP(D1862,Products!$A$2:$F$61,6,FALSE),"")</f>
        <v>1</v>
      </c>
      <c r="BL1862">
        <v>0</v>
      </c>
      <c r="BO1862">
        <v>0</v>
      </c>
      <c r="BP1862">
        <v>0</v>
      </c>
    </row>
    <row r="1863" spans="1:68" x14ac:dyDescent="0.35">
      <c r="A1863" s="26" t="str">
        <f>Orders!A1863</f>
        <v>ORD-01862</v>
      </c>
      <c r="B1863" s="33">
        <f>Orders!B1863</f>
        <v>45428</v>
      </c>
      <c r="C1863" t="str">
        <f>Orders!C1863</f>
        <v>CUST-0280</v>
      </c>
      <c r="D1863" t="str">
        <f>Orders!D1863</f>
        <v>PROD-051</v>
      </c>
      <c r="E1863" t="str">
        <f>Orders!E1863</f>
        <v>R010</v>
      </c>
      <c r="F1863">
        <f>Orders!F1863</f>
        <v>5</v>
      </c>
      <c r="G1863" s="35">
        <f>Orders!G1863</f>
        <v>3450</v>
      </c>
      <c r="H1863" s="37">
        <f>Orders!H1863</f>
        <v>16.8</v>
      </c>
      <c r="I1863" s="39">
        <f>Orders!I1863</f>
        <v>14352</v>
      </c>
      <c r="J1863" t="str">
        <f>Orders!J1863</f>
        <v>Completed</v>
      </c>
      <c r="K1863" t="str">
        <f>Orders!K1863</f>
        <v>Delhi</v>
      </c>
      <c r="L1863" t="str">
        <f>IFERROR(VLOOKUP(D1863,Products!$A$2:$F$61,3,FALSE),"")</f>
        <v>Sports</v>
      </c>
      <c r="M1863">
        <f>IFERROR(VLOOKUP(D1863,Products!$A$2:$F$61,4,FALSE),"")</f>
        <v>2467</v>
      </c>
      <c r="N1863" t="str">
        <f>IFERROR(VLOOKUP(E1863,Sales_Reps!$A$2:$E$31,3,FALSE),"")</f>
        <v>South</v>
      </c>
      <c r="O1863" t="str">
        <f>IFERROR(VLOOKUP(C1863,Customers!$A$2:$F$301,5,FALSE),"")</f>
        <v>SMB</v>
      </c>
      <c r="P1863">
        <f>IFERROR(VLOOKUP(C1863,Customers!$A$2:$F$301,3,FALSE),"")</f>
        <v>27</v>
      </c>
      <c r="Q1863" s="41">
        <f t="shared" si="38"/>
        <v>0.28492753623188405</v>
      </c>
      <c r="R1863" t="str">
        <f>IFERROR(VLOOKUP(C1863,Customers!$A$2:$F$301,1,FALSE),"")</f>
        <v>CUST-0280</v>
      </c>
      <c r="S1863" s="27" t="b">
        <f>IFERROR(VLOOKUP(D1863,Products!$A$2:$F$61,6,FALSE),"")</f>
        <v>1</v>
      </c>
      <c r="BL1863">
        <v>0</v>
      </c>
      <c r="BO1863">
        <v>0</v>
      </c>
      <c r="BP1863">
        <v>0</v>
      </c>
    </row>
    <row r="1864" spans="1:68" x14ac:dyDescent="0.35">
      <c r="A1864" s="26" t="str">
        <f>Orders!A1864</f>
        <v>ORD-01863</v>
      </c>
      <c r="B1864" s="33">
        <f>Orders!B1864</f>
        <v>45634</v>
      </c>
      <c r="C1864" t="str">
        <f>Orders!C1864</f>
        <v>CUST-0153</v>
      </c>
      <c r="D1864" t="str">
        <f>Orders!D1864</f>
        <v>PROD-055</v>
      </c>
      <c r="E1864" t="str">
        <f>Orders!E1864</f>
        <v>R014</v>
      </c>
      <c r="F1864">
        <f>Orders!F1864</f>
        <v>4</v>
      </c>
      <c r="G1864" s="35">
        <f>Orders!G1864</f>
        <v>2860</v>
      </c>
      <c r="H1864" s="37">
        <f>Orders!H1864</f>
        <v>14.3</v>
      </c>
      <c r="I1864" s="39">
        <f>Orders!I1864</f>
        <v>9804.08</v>
      </c>
      <c r="J1864" t="str">
        <f>Orders!J1864</f>
        <v>Completed</v>
      </c>
      <c r="K1864" t="str">
        <f>Orders!K1864</f>
        <v>Mumbai</v>
      </c>
      <c r="L1864" t="str">
        <f>IFERROR(VLOOKUP(D1864,Products!$A$2:$F$61,3,FALSE),"")</f>
        <v>Sports</v>
      </c>
      <c r="M1864">
        <f>IFERROR(VLOOKUP(D1864,Products!$A$2:$F$61,4,FALSE),"")</f>
        <v>2028</v>
      </c>
      <c r="N1864" t="str">
        <f>IFERROR(VLOOKUP(E1864,Sales_Reps!$A$2:$E$31,3,FALSE),"")</f>
        <v>South</v>
      </c>
      <c r="O1864" t="str">
        <f>IFERROR(VLOOKUP(C1864,Customers!$A$2:$F$301,5,FALSE),"")</f>
        <v>Retail</v>
      </c>
      <c r="P1864">
        <f>IFERROR(VLOOKUP(C1864,Customers!$A$2:$F$301,3,FALSE),"")</f>
        <v>35</v>
      </c>
      <c r="Q1864" s="41">
        <f t="shared" si="38"/>
        <v>0.29090909090909089</v>
      </c>
      <c r="R1864" t="str">
        <f>IFERROR(VLOOKUP(C1864,Customers!$A$2:$F$301,1,FALSE),"")</f>
        <v>CUST-0153</v>
      </c>
      <c r="S1864" s="27" t="b">
        <f>IFERROR(VLOOKUP(D1864,Products!$A$2:$F$61,6,FALSE),"")</f>
        <v>1</v>
      </c>
      <c r="BL1864">
        <v>0</v>
      </c>
      <c r="BO1864">
        <v>0</v>
      </c>
      <c r="BP1864">
        <v>0</v>
      </c>
    </row>
    <row r="1865" spans="1:68" x14ac:dyDescent="0.35">
      <c r="A1865" s="26" t="str">
        <f>Orders!A1865</f>
        <v>ORD-01864</v>
      </c>
      <c r="B1865" s="33">
        <f>Orders!B1865</f>
        <v>45627</v>
      </c>
      <c r="C1865" t="str">
        <f>Orders!C1865</f>
        <v>CUST-0251</v>
      </c>
      <c r="D1865" t="str">
        <f>Orders!D1865</f>
        <v>PROD-015</v>
      </c>
      <c r="E1865" t="str">
        <f>Orders!E1865</f>
        <v>R001</v>
      </c>
      <c r="F1865">
        <f>Orders!F1865</f>
        <v>6</v>
      </c>
      <c r="G1865" s="35">
        <f>Orders!G1865</f>
        <v>2720</v>
      </c>
      <c r="H1865" s="37">
        <f>Orders!H1865</f>
        <v>25.1</v>
      </c>
      <c r="I1865" s="39">
        <f>Orders!I1865</f>
        <v>12223.68</v>
      </c>
      <c r="J1865" t="str">
        <f>Orders!J1865</f>
        <v>Cancelled</v>
      </c>
      <c r="K1865" t="str">
        <f>Orders!K1865</f>
        <v>Mumbai</v>
      </c>
      <c r="L1865" t="str">
        <f>IFERROR(VLOOKUP(D1865,Products!$A$2:$F$61,3,FALSE),"")</f>
        <v>Apparel</v>
      </c>
      <c r="M1865">
        <f>IFERROR(VLOOKUP(D1865,Products!$A$2:$F$61,4,FALSE),"")</f>
        <v>1962</v>
      </c>
      <c r="N1865" t="str">
        <f>IFERROR(VLOOKUP(E1865,Sales_Reps!$A$2:$E$31,3,FALSE),"")</f>
        <v>North</v>
      </c>
      <c r="O1865" t="str">
        <f>IFERROR(VLOOKUP(C1865,Customers!$A$2:$F$301,5,FALSE),"")</f>
        <v>Retail</v>
      </c>
      <c r="P1865">
        <f>IFERROR(VLOOKUP(C1865,Customers!$A$2:$F$301,3,FALSE),"")</f>
        <v>44</v>
      </c>
      <c r="Q1865" s="41">
        <f t="shared" si="38"/>
        <v>0.2786764705882353</v>
      </c>
      <c r="R1865" t="str">
        <f>IFERROR(VLOOKUP(C1865,Customers!$A$2:$F$301,1,FALSE),"")</f>
        <v>CUST-0251</v>
      </c>
      <c r="S1865" s="27" t="b">
        <f>IFERROR(VLOOKUP(D1865,Products!$A$2:$F$61,6,FALSE),"")</f>
        <v>1</v>
      </c>
      <c r="BL1865">
        <v>0</v>
      </c>
      <c r="BO1865">
        <v>0</v>
      </c>
      <c r="BP1865">
        <v>0</v>
      </c>
    </row>
    <row r="1866" spans="1:68" x14ac:dyDescent="0.35">
      <c r="A1866" s="26" t="str">
        <f>Orders!A1866</f>
        <v>ORD-01865</v>
      </c>
      <c r="B1866" s="33">
        <f>Orders!B1866</f>
        <v>45429</v>
      </c>
      <c r="C1866" t="str">
        <f>Orders!C1866</f>
        <v>CUST-0255</v>
      </c>
      <c r="D1866" t="str">
        <f>Orders!D1866</f>
        <v>PROD-031</v>
      </c>
      <c r="E1866" t="str">
        <f>Orders!E1866</f>
        <v>R028</v>
      </c>
      <c r="F1866">
        <f>Orders!F1866</f>
        <v>3</v>
      </c>
      <c r="G1866" s="35">
        <f>Orders!G1866</f>
        <v>3730</v>
      </c>
      <c r="H1866" s="37">
        <f>Orders!H1866</f>
        <v>24.8</v>
      </c>
      <c r="I1866" s="39">
        <f>Orders!I1866</f>
        <v>8414.8799999999992</v>
      </c>
      <c r="J1866" t="str">
        <f>Orders!J1866</f>
        <v>Completed</v>
      </c>
      <c r="K1866" t="str">
        <f>Orders!K1866</f>
        <v>Chennai</v>
      </c>
      <c r="L1866" t="str">
        <f>IFERROR(VLOOKUP(D1866,Products!$A$2:$F$61,3,FALSE),"")</f>
        <v>Home</v>
      </c>
      <c r="M1866">
        <f>IFERROR(VLOOKUP(D1866,Products!$A$2:$F$61,4,FALSE),"")</f>
        <v>2135</v>
      </c>
      <c r="N1866" t="str">
        <f>IFERROR(VLOOKUP(E1866,Sales_Reps!$A$2:$E$31,3,FALSE),"")</f>
        <v>West</v>
      </c>
      <c r="O1866" t="str">
        <f>IFERROR(VLOOKUP(C1866,Customers!$A$2:$F$301,5,FALSE),"")</f>
        <v>Corporate</v>
      </c>
      <c r="P1866">
        <f>IFERROR(VLOOKUP(C1866,Customers!$A$2:$F$301,3,FALSE),"")</f>
        <v>51</v>
      </c>
      <c r="Q1866" s="41">
        <f t="shared" si="38"/>
        <v>0.42761394101876676</v>
      </c>
      <c r="R1866" t="str">
        <f>IFERROR(VLOOKUP(C1866,Customers!$A$2:$F$301,1,FALSE),"")</f>
        <v>CUST-0255</v>
      </c>
      <c r="S1866" s="27" t="b">
        <f>IFERROR(VLOOKUP(D1866,Products!$A$2:$F$61,6,FALSE),"")</f>
        <v>1</v>
      </c>
      <c r="BL1866">
        <v>0</v>
      </c>
      <c r="BO1866">
        <v>0</v>
      </c>
      <c r="BP1866">
        <v>0</v>
      </c>
    </row>
    <row r="1867" spans="1:68" x14ac:dyDescent="0.35">
      <c r="A1867" s="26" t="str">
        <f>Orders!A1867</f>
        <v>ORD-01866</v>
      </c>
      <c r="B1867" s="33">
        <f>Orders!B1867</f>
        <v>45648</v>
      </c>
      <c r="C1867" t="str">
        <f>Orders!C1867</f>
        <v>CUST-0076</v>
      </c>
      <c r="D1867" t="str">
        <f>Orders!D1867</f>
        <v>PROD-025</v>
      </c>
      <c r="E1867" t="str">
        <f>Orders!E1867</f>
        <v>R002</v>
      </c>
      <c r="F1867">
        <f>Orders!F1867</f>
        <v>2</v>
      </c>
      <c r="G1867" s="35">
        <f>Orders!G1867</f>
        <v>4060</v>
      </c>
      <c r="H1867" s="37">
        <f>Orders!H1867</f>
        <v>11.3</v>
      </c>
      <c r="I1867" s="39">
        <f>Orders!I1867</f>
        <v>7202.44</v>
      </c>
      <c r="J1867" t="str">
        <f>Orders!J1867</f>
        <v>Completed</v>
      </c>
      <c r="K1867" t="str">
        <f>Orders!K1867</f>
        <v>Mumbai</v>
      </c>
      <c r="L1867" t="str">
        <f>IFERROR(VLOOKUP(D1867,Products!$A$2:$F$61,3,FALSE),"")</f>
        <v>Grocery</v>
      </c>
      <c r="M1867">
        <f>IFERROR(VLOOKUP(D1867,Products!$A$2:$F$61,4,FALSE),"")</f>
        <v>2911</v>
      </c>
      <c r="N1867" t="str">
        <f>IFERROR(VLOOKUP(E1867,Sales_Reps!$A$2:$E$31,3,FALSE),"")</f>
        <v>North</v>
      </c>
      <c r="O1867" t="str">
        <f>IFERROR(VLOOKUP(C1867,Customers!$A$2:$F$301,5,FALSE),"")</f>
        <v>Retail</v>
      </c>
      <c r="P1867">
        <f>IFERROR(VLOOKUP(C1867,Customers!$A$2:$F$301,3,FALSE),"")</f>
        <v>38</v>
      </c>
      <c r="Q1867" s="41">
        <f t="shared" si="38"/>
        <v>0.28300492610837441</v>
      </c>
      <c r="R1867" t="str">
        <f>IFERROR(VLOOKUP(C1867,Customers!$A$2:$F$301,1,FALSE),"")</f>
        <v>CUST-0076</v>
      </c>
      <c r="S1867" s="27" t="b">
        <f>IFERROR(VLOOKUP(D1867,Products!$A$2:$F$61,6,FALSE),"")</f>
        <v>1</v>
      </c>
      <c r="BL1867">
        <v>0</v>
      </c>
      <c r="BO1867">
        <v>0</v>
      </c>
      <c r="BP1867">
        <v>0</v>
      </c>
    </row>
    <row r="1868" spans="1:68" x14ac:dyDescent="0.35">
      <c r="A1868" s="26" t="str">
        <f>Orders!A1868</f>
        <v>ORD-01867</v>
      </c>
      <c r="B1868" s="33">
        <f>Orders!B1868</f>
        <v>45295</v>
      </c>
      <c r="C1868" t="str">
        <f>Orders!C1868</f>
        <v>CUST-0195</v>
      </c>
      <c r="D1868" t="str">
        <f>Orders!D1868</f>
        <v>PROD-042</v>
      </c>
      <c r="E1868" t="str">
        <f>Orders!E1868</f>
        <v>R018</v>
      </c>
      <c r="F1868">
        <f>Orders!F1868</f>
        <v>6</v>
      </c>
      <c r="G1868" s="35">
        <f>Orders!G1868</f>
        <v>2290</v>
      </c>
      <c r="H1868" s="37">
        <f>Orders!H1868</f>
        <v>26.8</v>
      </c>
      <c r="I1868" s="39">
        <f>Orders!I1868</f>
        <v>10057.68</v>
      </c>
      <c r="J1868" t="str">
        <f>Orders!J1868</f>
        <v>Refunded</v>
      </c>
      <c r="K1868" t="str">
        <f>Orders!K1868</f>
        <v>Bengaluru</v>
      </c>
      <c r="L1868" t="str">
        <f>IFERROR(VLOOKUP(D1868,Products!$A$2:$F$61,3,FALSE),"")</f>
        <v>Beauty</v>
      </c>
      <c r="M1868">
        <f>IFERROR(VLOOKUP(D1868,Products!$A$2:$F$61,4,FALSE),"")</f>
        <v>1219</v>
      </c>
      <c r="N1868" t="str">
        <f>IFERROR(VLOOKUP(E1868,Sales_Reps!$A$2:$E$31,3,FALSE),"")</f>
        <v>East</v>
      </c>
      <c r="O1868" t="str">
        <f>IFERROR(VLOOKUP(C1868,Customers!$A$2:$F$301,5,FALSE),"")</f>
        <v>Retail</v>
      </c>
      <c r="P1868">
        <f>IFERROR(VLOOKUP(C1868,Customers!$A$2:$F$301,3,FALSE),"")</f>
        <v>28</v>
      </c>
      <c r="Q1868" s="41">
        <f t="shared" si="38"/>
        <v>0.46768558951965067</v>
      </c>
      <c r="R1868" t="str">
        <f>IFERROR(VLOOKUP(C1868,Customers!$A$2:$F$301,1,FALSE),"")</f>
        <v>CUST-0195</v>
      </c>
      <c r="S1868" s="27" t="b">
        <f>IFERROR(VLOOKUP(D1868,Products!$A$2:$F$61,6,FALSE),"")</f>
        <v>1</v>
      </c>
      <c r="BL1868">
        <v>0</v>
      </c>
      <c r="BO1868">
        <v>0</v>
      </c>
      <c r="BP1868">
        <v>0</v>
      </c>
    </row>
    <row r="1869" spans="1:68" x14ac:dyDescent="0.35">
      <c r="A1869" s="26" t="str">
        <f>Orders!A1869</f>
        <v>ORD-01868</v>
      </c>
      <c r="B1869" s="33">
        <f>Orders!B1869</f>
        <v>45418</v>
      </c>
      <c r="C1869" t="str">
        <f>Orders!C1869</f>
        <v>CUST-0164</v>
      </c>
      <c r="D1869" t="str">
        <f>Orders!D1869</f>
        <v>PROD-056</v>
      </c>
      <c r="E1869" t="str">
        <f>Orders!E1869</f>
        <v>R013</v>
      </c>
      <c r="F1869">
        <f>Orders!F1869</f>
        <v>1</v>
      </c>
      <c r="G1869" s="35">
        <f>Orders!G1869</f>
        <v>6940</v>
      </c>
      <c r="H1869" s="37">
        <f>Orders!H1869</f>
        <v>15.7</v>
      </c>
      <c r="I1869" s="39">
        <f>Orders!I1869</f>
        <v>5850.42</v>
      </c>
      <c r="J1869" t="str">
        <f>Orders!J1869</f>
        <v>Completed</v>
      </c>
      <c r="K1869" t="str">
        <f>Orders!K1869</f>
        <v>Chennai</v>
      </c>
      <c r="L1869" t="str">
        <f>IFERROR(VLOOKUP(D1869,Products!$A$2:$F$61,3,FALSE),"")</f>
        <v>Sports</v>
      </c>
      <c r="M1869">
        <f>IFERROR(VLOOKUP(D1869,Products!$A$2:$F$61,4,FALSE),"")</f>
        <v>2827</v>
      </c>
      <c r="N1869" t="str">
        <f>IFERROR(VLOOKUP(E1869,Sales_Reps!$A$2:$E$31,3,FALSE),"")</f>
        <v>South</v>
      </c>
      <c r="O1869" t="str">
        <f>IFERROR(VLOOKUP(C1869,Customers!$A$2:$F$301,5,FALSE),"")</f>
        <v>Retail</v>
      </c>
      <c r="P1869">
        <f>IFERROR(VLOOKUP(C1869,Customers!$A$2:$F$301,3,FALSE),"")</f>
        <v>60</v>
      </c>
      <c r="Q1869" s="41">
        <f t="shared" si="38"/>
        <v>0.5926512968299712</v>
      </c>
      <c r="R1869" t="str">
        <f>IFERROR(VLOOKUP(C1869,Customers!$A$2:$F$301,1,FALSE),"")</f>
        <v>CUST-0164</v>
      </c>
      <c r="S1869" s="27" t="b">
        <f>IFERROR(VLOOKUP(D1869,Products!$A$2:$F$61,6,FALSE),"")</f>
        <v>1</v>
      </c>
      <c r="BL1869">
        <v>0</v>
      </c>
      <c r="BO1869">
        <v>0</v>
      </c>
      <c r="BP1869">
        <v>0</v>
      </c>
    </row>
    <row r="1870" spans="1:68" x14ac:dyDescent="0.35">
      <c r="A1870" s="26" t="str">
        <f>Orders!A1870</f>
        <v>ORD-01869</v>
      </c>
      <c r="B1870" s="33">
        <f>Orders!B1870</f>
        <v>45623</v>
      </c>
      <c r="C1870" t="str">
        <f>Orders!C1870</f>
        <v>CUST-0239</v>
      </c>
      <c r="D1870" t="str">
        <f>Orders!D1870</f>
        <v>PROD-031</v>
      </c>
      <c r="E1870" t="str">
        <f>Orders!E1870</f>
        <v>R009</v>
      </c>
      <c r="F1870">
        <f>Orders!F1870</f>
        <v>3</v>
      </c>
      <c r="G1870" s="35">
        <f>Orders!G1870</f>
        <v>3730</v>
      </c>
      <c r="H1870" s="37">
        <f>Orders!H1870</f>
        <v>18.100000000000001</v>
      </c>
      <c r="I1870" s="39">
        <f>Orders!I1870</f>
        <v>9164.61</v>
      </c>
      <c r="J1870" t="str">
        <f>Orders!J1870</f>
        <v>Completed</v>
      </c>
      <c r="K1870" t="str">
        <f>Orders!K1870</f>
        <v>Mumbai</v>
      </c>
      <c r="L1870" t="str">
        <f>IFERROR(VLOOKUP(D1870,Products!$A$2:$F$61,3,FALSE),"")</f>
        <v>Home</v>
      </c>
      <c r="M1870">
        <f>IFERROR(VLOOKUP(D1870,Products!$A$2:$F$61,4,FALSE),"")</f>
        <v>2135</v>
      </c>
      <c r="N1870" t="str">
        <f>IFERROR(VLOOKUP(E1870,Sales_Reps!$A$2:$E$31,3,FALSE),"")</f>
        <v>South</v>
      </c>
      <c r="O1870" t="str">
        <f>IFERROR(VLOOKUP(C1870,Customers!$A$2:$F$301,5,FALSE),"")</f>
        <v>Retail</v>
      </c>
      <c r="P1870">
        <f>IFERROR(VLOOKUP(C1870,Customers!$A$2:$F$301,3,FALSE),"")</f>
        <v>61</v>
      </c>
      <c r="Q1870" s="41">
        <f t="shared" si="38"/>
        <v>0.42761394101876676</v>
      </c>
      <c r="R1870" t="str">
        <f>IFERROR(VLOOKUP(C1870,Customers!$A$2:$F$301,1,FALSE),"")</f>
        <v>CUST-0239</v>
      </c>
      <c r="S1870" s="27" t="b">
        <f>IFERROR(VLOOKUP(D1870,Products!$A$2:$F$61,6,FALSE),"")</f>
        <v>1</v>
      </c>
      <c r="BL1870">
        <v>0</v>
      </c>
      <c r="BO1870">
        <v>0</v>
      </c>
      <c r="BP1870">
        <v>0</v>
      </c>
    </row>
    <row r="1871" spans="1:68" x14ac:dyDescent="0.35">
      <c r="A1871" s="26" t="str">
        <f>Orders!A1871</f>
        <v>ORD-01870</v>
      </c>
      <c r="B1871" s="33">
        <f>Orders!B1871</f>
        <v>45528</v>
      </c>
      <c r="C1871" t="str">
        <f>Orders!C1871</f>
        <v>CUST-0133</v>
      </c>
      <c r="D1871" t="str">
        <f>Orders!D1871</f>
        <v>PROD-031</v>
      </c>
      <c r="E1871" t="str">
        <f>Orders!E1871</f>
        <v>R002</v>
      </c>
      <c r="F1871">
        <f>Orders!F1871</f>
        <v>8</v>
      </c>
      <c r="G1871" s="35">
        <f>Orders!G1871</f>
        <v>3730</v>
      </c>
      <c r="H1871" s="37">
        <f>Orders!H1871</f>
        <v>12.5</v>
      </c>
      <c r="I1871" s="39">
        <f>Orders!I1871</f>
        <v>26110</v>
      </c>
      <c r="J1871" t="str">
        <f>Orders!J1871</f>
        <v>Completed</v>
      </c>
      <c r="K1871" t="str">
        <f>Orders!K1871</f>
        <v>Chennai</v>
      </c>
      <c r="L1871" t="str">
        <f>IFERROR(VLOOKUP(D1871,Products!$A$2:$F$61,3,FALSE),"")</f>
        <v>Home</v>
      </c>
      <c r="M1871">
        <f>IFERROR(VLOOKUP(D1871,Products!$A$2:$F$61,4,FALSE),"")</f>
        <v>2135</v>
      </c>
      <c r="N1871" t="str">
        <f>IFERROR(VLOOKUP(E1871,Sales_Reps!$A$2:$E$31,3,FALSE),"")</f>
        <v>North</v>
      </c>
      <c r="O1871" t="str">
        <f>IFERROR(VLOOKUP(C1871,Customers!$A$2:$F$301,5,FALSE),"")</f>
        <v>Retail</v>
      </c>
      <c r="P1871">
        <f>IFERROR(VLOOKUP(C1871,Customers!$A$2:$F$301,3,FALSE),"")</f>
        <v>26</v>
      </c>
      <c r="Q1871" s="41">
        <f t="shared" si="38"/>
        <v>0.42761394101876676</v>
      </c>
      <c r="R1871" t="str">
        <f>IFERROR(VLOOKUP(C1871,Customers!$A$2:$F$301,1,FALSE),"")</f>
        <v>CUST-0133</v>
      </c>
      <c r="S1871" s="27" t="b">
        <f>IFERROR(VLOOKUP(D1871,Products!$A$2:$F$61,6,FALSE),"")</f>
        <v>1</v>
      </c>
      <c r="BL1871">
        <v>0</v>
      </c>
      <c r="BO1871">
        <v>0</v>
      </c>
      <c r="BP1871">
        <v>0</v>
      </c>
    </row>
    <row r="1872" spans="1:68" x14ac:dyDescent="0.35">
      <c r="A1872" s="26" t="str">
        <f>Orders!A1872</f>
        <v>ORD-01871</v>
      </c>
      <c r="B1872" s="33">
        <f>Orders!B1872</f>
        <v>45644</v>
      </c>
      <c r="C1872" t="str">
        <f>Orders!C1872</f>
        <v>CUST-0286</v>
      </c>
      <c r="D1872" t="str">
        <f>Orders!D1872</f>
        <v>PROD-023</v>
      </c>
      <c r="E1872" t="str">
        <f>Orders!E1872</f>
        <v>R015</v>
      </c>
      <c r="F1872">
        <f>Orders!F1872</f>
        <v>9</v>
      </c>
      <c r="G1872" s="35">
        <f>Orders!G1872</f>
        <v>2380</v>
      </c>
      <c r="H1872" s="37">
        <f>Orders!H1872</f>
        <v>8.1</v>
      </c>
      <c r="I1872" s="39">
        <f>Orders!I1872</f>
        <v>19684.98</v>
      </c>
      <c r="J1872" t="str">
        <f>Orders!J1872</f>
        <v>Cancelled</v>
      </c>
      <c r="K1872" t="str">
        <f>Orders!K1872</f>
        <v>Delhi</v>
      </c>
      <c r="L1872" t="str">
        <f>IFERROR(VLOOKUP(D1872,Products!$A$2:$F$61,3,FALSE),"")</f>
        <v>Grocery</v>
      </c>
      <c r="M1872">
        <f>IFERROR(VLOOKUP(D1872,Products!$A$2:$F$61,4,FALSE),"")</f>
        <v>1182</v>
      </c>
      <c r="N1872" t="str">
        <f>IFERROR(VLOOKUP(E1872,Sales_Reps!$A$2:$E$31,3,FALSE),"")</f>
        <v>South</v>
      </c>
      <c r="O1872" t="str">
        <f>IFERROR(VLOOKUP(C1872,Customers!$A$2:$F$301,5,FALSE),"")</f>
        <v>Retail</v>
      </c>
      <c r="P1872">
        <f>IFERROR(VLOOKUP(C1872,Customers!$A$2:$F$301,3,FALSE),"")</f>
        <v>62</v>
      </c>
      <c r="Q1872" s="41">
        <f t="shared" si="38"/>
        <v>0.50336134453781511</v>
      </c>
      <c r="R1872" t="str">
        <f>IFERROR(VLOOKUP(C1872,Customers!$A$2:$F$301,1,FALSE),"")</f>
        <v>CUST-0286</v>
      </c>
      <c r="S1872" s="27" t="b">
        <f>IFERROR(VLOOKUP(D1872,Products!$A$2:$F$61,6,FALSE),"")</f>
        <v>1</v>
      </c>
      <c r="BL1872">
        <v>0</v>
      </c>
      <c r="BO1872">
        <v>0</v>
      </c>
      <c r="BP1872">
        <v>0</v>
      </c>
    </row>
    <row r="1873" spans="1:68" x14ac:dyDescent="0.35">
      <c r="A1873" s="26" t="str">
        <f>Orders!A1873</f>
        <v>ORD-01872</v>
      </c>
      <c r="B1873" s="33">
        <f>Orders!B1873</f>
        <v>45475</v>
      </c>
      <c r="C1873" t="str">
        <f>Orders!C1873</f>
        <v>CUST-0122</v>
      </c>
      <c r="D1873" t="str">
        <f>Orders!D1873</f>
        <v>PROD-040</v>
      </c>
      <c r="E1873" t="str">
        <f>Orders!E1873</f>
        <v>R002</v>
      </c>
      <c r="F1873">
        <f>Orders!F1873</f>
        <v>6</v>
      </c>
      <c r="G1873" s="35">
        <f>Orders!G1873</f>
        <v>1080</v>
      </c>
      <c r="H1873" s="37">
        <f>Orders!H1873</f>
        <v>8.8000000000000007</v>
      </c>
      <c r="I1873" s="39">
        <f>Orders!I1873</f>
        <v>5909.76</v>
      </c>
      <c r="J1873" t="str">
        <f>Orders!J1873</f>
        <v>Completed</v>
      </c>
      <c r="K1873" t="str">
        <f>Orders!K1873</f>
        <v>Mumbai</v>
      </c>
      <c r="L1873" t="str">
        <f>IFERROR(VLOOKUP(D1873,Products!$A$2:$F$61,3,FALSE),"")</f>
        <v>Home</v>
      </c>
      <c r="M1873">
        <f>IFERROR(VLOOKUP(D1873,Products!$A$2:$F$61,4,FALSE),"")</f>
        <v>519</v>
      </c>
      <c r="N1873" t="str">
        <f>IFERROR(VLOOKUP(E1873,Sales_Reps!$A$2:$E$31,3,FALSE),"")</f>
        <v>North</v>
      </c>
      <c r="O1873" t="str">
        <f>IFERROR(VLOOKUP(C1873,Customers!$A$2:$F$301,5,FALSE),"")</f>
        <v>Retail</v>
      </c>
      <c r="P1873">
        <f>IFERROR(VLOOKUP(C1873,Customers!$A$2:$F$301,3,FALSE),"")</f>
        <v>44</v>
      </c>
      <c r="Q1873" s="41">
        <f t="shared" si="38"/>
        <v>0.51944444444444449</v>
      </c>
      <c r="R1873" t="str">
        <f>IFERROR(VLOOKUP(C1873,Customers!$A$2:$F$301,1,FALSE),"")</f>
        <v>CUST-0122</v>
      </c>
      <c r="S1873" s="27" t="b">
        <f>IFERROR(VLOOKUP(D1873,Products!$A$2:$F$61,6,FALSE),"")</f>
        <v>1</v>
      </c>
      <c r="BL1873">
        <v>0</v>
      </c>
      <c r="BO1873">
        <v>0</v>
      </c>
      <c r="BP1873">
        <v>0</v>
      </c>
    </row>
    <row r="1874" spans="1:68" x14ac:dyDescent="0.35">
      <c r="A1874" s="26" t="str">
        <f>Orders!A1874</f>
        <v>ORD-01712</v>
      </c>
      <c r="B1874" s="33">
        <f>Orders!B1874</f>
        <v>45401</v>
      </c>
      <c r="C1874" t="str">
        <f>Orders!C1874</f>
        <v>CUST-0285</v>
      </c>
      <c r="D1874" t="str">
        <f>Orders!D1874</f>
        <v>PROD-053</v>
      </c>
      <c r="E1874" t="str">
        <f>Orders!E1874</f>
        <v>R013</v>
      </c>
      <c r="F1874">
        <f>Orders!F1874</f>
        <v>5</v>
      </c>
      <c r="G1874" s="35">
        <f>Orders!G1874</f>
        <v>470</v>
      </c>
      <c r="H1874" s="37">
        <f>Orders!H1874</f>
        <v>1.3</v>
      </c>
      <c r="I1874" s="39">
        <f>Orders!I1874</f>
        <v>2319.4499999999998</v>
      </c>
      <c r="J1874" t="str">
        <f>Orders!J1874</f>
        <v>Completed</v>
      </c>
      <c r="K1874" t="str">
        <f>Orders!K1874</f>
        <v>Hyderabad</v>
      </c>
      <c r="L1874" t="str">
        <f>IFERROR(VLOOKUP(D1874,Products!$A$2:$F$61,3,FALSE),"")</f>
        <v>Sports</v>
      </c>
      <c r="M1874">
        <f>IFERROR(VLOOKUP(D1874,Products!$A$2:$F$61,4,FALSE),"")</f>
        <v>302</v>
      </c>
      <c r="N1874" t="str">
        <f>IFERROR(VLOOKUP(E1874,Sales_Reps!$A$2:$E$31,3,FALSE),"")</f>
        <v>South</v>
      </c>
      <c r="O1874" t="str">
        <f>IFERROR(VLOOKUP(C1874,Customers!$A$2:$F$301,5,FALSE),"")</f>
        <v>Retail</v>
      </c>
      <c r="P1874">
        <f>IFERROR(VLOOKUP(C1874,Customers!$A$2:$F$301,3,FALSE),"")</f>
        <v>22</v>
      </c>
      <c r="Q1874" s="41">
        <f t="shared" si="38"/>
        <v>0.35744680851063831</v>
      </c>
      <c r="R1874" t="str">
        <f>IFERROR(VLOOKUP(C1874,Customers!$A$2:$F$301,1,FALSE),"")</f>
        <v>CUST-0285</v>
      </c>
      <c r="S1874" s="27" t="b">
        <f>IFERROR(VLOOKUP(D1874,Products!$A$2:$F$61,6,FALSE),"")</f>
        <v>0</v>
      </c>
      <c r="BL1874">
        <v>0.5</v>
      </c>
      <c r="BO1874">
        <v>0</v>
      </c>
      <c r="BP1874">
        <v>1</v>
      </c>
    </row>
    <row r="1875" spans="1:68" x14ac:dyDescent="0.35">
      <c r="A1875" s="26" t="str">
        <f>Orders!A1875</f>
        <v>ORD-01874</v>
      </c>
      <c r="B1875" s="33">
        <f>Orders!B1875</f>
        <v>45516</v>
      </c>
      <c r="C1875" t="str">
        <f>Orders!C1875</f>
        <v>CUST-0174</v>
      </c>
      <c r="D1875" t="str">
        <f>Orders!D1875</f>
        <v>PROD-032</v>
      </c>
      <c r="E1875" t="str">
        <f>Orders!E1875</f>
        <v>R026</v>
      </c>
      <c r="F1875">
        <f>Orders!F1875</f>
        <v>4</v>
      </c>
      <c r="G1875" s="35">
        <f>Orders!G1875</f>
        <v>370</v>
      </c>
      <c r="H1875" s="37">
        <f>Orders!H1875</f>
        <v>13.1</v>
      </c>
      <c r="I1875" s="39">
        <f>Orders!I1875</f>
        <v>1286.1199999999999</v>
      </c>
      <c r="J1875" t="str">
        <f>Orders!J1875</f>
        <v>Completed</v>
      </c>
      <c r="K1875" t="str">
        <f>Orders!K1875</f>
        <v>Pune</v>
      </c>
      <c r="L1875" t="str">
        <f>IFERROR(VLOOKUP(D1875,Products!$A$2:$F$61,3,FALSE),"")</f>
        <v>Home</v>
      </c>
      <c r="M1875">
        <f>IFERROR(VLOOKUP(D1875,Products!$A$2:$F$61,4,FALSE),"")</f>
        <v>288</v>
      </c>
      <c r="N1875" t="str">
        <f>IFERROR(VLOOKUP(E1875,Sales_Reps!$A$2:$E$31,3,FALSE),"")</f>
        <v>West</v>
      </c>
      <c r="O1875" t="str">
        <f>IFERROR(VLOOKUP(C1875,Customers!$A$2:$F$301,5,FALSE),"")</f>
        <v>Retail</v>
      </c>
      <c r="P1875">
        <f>IFERROR(VLOOKUP(C1875,Customers!$A$2:$F$301,3,FALSE),"")</f>
        <v>54</v>
      </c>
      <c r="Q1875" s="41">
        <f t="shared" si="38"/>
        <v>0.22162162162162163</v>
      </c>
      <c r="R1875" t="str">
        <f>IFERROR(VLOOKUP(C1875,Customers!$A$2:$F$301,1,FALSE),"")</f>
        <v>CUST-0174</v>
      </c>
      <c r="S1875" s="27" t="b">
        <f>IFERROR(VLOOKUP(D1875,Products!$A$2:$F$61,6,FALSE),"")</f>
        <v>1</v>
      </c>
      <c r="BL1875">
        <v>0</v>
      </c>
      <c r="BO1875">
        <v>0</v>
      </c>
      <c r="BP1875">
        <v>0</v>
      </c>
    </row>
    <row r="1876" spans="1:68" x14ac:dyDescent="0.35">
      <c r="A1876" s="26" t="str">
        <f>Orders!A1876</f>
        <v>ORD-01875</v>
      </c>
      <c r="B1876" s="33">
        <f>Orders!B1876</f>
        <v>45517</v>
      </c>
      <c r="C1876" t="str">
        <f>Orders!C1876</f>
        <v>CUST-0115</v>
      </c>
      <c r="D1876" t="str">
        <f>Orders!D1876</f>
        <v>PROD-012</v>
      </c>
      <c r="E1876" t="str">
        <f>Orders!E1876</f>
        <v>R007</v>
      </c>
      <c r="F1876">
        <f>Orders!F1876</f>
        <v>7</v>
      </c>
      <c r="G1876" s="35">
        <f>Orders!G1876</f>
        <v>3160</v>
      </c>
      <c r="H1876" s="37">
        <f>Orders!H1876</f>
        <v>12.3</v>
      </c>
      <c r="I1876" s="39">
        <f>Orders!I1876</f>
        <v>19399.240000000002</v>
      </c>
      <c r="J1876" t="str">
        <f>Orders!J1876</f>
        <v>Completed</v>
      </c>
      <c r="K1876" t="str">
        <f>Orders!K1876</f>
        <v>Mumbai</v>
      </c>
      <c r="L1876" t="str">
        <f>IFERROR(VLOOKUP(D1876,Products!$A$2:$F$61,3,FALSE),"")</f>
        <v>Apparel</v>
      </c>
      <c r="M1876">
        <f>IFERROR(VLOOKUP(D1876,Products!$A$2:$F$61,4,FALSE),"")</f>
        <v>1886</v>
      </c>
      <c r="N1876" t="str">
        <f>IFERROR(VLOOKUP(E1876,Sales_Reps!$A$2:$E$31,3,FALSE),"")</f>
        <v>North</v>
      </c>
      <c r="O1876" t="str">
        <f>IFERROR(VLOOKUP(C1876,Customers!$A$2:$F$301,5,FALSE),"")</f>
        <v>SMB</v>
      </c>
      <c r="P1876">
        <f>IFERROR(VLOOKUP(C1876,Customers!$A$2:$F$301,3,FALSE),"")</f>
        <v>65</v>
      </c>
      <c r="Q1876" s="41">
        <f t="shared" si="38"/>
        <v>0.4031645569620253</v>
      </c>
      <c r="R1876" t="str">
        <f>IFERROR(VLOOKUP(C1876,Customers!$A$2:$F$301,1,FALSE),"")</f>
        <v>CUST-0115</v>
      </c>
      <c r="S1876" s="27" t="b">
        <f>IFERROR(VLOOKUP(D1876,Products!$A$2:$F$61,6,FALSE),"")</f>
        <v>1</v>
      </c>
      <c r="BL1876">
        <v>0</v>
      </c>
      <c r="BO1876">
        <v>0</v>
      </c>
      <c r="BP1876">
        <v>0</v>
      </c>
    </row>
    <row r="1877" spans="1:68" x14ac:dyDescent="0.35">
      <c r="A1877" s="26" t="str">
        <f>Orders!A1877</f>
        <v>ORD-01876</v>
      </c>
      <c r="B1877" s="33">
        <f>Orders!B1877</f>
        <v>45645</v>
      </c>
      <c r="C1877" t="str">
        <f>Orders!C1877</f>
        <v>CUST-0028</v>
      </c>
      <c r="D1877" t="str">
        <f>Orders!D1877</f>
        <v>PROD-018</v>
      </c>
      <c r="E1877" t="str">
        <f>Orders!E1877</f>
        <v>R024</v>
      </c>
      <c r="F1877">
        <f>Orders!F1877</f>
        <v>5</v>
      </c>
      <c r="G1877" s="35">
        <f>Orders!G1877</f>
        <v>3560</v>
      </c>
      <c r="H1877" s="37">
        <f>Orders!H1877</f>
        <v>24</v>
      </c>
      <c r="I1877" s="39">
        <f>Orders!I1877</f>
        <v>13528</v>
      </c>
      <c r="J1877" t="str">
        <f>Orders!J1877</f>
        <v>Completed</v>
      </c>
      <c r="K1877" t="str">
        <f>Orders!K1877</f>
        <v>Bengaluru</v>
      </c>
      <c r="L1877" t="str">
        <f>IFERROR(VLOOKUP(D1877,Products!$A$2:$F$61,3,FALSE),"")</f>
        <v>Apparel</v>
      </c>
      <c r="M1877">
        <f>IFERROR(VLOOKUP(D1877,Products!$A$2:$F$61,4,FALSE),"")</f>
        <v>2629</v>
      </c>
      <c r="N1877" t="str">
        <f>IFERROR(VLOOKUP(E1877,Sales_Reps!$A$2:$E$31,3,FALSE),"")</f>
        <v>West</v>
      </c>
      <c r="O1877" t="str">
        <f>IFERROR(VLOOKUP(C1877,Customers!$A$2:$F$301,5,FALSE),"")</f>
        <v>Retail</v>
      </c>
      <c r="P1877">
        <f>IFERROR(VLOOKUP(C1877,Customers!$A$2:$F$301,3,FALSE),"")</f>
        <v>59</v>
      </c>
      <c r="Q1877" s="41">
        <f t="shared" si="38"/>
        <v>0.26151685393258428</v>
      </c>
      <c r="R1877" t="str">
        <f>IFERROR(VLOOKUP(C1877,Customers!$A$2:$F$301,1,FALSE),"")</f>
        <v>CUST-0028</v>
      </c>
      <c r="S1877" s="27" t="b">
        <f>IFERROR(VLOOKUP(D1877,Products!$A$2:$F$61,6,FALSE),"")</f>
        <v>1</v>
      </c>
      <c r="BL1877">
        <v>0</v>
      </c>
      <c r="BO1877">
        <v>0</v>
      </c>
      <c r="BP1877">
        <v>0</v>
      </c>
    </row>
    <row r="1878" spans="1:68" x14ac:dyDescent="0.35">
      <c r="A1878" s="26" t="str">
        <f>Orders!A1878</f>
        <v>ORD-01877</v>
      </c>
      <c r="B1878" s="33">
        <f>Orders!B1878</f>
        <v>45417</v>
      </c>
      <c r="C1878" t="str">
        <f>Orders!C1878</f>
        <v>CUST-0111</v>
      </c>
      <c r="D1878" t="str">
        <f>Orders!D1878</f>
        <v>PROD-033</v>
      </c>
      <c r="E1878" t="str">
        <f>Orders!E1878</f>
        <v>R021</v>
      </c>
      <c r="F1878">
        <f>Orders!F1878</f>
        <v>6</v>
      </c>
      <c r="G1878" s="35">
        <f>Orders!G1878</f>
        <v>2030</v>
      </c>
      <c r="H1878" s="37">
        <f>Orders!H1878</f>
        <v>20.5</v>
      </c>
      <c r="I1878" s="39">
        <f>Orders!I1878</f>
        <v>9683.1</v>
      </c>
      <c r="J1878" t="str">
        <f>Orders!J1878</f>
        <v>Completed</v>
      </c>
      <c r="K1878" t="str">
        <f>Orders!K1878</f>
        <v>Chennai</v>
      </c>
      <c r="L1878" t="str">
        <f>IFERROR(VLOOKUP(D1878,Products!$A$2:$F$61,3,FALSE),"")</f>
        <v>Home</v>
      </c>
      <c r="M1878">
        <f>IFERROR(VLOOKUP(D1878,Products!$A$2:$F$61,4,FALSE),"")</f>
        <v>1143</v>
      </c>
      <c r="N1878" t="str">
        <f>IFERROR(VLOOKUP(E1878,Sales_Reps!$A$2:$E$31,3,FALSE),"")</f>
        <v>East</v>
      </c>
      <c r="O1878" t="str">
        <f>IFERROR(VLOOKUP(C1878,Customers!$A$2:$F$301,5,FALSE),"")</f>
        <v>SMB</v>
      </c>
      <c r="P1878">
        <f>IFERROR(VLOOKUP(C1878,Customers!$A$2:$F$301,3,FALSE),"")</f>
        <v>64</v>
      </c>
      <c r="Q1878" s="41">
        <f t="shared" si="38"/>
        <v>0.43694581280788175</v>
      </c>
      <c r="R1878" t="str">
        <f>IFERROR(VLOOKUP(C1878,Customers!$A$2:$F$301,1,FALSE),"")</f>
        <v>CUST-0111</v>
      </c>
      <c r="S1878" s="27" t="b">
        <f>IFERROR(VLOOKUP(D1878,Products!$A$2:$F$61,6,FALSE),"")</f>
        <v>1</v>
      </c>
      <c r="BL1878">
        <v>0</v>
      </c>
      <c r="BO1878">
        <v>0</v>
      </c>
      <c r="BP1878">
        <v>0</v>
      </c>
    </row>
    <row r="1879" spans="1:68" x14ac:dyDescent="0.35">
      <c r="A1879" s="26" t="str">
        <f>Orders!A1879</f>
        <v>ORD-01878</v>
      </c>
      <c r="B1879" s="33">
        <f>Orders!B1879</f>
        <v>45351</v>
      </c>
      <c r="C1879" t="str">
        <f>Orders!C1879</f>
        <v>CUST-0240</v>
      </c>
      <c r="D1879" t="str">
        <f>Orders!D1879</f>
        <v>PROD-010</v>
      </c>
      <c r="E1879" t="str">
        <f>Orders!E1879</f>
        <v>R018</v>
      </c>
      <c r="F1879">
        <f>Orders!F1879</f>
        <v>5</v>
      </c>
      <c r="G1879" s="35">
        <f>Orders!G1879</f>
        <v>2640</v>
      </c>
      <c r="H1879" s="37">
        <f>Orders!H1879</f>
        <v>21.3</v>
      </c>
      <c r="I1879" s="39">
        <f>Orders!I1879</f>
        <v>10388.4</v>
      </c>
      <c r="J1879" t="str">
        <f>Orders!J1879</f>
        <v>Pending</v>
      </c>
      <c r="K1879" t="str">
        <f>Orders!K1879</f>
        <v>Chennai</v>
      </c>
      <c r="L1879" t="str">
        <f>IFERROR(VLOOKUP(D1879,Products!$A$2:$F$61,3,FALSE),"")</f>
        <v>Electronics</v>
      </c>
      <c r="M1879">
        <f>IFERROR(VLOOKUP(D1879,Products!$A$2:$F$61,4,FALSE),"")</f>
        <v>1149</v>
      </c>
      <c r="N1879" t="str">
        <f>IFERROR(VLOOKUP(E1879,Sales_Reps!$A$2:$E$31,3,FALSE),"")</f>
        <v>East</v>
      </c>
      <c r="O1879" t="str">
        <f>IFERROR(VLOOKUP(C1879,Customers!$A$2:$F$301,5,FALSE),"")</f>
        <v>Corporate</v>
      </c>
      <c r="P1879">
        <f>IFERROR(VLOOKUP(C1879,Customers!$A$2:$F$301,3,FALSE),"")</f>
        <v>35</v>
      </c>
      <c r="Q1879" s="41">
        <f t="shared" si="38"/>
        <v>0.56477272727272732</v>
      </c>
      <c r="R1879" t="str">
        <f>IFERROR(VLOOKUP(C1879,Customers!$A$2:$F$301,1,FALSE),"")</f>
        <v>CUST-0240</v>
      </c>
      <c r="S1879" s="27" t="b">
        <f>IFERROR(VLOOKUP(D1879,Products!$A$2:$F$61,6,FALSE),"")</f>
        <v>1</v>
      </c>
      <c r="BL1879">
        <v>0</v>
      </c>
      <c r="BO1879">
        <v>0</v>
      </c>
      <c r="BP1879">
        <v>0</v>
      </c>
    </row>
    <row r="1880" spans="1:68" x14ac:dyDescent="0.35">
      <c r="A1880" s="26" t="str">
        <f>Orders!A1880</f>
        <v>ORD-01879</v>
      </c>
      <c r="B1880" s="33">
        <f>Orders!B1880</f>
        <v>45629</v>
      </c>
      <c r="C1880" t="str">
        <f>Orders!C1880</f>
        <v>CUST-0222</v>
      </c>
      <c r="D1880" t="str">
        <f>Orders!D1880</f>
        <v>PROD-022</v>
      </c>
      <c r="E1880" t="str">
        <f>Orders!E1880</f>
        <v>R002</v>
      </c>
      <c r="F1880">
        <f>Orders!F1880</f>
        <v>4</v>
      </c>
      <c r="G1880" s="35">
        <f>Orders!G1880</f>
        <v>2270</v>
      </c>
      <c r="H1880" s="37">
        <f>Orders!H1880</f>
        <v>15.8</v>
      </c>
      <c r="I1880" s="39">
        <f>Orders!I1880</f>
        <v>7645.36</v>
      </c>
      <c r="J1880" t="str">
        <f>Orders!J1880</f>
        <v>Completed</v>
      </c>
      <c r="K1880" t="str">
        <f>Orders!K1880</f>
        <v>Chennai</v>
      </c>
      <c r="L1880" t="str">
        <f>IFERROR(VLOOKUP(D1880,Products!$A$2:$F$61,3,FALSE),"")</f>
        <v>Grocery</v>
      </c>
      <c r="M1880">
        <f>IFERROR(VLOOKUP(D1880,Products!$A$2:$F$61,4,FALSE),"")</f>
        <v>1412</v>
      </c>
      <c r="N1880" t="str">
        <f>IFERROR(VLOOKUP(E1880,Sales_Reps!$A$2:$E$31,3,FALSE),"")</f>
        <v>North</v>
      </c>
      <c r="O1880" t="str">
        <f>IFERROR(VLOOKUP(C1880,Customers!$A$2:$F$301,5,FALSE),"")</f>
        <v>Retail</v>
      </c>
      <c r="P1880">
        <f>IFERROR(VLOOKUP(C1880,Customers!$A$2:$F$301,3,FALSE),"")</f>
        <v>37</v>
      </c>
      <c r="Q1880" s="41">
        <f t="shared" si="38"/>
        <v>0.37797356828193834</v>
      </c>
      <c r="R1880" t="str">
        <f>IFERROR(VLOOKUP(C1880,Customers!$A$2:$F$301,1,FALSE),"")</f>
        <v>CUST-0222</v>
      </c>
      <c r="S1880" s="27" t="b">
        <f>IFERROR(VLOOKUP(D1880,Products!$A$2:$F$61,6,FALSE),"")</f>
        <v>1</v>
      </c>
      <c r="BL1880">
        <v>0</v>
      </c>
      <c r="BO1880">
        <v>0</v>
      </c>
      <c r="BP1880">
        <v>0</v>
      </c>
    </row>
    <row r="1881" spans="1:68" x14ac:dyDescent="0.35">
      <c r="A1881" s="26" t="str">
        <f>Orders!A1881</f>
        <v>ORD-01880</v>
      </c>
      <c r="B1881" s="33">
        <f>Orders!B1881</f>
        <v>45588</v>
      </c>
      <c r="C1881" t="str">
        <f>Orders!C1881</f>
        <v>CUST-0251</v>
      </c>
      <c r="D1881" t="str">
        <f>Orders!D1881</f>
        <v>PROD-032</v>
      </c>
      <c r="E1881" t="str">
        <f>Orders!E1881</f>
        <v>R002</v>
      </c>
      <c r="F1881">
        <f>Orders!F1881</f>
        <v>1</v>
      </c>
      <c r="G1881" s="35">
        <f>Orders!G1881</f>
        <v>370</v>
      </c>
      <c r="H1881" s="37">
        <f>Orders!H1881</f>
        <v>27</v>
      </c>
      <c r="I1881" s="39">
        <f>Orders!I1881</f>
        <v>270.10000000000002</v>
      </c>
      <c r="J1881" t="str">
        <f>Orders!J1881</f>
        <v>Pending</v>
      </c>
      <c r="K1881" t="str">
        <f>Orders!K1881</f>
        <v>Mumbai</v>
      </c>
      <c r="L1881" t="str">
        <f>IFERROR(VLOOKUP(D1881,Products!$A$2:$F$61,3,FALSE),"")</f>
        <v>Home</v>
      </c>
      <c r="M1881">
        <f>IFERROR(VLOOKUP(D1881,Products!$A$2:$F$61,4,FALSE),"")</f>
        <v>288</v>
      </c>
      <c r="N1881" t="str">
        <f>IFERROR(VLOOKUP(E1881,Sales_Reps!$A$2:$E$31,3,FALSE),"")</f>
        <v>North</v>
      </c>
      <c r="O1881" t="str">
        <f>IFERROR(VLOOKUP(C1881,Customers!$A$2:$F$301,5,FALSE),"")</f>
        <v>Retail</v>
      </c>
      <c r="P1881">
        <f>IFERROR(VLOOKUP(C1881,Customers!$A$2:$F$301,3,FALSE),"")</f>
        <v>44</v>
      </c>
      <c r="Q1881" s="41">
        <f t="shared" si="38"/>
        <v>0.22162162162162163</v>
      </c>
      <c r="R1881" t="str">
        <f>IFERROR(VLOOKUP(C1881,Customers!$A$2:$F$301,1,FALSE),"")</f>
        <v>CUST-0251</v>
      </c>
      <c r="S1881" s="27" t="b">
        <f>IFERROR(VLOOKUP(D1881,Products!$A$2:$F$61,6,FALSE),"")</f>
        <v>1</v>
      </c>
      <c r="BL1881">
        <v>0</v>
      </c>
      <c r="BO1881">
        <v>0</v>
      </c>
      <c r="BP1881">
        <v>0</v>
      </c>
    </row>
    <row r="1882" spans="1:68" x14ac:dyDescent="0.35">
      <c r="A1882" s="26" t="str">
        <f>Orders!A1882</f>
        <v>ORD-01881</v>
      </c>
      <c r="B1882" s="33">
        <f>Orders!B1882</f>
        <v>45366</v>
      </c>
      <c r="C1882" t="str">
        <f>Orders!C1882</f>
        <v>CUST-0203</v>
      </c>
      <c r="D1882" t="str">
        <f>Orders!D1882</f>
        <v>PROD-048</v>
      </c>
      <c r="E1882" t="str">
        <f>Orders!E1882</f>
        <v>R017</v>
      </c>
      <c r="F1882">
        <f>Orders!F1882</f>
        <v>9</v>
      </c>
      <c r="G1882" s="35">
        <f>Orders!G1882</f>
        <v>5100</v>
      </c>
      <c r="H1882" s="37">
        <f>Orders!H1882</f>
        <v>2.4</v>
      </c>
      <c r="I1882" s="39">
        <f>Orders!I1882</f>
        <v>44798.400000000001</v>
      </c>
      <c r="J1882" t="str">
        <f>Orders!J1882</f>
        <v>Completed</v>
      </c>
      <c r="K1882" t="str">
        <f>Orders!K1882</f>
        <v>Chennai</v>
      </c>
      <c r="L1882" t="str">
        <f>IFERROR(VLOOKUP(D1882,Products!$A$2:$F$61,3,FALSE),"")</f>
        <v>Beauty</v>
      </c>
      <c r="M1882">
        <f>IFERROR(VLOOKUP(D1882,Products!$A$2:$F$61,4,FALSE),"")</f>
        <v>2237</v>
      </c>
      <c r="N1882" t="str">
        <f>IFERROR(VLOOKUP(E1882,Sales_Reps!$A$2:$E$31,3,FALSE),"")</f>
        <v>East</v>
      </c>
      <c r="O1882" t="str">
        <f>IFERROR(VLOOKUP(C1882,Customers!$A$2:$F$301,5,FALSE),"")</f>
        <v>SMB</v>
      </c>
      <c r="P1882">
        <f>IFERROR(VLOOKUP(C1882,Customers!$A$2:$F$301,3,FALSE),"")</f>
        <v>55</v>
      </c>
      <c r="Q1882" s="41">
        <f t="shared" si="38"/>
        <v>0.56137254901960787</v>
      </c>
      <c r="R1882" t="str">
        <f>IFERROR(VLOOKUP(C1882,Customers!$A$2:$F$301,1,FALSE),"")</f>
        <v>CUST-0203</v>
      </c>
      <c r="S1882" s="27" t="b">
        <f>IFERROR(VLOOKUP(D1882,Products!$A$2:$F$61,6,FALSE),"")</f>
        <v>1</v>
      </c>
      <c r="BL1882">
        <v>0</v>
      </c>
      <c r="BO1882">
        <v>0</v>
      </c>
      <c r="BP1882">
        <v>0</v>
      </c>
    </row>
    <row r="1883" spans="1:68" x14ac:dyDescent="0.35">
      <c r="A1883" s="26" t="str">
        <f>Orders!A1883</f>
        <v>ORD-01882</v>
      </c>
      <c r="B1883" s="33">
        <f>Orders!B1883</f>
        <v>45322</v>
      </c>
      <c r="C1883" t="str">
        <f>Orders!C1883</f>
        <v>CUST-0285</v>
      </c>
      <c r="D1883" t="str">
        <f>Orders!D1883</f>
        <v>PROD-032</v>
      </c>
      <c r="E1883" t="str">
        <f>Orders!E1883</f>
        <v>R023</v>
      </c>
      <c r="F1883">
        <f>Orders!F1883</f>
        <v>6</v>
      </c>
      <c r="G1883" s="35">
        <f>Orders!G1883</f>
        <v>370</v>
      </c>
      <c r="H1883" s="37">
        <f>Orders!H1883</f>
        <v>18.7</v>
      </c>
      <c r="I1883" s="39">
        <f>Orders!I1883</f>
        <v>1804.86</v>
      </c>
      <c r="J1883" t="str">
        <f>Orders!J1883</f>
        <v>Cancelled</v>
      </c>
      <c r="K1883" t="str">
        <f>Orders!K1883</f>
        <v>Hyderabad</v>
      </c>
      <c r="L1883" t="str">
        <f>IFERROR(VLOOKUP(D1883,Products!$A$2:$F$61,3,FALSE),"")</f>
        <v>Home</v>
      </c>
      <c r="M1883">
        <f>IFERROR(VLOOKUP(D1883,Products!$A$2:$F$61,4,FALSE),"")</f>
        <v>288</v>
      </c>
      <c r="N1883" t="str">
        <f>IFERROR(VLOOKUP(E1883,Sales_Reps!$A$2:$E$31,3,FALSE),"")</f>
        <v>East</v>
      </c>
      <c r="O1883" t="str">
        <f>IFERROR(VLOOKUP(C1883,Customers!$A$2:$F$301,5,FALSE),"")</f>
        <v>Retail</v>
      </c>
      <c r="P1883">
        <f>IFERROR(VLOOKUP(C1883,Customers!$A$2:$F$301,3,FALSE),"")</f>
        <v>22</v>
      </c>
      <c r="Q1883" s="41">
        <f t="shared" si="38"/>
        <v>0.22162162162162163</v>
      </c>
      <c r="R1883" t="str">
        <f>IFERROR(VLOOKUP(C1883,Customers!$A$2:$F$301,1,FALSE),"")</f>
        <v>CUST-0285</v>
      </c>
      <c r="S1883" s="27" t="b">
        <f>IFERROR(VLOOKUP(D1883,Products!$A$2:$F$61,6,FALSE),"")</f>
        <v>1</v>
      </c>
      <c r="BL1883">
        <v>0</v>
      </c>
      <c r="BO1883">
        <v>0</v>
      </c>
      <c r="BP1883">
        <v>0</v>
      </c>
    </row>
    <row r="1884" spans="1:68" x14ac:dyDescent="0.35">
      <c r="A1884" s="26" t="str">
        <f>Orders!A1884</f>
        <v>ORD-01883</v>
      </c>
      <c r="B1884" s="33">
        <f>Orders!B1884</f>
        <v>45465</v>
      </c>
      <c r="C1884" t="str">
        <f>Orders!C1884</f>
        <v>CUST-0135</v>
      </c>
      <c r="D1884" t="str">
        <f>Orders!D1884</f>
        <v>PROD-030</v>
      </c>
      <c r="E1884" t="str">
        <f>Orders!E1884</f>
        <v>R004</v>
      </c>
      <c r="F1884">
        <f>Orders!F1884</f>
        <v>6</v>
      </c>
      <c r="G1884" s="35">
        <f>Orders!G1884</f>
        <v>970</v>
      </c>
      <c r="H1884" s="37">
        <f>Orders!H1884</f>
        <v>21.6</v>
      </c>
      <c r="I1884" s="39">
        <f>Orders!I1884</f>
        <v>4562.88</v>
      </c>
      <c r="J1884" t="str">
        <f>Orders!J1884</f>
        <v>Completed</v>
      </c>
      <c r="K1884" t="str">
        <f>Orders!K1884</f>
        <v>Pune</v>
      </c>
      <c r="L1884" t="str">
        <f>IFERROR(VLOOKUP(D1884,Products!$A$2:$F$61,3,FALSE),"")</f>
        <v>Grocery</v>
      </c>
      <c r="M1884">
        <f>IFERROR(VLOOKUP(D1884,Products!$A$2:$F$61,4,FALSE),"")</f>
        <v>434</v>
      </c>
      <c r="N1884" t="str">
        <f>IFERROR(VLOOKUP(E1884,Sales_Reps!$A$2:$E$31,3,FALSE),"")</f>
        <v>North</v>
      </c>
      <c r="O1884" t="str">
        <f>IFERROR(VLOOKUP(C1884,Customers!$A$2:$F$301,5,FALSE),"")</f>
        <v>SMB</v>
      </c>
      <c r="P1884">
        <f>IFERROR(VLOOKUP(C1884,Customers!$A$2:$F$301,3,FALSE),"")</f>
        <v>24</v>
      </c>
      <c r="Q1884" s="41">
        <f t="shared" si="38"/>
        <v>0.5525773195876289</v>
      </c>
      <c r="R1884" t="str">
        <f>IFERROR(VLOOKUP(C1884,Customers!$A$2:$F$301,1,FALSE),"")</f>
        <v>CUST-0135</v>
      </c>
      <c r="S1884" s="27" t="b">
        <f>IFERROR(VLOOKUP(D1884,Products!$A$2:$F$61,6,FALSE),"")</f>
        <v>1</v>
      </c>
      <c r="BL1884">
        <v>0</v>
      </c>
      <c r="BO1884">
        <v>0</v>
      </c>
      <c r="BP1884">
        <v>0</v>
      </c>
    </row>
    <row r="1885" spans="1:68" x14ac:dyDescent="0.35">
      <c r="A1885" s="26" t="str">
        <f>Orders!A1885</f>
        <v>ORD-01884</v>
      </c>
      <c r="B1885" s="33">
        <f>Orders!B1885</f>
        <v>45622</v>
      </c>
      <c r="C1885" t="str">
        <f>Orders!C1885</f>
        <v>CUST-9967</v>
      </c>
      <c r="D1885" t="str">
        <f>Orders!D1885</f>
        <v>PROD-029</v>
      </c>
      <c r="E1885" t="str">
        <f>Orders!E1885</f>
        <v>R029</v>
      </c>
      <c r="F1885">
        <f>Orders!F1885</f>
        <v>3</v>
      </c>
      <c r="G1885" s="35">
        <f>Orders!G1885</f>
        <v>2210</v>
      </c>
      <c r="H1885" s="37">
        <f>Orders!H1885</f>
        <v>8.5</v>
      </c>
      <c r="I1885" s="39">
        <f>Orders!I1885</f>
        <v>6066.45</v>
      </c>
      <c r="J1885" t="str">
        <f>Orders!J1885</f>
        <v>Completed</v>
      </c>
      <c r="K1885" t="str">
        <f>Orders!K1885</f>
        <v>Delhi</v>
      </c>
      <c r="L1885" t="str">
        <f>IFERROR(VLOOKUP(D1885,Products!$A$2:$F$61,3,FALSE),"")</f>
        <v>Grocery</v>
      </c>
      <c r="M1885">
        <f>IFERROR(VLOOKUP(D1885,Products!$A$2:$F$61,4,FALSE),"")</f>
        <v>1010</v>
      </c>
      <c r="N1885" t="str">
        <f>IFERROR(VLOOKUP(E1885,Sales_Reps!$A$2:$E$31,3,FALSE),"")</f>
        <v>West</v>
      </c>
      <c r="O1885" t="str">
        <f>IFERROR(VLOOKUP(C1885,Customers!$A$2:$F$301,5,FALSE),"")</f>
        <v/>
      </c>
      <c r="P1885" t="str">
        <f>IFERROR(VLOOKUP(C1885,Customers!$A$2:$F$301,3,FALSE),"")</f>
        <v/>
      </c>
      <c r="Q1885" s="41">
        <f t="shared" si="38"/>
        <v>0.54298642533936647</v>
      </c>
      <c r="R1885" t="str">
        <f>IFERROR(VLOOKUP(C1885,Customers!$A$2:$F$301,1,FALSE),"")</f>
        <v/>
      </c>
      <c r="S1885" s="27" t="b">
        <f>IFERROR(VLOOKUP(D1885,Products!$A$2:$F$61,6,FALSE),"")</f>
        <v>1</v>
      </c>
      <c r="BL1885">
        <v>0</v>
      </c>
      <c r="BO1885">
        <v>1</v>
      </c>
      <c r="BP1885">
        <v>0</v>
      </c>
    </row>
    <row r="1886" spans="1:68" x14ac:dyDescent="0.35">
      <c r="A1886" s="26" t="str">
        <f>Orders!A1886</f>
        <v>ORD-01885</v>
      </c>
      <c r="B1886" s="33">
        <f>Orders!B1886</f>
        <v>45457</v>
      </c>
      <c r="C1886" t="str">
        <f>Orders!C1886</f>
        <v>CUST-0096</v>
      </c>
      <c r="D1886" t="str">
        <f>Orders!D1886</f>
        <v>PROD-044</v>
      </c>
      <c r="E1886" t="str">
        <f>Orders!E1886</f>
        <v>R002</v>
      </c>
      <c r="F1886">
        <f>Orders!F1886</f>
        <v>1</v>
      </c>
      <c r="G1886" s="35">
        <f>Orders!G1886</f>
        <v>1650</v>
      </c>
      <c r="H1886" s="37">
        <f>Orders!H1886</f>
        <v>19.7</v>
      </c>
      <c r="I1886" s="39">
        <f>Orders!I1886</f>
        <v>1324.95</v>
      </c>
      <c r="J1886" t="str">
        <f>Orders!J1886</f>
        <v>Completed</v>
      </c>
      <c r="K1886" t="str">
        <f>Orders!K1886</f>
        <v>Delhi</v>
      </c>
      <c r="L1886" t="str">
        <f>IFERROR(VLOOKUP(D1886,Products!$A$2:$F$61,3,FALSE),"")</f>
        <v>Beauty</v>
      </c>
      <c r="M1886">
        <f>IFERROR(VLOOKUP(D1886,Products!$A$2:$F$61,4,FALSE),"")</f>
        <v>1222</v>
      </c>
      <c r="N1886" t="str">
        <f>IFERROR(VLOOKUP(E1886,Sales_Reps!$A$2:$E$31,3,FALSE),"")</f>
        <v>North</v>
      </c>
      <c r="O1886" t="str">
        <f>IFERROR(VLOOKUP(C1886,Customers!$A$2:$F$301,5,FALSE),"")</f>
        <v>Corporate</v>
      </c>
      <c r="P1886">
        <f>IFERROR(VLOOKUP(C1886,Customers!$A$2:$F$301,3,FALSE),"")</f>
        <v>27</v>
      </c>
      <c r="Q1886" s="41">
        <f t="shared" si="38"/>
        <v>0.2593939393939394</v>
      </c>
      <c r="R1886" t="str">
        <f>IFERROR(VLOOKUP(C1886,Customers!$A$2:$F$301,1,FALSE),"")</f>
        <v>CUST-0096</v>
      </c>
      <c r="S1886" s="27" t="b">
        <f>IFERROR(VLOOKUP(D1886,Products!$A$2:$F$61,6,FALSE),"")</f>
        <v>1</v>
      </c>
      <c r="BL1886">
        <v>0</v>
      </c>
      <c r="BO1886">
        <v>0</v>
      </c>
      <c r="BP1886">
        <v>0</v>
      </c>
    </row>
    <row r="1887" spans="1:68" x14ac:dyDescent="0.35">
      <c r="A1887" s="26" t="str">
        <f>Orders!A1887</f>
        <v>ORD-01886</v>
      </c>
      <c r="B1887" s="33">
        <f>Orders!B1887</f>
        <v>45480</v>
      </c>
      <c r="C1887" t="str">
        <f>Orders!C1887</f>
        <v>CUST-0266</v>
      </c>
      <c r="D1887" t="str">
        <f>Orders!D1887</f>
        <v>PROD-056</v>
      </c>
      <c r="E1887" t="str">
        <f>Orders!E1887</f>
        <v>R003</v>
      </c>
      <c r="F1887">
        <f>Orders!F1887</f>
        <v>5</v>
      </c>
      <c r="G1887" s="35">
        <f>Orders!G1887</f>
        <v>6940</v>
      </c>
      <c r="H1887" s="37">
        <f>Orders!H1887</f>
        <v>7.7</v>
      </c>
      <c r="I1887" s="39">
        <f>Orders!I1887</f>
        <v>32028.1</v>
      </c>
      <c r="J1887" t="str">
        <f>Orders!J1887</f>
        <v>Completed</v>
      </c>
      <c r="K1887" t="str">
        <f>Orders!K1887</f>
        <v>Pune</v>
      </c>
      <c r="L1887" t="str">
        <f>IFERROR(VLOOKUP(D1887,Products!$A$2:$F$61,3,FALSE),"")</f>
        <v>Sports</v>
      </c>
      <c r="M1887">
        <f>IFERROR(VLOOKUP(D1887,Products!$A$2:$F$61,4,FALSE),"")</f>
        <v>2827</v>
      </c>
      <c r="N1887" t="str">
        <f>IFERROR(VLOOKUP(E1887,Sales_Reps!$A$2:$E$31,3,FALSE),"")</f>
        <v>North</v>
      </c>
      <c r="O1887" t="str">
        <f>IFERROR(VLOOKUP(C1887,Customers!$A$2:$F$301,5,FALSE),"")</f>
        <v>Retail</v>
      </c>
      <c r="P1887">
        <f>IFERROR(VLOOKUP(C1887,Customers!$A$2:$F$301,3,FALSE),"")</f>
        <v>65</v>
      </c>
      <c r="Q1887" s="41">
        <f t="shared" si="38"/>
        <v>0.5926512968299712</v>
      </c>
      <c r="R1887" t="str">
        <f>IFERROR(VLOOKUP(C1887,Customers!$A$2:$F$301,1,FALSE),"")</f>
        <v>CUST-0266</v>
      </c>
      <c r="S1887" s="27" t="b">
        <f>IFERROR(VLOOKUP(D1887,Products!$A$2:$F$61,6,FALSE),"")</f>
        <v>1</v>
      </c>
      <c r="BL1887">
        <v>0</v>
      </c>
      <c r="BO1887">
        <v>0</v>
      </c>
      <c r="BP1887">
        <v>0</v>
      </c>
    </row>
    <row r="1888" spans="1:68" x14ac:dyDescent="0.35">
      <c r="A1888" s="26" t="str">
        <f>Orders!A1888</f>
        <v>ORD-01887</v>
      </c>
      <c r="B1888" s="33">
        <f>Orders!B1888</f>
        <v>45392</v>
      </c>
      <c r="C1888" t="str">
        <f>Orders!C1888</f>
        <v>CUST-0059</v>
      </c>
      <c r="D1888" t="str">
        <f>Orders!D1888</f>
        <v>PROD-029</v>
      </c>
      <c r="E1888" t="str">
        <f>Orders!E1888</f>
        <v>R022</v>
      </c>
      <c r="F1888">
        <f>Orders!F1888</f>
        <v>2</v>
      </c>
      <c r="G1888" s="35">
        <f>Orders!G1888</f>
        <v>2210</v>
      </c>
      <c r="H1888" s="37">
        <f>Orders!H1888</f>
        <v>5.6</v>
      </c>
      <c r="I1888" s="39">
        <f>Orders!I1888</f>
        <v>4172.4799999999996</v>
      </c>
      <c r="J1888" t="str">
        <f>Orders!J1888</f>
        <v>Cancelled</v>
      </c>
      <c r="K1888" t="str">
        <f>Orders!K1888</f>
        <v>Pune</v>
      </c>
      <c r="L1888" t="str">
        <f>IFERROR(VLOOKUP(D1888,Products!$A$2:$F$61,3,FALSE),"")</f>
        <v>Grocery</v>
      </c>
      <c r="M1888">
        <f>IFERROR(VLOOKUP(D1888,Products!$A$2:$F$61,4,FALSE),"")</f>
        <v>1010</v>
      </c>
      <c r="N1888" t="str">
        <f>IFERROR(VLOOKUP(E1888,Sales_Reps!$A$2:$E$31,3,FALSE),"")</f>
        <v>East</v>
      </c>
      <c r="O1888" t="str">
        <f>IFERROR(VLOOKUP(C1888,Customers!$A$2:$F$301,5,FALSE),"")</f>
        <v>Corporate</v>
      </c>
      <c r="P1888">
        <f>IFERROR(VLOOKUP(C1888,Customers!$A$2:$F$301,3,FALSE),"")</f>
        <v>29</v>
      </c>
      <c r="Q1888" s="41">
        <f t="shared" si="38"/>
        <v>0.54298642533936647</v>
      </c>
      <c r="R1888" t="str">
        <f>IFERROR(VLOOKUP(C1888,Customers!$A$2:$F$301,1,FALSE),"")</f>
        <v>CUST-0059</v>
      </c>
      <c r="S1888" s="27" t="b">
        <f>IFERROR(VLOOKUP(D1888,Products!$A$2:$F$61,6,FALSE),"")</f>
        <v>1</v>
      </c>
      <c r="BL1888">
        <v>0</v>
      </c>
      <c r="BO1888">
        <v>0</v>
      </c>
      <c r="BP1888">
        <v>0</v>
      </c>
    </row>
    <row r="1889" spans="1:68" x14ac:dyDescent="0.35">
      <c r="A1889" s="26" t="str">
        <f>Orders!A1889</f>
        <v>ORD-01888</v>
      </c>
      <c r="B1889" s="33">
        <f>Orders!B1889</f>
        <v>45380</v>
      </c>
      <c r="C1889" t="str">
        <f>Orders!C1889</f>
        <v>CUST-0094</v>
      </c>
      <c r="D1889" t="str">
        <f>Orders!D1889</f>
        <v>PROD-002</v>
      </c>
      <c r="E1889" t="str">
        <f>Orders!E1889</f>
        <v>R014</v>
      </c>
      <c r="F1889">
        <f>Orders!F1889</f>
        <v>9</v>
      </c>
      <c r="G1889" s="35">
        <f>Orders!G1889</f>
        <v>2600</v>
      </c>
      <c r="H1889" s="37">
        <f>Orders!H1889</f>
        <v>3.1</v>
      </c>
      <c r="I1889" s="39">
        <f>Orders!I1889</f>
        <v>22674.6</v>
      </c>
      <c r="J1889" t="str">
        <f>Orders!J1889</f>
        <v>Completed</v>
      </c>
      <c r="K1889" t="str">
        <f>Orders!K1889</f>
        <v>Pune</v>
      </c>
      <c r="L1889" t="str">
        <f>IFERROR(VLOOKUP(D1889,Products!$A$2:$F$61,3,FALSE),"")</f>
        <v>Electronics</v>
      </c>
      <c r="M1889">
        <f>IFERROR(VLOOKUP(D1889,Products!$A$2:$F$61,4,FALSE),"")</f>
        <v>1052</v>
      </c>
      <c r="N1889" t="str">
        <f>IFERROR(VLOOKUP(E1889,Sales_Reps!$A$2:$E$31,3,FALSE),"")</f>
        <v>South</v>
      </c>
      <c r="O1889" t="str">
        <f>IFERROR(VLOOKUP(C1889,Customers!$A$2:$F$301,5,FALSE),"")</f>
        <v>SMB</v>
      </c>
      <c r="P1889">
        <f>IFERROR(VLOOKUP(C1889,Customers!$A$2:$F$301,3,FALSE),"")</f>
        <v>60</v>
      </c>
      <c r="Q1889" s="41">
        <f t="shared" si="38"/>
        <v>0.5953846153846154</v>
      </c>
      <c r="R1889" t="str">
        <f>IFERROR(VLOOKUP(C1889,Customers!$A$2:$F$301,1,FALSE),"")</f>
        <v>CUST-0094</v>
      </c>
      <c r="S1889" s="27" t="b">
        <f>IFERROR(VLOOKUP(D1889,Products!$A$2:$F$61,6,FALSE),"")</f>
        <v>1</v>
      </c>
      <c r="BL1889">
        <v>0</v>
      </c>
      <c r="BO1889">
        <v>0</v>
      </c>
      <c r="BP1889">
        <v>0</v>
      </c>
    </row>
    <row r="1890" spans="1:68" x14ac:dyDescent="0.35">
      <c r="A1890" s="26" t="str">
        <f>Orders!A1890</f>
        <v>ORD-01889</v>
      </c>
      <c r="B1890" s="33">
        <f>Orders!B1890</f>
        <v>45494</v>
      </c>
      <c r="C1890" t="str">
        <f>Orders!C1890</f>
        <v>CUST-0254</v>
      </c>
      <c r="D1890" t="str">
        <f>Orders!D1890</f>
        <v>PROD-059</v>
      </c>
      <c r="E1890" t="str">
        <f>Orders!E1890</f>
        <v>R003</v>
      </c>
      <c r="F1890">
        <f>Orders!F1890</f>
        <v>7</v>
      </c>
      <c r="G1890" s="35">
        <f>Orders!G1890</f>
        <v>3780</v>
      </c>
      <c r="H1890" s="37">
        <f>Orders!H1890</f>
        <v>13.3</v>
      </c>
      <c r="I1890" s="39">
        <f>Orders!I1890</f>
        <v>22940.82</v>
      </c>
      <c r="J1890" t="str">
        <f>Orders!J1890</f>
        <v>Completed</v>
      </c>
      <c r="K1890" t="str">
        <f>Orders!K1890</f>
        <v>Bengaluru</v>
      </c>
      <c r="L1890" t="str">
        <f>IFERROR(VLOOKUP(D1890,Products!$A$2:$F$61,3,FALSE),"")</f>
        <v>Sports</v>
      </c>
      <c r="M1890">
        <f>IFERROR(VLOOKUP(D1890,Products!$A$2:$F$61,4,FALSE),"")</f>
        <v>1860</v>
      </c>
      <c r="N1890" t="str">
        <f>IFERROR(VLOOKUP(E1890,Sales_Reps!$A$2:$E$31,3,FALSE),"")</f>
        <v>North</v>
      </c>
      <c r="O1890" t="str">
        <f>IFERROR(VLOOKUP(C1890,Customers!$A$2:$F$301,5,FALSE),"")</f>
        <v>Retail</v>
      </c>
      <c r="P1890">
        <f>IFERROR(VLOOKUP(C1890,Customers!$A$2:$F$301,3,FALSE),"")</f>
        <v>35</v>
      </c>
      <c r="Q1890" s="41">
        <f t="shared" si="38"/>
        <v>0.50793650793650791</v>
      </c>
      <c r="R1890" t="str">
        <f>IFERROR(VLOOKUP(C1890,Customers!$A$2:$F$301,1,FALSE),"")</f>
        <v>CUST-0254</v>
      </c>
      <c r="S1890" s="27" t="b">
        <f>IFERROR(VLOOKUP(D1890,Products!$A$2:$F$61,6,FALSE),"")</f>
        <v>1</v>
      </c>
      <c r="BL1890">
        <v>0</v>
      </c>
      <c r="BO1890">
        <v>0</v>
      </c>
      <c r="BP1890">
        <v>0</v>
      </c>
    </row>
    <row r="1891" spans="1:68" x14ac:dyDescent="0.35">
      <c r="A1891" s="26" t="str">
        <f>Orders!A1891</f>
        <v>ORD-01890</v>
      </c>
      <c r="B1891" s="33">
        <f>Orders!B1891</f>
        <v>45621</v>
      </c>
      <c r="C1891" t="str">
        <f>Orders!C1891</f>
        <v>CUST-0022</v>
      </c>
      <c r="D1891" t="str">
        <f>Orders!D1891</f>
        <v>PROD-058</v>
      </c>
      <c r="E1891" t="str">
        <f>Orders!E1891</f>
        <v>R013</v>
      </c>
      <c r="F1891">
        <f>Orders!F1891</f>
        <v>4</v>
      </c>
      <c r="G1891" s="35">
        <f>Orders!G1891</f>
        <v>2400</v>
      </c>
      <c r="H1891" s="37">
        <f>Orders!H1891</f>
        <v>16.600000000000001</v>
      </c>
      <c r="I1891" s="39">
        <f>Orders!I1891</f>
        <v>8006.4</v>
      </c>
      <c r="J1891" t="str">
        <f>Orders!J1891</f>
        <v>Pending</v>
      </c>
      <c r="K1891" t="str">
        <f>Orders!K1891</f>
        <v>Bengaluru</v>
      </c>
      <c r="L1891" t="str">
        <f>IFERROR(VLOOKUP(D1891,Products!$A$2:$F$61,3,FALSE),"")</f>
        <v>Sports</v>
      </c>
      <c r="M1891">
        <f>IFERROR(VLOOKUP(D1891,Products!$A$2:$F$61,4,FALSE),"")</f>
        <v>974</v>
      </c>
      <c r="N1891" t="str">
        <f>IFERROR(VLOOKUP(E1891,Sales_Reps!$A$2:$E$31,3,FALSE),"")</f>
        <v>South</v>
      </c>
      <c r="O1891" t="str">
        <f>IFERROR(VLOOKUP(C1891,Customers!$A$2:$F$301,5,FALSE),"")</f>
        <v>Corporate</v>
      </c>
      <c r="P1891">
        <f>IFERROR(VLOOKUP(C1891,Customers!$A$2:$F$301,3,FALSE),"")</f>
        <v>55</v>
      </c>
      <c r="Q1891" s="41">
        <f t="shared" si="38"/>
        <v>0.59416666666666662</v>
      </c>
      <c r="R1891" t="str">
        <f>IFERROR(VLOOKUP(C1891,Customers!$A$2:$F$301,1,FALSE),"")</f>
        <v>CUST-0022</v>
      </c>
      <c r="S1891" s="27" t="b">
        <f>IFERROR(VLOOKUP(D1891,Products!$A$2:$F$61,6,FALSE),"")</f>
        <v>1</v>
      </c>
      <c r="BL1891">
        <v>0</v>
      </c>
      <c r="BO1891">
        <v>0</v>
      </c>
      <c r="BP1891">
        <v>0</v>
      </c>
    </row>
    <row r="1892" spans="1:68" x14ac:dyDescent="0.35">
      <c r="A1892" s="26" t="str">
        <f>Orders!A1892</f>
        <v>ORD-01891</v>
      </c>
      <c r="B1892" s="33">
        <f>Orders!B1892</f>
        <v>45603</v>
      </c>
      <c r="C1892" t="str">
        <f>Orders!C1892</f>
        <v>CUST-0168</v>
      </c>
      <c r="D1892" t="str">
        <f>Orders!D1892</f>
        <v>PROD-005</v>
      </c>
      <c r="E1892" t="str">
        <f>Orders!E1892</f>
        <v>R005</v>
      </c>
      <c r="F1892">
        <f>Orders!F1892</f>
        <v>10</v>
      </c>
      <c r="G1892" s="35">
        <f>Orders!G1892</f>
        <v>300</v>
      </c>
      <c r="H1892" s="37">
        <f>Orders!H1892</f>
        <v>23.9</v>
      </c>
      <c r="I1892" s="39">
        <f>Orders!I1892</f>
        <v>2283</v>
      </c>
      <c r="J1892" t="str">
        <f>Orders!J1892</f>
        <v>Completed</v>
      </c>
      <c r="K1892" t="str">
        <f>Orders!K1892</f>
        <v>Pune</v>
      </c>
      <c r="L1892" t="str">
        <f>IFERROR(VLOOKUP(D1892,Products!$A$2:$F$61,3,FALSE),"")</f>
        <v>Electronics</v>
      </c>
      <c r="M1892">
        <f>IFERROR(VLOOKUP(D1892,Products!$A$2:$F$61,4,FALSE),"")</f>
        <v>128</v>
      </c>
      <c r="N1892" t="str">
        <f>IFERROR(VLOOKUP(E1892,Sales_Reps!$A$2:$E$31,3,FALSE),"")</f>
        <v>North</v>
      </c>
      <c r="O1892" t="str">
        <f>IFERROR(VLOOKUP(C1892,Customers!$A$2:$F$301,5,FALSE),"")</f>
        <v>Retail</v>
      </c>
      <c r="P1892">
        <f>IFERROR(VLOOKUP(C1892,Customers!$A$2:$F$301,3,FALSE),"")</f>
        <v>25</v>
      </c>
      <c r="Q1892" s="41">
        <f t="shared" si="38"/>
        <v>0.57333333333333336</v>
      </c>
      <c r="R1892" t="str">
        <f>IFERROR(VLOOKUP(C1892,Customers!$A$2:$F$301,1,FALSE),"")</f>
        <v>CUST-0168</v>
      </c>
      <c r="S1892" s="27" t="b">
        <f>IFERROR(VLOOKUP(D1892,Products!$A$2:$F$61,6,FALSE),"")</f>
        <v>1</v>
      </c>
      <c r="BL1892">
        <v>0</v>
      </c>
      <c r="BO1892">
        <v>0</v>
      </c>
      <c r="BP1892">
        <v>0</v>
      </c>
    </row>
    <row r="1893" spans="1:68" x14ac:dyDescent="0.35">
      <c r="A1893" s="26" t="str">
        <f>Orders!A1893</f>
        <v>ORD-01892</v>
      </c>
      <c r="B1893" s="33">
        <f>Orders!B1893</f>
        <v>45640</v>
      </c>
      <c r="C1893" t="str">
        <f>Orders!C1893</f>
        <v>CUST-0175</v>
      </c>
      <c r="D1893" t="str">
        <f>Orders!D1893</f>
        <v>PROD-028</v>
      </c>
      <c r="E1893" t="str">
        <f>Orders!E1893</f>
        <v>R010</v>
      </c>
      <c r="F1893">
        <f>Orders!F1893</f>
        <v>1</v>
      </c>
      <c r="G1893" s="35">
        <f>Orders!G1893</f>
        <v>3660</v>
      </c>
      <c r="H1893" s="37">
        <f>Orders!H1893</f>
        <v>1.5</v>
      </c>
      <c r="I1893" s="39">
        <f>Orders!I1893</f>
        <v>3605.1</v>
      </c>
      <c r="J1893" t="str">
        <f>Orders!J1893</f>
        <v>Pending</v>
      </c>
      <c r="K1893" t="str">
        <f>Orders!K1893</f>
        <v>Delhi</v>
      </c>
      <c r="L1893" t="str">
        <f>IFERROR(VLOOKUP(D1893,Products!$A$2:$F$61,3,FALSE),"")</f>
        <v>Grocery</v>
      </c>
      <c r="M1893">
        <f>IFERROR(VLOOKUP(D1893,Products!$A$2:$F$61,4,FALSE),"")</f>
        <v>2214</v>
      </c>
      <c r="N1893" t="str">
        <f>IFERROR(VLOOKUP(E1893,Sales_Reps!$A$2:$E$31,3,FALSE),"")</f>
        <v>South</v>
      </c>
      <c r="O1893" t="str">
        <f>IFERROR(VLOOKUP(C1893,Customers!$A$2:$F$301,5,FALSE),"")</f>
        <v>Corporate</v>
      </c>
      <c r="P1893">
        <f>IFERROR(VLOOKUP(C1893,Customers!$A$2:$F$301,3,FALSE),"")</f>
        <v>55</v>
      </c>
      <c r="Q1893" s="41">
        <f t="shared" si="38"/>
        <v>0.39508196721311473</v>
      </c>
      <c r="R1893" t="str">
        <f>IFERROR(VLOOKUP(C1893,Customers!$A$2:$F$301,1,FALSE),"")</f>
        <v>CUST-0175</v>
      </c>
      <c r="S1893" s="27" t="b">
        <f>IFERROR(VLOOKUP(D1893,Products!$A$2:$F$61,6,FALSE),"")</f>
        <v>0</v>
      </c>
      <c r="BL1893">
        <v>0</v>
      </c>
      <c r="BO1893">
        <v>0</v>
      </c>
      <c r="BP1893">
        <v>1</v>
      </c>
    </row>
    <row r="1894" spans="1:68" x14ac:dyDescent="0.35">
      <c r="A1894" s="26" t="str">
        <f>Orders!A1894</f>
        <v>ORD-01893</v>
      </c>
      <c r="B1894" s="33">
        <f>Orders!B1894</f>
        <v>45534</v>
      </c>
      <c r="C1894" t="str">
        <f>Orders!C1894</f>
        <v>CUST-0193</v>
      </c>
      <c r="D1894" t="str">
        <f>Orders!D1894</f>
        <v>PROD-051</v>
      </c>
      <c r="E1894" t="str">
        <f>Orders!E1894</f>
        <v>R011</v>
      </c>
      <c r="F1894">
        <f>Orders!F1894</f>
        <v>9</v>
      </c>
      <c r="G1894" s="35">
        <f>Orders!G1894</f>
        <v>3450</v>
      </c>
      <c r="H1894" s="37">
        <f>Orders!H1894</f>
        <v>21.8</v>
      </c>
      <c r="I1894" s="39">
        <f>Orders!I1894</f>
        <v>24281.1</v>
      </c>
      <c r="J1894" t="str">
        <f>Orders!J1894</f>
        <v>Completed</v>
      </c>
      <c r="K1894" t="str">
        <f>Orders!K1894</f>
        <v>Bengaluru</v>
      </c>
      <c r="L1894" t="str">
        <f>IFERROR(VLOOKUP(D1894,Products!$A$2:$F$61,3,FALSE),"")</f>
        <v>Sports</v>
      </c>
      <c r="M1894">
        <f>IFERROR(VLOOKUP(D1894,Products!$A$2:$F$61,4,FALSE),"")</f>
        <v>2467</v>
      </c>
      <c r="N1894" t="str">
        <f>IFERROR(VLOOKUP(E1894,Sales_Reps!$A$2:$E$31,3,FALSE),"")</f>
        <v>South</v>
      </c>
      <c r="O1894" t="str">
        <f>IFERROR(VLOOKUP(C1894,Customers!$A$2:$F$301,5,FALSE),"")</f>
        <v>Retail</v>
      </c>
      <c r="P1894">
        <f>IFERROR(VLOOKUP(C1894,Customers!$A$2:$F$301,3,FALSE),"")</f>
        <v>42</v>
      </c>
      <c r="Q1894" s="41">
        <f t="shared" si="38"/>
        <v>0.28492753623188405</v>
      </c>
      <c r="R1894" t="str">
        <f>IFERROR(VLOOKUP(C1894,Customers!$A$2:$F$301,1,FALSE),"")</f>
        <v>CUST-0193</v>
      </c>
      <c r="S1894" s="27" t="b">
        <f>IFERROR(VLOOKUP(D1894,Products!$A$2:$F$61,6,FALSE),"")</f>
        <v>1</v>
      </c>
      <c r="BL1894">
        <v>0</v>
      </c>
      <c r="BO1894">
        <v>0</v>
      </c>
      <c r="BP1894">
        <v>0</v>
      </c>
    </row>
    <row r="1895" spans="1:68" x14ac:dyDescent="0.35">
      <c r="A1895" s="26" t="str">
        <f>Orders!A1895</f>
        <v>ORD-01894</v>
      </c>
      <c r="B1895" s="33">
        <f>Orders!B1895</f>
        <v>45410</v>
      </c>
      <c r="C1895" t="str">
        <f>Orders!C1895</f>
        <v>CUST-0284</v>
      </c>
      <c r="D1895" t="str">
        <f>Orders!D1895</f>
        <v>PROD-011</v>
      </c>
      <c r="E1895" t="str">
        <f>Orders!E1895</f>
        <v>R007</v>
      </c>
      <c r="F1895">
        <f>Orders!F1895</f>
        <v>10</v>
      </c>
      <c r="G1895" s="35">
        <f>Orders!G1895</f>
        <v>3450</v>
      </c>
      <c r="H1895" s="37">
        <f>Orders!H1895</f>
        <v>15.7</v>
      </c>
      <c r="I1895" s="39">
        <f>Orders!I1895</f>
        <v>29083.5</v>
      </c>
      <c r="J1895" t="str">
        <f>Orders!J1895</f>
        <v>Cancelled</v>
      </c>
      <c r="K1895" t="str">
        <f>Orders!K1895</f>
        <v>Hyderabad</v>
      </c>
      <c r="L1895" t="str">
        <f>IFERROR(VLOOKUP(D1895,Products!$A$2:$F$61,3,FALSE),"")</f>
        <v>Apparel</v>
      </c>
      <c r="M1895">
        <f>IFERROR(VLOOKUP(D1895,Products!$A$2:$F$61,4,FALSE),"")</f>
        <v>1748</v>
      </c>
      <c r="N1895" t="str">
        <f>IFERROR(VLOOKUP(E1895,Sales_Reps!$A$2:$E$31,3,FALSE),"")</f>
        <v>North</v>
      </c>
      <c r="O1895" t="str">
        <f>IFERROR(VLOOKUP(C1895,Customers!$A$2:$F$301,5,FALSE),"")</f>
        <v>SMB</v>
      </c>
      <c r="P1895">
        <f>IFERROR(VLOOKUP(C1895,Customers!$A$2:$F$301,3,FALSE),"")</f>
        <v>65</v>
      </c>
      <c r="Q1895" s="41">
        <f t="shared" si="38"/>
        <v>0.49333333333333335</v>
      </c>
      <c r="R1895" t="str">
        <f>IFERROR(VLOOKUP(C1895,Customers!$A$2:$F$301,1,FALSE),"")</f>
        <v>CUST-0284</v>
      </c>
      <c r="S1895" s="27" t="b">
        <f>IFERROR(VLOOKUP(D1895,Products!$A$2:$F$61,6,FALSE),"")</f>
        <v>1</v>
      </c>
      <c r="BL1895">
        <v>0</v>
      </c>
      <c r="BO1895">
        <v>0</v>
      </c>
      <c r="BP1895">
        <v>0</v>
      </c>
    </row>
    <row r="1896" spans="1:68" x14ac:dyDescent="0.35">
      <c r="A1896" s="26" t="str">
        <f>Orders!A1896</f>
        <v>ORD-01895</v>
      </c>
      <c r="B1896" s="33">
        <f>Orders!B1896</f>
        <v>45412</v>
      </c>
      <c r="C1896" t="str">
        <f>Orders!C1896</f>
        <v>CUST-0071</v>
      </c>
      <c r="D1896" t="str">
        <f>Orders!D1896</f>
        <v>PROD-026</v>
      </c>
      <c r="E1896" t="str">
        <f>Orders!E1896</f>
        <v>R008</v>
      </c>
      <c r="F1896">
        <f>Orders!F1896</f>
        <v>2</v>
      </c>
      <c r="G1896" s="35">
        <f>Orders!G1896</f>
        <v>4070</v>
      </c>
      <c r="H1896" s="37">
        <f>Orders!H1896</f>
        <v>10.8</v>
      </c>
      <c r="I1896" s="39">
        <f>Orders!I1896</f>
        <v>7260.88</v>
      </c>
      <c r="J1896" t="str">
        <f>Orders!J1896</f>
        <v>Completed</v>
      </c>
      <c r="K1896" t="str">
        <f>Orders!K1896</f>
        <v>Delhi</v>
      </c>
      <c r="L1896" t="str">
        <f>IFERROR(VLOOKUP(D1896,Products!$A$2:$F$61,3,FALSE),"")</f>
        <v>Grocery</v>
      </c>
      <c r="M1896">
        <f>IFERROR(VLOOKUP(D1896,Products!$A$2:$F$61,4,FALSE),"")</f>
        <v>2027</v>
      </c>
      <c r="N1896" t="str">
        <f>IFERROR(VLOOKUP(E1896,Sales_Reps!$A$2:$E$31,3,FALSE),"")</f>
        <v>North</v>
      </c>
      <c r="O1896" t="str">
        <f>IFERROR(VLOOKUP(C1896,Customers!$A$2:$F$301,5,FALSE),"")</f>
        <v>Corporate</v>
      </c>
      <c r="P1896">
        <f>IFERROR(VLOOKUP(C1896,Customers!$A$2:$F$301,3,FALSE),"")</f>
        <v>46</v>
      </c>
      <c r="Q1896" s="41">
        <f t="shared" si="38"/>
        <v>0.50196560196560192</v>
      </c>
      <c r="R1896" t="str">
        <f>IFERROR(VLOOKUP(C1896,Customers!$A$2:$F$301,1,FALSE),"")</f>
        <v>CUST-0071</v>
      </c>
      <c r="S1896" s="27" t="b">
        <f>IFERROR(VLOOKUP(D1896,Products!$A$2:$F$61,6,FALSE),"")</f>
        <v>1</v>
      </c>
      <c r="BL1896">
        <v>0</v>
      </c>
      <c r="BO1896">
        <v>0</v>
      </c>
      <c r="BP1896">
        <v>0</v>
      </c>
    </row>
    <row r="1897" spans="1:68" x14ac:dyDescent="0.35">
      <c r="A1897" s="26" t="str">
        <f>Orders!A1897</f>
        <v>ORD-01896</v>
      </c>
      <c r="B1897" s="33">
        <f>Orders!B1897</f>
        <v>45372</v>
      </c>
      <c r="C1897" t="str">
        <f>Orders!C1897</f>
        <v>CUST-0102</v>
      </c>
      <c r="D1897" t="str">
        <f>Orders!D1897</f>
        <v>PROD-059</v>
      </c>
      <c r="E1897" t="str">
        <f>Orders!E1897</f>
        <v>R023</v>
      </c>
      <c r="F1897">
        <f>Orders!F1897</f>
        <v>4</v>
      </c>
      <c r="G1897" s="35">
        <f>Orders!G1897</f>
        <v>3780</v>
      </c>
      <c r="H1897" s="37">
        <f>Orders!H1897</f>
        <v>17.100000000000001</v>
      </c>
      <c r="I1897" s="39">
        <f>Orders!I1897</f>
        <v>12534.48</v>
      </c>
      <c r="J1897" t="str">
        <f>Orders!J1897</f>
        <v>Completed</v>
      </c>
      <c r="K1897" t="str">
        <f>Orders!K1897</f>
        <v>Chennai</v>
      </c>
      <c r="L1897" t="str">
        <f>IFERROR(VLOOKUP(D1897,Products!$A$2:$F$61,3,FALSE),"")</f>
        <v>Sports</v>
      </c>
      <c r="M1897">
        <f>IFERROR(VLOOKUP(D1897,Products!$A$2:$F$61,4,FALSE),"")</f>
        <v>1860</v>
      </c>
      <c r="N1897" t="str">
        <f>IFERROR(VLOOKUP(E1897,Sales_Reps!$A$2:$E$31,3,FALSE),"")</f>
        <v>East</v>
      </c>
      <c r="O1897" t="str">
        <f>IFERROR(VLOOKUP(C1897,Customers!$A$2:$F$301,5,FALSE),"")</f>
        <v>SMB</v>
      </c>
      <c r="P1897">
        <f>IFERROR(VLOOKUP(C1897,Customers!$A$2:$F$301,3,FALSE),"")</f>
        <v>62</v>
      </c>
      <c r="Q1897" s="41">
        <f t="shared" si="38"/>
        <v>0.50793650793650791</v>
      </c>
      <c r="R1897" t="str">
        <f>IFERROR(VLOOKUP(C1897,Customers!$A$2:$F$301,1,FALSE),"")</f>
        <v>CUST-0102</v>
      </c>
      <c r="S1897" s="27" t="b">
        <f>IFERROR(VLOOKUP(D1897,Products!$A$2:$F$61,6,FALSE),"")</f>
        <v>1</v>
      </c>
      <c r="BL1897">
        <v>0</v>
      </c>
      <c r="BO1897">
        <v>0</v>
      </c>
      <c r="BP1897">
        <v>0</v>
      </c>
    </row>
    <row r="1898" spans="1:68" x14ac:dyDescent="0.35">
      <c r="A1898" s="26" t="str">
        <f>Orders!A1898</f>
        <v>ORD-01897</v>
      </c>
      <c r="B1898" s="33">
        <f>Orders!B1898</f>
        <v>45622</v>
      </c>
      <c r="C1898" t="str">
        <f>Orders!C1898</f>
        <v>CUST-0036</v>
      </c>
      <c r="D1898" t="str">
        <f>Orders!D1898</f>
        <v>PROD-021</v>
      </c>
      <c r="E1898" t="str">
        <f>Orders!E1898</f>
        <v>R004</v>
      </c>
      <c r="F1898">
        <f>Orders!F1898</f>
        <v>1</v>
      </c>
      <c r="G1898" s="35">
        <f>Orders!G1898</f>
        <v>2760</v>
      </c>
      <c r="H1898" s="37">
        <f>Orders!H1898</f>
        <v>2.5</v>
      </c>
      <c r="I1898" s="39">
        <f>Orders!I1898</f>
        <v>2691</v>
      </c>
      <c r="J1898" t="str">
        <f>Orders!J1898</f>
        <v>Cancelled</v>
      </c>
      <c r="K1898" t="str">
        <f>Orders!K1898</f>
        <v>Mumbai</v>
      </c>
      <c r="L1898" t="str">
        <f>IFERROR(VLOOKUP(D1898,Products!$A$2:$F$61,3,FALSE),"")</f>
        <v>Grocery</v>
      </c>
      <c r="M1898">
        <f>IFERROR(VLOOKUP(D1898,Products!$A$2:$F$61,4,FALSE),"")</f>
        <v>1435</v>
      </c>
      <c r="N1898" t="str">
        <f>IFERROR(VLOOKUP(E1898,Sales_Reps!$A$2:$E$31,3,FALSE),"")</f>
        <v>North</v>
      </c>
      <c r="O1898" t="str">
        <f>IFERROR(VLOOKUP(C1898,Customers!$A$2:$F$301,5,FALSE),"")</f>
        <v>Retail</v>
      </c>
      <c r="P1898">
        <f>IFERROR(VLOOKUP(C1898,Customers!$A$2:$F$301,3,FALSE),"")</f>
        <v>35</v>
      </c>
      <c r="Q1898" s="41">
        <f t="shared" si="38"/>
        <v>0.48007246376811596</v>
      </c>
      <c r="R1898" t="str">
        <f>IFERROR(VLOOKUP(C1898,Customers!$A$2:$F$301,1,FALSE),"")</f>
        <v>CUST-0036</v>
      </c>
      <c r="S1898" s="27" t="b">
        <f>IFERROR(VLOOKUP(D1898,Products!$A$2:$F$61,6,FALSE),"")</f>
        <v>1</v>
      </c>
      <c r="BL1898">
        <v>0</v>
      </c>
      <c r="BO1898">
        <v>0</v>
      </c>
      <c r="BP1898">
        <v>0</v>
      </c>
    </row>
    <row r="1899" spans="1:68" x14ac:dyDescent="0.35">
      <c r="A1899" s="26" t="str">
        <f>Orders!A1899</f>
        <v>ORD-01898</v>
      </c>
      <c r="B1899" s="33">
        <f>Orders!B1899</f>
        <v>45493</v>
      </c>
      <c r="C1899" t="str">
        <f>Orders!C1899</f>
        <v>CUST-0273</v>
      </c>
      <c r="D1899" t="str">
        <f>Orders!D1899</f>
        <v>PROD-046</v>
      </c>
      <c r="E1899" t="str">
        <f>Orders!E1899</f>
        <v>R030</v>
      </c>
      <c r="F1899">
        <f>Orders!F1899</f>
        <v>2</v>
      </c>
      <c r="G1899" s="35">
        <f>Orders!G1899</f>
        <v>4880</v>
      </c>
      <c r="H1899" s="37">
        <f>Orders!H1899</f>
        <v>11</v>
      </c>
      <c r="I1899" s="39">
        <f>Orders!I1899</f>
        <v>8686.4</v>
      </c>
      <c r="J1899" t="str">
        <f>Orders!J1899</f>
        <v>Completed</v>
      </c>
      <c r="K1899" t="str">
        <f>Orders!K1899</f>
        <v>Hyderabad</v>
      </c>
      <c r="L1899" t="str">
        <f>IFERROR(VLOOKUP(D1899,Products!$A$2:$F$61,3,FALSE),"")</f>
        <v>Beauty</v>
      </c>
      <c r="M1899">
        <f>IFERROR(VLOOKUP(D1899,Products!$A$2:$F$61,4,FALSE),"")</f>
        <v>2768</v>
      </c>
      <c r="N1899" t="str">
        <f>IFERROR(VLOOKUP(E1899,Sales_Reps!$A$2:$E$31,3,FALSE),"")</f>
        <v>West</v>
      </c>
      <c r="O1899" t="str">
        <f>IFERROR(VLOOKUP(C1899,Customers!$A$2:$F$301,5,FALSE),"")</f>
        <v>Corporate</v>
      </c>
      <c r="P1899">
        <f>IFERROR(VLOOKUP(C1899,Customers!$A$2:$F$301,3,FALSE),"")</f>
        <v>32</v>
      </c>
      <c r="Q1899" s="41">
        <f t="shared" si="38"/>
        <v>0.43278688524590164</v>
      </c>
      <c r="R1899" t="str">
        <f>IFERROR(VLOOKUP(C1899,Customers!$A$2:$F$301,1,FALSE),"")</f>
        <v>CUST-0273</v>
      </c>
      <c r="S1899" s="27" t="b">
        <f>IFERROR(VLOOKUP(D1899,Products!$A$2:$F$61,6,FALSE),"")</f>
        <v>1</v>
      </c>
      <c r="BL1899">
        <v>0</v>
      </c>
      <c r="BO1899">
        <v>0</v>
      </c>
      <c r="BP1899">
        <v>0</v>
      </c>
    </row>
    <row r="1900" spans="1:68" x14ac:dyDescent="0.35">
      <c r="A1900" s="26" t="str">
        <f>Orders!A1900</f>
        <v>ORD-01899</v>
      </c>
      <c r="B1900" s="33">
        <f>Orders!B1900</f>
        <v>45580</v>
      </c>
      <c r="C1900" t="str">
        <f>Orders!C1900</f>
        <v>CUST-0262</v>
      </c>
      <c r="D1900" t="str">
        <f>Orders!D1900</f>
        <v>PROD-023</v>
      </c>
      <c r="E1900" t="str">
        <f>Orders!E1900</f>
        <v>R022</v>
      </c>
      <c r="F1900">
        <f>Orders!F1900</f>
        <v>10</v>
      </c>
      <c r="G1900" s="35">
        <f>Orders!G1900</f>
        <v>2380</v>
      </c>
      <c r="H1900" s="37">
        <f>Orders!H1900</f>
        <v>28.3</v>
      </c>
      <c r="I1900" s="39">
        <f>Orders!I1900</f>
        <v>17064.599999999999</v>
      </c>
      <c r="J1900" t="str">
        <f>Orders!J1900</f>
        <v>Completed</v>
      </c>
      <c r="K1900" t="str">
        <f>Orders!K1900</f>
        <v>Mumbai</v>
      </c>
      <c r="L1900" t="str">
        <f>IFERROR(VLOOKUP(D1900,Products!$A$2:$F$61,3,FALSE),"")</f>
        <v>Grocery</v>
      </c>
      <c r="M1900">
        <f>IFERROR(VLOOKUP(D1900,Products!$A$2:$F$61,4,FALSE),"")</f>
        <v>1182</v>
      </c>
      <c r="N1900" t="str">
        <f>IFERROR(VLOOKUP(E1900,Sales_Reps!$A$2:$E$31,3,FALSE),"")</f>
        <v>East</v>
      </c>
      <c r="O1900" t="str">
        <f>IFERROR(VLOOKUP(C1900,Customers!$A$2:$F$301,5,FALSE),"")</f>
        <v>Retail</v>
      </c>
      <c r="P1900">
        <f>IFERROR(VLOOKUP(C1900,Customers!$A$2:$F$301,3,FALSE),"")</f>
        <v>52</v>
      </c>
      <c r="Q1900" s="41">
        <f t="shared" si="38"/>
        <v>0.50336134453781511</v>
      </c>
      <c r="R1900" t="str">
        <f>IFERROR(VLOOKUP(C1900,Customers!$A$2:$F$301,1,FALSE),"")</f>
        <v>CUST-0262</v>
      </c>
      <c r="S1900" s="27" t="b">
        <f>IFERROR(VLOOKUP(D1900,Products!$A$2:$F$61,6,FALSE),"")</f>
        <v>1</v>
      </c>
      <c r="BL1900">
        <v>0</v>
      </c>
      <c r="BO1900">
        <v>0</v>
      </c>
      <c r="BP1900">
        <v>0</v>
      </c>
    </row>
    <row r="1901" spans="1:68" x14ac:dyDescent="0.35">
      <c r="A1901" s="26" t="str">
        <f>Orders!A1901</f>
        <v>ORD-01900</v>
      </c>
      <c r="B1901" s="33">
        <f>Orders!B1901</f>
        <v>45449</v>
      </c>
      <c r="C1901" t="str">
        <f>Orders!C1901</f>
        <v>CUST-0083</v>
      </c>
      <c r="D1901" t="str">
        <f>Orders!D1901</f>
        <v>PROD-042</v>
      </c>
      <c r="E1901" t="str">
        <f>Orders!E1901</f>
        <v>R003</v>
      </c>
      <c r="F1901">
        <f>Orders!F1901</f>
        <v>3</v>
      </c>
      <c r="G1901" s="35">
        <f>Orders!G1901</f>
        <v>2290</v>
      </c>
      <c r="H1901" s="37">
        <f>Orders!H1901</f>
        <v>11.1</v>
      </c>
      <c r="I1901" s="39">
        <f>Orders!I1901</f>
        <v>6107.43</v>
      </c>
      <c r="J1901" t="str">
        <f>Orders!J1901</f>
        <v>Cancelled</v>
      </c>
      <c r="K1901" t="str">
        <f>Orders!K1901</f>
        <v>Bengaluru</v>
      </c>
      <c r="L1901" t="str">
        <f>IFERROR(VLOOKUP(D1901,Products!$A$2:$F$61,3,FALSE),"")</f>
        <v>Beauty</v>
      </c>
      <c r="M1901">
        <f>IFERROR(VLOOKUP(D1901,Products!$A$2:$F$61,4,FALSE),"")</f>
        <v>1219</v>
      </c>
      <c r="N1901" t="str">
        <f>IFERROR(VLOOKUP(E1901,Sales_Reps!$A$2:$E$31,3,FALSE),"")</f>
        <v>North</v>
      </c>
      <c r="O1901" t="str">
        <f>IFERROR(VLOOKUP(C1901,Customers!$A$2:$F$301,5,FALSE),"")</f>
        <v>Corporate</v>
      </c>
      <c r="P1901">
        <f>IFERROR(VLOOKUP(C1901,Customers!$A$2:$F$301,3,FALSE),"")</f>
        <v>31</v>
      </c>
      <c r="Q1901" s="41">
        <f t="shared" si="38"/>
        <v>0.46768558951965067</v>
      </c>
      <c r="R1901" t="str">
        <f>IFERROR(VLOOKUP(C1901,Customers!$A$2:$F$301,1,FALSE),"")</f>
        <v>CUST-0083</v>
      </c>
      <c r="S1901" s="27" t="b">
        <f>IFERROR(VLOOKUP(D1901,Products!$A$2:$F$61,6,FALSE),"")</f>
        <v>1</v>
      </c>
      <c r="BL1901">
        <v>0</v>
      </c>
      <c r="BO1901">
        <v>0</v>
      </c>
      <c r="BP1901">
        <v>0</v>
      </c>
    </row>
    <row r="1902" spans="1:68" x14ac:dyDescent="0.35">
      <c r="A1902" s="26" t="str">
        <f>Orders!A1902</f>
        <v>ORD-01901</v>
      </c>
      <c r="B1902" s="33">
        <f>Orders!B1902</f>
        <v>45417</v>
      </c>
      <c r="C1902" t="str">
        <f>Orders!C1902</f>
        <v>CUST-0273</v>
      </c>
      <c r="D1902" t="str">
        <f>Orders!D1902</f>
        <v>PROD-021</v>
      </c>
      <c r="E1902" t="str">
        <f>Orders!E1902</f>
        <v>R004</v>
      </c>
      <c r="F1902">
        <f>Orders!F1902</f>
        <v>6</v>
      </c>
      <c r="G1902" s="35">
        <f>Orders!G1902</f>
        <v>2760</v>
      </c>
      <c r="H1902" s="37">
        <f>Orders!H1902</f>
        <v>16.5</v>
      </c>
      <c r="I1902" s="39">
        <f>Orders!I1902</f>
        <v>13827.6</v>
      </c>
      <c r="J1902" t="str">
        <f>Orders!J1902</f>
        <v>Completed</v>
      </c>
      <c r="K1902" t="str">
        <f>Orders!K1902</f>
        <v>Hyderabad</v>
      </c>
      <c r="L1902" t="str">
        <f>IFERROR(VLOOKUP(D1902,Products!$A$2:$F$61,3,FALSE),"")</f>
        <v>Grocery</v>
      </c>
      <c r="M1902">
        <f>IFERROR(VLOOKUP(D1902,Products!$A$2:$F$61,4,FALSE),"")</f>
        <v>1435</v>
      </c>
      <c r="N1902" t="str">
        <f>IFERROR(VLOOKUP(E1902,Sales_Reps!$A$2:$E$31,3,FALSE),"")</f>
        <v>North</v>
      </c>
      <c r="O1902" t="str">
        <f>IFERROR(VLOOKUP(C1902,Customers!$A$2:$F$301,5,FALSE),"")</f>
        <v>Corporate</v>
      </c>
      <c r="P1902">
        <f>IFERROR(VLOOKUP(C1902,Customers!$A$2:$F$301,3,FALSE),"")</f>
        <v>32</v>
      </c>
      <c r="Q1902" s="41">
        <f t="shared" si="38"/>
        <v>0.48007246376811596</v>
      </c>
      <c r="R1902" t="str">
        <f>IFERROR(VLOOKUP(C1902,Customers!$A$2:$F$301,1,FALSE),"")</f>
        <v>CUST-0273</v>
      </c>
      <c r="S1902" s="27" t="b">
        <f>IFERROR(VLOOKUP(D1902,Products!$A$2:$F$61,6,FALSE),"")</f>
        <v>1</v>
      </c>
      <c r="BL1902">
        <v>0</v>
      </c>
      <c r="BO1902">
        <v>0</v>
      </c>
      <c r="BP1902">
        <v>0</v>
      </c>
    </row>
    <row r="1903" spans="1:68" x14ac:dyDescent="0.35">
      <c r="A1903" s="26" t="str">
        <f>Orders!A1903</f>
        <v>ORD-01902</v>
      </c>
      <c r="B1903" s="33">
        <f>Orders!B1903</f>
        <v>45523</v>
      </c>
      <c r="C1903" t="str">
        <f>Orders!C1903</f>
        <v>CUST-0047</v>
      </c>
      <c r="D1903" t="str">
        <f>Orders!D1903</f>
        <v>PROD-025</v>
      </c>
      <c r="E1903" t="str">
        <f>Orders!E1903</f>
        <v>R027</v>
      </c>
      <c r="F1903">
        <f>Orders!F1903</f>
        <v>5</v>
      </c>
      <c r="G1903" s="35">
        <f>Orders!G1903</f>
        <v>4060</v>
      </c>
      <c r="H1903" s="37">
        <f>Orders!H1903</f>
        <v>22.5</v>
      </c>
      <c r="I1903" s="39">
        <f>Orders!I1903</f>
        <v>15732.5</v>
      </c>
      <c r="J1903" t="str">
        <f>Orders!J1903</f>
        <v>Completed</v>
      </c>
      <c r="K1903" t="str">
        <f>Orders!K1903</f>
        <v>Pune</v>
      </c>
      <c r="L1903" t="str">
        <f>IFERROR(VLOOKUP(D1903,Products!$A$2:$F$61,3,FALSE),"")</f>
        <v>Grocery</v>
      </c>
      <c r="M1903">
        <f>IFERROR(VLOOKUP(D1903,Products!$A$2:$F$61,4,FALSE),"")</f>
        <v>2911</v>
      </c>
      <c r="N1903" t="str">
        <f>IFERROR(VLOOKUP(E1903,Sales_Reps!$A$2:$E$31,3,FALSE),"")</f>
        <v>West</v>
      </c>
      <c r="O1903" t="str">
        <f>IFERROR(VLOOKUP(C1903,Customers!$A$2:$F$301,5,FALSE),"")</f>
        <v>Retail</v>
      </c>
      <c r="P1903">
        <f>IFERROR(VLOOKUP(C1903,Customers!$A$2:$F$301,3,FALSE),"")</f>
        <v>49</v>
      </c>
      <c r="Q1903" s="41">
        <f t="shared" si="38"/>
        <v>0.28300492610837441</v>
      </c>
      <c r="R1903" t="str">
        <f>IFERROR(VLOOKUP(C1903,Customers!$A$2:$F$301,1,FALSE),"")</f>
        <v>CUST-0047</v>
      </c>
      <c r="S1903" s="27" t="b">
        <f>IFERROR(VLOOKUP(D1903,Products!$A$2:$F$61,6,FALSE),"")</f>
        <v>1</v>
      </c>
      <c r="BL1903">
        <v>0</v>
      </c>
      <c r="BO1903">
        <v>0</v>
      </c>
      <c r="BP1903">
        <v>0</v>
      </c>
    </row>
    <row r="1904" spans="1:68" x14ac:dyDescent="0.35">
      <c r="A1904" s="26" t="str">
        <f>Orders!A1904</f>
        <v>ORD-01903</v>
      </c>
      <c r="B1904" s="33">
        <f>Orders!B1904</f>
        <v>45367</v>
      </c>
      <c r="C1904" t="str">
        <f>Orders!C1904</f>
        <v>CUST-0084</v>
      </c>
      <c r="D1904" t="str">
        <f>Orders!D1904</f>
        <v>PROD-010</v>
      </c>
      <c r="E1904" t="str">
        <f>Orders!E1904</f>
        <v>R006</v>
      </c>
      <c r="F1904">
        <f>Orders!F1904</f>
        <v>8</v>
      </c>
      <c r="G1904" s="35">
        <f>Orders!G1904</f>
        <v>2640</v>
      </c>
      <c r="H1904" s="37">
        <f>Orders!H1904</f>
        <v>11.8</v>
      </c>
      <c r="I1904" s="39">
        <f>Orders!I1904</f>
        <v>18627.84</v>
      </c>
      <c r="J1904" t="str">
        <f>Orders!J1904</f>
        <v>Completed</v>
      </c>
      <c r="K1904" t="str">
        <f>Orders!K1904</f>
        <v>Chennai</v>
      </c>
      <c r="L1904" t="str">
        <f>IFERROR(VLOOKUP(D1904,Products!$A$2:$F$61,3,FALSE),"")</f>
        <v>Electronics</v>
      </c>
      <c r="M1904">
        <f>IFERROR(VLOOKUP(D1904,Products!$A$2:$F$61,4,FALSE),"")</f>
        <v>1149</v>
      </c>
      <c r="N1904" t="str">
        <f>IFERROR(VLOOKUP(E1904,Sales_Reps!$A$2:$E$31,3,FALSE),"")</f>
        <v>North</v>
      </c>
      <c r="O1904" t="str">
        <f>IFERROR(VLOOKUP(C1904,Customers!$A$2:$F$301,5,FALSE),"")</f>
        <v>Retail</v>
      </c>
      <c r="P1904">
        <f>IFERROR(VLOOKUP(C1904,Customers!$A$2:$F$301,3,FALSE),"")</f>
        <v>28</v>
      </c>
      <c r="Q1904" s="41">
        <f t="shared" si="38"/>
        <v>0.56477272727272732</v>
      </c>
      <c r="R1904" t="str">
        <f>IFERROR(VLOOKUP(C1904,Customers!$A$2:$F$301,1,FALSE),"")</f>
        <v>CUST-0084</v>
      </c>
      <c r="S1904" s="27" t="b">
        <f>IFERROR(VLOOKUP(D1904,Products!$A$2:$F$61,6,FALSE),"")</f>
        <v>1</v>
      </c>
      <c r="BL1904">
        <v>0</v>
      </c>
      <c r="BO1904">
        <v>0</v>
      </c>
      <c r="BP1904">
        <v>0</v>
      </c>
    </row>
    <row r="1905" spans="1:68" x14ac:dyDescent="0.35">
      <c r="A1905" s="26" t="str">
        <f>Orders!A1905</f>
        <v>ORD-01904</v>
      </c>
      <c r="B1905" s="33">
        <f>Orders!B1905</f>
        <v>45309</v>
      </c>
      <c r="C1905" t="str">
        <f>Orders!C1905</f>
        <v>CUST-0093</v>
      </c>
      <c r="D1905" t="str">
        <f>Orders!D1905</f>
        <v>PROD-039</v>
      </c>
      <c r="E1905" t="str">
        <f>Orders!E1905</f>
        <v>R005</v>
      </c>
      <c r="F1905">
        <f>Orders!F1905</f>
        <v>2</v>
      </c>
      <c r="G1905" s="35">
        <f>Orders!G1905</f>
        <v>4610</v>
      </c>
      <c r="H1905" s="37">
        <f>Orders!H1905</f>
        <v>10.4</v>
      </c>
      <c r="I1905" s="39">
        <f>Orders!I1905</f>
        <v>8261.1200000000008</v>
      </c>
      <c r="J1905" t="str">
        <f>Orders!J1905</f>
        <v>Pending</v>
      </c>
      <c r="K1905" t="str">
        <f>Orders!K1905</f>
        <v>Pune</v>
      </c>
      <c r="L1905" t="str">
        <f>IFERROR(VLOOKUP(D1905,Products!$A$2:$F$61,3,FALSE),"")</f>
        <v>Home</v>
      </c>
      <c r="M1905">
        <f>IFERROR(VLOOKUP(D1905,Products!$A$2:$F$61,4,FALSE),"")</f>
        <v>1850</v>
      </c>
      <c r="N1905" t="str">
        <f>IFERROR(VLOOKUP(E1905,Sales_Reps!$A$2:$E$31,3,FALSE),"")</f>
        <v>North</v>
      </c>
      <c r="O1905" t="str">
        <f>IFERROR(VLOOKUP(C1905,Customers!$A$2:$F$301,5,FALSE),"")</f>
        <v>Retail</v>
      </c>
      <c r="P1905">
        <f>IFERROR(VLOOKUP(C1905,Customers!$A$2:$F$301,3,FALSE),"")</f>
        <v>36</v>
      </c>
      <c r="Q1905" s="41">
        <f t="shared" si="38"/>
        <v>0.59869848156182215</v>
      </c>
      <c r="R1905" t="str">
        <f>IFERROR(VLOOKUP(C1905,Customers!$A$2:$F$301,1,FALSE),"")</f>
        <v>CUST-0093</v>
      </c>
      <c r="S1905" s="27" t="b">
        <f>IFERROR(VLOOKUP(D1905,Products!$A$2:$F$61,6,FALSE),"")</f>
        <v>1</v>
      </c>
      <c r="BL1905">
        <v>0</v>
      </c>
      <c r="BO1905">
        <v>0</v>
      </c>
      <c r="BP1905">
        <v>0</v>
      </c>
    </row>
    <row r="1906" spans="1:68" x14ac:dyDescent="0.35">
      <c r="A1906" s="26" t="str">
        <f>Orders!A1906</f>
        <v>ORD-01905</v>
      </c>
      <c r="B1906" s="33">
        <f>Orders!B1906</f>
        <v>45383</v>
      </c>
      <c r="C1906" t="str">
        <f>Orders!C1906</f>
        <v>CUST-0282</v>
      </c>
      <c r="D1906" t="str">
        <f>Orders!D1906</f>
        <v>PROD-029</v>
      </c>
      <c r="E1906" t="str">
        <f>Orders!E1906</f>
        <v>R028</v>
      </c>
      <c r="F1906">
        <f>Orders!F1906</f>
        <v>6</v>
      </c>
      <c r="G1906" s="35">
        <f>Orders!G1906</f>
        <v>2210</v>
      </c>
      <c r="H1906" s="37">
        <f>Orders!H1906</f>
        <v>22.5</v>
      </c>
      <c r="I1906" s="39">
        <f>Orders!I1906</f>
        <v>10276.5</v>
      </c>
      <c r="J1906" t="str">
        <f>Orders!J1906</f>
        <v>Cancelled</v>
      </c>
      <c r="K1906" t="str">
        <f>Orders!K1906</f>
        <v>Hyderabad</v>
      </c>
      <c r="L1906" t="str">
        <f>IFERROR(VLOOKUP(D1906,Products!$A$2:$F$61,3,FALSE),"")</f>
        <v>Grocery</v>
      </c>
      <c r="M1906">
        <f>IFERROR(VLOOKUP(D1906,Products!$A$2:$F$61,4,FALSE),"")</f>
        <v>1010</v>
      </c>
      <c r="N1906" t="str">
        <f>IFERROR(VLOOKUP(E1906,Sales_Reps!$A$2:$E$31,3,FALSE),"")</f>
        <v>West</v>
      </c>
      <c r="O1906" t="str">
        <f>IFERROR(VLOOKUP(C1906,Customers!$A$2:$F$301,5,FALSE),"")</f>
        <v>Corporate</v>
      </c>
      <c r="P1906">
        <f>IFERROR(VLOOKUP(C1906,Customers!$A$2:$F$301,3,FALSE),"")</f>
        <v>29</v>
      </c>
      <c r="Q1906" s="41">
        <f t="shared" si="38"/>
        <v>0.54298642533936647</v>
      </c>
      <c r="R1906" t="str">
        <f>IFERROR(VLOOKUP(C1906,Customers!$A$2:$F$301,1,FALSE),"")</f>
        <v>CUST-0282</v>
      </c>
      <c r="S1906" s="27" t="b">
        <f>IFERROR(VLOOKUP(D1906,Products!$A$2:$F$61,6,FALSE),"")</f>
        <v>1</v>
      </c>
      <c r="BL1906">
        <v>0</v>
      </c>
      <c r="BO1906">
        <v>0</v>
      </c>
      <c r="BP1906">
        <v>0</v>
      </c>
    </row>
    <row r="1907" spans="1:68" x14ac:dyDescent="0.35">
      <c r="A1907" s="26" t="str">
        <f>Orders!A1907</f>
        <v>ORD-01906</v>
      </c>
      <c r="B1907" s="33">
        <f>Orders!B1907</f>
        <v>45420</v>
      </c>
      <c r="C1907" t="str">
        <f>Orders!C1907</f>
        <v>CUST-0246</v>
      </c>
      <c r="D1907" t="str">
        <f>Orders!D1907</f>
        <v>PROD-029</v>
      </c>
      <c r="E1907" t="str">
        <f>Orders!E1907</f>
        <v>R011</v>
      </c>
      <c r="F1907">
        <f>Orders!F1907</f>
        <v>4</v>
      </c>
      <c r="G1907" s="35">
        <f>Orders!G1907</f>
        <v>2210</v>
      </c>
      <c r="H1907" s="37">
        <f>Orders!H1907</f>
        <v>21.5</v>
      </c>
      <c r="I1907" s="39">
        <f>Orders!I1907</f>
        <v>6939.4</v>
      </c>
      <c r="J1907" t="str">
        <f>Orders!J1907</f>
        <v>Pending</v>
      </c>
      <c r="K1907" t="str">
        <f>Orders!K1907</f>
        <v>Delhi</v>
      </c>
      <c r="L1907" t="str">
        <f>IFERROR(VLOOKUP(D1907,Products!$A$2:$F$61,3,FALSE),"")</f>
        <v>Grocery</v>
      </c>
      <c r="M1907">
        <f>IFERROR(VLOOKUP(D1907,Products!$A$2:$F$61,4,FALSE),"")</f>
        <v>1010</v>
      </c>
      <c r="N1907" t="str">
        <f>IFERROR(VLOOKUP(E1907,Sales_Reps!$A$2:$E$31,3,FALSE),"")</f>
        <v>South</v>
      </c>
      <c r="O1907" t="str">
        <f>IFERROR(VLOOKUP(C1907,Customers!$A$2:$F$301,5,FALSE),"")</f>
        <v>SMB</v>
      </c>
      <c r="P1907">
        <f>IFERROR(VLOOKUP(C1907,Customers!$A$2:$F$301,3,FALSE),"")</f>
        <v>29</v>
      </c>
      <c r="Q1907" s="41">
        <f t="shared" si="38"/>
        <v>0.54298642533936647</v>
      </c>
      <c r="R1907" t="str">
        <f>IFERROR(VLOOKUP(C1907,Customers!$A$2:$F$301,1,FALSE),"")</f>
        <v>CUST-0246</v>
      </c>
      <c r="S1907" s="27" t="b">
        <f>IFERROR(VLOOKUP(D1907,Products!$A$2:$F$61,6,FALSE),"")</f>
        <v>1</v>
      </c>
      <c r="BL1907">
        <v>0</v>
      </c>
      <c r="BO1907">
        <v>0</v>
      </c>
      <c r="BP1907">
        <v>0</v>
      </c>
    </row>
    <row r="1908" spans="1:68" x14ac:dyDescent="0.35">
      <c r="A1908" s="26" t="str">
        <f>Orders!A1908</f>
        <v>ORD-01907</v>
      </c>
      <c r="B1908" s="33">
        <f>Orders!B1908</f>
        <v>45400</v>
      </c>
      <c r="C1908" t="str">
        <f>Orders!C1908</f>
        <v>CUST-0243</v>
      </c>
      <c r="D1908" t="str">
        <f>Orders!D1908</f>
        <v>PROD-035</v>
      </c>
      <c r="E1908" t="str">
        <f>Orders!E1908</f>
        <v>R013</v>
      </c>
      <c r="F1908">
        <f>Orders!F1908</f>
        <v>6</v>
      </c>
      <c r="G1908" s="35">
        <f>Orders!G1908</f>
        <v>1090</v>
      </c>
      <c r="H1908" s="37">
        <f>Orders!H1908</f>
        <v>28.3</v>
      </c>
      <c r="I1908" s="39">
        <f>Orders!I1908</f>
        <v>4689.18</v>
      </c>
      <c r="J1908" t="str">
        <f>Orders!J1908</f>
        <v>Completed</v>
      </c>
      <c r="K1908" t="str">
        <f>Orders!K1908</f>
        <v>Pune</v>
      </c>
      <c r="L1908" t="str">
        <f>IFERROR(VLOOKUP(D1908,Products!$A$2:$F$61,3,FALSE),"")</f>
        <v>Home</v>
      </c>
      <c r="M1908">
        <f>IFERROR(VLOOKUP(D1908,Products!$A$2:$F$61,4,FALSE),"")</f>
        <v>464</v>
      </c>
      <c r="N1908" t="str">
        <f>IFERROR(VLOOKUP(E1908,Sales_Reps!$A$2:$E$31,3,FALSE),"")</f>
        <v>South</v>
      </c>
      <c r="O1908" t="str">
        <f>IFERROR(VLOOKUP(C1908,Customers!$A$2:$F$301,5,FALSE),"")</f>
        <v>SMB</v>
      </c>
      <c r="P1908">
        <f>IFERROR(VLOOKUP(C1908,Customers!$A$2:$F$301,3,FALSE),"")</f>
        <v>44</v>
      </c>
      <c r="Q1908" s="41">
        <f t="shared" si="38"/>
        <v>0.57431192660550456</v>
      </c>
      <c r="R1908" t="str">
        <f>IFERROR(VLOOKUP(C1908,Customers!$A$2:$F$301,1,FALSE),"")</f>
        <v>CUST-0243</v>
      </c>
      <c r="S1908" s="27" t="b">
        <f>IFERROR(VLOOKUP(D1908,Products!$A$2:$F$61,6,FALSE),"")</f>
        <v>1</v>
      </c>
      <c r="BL1908">
        <v>0</v>
      </c>
      <c r="BO1908">
        <v>0</v>
      </c>
      <c r="BP1908">
        <v>0</v>
      </c>
    </row>
    <row r="1909" spans="1:68" x14ac:dyDescent="0.35">
      <c r="A1909" s="26" t="str">
        <f>Orders!A1909</f>
        <v>ORD-01908</v>
      </c>
      <c r="B1909" s="33">
        <f>Orders!B1909</f>
        <v>45625</v>
      </c>
      <c r="C1909" t="str">
        <f>Orders!C1909</f>
        <v>CUST-0298</v>
      </c>
      <c r="D1909" t="str">
        <f>Orders!D1909</f>
        <v>PROD-032</v>
      </c>
      <c r="E1909" t="str">
        <f>Orders!E1909</f>
        <v>R003</v>
      </c>
      <c r="F1909">
        <f>Orders!F1909</f>
        <v>9</v>
      </c>
      <c r="G1909" s="35">
        <f>Orders!G1909</f>
        <v>370</v>
      </c>
      <c r="H1909" s="37">
        <f>Orders!H1909</f>
        <v>13.8</v>
      </c>
      <c r="I1909" s="39">
        <f>Orders!I1909</f>
        <v>2870.46</v>
      </c>
      <c r="J1909" t="str">
        <f>Orders!J1909</f>
        <v>Completed</v>
      </c>
      <c r="K1909" t="str">
        <f>Orders!K1909</f>
        <v>Delhi</v>
      </c>
      <c r="L1909" t="str">
        <f>IFERROR(VLOOKUP(D1909,Products!$A$2:$F$61,3,FALSE),"")</f>
        <v>Home</v>
      </c>
      <c r="M1909">
        <f>IFERROR(VLOOKUP(D1909,Products!$A$2:$F$61,4,FALSE),"")</f>
        <v>288</v>
      </c>
      <c r="N1909" t="str">
        <f>IFERROR(VLOOKUP(E1909,Sales_Reps!$A$2:$E$31,3,FALSE),"")</f>
        <v>North</v>
      </c>
      <c r="O1909" t="str">
        <f>IFERROR(VLOOKUP(C1909,Customers!$A$2:$F$301,5,FALSE),"")</f>
        <v>Retail</v>
      </c>
      <c r="P1909">
        <f>IFERROR(VLOOKUP(C1909,Customers!$A$2:$F$301,3,FALSE),"")</f>
        <v>44</v>
      </c>
      <c r="Q1909" s="41">
        <f t="shared" si="38"/>
        <v>0.22162162162162163</v>
      </c>
      <c r="R1909" t="str">
        <f>IFERROR(VLOOKUP(C1909,Customers!$A$2:$F$301,1,FALSE),"")</f>
        <v>CUST-0298</v>
      </c>
      <c r="S1909" s="27" t="b">
        <f>IFERROR(VLOOKUP(D1909,Products!$A$2:$F$61,6,FALSE),"")</f>
        <v>1</v>
      </c>
      <c r="BL1909">
        <v>0</v>
      </c>
      <c r="BO1909">
        <v>0</v>
      </c>
      <c r="BP1909">
        <v>0</v>
      </c>
    </row>
    <row r="1910" spans="1:68" x14ac:dyDescent="0.35">
      <c r="A1910" s="26" t="str">
        <f>Orders!A1910</f>
        <v>ORD-01909</v>
      </c>
      <c r="B1910" s="33">
        <f>Orders!B1910</f>
        <v>45555</v>
      </c>
      <c r="C1910" t="str">
        <f>Orders!C1910</f>
        <v>CUST-0124</v>
      </c>
      <c r="D1910" t="str">
        <f>Orders!D1910</f>
        <v>PROD-003</v>
      </c>
      <c r="E1910" t="str">
        <f>Orders!E1910</f>
        <v>R025</v>
      </c>
      <c r="F1910">
        <f>Orders!F1910</f>
        <v>10</v>
      </c>
      <c r="G1910" s="35">
        <f>Orders!G1910</f>
        <v>3570</v>
      </c>
      <c r="H1910" s="37">
        <f>Orders!H1910</f>
        <v>3</v>
      </c>
      <c r="I1910" s="39">
        <f>Orders!I1910</f>
        <v>34629</v>
      </c>
      <c r="J1910" t="str">
        <f>Orders!J1910</f>
        <v>Cancelled</v>
      </c>
      <c r="K1910" t="str">
        <f>Orders!K1910</f>
        <v>Pune</v>
      </c>
      <c r="L1910" t="str">
        <f>IFERROR(VLOOKUP(D1910,Products!$A$2:$F$61,3,FALSE),"")</f>
        <v>Electronics</v>
      </c>
      <c r="M1910">
        <f>IFERROR(VLOOKUP(D1910,Products!$A$2:$F$61,4,FALSE),"")</f>
        <v>1665</v>
      </c>
      <c r="N1910" t="str">
        <f>IFERROR(VLOOKUP(E1910,Sales_Reps!$A$2:$E$31,3,FALSE),"")</f>
        <v>West</v>
      </c>
      <c r="O1910" t="str">
        <f>IFERROR(VLOOKUP(C1910,Customers!$A$2:$F$301,5,FALSE),"")</f>
        <v>Retail</v>
      </c>
      <c r="P1910">
        <f>IFERROR(VLOOKUP(C1910,Customers!$A$2:$F$301,3,FALSE),"")</f>
        <v>57</v>
      </c>
      <c r="Q1910" s="41">
        <f t="shared" si="38"/>
        <v>0.53361344537815125</v>
      </c>
      <c r="R1910" t="str">
        <f>IFERROR(VLOOKUP(C1910,Customers!$A$2:$F$301,1,FALSE),"")</f>
        <v>CUST-0124</v>
      </c>
      <c r="S1910" s="27" t="b">
        <f>IFERROR(VLOOKUP(D1910,Products!$A$2:$F$61,6,FALSE),"")</f>
        <v>1</v>
      </c>
      <c r="BL1910">
        <v>0</v>
      </c>
      <c r="BO1910">
        <v>0</v>
      </c>
      <c r="BP1910">
        <v>0</v>
      </c>
    </row>
    <row r="1911" spans="1:68" x14ac:dyDescent="0.35">
      <c r="A1911" s="26" t="str">
        <f>Orders!A1911</f>
        <v>ORD-01910</v>
      </c>
      <c r="B1911" s="33">
        <f>Orders!B1911</f>
        <v>45509</v>
      </c>
      <c r="C1911" t="str">
        <f>Orders!C1911</f>
        <v>CUST-0070</v>
      </c>
      <c r="D1911" t="str">
        <f>Orders!D1911</f>
        <v>PROD-036</v>
      </c>
      <c r="E1911" t="str">
        <f>Orders!E1911</f>
        <v>R016</v>
      </c>
      <c r="F1911">
        <f>Orders!F1911</f>
        <v>10</v>
      </c>
      <c r="G1911" s="35">
        <f>Orders!G1911</f>
        <v>3250</v>
      </c>
      <c r="H1911" s="37">
        <f>Orders!H1911</f>
        <v>20.3</v>
      </c>
      <c r="I1911" s="39">
        <f>Orders!I1911</f>
        <v>25902.5</v>
      </c>
      <c r="J1911" t="str">
        <f>Orders!J1911</f>
        <v>Completed</v>
      </c>
      <c r="K1911" t="str">
        <f>Orders!K1911</f>
        <v>Mumbai</v>
      </c>
      <c r="L1911" t="str">
        <f>IFERROR(VLOOKUP(D1911,Products!$A$2:$F$61,3,FALSE),"")</f>
        <v>Home</v>
      </c>
      <c r="M1911">
        <f>IFERROR(VLOOKUP(D1911,Products!$A$2:$F$61,4,FALSE),"")</f>
        <v>1556</v>
      </c>
      <c r="N1911" t="str">
        <f>IFERROR(VLOOKUP(E1911,Sales_Reps!$A$2:$E$31,3,FALSE),"")</f>
        <v>South</v>
      </c>
      <c r="O1911" t="str">
        <f>IFERROR(VLOOKUP(C1911,Customers!$A$2:$F$301,5,FALSE),"")</f>
        <v>Retail</v>
      </c>
      <c r="P1911">
        <f>IFERROR(VLOOKUP(C1911,Customers!$A$2:$F$301,3,FALSE),"")</f>
        <v>42</v>
      </c>
      <c r="Q1911" s="41">
        <f t="shared" si="38"/>
        <v>0.52123076923076928</v>
      </c>
      <c r="R1911" t="str">
        <f>IFERROR(VLOOKUP(C1911,Customers!$A$2:$F$301,1,FALSE),"")</f>
        <v>CUST-0070</v>
      </c>
      <c r="S1911" s="27" t="b">
        <f>IFERROR(VLOOKUP(D1911,Products!$A$2:$F$61,6,FALSE),"")</f>
        <v>1</v>
      </c>
      <c r="BL1911">
        <v>0</v>
      </c>
      <c r="BO1911">
        <v>0</v>
      </c>
      <c r="BP1911">
        <v>0</v>
      </c>
    </row>
    <row r="1912" spans="1:68" x14ac:dyDescent="0.35">
      <c r="A1912" s="26" t="str">
        <f>Orders!A1912</f>
        <v>ORD-01911</v>
      </c>
      <c r="B1912" s="33">
        <f>Orders!B1912</f>
        <v>45436</v>
      </c>
      <c r="C1912" t="str">
        <f>Orders!C1912</f>
        <v>CUST-0054</v>
      </c>
      <c r="D1912" t="str">
        <f>Orders!D1912</f>
        <v>PROD-036</v>
      </c>
      <c r="E1912" t="str">
        <f>Orders!E1912</f>
        <v>R028</v>
      </c>
      <c r="F1912">
        <f>Orders!F1912</f>
        <v>6</v>
      </c>
      <c r="G1912" s="35">
        <f>Orders!G1912</f>
        <v>3250</v>
      </c>
      <c r="H1912" s="37">
        <f>Orders!H1912</f>
        <v>25.8</v>
      </c>
      <c r="I1912" s="39">
        <f>Orders!I1912</f>
        <v>14469</v>
      </c>
      <c r="J1912" t="str">
        <f>Orders!J1912</f>
        <v>Pending</v>
      </c>
      <c r="K1912" t="str">
        <f>Orders!K1912</f>
        <v>Mumbai</v>
      </c>
      <c r="L1912" t="str">
        <f>IFERROR(VLOOKUP(D1912,Products!$A$2:$F$61,3,FALSE),"")</f>
        <v>Home</v>
      </c>
      <c r="M1912">
        <f>IFERROR(VLOOKUP(D1912,Products!$A$2:$F$61,4,FALSE),"")</f>
        <v>1556</v>
      </c>
      <c r="N1912" t="str">
        <f>IFERROR(VLOOKUP(E1912,Sales_Reps!$A$2:$E$31,3,FALSE),"")</f>
        <v>West</v>
      </c>
      <c r="O1912" t="str">
        <f>IFERROR(VLOOKUP(C1912,Customers!$A$2:$F$301,5,FALSE),"")</f>
        <v>Corporate</v>
      </c>
      <c r="P1912">
        <f>IFERROR(VLOOKUP(C1912,Customers!$A$2:$F$301,3,FALSE),"")</f>
        <v>62</v>
      </c>
      <c r="Q1912" s="41">
        <f t="shared" si="38"/>
        <v>0.52123076923076928</v>
      </c>
      <c r="R1912" t="str">
        <f>IFERROR(VLOOKUP(C1912,Customers!$A$2:$F$301,1,FALSE),"")</f>
        <v>CUST-0054</v>
      </c>
      <c r="S1912" s="27" t="b">
        <f>IFERROR(VLOOKUP(D1912,Products!$A$2:$F$61,6,FALSE),"")</f>
        <v>1</v>
      </c>
      <c r="BL1912">
        <v>0</v>
      </c>
      <c r="BO1912">
        <v>0</v>
      </c>
      <c r="BP1912">
        <v>0</v>
      </c>
    </row>
    <row r="1913" spans="1:68" x14ac:dyDescent="0.35">
      <c r="A1913" s="26" t="str">
        <f>Orders!A1913</f>
        <v>ORD-01912</v>
      </c>
      <c r="B1913" s="33">
        <f>Orders!B1913</f>
        <v>45610</v>
      </c>
      <c r="C1913" t="str">
        <f>Orders!C1913</f>
        <v>CUST-0208</v>
      </c>
      <c r="D1913" t="str">
        <f>Orders!D1913</f>
        <v>PROD-057</v>
      </c>
      <c r="E1913" t="str">
        <f>Orders!E1913</f>
        <v>R024</v>
      </c>
      <c r="F1913">
        <f>Orders!F1913</f>
        <v>9</v>
      </c>
      <c r="G1913" s="35">
        <f>Orders!G1913</f>
        <v>960</v>
      </c>
      <c r="H1913" s="37">
        <f>Orders!H1913</f>
        <v>29</v>
      </c>
      <c r="I1913" s="39">
        <f>Orders!I1913</f>
        <v>6134.4</v>
      </c>
      <c r="J1913" t="str">
        <f>Orders!J1913</f>
        <v>Completed</v>
      </c>
      <c r="K1913" t="str">
        <f>Orders!K1913</f>
        <v>Mumbai</v>
      </c>
      <c r="L1913" t="str">
        <f>IFERROR(VLOOKUP(D1913,Products!$A$2:$F$61,3,FALSE),"")</f>
        <v>Sports</v>
      </c>
      <c r="M1913">
        <f>IFERROR(VLOOKUP(D1913,Products!$A$2:$F$61,4,FALSE),"")</f>
        <v>705</v>
      </c>
      <c r="N1913" t="str">
        <f>IFERROR(VLOOKUP(E1913,Sales_Reps!$A$2:$E$31,3,FALSE),"")</f>
        <v>West</v>
      </c>
      <c r="O1913" t="str">
        <f>IFERROR(VLOOKUP(C1913,Customers!$A$2:$F$301,5,FALSE),"")</f>
        <v>Retail</v>
      </c>
      <c r="P1913">
        <f>IFERROR(VLOOKUP(C1913,Customers!$A$2:$F$301,3,FALSE),"")</f>
        <v>49</v>
      </c>
      <c r="Q1913" s="41">
        <f t="shared" si="38"/>
        <v>0.265625</v>
      </c>
      <c r="R1913" t="str">
        <f>IFERROR(VLOOKUP(C1913,Customers!$A$2:$F$301,1,FALSE),"")</f>
        <v>CUST-0208</v>
      </c>
      <c r="S1913" s="27" t="b">
        <f>IFERROR(VLOOKUP(D1913,Products!$A$2:$F$61,6,FALSE),"")</f>
        <v>1</v>
      </c>
      <c r="BL1913">
        <v>0</v>
      </c>
      <c r="BO1913">
        <v>0</v>
      </c>
      <c r="BP1913">
        <v>0</v>
      </c>
    </row>
    <row r="1914" spans="1:68" x14ac:dyDescent="0.35">
      <c r="A1914" s="26" t="str">
        <f>Orders!A1914</f>
        <v>ORD-01913</v>
      </c>
      <c r="B1914" s="33">
        <f>Orders!B1914</f>
        <v>45535</v>
      </c>
      <c r="C1914" t="str">
        <f>Orders!C1914</f>
        <v>CUST-0181</v>
      </c>
      <c r="D1914" t="str">
        <f>Orders!D1914</f>
        <v>PROD-050</v>
      </c>
      <c r="E1914" t="str">
        <f>Orders!E1914</f>
        <v>R015</v>
      </c>
      <c r="F1914">
        <f>Orders!F1914</f>
        <v>9</v>
      </c>
      <c r="G1914" s="35">
        <f>Orders!G1914</f>
        <v>6080</v>
      </c>
      <c r="H1914" s="37">
        <f>Orders!H1914</f>
        <v>21</v>
      </c>
      <c r="I1914" s="39">
        <f>Orders!I1914</f>
        <v>43228.800000000003</v>
      </c>
      <c r="J1914" t="str">
        <f>Orders!J1914</f>
        <v>Completed</v>
      </c>
      <c r="K1914" t="str">
        <f>Orders!K1914</f>
        <v>Delhi</v>
      </c>
      <c r="L1914" t="str">
        <f>IFERROR(VLOOKUP(D1914,Products!$A$2:$F$61,3,FALSE),"")</f>
        <v>Beauty</v>
      </c>
      <c r="M1914">
        <f>IFERROR(VLOOKUP(D1914,Products!$A$2:$F$61,4,FALSE),"")</f>
        <v>2617</v>
      </c>
      <c r="N1914" t="str">
        <f>IFERROR(VLOOKUP(E1914,Sales_Reps!$A$2:$E$31,3,FALSE),"")</f>
        <v>South</v>
      </c>
      <c r="O1914" t="str">
        <f>IFERROR(VLOOKUP(C1914,Customers!$A$2:$F$301,5,FALSE),"")</f>
        <v>SMB</v>
      </c>
      <c r="P1914">
        <f>IFERROR(VLOOKUP(C1914,Customers!$A$2:$F$301,3,FALSE),"")</f>
        <v>38</v>
      </c>
      <c r="Q1914" s="41">
        <f t="shared" si="38"/>
        <v>0.56957236842105263</v>
      </c>
      <c r="R1914" t="str">
        <f>IFERROR(VLOOKUP(C1914,Customers!$A$2:$F$301,1,FALSE),"")</f>
        <v>CUST-0181</v>
      </c>
      <c r="S1914" s="27" t="b">
        <f>IFERROR(VLOOKUP(D1914,Products!$A$2:$F$61,6,FALSE),"")</f>
        <v>1</v>
      </c>
      <c r="BL1914">
        <v>0</v>
      </c>
      <c r="BO1914">
        <v>0</v>
      </c>
      <c r="BP1914">
        <v>0</v>
      </c>
    </row>
    <row r="1915" spans="1:68" x14ac:dyDescent="0.35">
      <c r="A1915" s="26" t="str">
        <f>Orders!A1915</f>
        <v>ORD-01914</v>
      </c>
      <c r="B1915" s="33">
        <f>Orders!B1915</f>
        <v>45366</v>
      </c>
      <c r="C1915" t="str">
        <f>Orders!C1915</f>
        <v>CUST-0259</v>
      </c>
      <c r="D1915" t="str">
        <f>Orders!D1915</f>
        <v>PROD-039</v>
      </c>
      <c r="E1915" t="str">
        <f>Orders!E1915</f>
        <v>R020</v>
      </c>
      <c r="F1915">
        <f>Orders!F1915</f>
        <v>6</v>
      </c>
      <c r="G1915" s="35">
        <f>Orders!G1915</f>
        <v>4610</v>
      </c>
      <c r="H1915" s="37">
        <f>Orders!H1915</f>
        <v>13.5</v>
      </c>
      <c r="I1915" s="39">
        <f>Orders!I1915</f>
        <v>23925.9</v>
      </c>
      <c r="J1915" t="str">
        <f>Orders!J1915</f>
        <v>Completed</v>
      </c>
      <c r="K1915" t="str">
        <f>Orders!K1915</f>
        <v>Mumbai</v>
      </c>
      <c r="L1915" t="str">
        <f>IFERROR(VLOOKUP(D1915,Products!$A$2:$F$61,3,FALSE),"")</f>
        <v>Home</v>
      </c>
      <c r="M1915">
        <f>IFERROR(VLOOKUP(D1915,Products!$A$2:$F$61,4,FALSE),"")</f>
        <v>1850</v>
      </c>
      <c r="N1915" t="str">
        <f>IFERROR(VLOOKUP(E1915,Sales_Reps!$A$2:$E$31,3,FALSE),"")</f>
        <v>East</v>
      </c>
      <c r="O1915" t="str">
        <f>IFERROR(VLOOKUP(C1915,Customers!$A$2:$F$301,5,FALSE),"")</f>
        <v>Retail</v>
      </c>
      <c r="P1915">
        <f>IFERROR(VLOOKUP(C1915,Customers!$A$2:$F$301,3,FALSE),"")</f>
        <v>34</v>
      </c>
      <c r="Q1915" s="41">
        <f t="shared" si="38"/>
        <v>0.59869848156182215</v>
      </c>
      <c r="R1915" t="str">
        <f>IFERROR(VLOOKUP(C1915,Customers!$A$2:$F$301,1,FALSE),"")</f>
        <v>CUST-0259</v>
      </c>
      <c r="S1915" s="27" t="b">
        <f>IFERROR(VLOOKUP(D1915,Products!$A$2:$F$61,6,FALSE),"")</f>
        <v>1</v>
      </c>
      <c r="BL1915">
        <v>0</v>
      </c>
      <c r="BO1915">
        <v>0</v>
      </c>
      <c r="BP1915">
        <v>0</v>
      </c>
    </row>
    <row r="1916" spans="1:68" x14ac:dyDescent="0.35">
      <c r="A1916" s="26" t="str">
        <f>Orders!A1916</f>
        <v>ORD-01915</v>
      </c>
      <c r="B1916" s="33">
        <f>Orders!B1916</f>
        <v>45446</v>
      </c>
      <c r="C1916" t="str">
        <f>Orders!C1916</f>
        <v>CUST-0277</v>
      </c>
      <c r="D1916" t="str">
        <f>Orders!D1916</f>
        <v>PROD-034</v>
      </c>
      <c r="E1916" t="str">
        <f>Orders!E1916</f>
        <v>R021</v>
      </c>
      <c r="F1916">
        <f>Orders!F1916</f>
        <v>7</v>
      </c>
      <c r="G1916" s="35">
        <f>Orders!G1916</f>
        <v>5080</v>
      </c>
      <c r="H1916" s="37">
        <f>Orders!H1916</f>
        <v>25.4</v>
      </c>
      <c r="I1916" s="39">
        <f>Orders!I1916</f>
        <v>26527.759999999998</v>
      </c>
      <c r="J1916" t="str">
        <f>Orders!J1916</f>
        <v>Completed</v>
      </c>
      <c r="K1916" t="str">
        <f>Orders!K1916</f>
        <v>Chennai</v>
      </c>
      <c r="L1916" t="str">
        <f>IFERROR(VLOOKUP(D1916,Products!$A$2:$F$61,3,FALSE),"")</f>
        <v>Home</v>
      </c>
      <c r="M1916">
        <f>IFERROR(VLOOKUP(D1916,Products!$A$2:$F$61,4,FALSE),"")</f>
        <v>2459</v>
      </c>
      <c r="N1916" t="str">
        <f>IFERROR(VLOOKUP(E1916,Sales_Reps!$A$2:$E$31,3,FALSE),"")</f>
        <v>East</v>
      </c>
      <c r="O1916" t="str">
        <f>IFERROR(VLOOKUP(C1916,Customers!$A$2:$F$301,5,FALSE),"")</f>
        <v>Corporate</v>
      </c>
      <c r="P1916">
        <f>IFERROR(VLOOKUP(C1916,Customers!$A$2:$F$301,3,FALSE),"")</f>
        <v>34</v>
      </c>
      <c r="Q1916" s="41">
        <f t="shared" si="38"/>
        <v>0.51594488188976373</v>
      </c>
      <c r="R1916" t="str">
        <f>IFERROR(VLOOKUP(C1916,Customers!$A$2:$F$301,1,FALSE),"")</f>
        <v>CUST-0277</v>
      </c>
      <c r="S1916" s="27" t="b">
        <f>IFERROR(VLOOKUP(D1916,Products!$A$2:$F$61,6,FALSE),"")</f>
        <v>1</v>
      </c>
      <c r="BL1916">
        <v>0</v>
      </c>
      <c r="BO1916">
        <v>0</v>
      </c>
      <c r="BP1916">
        <v>0</v>
      </c>
    </row>
    <row r="1917" spans="1:68" x14ac:dyDescent="0.35">
      <c r="A1917" s="26" t="str">
        <f>Orders!A1917</f>
        <v>ORD-01916</v>
      </c>
      <c r="B1917" s="33">
        <f>Orders!B1917</f>
        <v>45550</v>
      </c>
      <c r="C1917" t="str">
        <f>Orders!C1917</f>
        <v>CUST-0173</v>
      </c>
      <c r="D1917" t="str">
        <f>Orders!D1917</f>
        <v>PROD-043</v>
      </c>
      <c r="E1917" t="str">
        <f>Orders!E1917</f>
        <v>R017</v>
      </c>
      <c r="F1917">
        <f>Orders!F1917</f>
        <v>5</v>
      </c>
      <c r="G1917" s="35">
        <f>Orders!G1917</f>
        <v>3350</v>
      </c>
      <c r="H1917" s="37">
        <f>Orders!H1917</f>
        <v>2.2000000000000002</v>
      </c>
      <c r="I1917" s="39">
        <f>Orders!I1917</f>
        <v>16381.5</v>
      </c>
      <c r="J1917" t="str">
        <f>Orders!J1917</f>
        <v>Completed</v>
      </c>
      <c r="K1917" t="str">
        <f>Orders!K1917</f>
        <v>Mumbai</v>
      </c>
      <c r="L1917" t="str">
        <f>IFERROR(VLOOKUP(D1917,Products!$A$2:$F$61,3,FALSE),"")</f>
        <v>Beauty</v>
      </c>
      <c r="M1917">
        <f>IFERROR(VLOOKUP(D1917,Products!$A$2:$F$61,4,FALSE),"")</f>
        <v>1728</v>
      </c>
      <c r="N1917" t="str">
        <f>IFERROR(VLOOKUP(E1917,Sales_Reps!$A$2:$E$31,3,FALSE),"")</f>
        <v>East</v>
      </c>
      <c r="O1917" t="str">
        <f>IFERROR(VLOOKUP(C1917,Customers!$A$2:$F$301,5,FALSE),"")</f>
        <v>Retail</v>
      </c>
      <c r="P1917">
        <f>IFERROR(VLOOKUP(C1917,Customers!$A$2:$F$301,3,FALSE),"")</f>
        <v>65</v>
      </c>
      <c r="Q1917" s="41">
        <f t="shared" si="38"/>
        <v>0.48417910447761192</v>
      </c>
      <c r="R1917" t="str">
        <f>IFERROR(VLOOKUP(C1917,Customers!$A$2:$F$301,1,FALSE),"")</f>
        <v>CUST-0173</v>
      </c>
      <c r="S1917" s="27" t="b">
        <f>IFERROR(VLOOKUP(D1917,Products!$A$2:$F$61,6,FALSE),"")</f>
        <v>1</v>
      </c>
      <c r="BL1917">
        <v>0</v>
      </c>
      <c r="BO1917">
        <v>0</v>
      </c>
      <c r="BP1917">
        <v>0</v>
      </c>
    </row>
    <row r="1918" spans="1:68" x14ac:dyDescent="0.35">
      <c r="A1918" s="26" t="str">
        <f>Orders!A1918</f>
        <v>ORD-01917</v>
      </c>
      <c r="B1918" s="33">
        <f>Orders!B1918</f>
        <v>45600</v>
      </c>
      <c r="C1918" t="str">
        <f>Orders!C1918</f>
        <v>CUST-0091</v>
      </c>
      <c r="D1918" t="str">
        <f>Orders!D1918</f>
        <v>PROD-027</v>
      </c>
      <c r="E1918" t="str">
        <f>Orders!E1918</f>
        <v>R014</v>
      </c>
      <c r="F1918">
        <f>Orders!F1918</f>
        <v>1</v>
      </c>
      <c r="G1918" s="35">
        <f>Orders!G1918</f>
        <v>3780</v>
      </c>
      <c r="H1918" s="37">
        <f>Orders!H1918</f>
        <v>13.7</v>
      </c>
      <c r="I1918" s="39">
        <f>Orders!I1918</f>
        <v>3262.14</v>
      </c>
      <c r="J1918" t="str">
        <f>Orders!J1918</f>
        <v>Completed</v>
      </c>
      <c r="K1918" t="str">
        <f>Orders!K1918</f>
        <v>Delhi</v>
      </c>
      <c r="L1918" t="str">
        <f>IFERROR(VLOOKUP(D1918,Products!$A$2:$F$61,3,FALSE),"")</f>
        <v>Grocery</v>
      </c>
      <c r="M1918">
        <f>IFERROR(VLOOKUP(D1918,Products!$A$2:$F$61,4,FALSE),"")</f>
        <v>2436</v>
      </c>
      <c r="N1918" t="str">
        <f>IFERROR(VLOOKUP(E1918,Sales_Reps!$A$2:$E$31,3,FALSE),"")</f>
        <v>South</v>
      </c>
      <c r="O1918" t="str">
        <f>IFERROR(VLOOKUP(C1918,Customers!$A$2:$F$301,5,FALSE),"")</f>
        <v>Retail</v>
      </c>
      <c r="P1918">
        <f>IFERROR(VLOOKUP(C1918,Customers!$A$2:$F$301,3,FALSE),"")</f>
        <v>55</v>
      </c>
      <c r="Q1918" s="41">
        <f t="shared" si="38"/>
        <v>0.35555555555555557</v>
      </c>
      <c r="R1918" t="str">
        <f>IFERROR(VLOOKUP(C1918,Customers!$A$2:$F$301,1,FALSE),"")</f>
        <v>CUST-0091</v>
      </c>
      <c r="S1918" s="27" t="b">
        <f>IFERROR(VLOOKUP(D1918,Products!$A$2:$F$61,6,FALSE),"")</f>
        <v>1</v>
      </c>
      <c r="BL1918">
        <v>0</v>
      </c>
      <c r="BO1918">
        <v>0</v>
      </c>
      <c r="BP1918">
        <v>0</v>
      </c>
    </row>
    <row r="1919" spans="1:68" x14ac:dyDescent="0.35">
      <c r="A1919" s="26" t="str">
        <f>Orders!A1919</f>
        <v>ORD-01918</v>
      </c>
      <c r="B1919" s="33">
        <f>Orders!B1919</f>
        <v>45352</v>
      </c>
      <c r="C1919" t="str">
        <f>Orders!C1919</f>
        <v>CUST-0142</v>
      </c>
      <c r="D1919" t="str">
        <f>Orders!D1919</f>
        <v>PROD-046</v>
      </c>
      <c r="E1919" t="str">
        <f>Orders!E1919</f>
        <v>R020</v>
      </c>
      <c r="F1919">
        <f>Orders!F1919</f>
        <v>4</v>
      </c>
      <c r="G1919" s="35">
        <f>Orders!G1919</f>
        <v>4880</v>
      </c>
      <c r="H1919" s="37">
        <f>Orders!H1919</f>
        <v>11.6</v>
      </c>
      <c r="I1919" s="39">
        <f>Orders!I1919</f>
        <v>17255.68</v>
      </c>
      <c r="J1919" t="str">
        <f>Orders!J1919</f>
        <v>Completed</v>
      </c>
      <c r="K1919" t="str">
        <f>Orders!K1919</f>
        <v>Chennai</v>
      </c>
      <c r="L1919" t="str">
        <f>IFERROR(VLOOKUP(D1919,Products!$A$2:$F$61,3,FALSE),"")</f>
        <v>Beauty</v>
      </c>
      <c r="M1919">
        <f>IFERROR(VLOOKUP(D1919,Products!$A$2:$F$61,4,FALSE),"")</f>
        <v>2768</v>
      </c>
      <c r="N1919" t="str">
        <f>IFERROR(VLOOKUP(E1919,Sales_Reps!$A$2:$E$31,3,FALSE),"")</f>
        <v>East</v>
      </c>
      <c r="O1919" t="str">
        <f>IFERROR(VLOOKUP(C1919,Customers!$A$2:$F$301,5,FALSE),"")</f>
        <v>Corporate</v>
      </c>
      <c r="P1919">
        <f>IFERROR(VLOOKUP(C1919,Customers!$A$2:$F$301,3,FALSE),"")</f>
        <v>55</v>
      </c>
      <c r="Q1919" s="41">
        <f t="shared" si="38"/>
        <v>0.43278688524590164</v>
      </c>
      <c r="R1919" t="str">
        <f>IFERROR(VLOOKUP(C1919,Customers!$A$2:$F$301,1,FALSE),"")</f>
        <v>CUST-0142</v>
      </c>
      <c r="S1919" s="27" t="b">
        <f>IFERROR(VLOOKUP(D1919,Products!$A$2:$F$61,6,FALSE),"")</f>
        <v>1</v>
      </c>
      <c r="BL1919">
        <v>0</v>
      </c>
      <c r="BO1919">
        <v>0</v>
      </c>
      <c r="BP1919">
        <v>0</v>
      </c>
    </row>
    <row r="1920" spans="1:68" x14ac:dyDescent="0.35">
      <c r="A1920" s="26" t="str">
        <f>Orders!A1920</f>
        <v>ORD-01919</v>
      </c>
      <c r="B1920" s="33">
        <f>Orders!B1920</f>
        <v>45385</v>
      </c>
      <c r="C1920" t="str">
        <f>Orders!C1920</f>
        <v>CUST-0011</v>
      </c>
      <c r="D1920" t="str">
        <f>Orders!D1920</f>
        <v>PROD-048</v>
      </c>
      <c r="E1920" t="str">
        <f>Orders!E1920</f>
        <v>R029</v>
      </c>
      <c r="F1920">
        <f>Orders!F1920</f>
        <v>3</v>
      </c>
      <c r="G1920" s="35">
        <f>Orders!G1920</f>
        <v>5100</v>
      </c>
      <c r="H1920" s="37">
        <f>Orders!H1920</f>
        <v>24.2</v>
      </c>
      <c r="I1920" s="39">
        <f>Orders!I1920</f>
        <v>11597.4</v>
      </c>
      <c r="J1920" t="str">
        <f>Orders!J1920</f>
        <v>Completed</v>
      </c>
      <c r="K1920" t="str">
        <f>Orders!K1920</f>
        <v xml:space="preserve"> Chennai </v>
      </c>
      <c r="L1920" t="str">
        <f>IFERROR(VLOOKUP(D1920,Products!$A$2:$F$61,3,FALSE),"")</f>
        <v>Beauty</v>
      </c>
      <c r="M1920">
        <f>IFERROR(VLOOKUP(D1920,Products!$A$2:$F$61,4,FALSE),"")</f>
        <v>2237</v>
      </c>
      <c r="N1920" t="str">
        <f>IFERROR(VLOOKUP(E1920,Sales_Reps!$A$2:$E$31,3,FALSE),"")</f>
        <v>West</v>
      </c>
      <c r="O1920" t="str">
        <f>IFERROR(VLOOKUP(C1920,Customers!$A$2:$F$301,5,FALSE),"")</f>
        <v>Corporate</v>
      </c>
      <c r="P1920">
        <f>IFERROR(VLOOKUP(C1920,Customers!$A$2:$F$301,3,FALSE),"")</f>
        <v>41</v>
      </c>
      <c r="Q1920" s="41">
        <f t="shared" si="38"/>
        <v>0.56137254901960787</v>
      </c>
      <c r="R1920" t="str">
        <f>IFERROR(VLOOKUP(C1920,Customers!$A$2:$F$301,1,FALSE),"")</f>
        <v>CUST-0011</v>
      </c>
      <c r="S1920" s="27" t="b">
        <f>IFERROR(VLOOKUP(D1920,Products!$A$2:$F$61,6,FALSE),"")</f>
        <v>1</v>
      </c>
      <c r="BL1920">
        <v>0</v>
      </c>
      <c r="BO1920">
        <v>0</v>
      </c>
      <c r="BP1920">
        <v>0</v>
      </c>
    </row>
    <row r="1921" spans="1:68" x14ac:dyDescent="0.35">
      <c r="A1921" s="26" t="str">
        <f>Orders!A1921</f>
        <v>ORD-01920</v>
      </c>
      <c r="B1921" s="33">
        <f>Orders!B1921</f>
        <v>45634</v>
      </c>
      <c r="C1921" t="str">
        <f>Orders!C1921</f>
        <v>CUST-0074</v>
      </c>
      <c r="D1921" t="str">
        <f>Orders!D1921</f>
        <v>PROD-008</v>
      </c>
      <c r="E1921" t="str">
        <f>Orders!E1921</f>
        <v>R023</v>
      </c>
      <c r="F1921">
        <f>Orders!F1921</f>
        <v>5</v>
      </c>
      <c r="G1921" s="35">
        <f>Orders!G1921</f>
        <v>2660</v>
      </c>
      <c r="H1921" s="37">
        <f>Orders!H1921</f>
        <v>4.7</v>
      </c>
      <c r="I1921" s="39">
        <f>Orders!I1921</f>
        <v>12674.9</v>
      </c>
      <c r="J1921" t="str">
        <f>Orders!J1921</f>
        <v>Completed</v>
      </c>
      <c r="K1921" t="str">
        <f>Orders!K1921</f>
        <v>Bengaluru</v>
      </c>
      <c r="L1921" t="str">
        <f>IFERROR(VLOOKUP(D1921,Products!$A$2:$F$61,3,FALSE),"")</f>
        <v>Electronics</v>
      </c>
      <c r="M1921">
        <f>IFERROR(VLOOKUP(D1921,Products!$A$2:$F$61,4,FALSE),"")</f>
        <v>1259</v>
      </c>
      <c r="N1921" t="str">
        <f>IFERROR(VLOOKUP(E1921,Sales_Reps!$A$2:$E$31,3,FALSE),"")</f>
        <v>East</v>
      </c>
      <c r="O1921" t="str">
        <f>IFERROR(VLOOKUP(C1921,Customers!$A$2:$F$301,5,FALSE),"")</f>
        <v>Retail</v>
      </c>
      <c r="P1921">
        <f>IFERROR(VLOOKUP(C1921,Customers!$A$2:$F$301,3,FALSE),"")</f>
        <v>27</v>
      </c>
      <c r="Q1921" s="41">
        <f t="shared" si="38"/>
        <v>0.52669172932330832</v>
      </c>
      <c r="R1921" t="str">
        <f>IFERROR(VLOOKUP(C1921,Customers!$A$2:$F$301,1,FALSE),"")</f>
        <v>CUST-0074</v>
      </c>
      <c r="S1921" s="27" t="b">
        <f>IFERROR(VLOOKUP(D1921,Products!$A$2:$F$61,6,FALSE),"")</f>
        <v>0</v>
      </c>
      <c r="BL1921">
        <v>0</v>
      </c>
      <c r="BO1921">
        <v>0</v>
      </c>
      <c r="BP1921">
        <v>1</v>
      </c>
    </row>
    <row r="1922" spans="1:68" x14ac:dyDescent="0.35">
      <c r="A1922" s="26" t="str">
        <f>Orders!A1922</f>
        <v>ORD-01921</v>
      </c>
      <c r="B1922" s="33">
        <f>Orders!B1922</f>
        <v>45444</v>
      </c>
      <c r="C1922" t="str">
        <f>Orders!C1922</f>
        <v>CUST-0131</v>
      </c>
      <c r="D1922" t="str">
        <f>Orders!D1922</f>
        <v>PROD-023</v>
      </c>
      <c r="E1922" t="str">
        <f>Orders!E1922</f>
        <v>R017</v>
      </c>
      <c r="F1922">
        <f>Orders!F1922</f>
        <v>10</v>
      </c>
      <c r="G1922" s="35">
        <f>Orders!G1922</f>
        <v>2380</v>
      </c>
      <c r="H1922" s="37">
        <f>Orders!H1922</f>
        <v>1</v>
      </c>
      <c r="I1922" s="39">
        <f>Orders!I1922</f>
        <v>23562</v>
      </c>
      <c r="J1922" t="str">
        <f>Orders!J1922</f>
        <v>Completed</v>
      </c>
      <c r="K1922" t="str">
        <f>Orders!K1922</f>
        <v>Delhi</v>
      </c>
      <c r="L1922" t="str">
        <f>IFERROR(VLOOKUP(D1922,Products!$A$2:$F$61,3,FALSE),"")</f>
        <v>Grocery</v>
      </c>
      <c r="M1922">
        <f>IFERROR(VLOOKUP(D1922,Products!$A$2:$F$61,4,FALSE),"")</f>
        <v>1182</v>
      </c>
      <c r="N1922" t="str">
        <f>IFERROR(VLOOKUP(E1922,Sales_Reps!$A$2:$E$31,3,FALSE),"")</f>
        <v>East</v>
      </c>
      <c r="O1922" t="str">
        <f>IFERROR(VLOOKUP(C1922,Customers!$A$2:$F$301,5,FALSE),"")</f>
        <v>SMB</v>
      </c>
      <c r="P1922">
        <f>IFERROR(VLOOKUP(C1922,Customers!$A$2:$F$301,3,FALSE),"")</f>
        <v>28</v>
      </c>
      <c r="Q1922" s="41">
        <f t="shared" ref="Q1922:Q1985" si="39">IFERROR((G1922-M1922)/G1922,0)</f>
        <v>0.50336134453781511</v>
      </c>
      <c r="R1922" t="str">
        <f>IFERROR(VLOOKUP(C1922,Customers!$A$2:$F$301,1,FALSE),"")</f>
        <v>CUST-0131</v>
      </c>
      <c r="S1922" s="27" t="b">
        <f>IFERROR(VLOOKUP(D1922,Products!$A$2:$F$61,6,FALSE),"")</f>
        <v>1</v>
      </c>
      <c r="BL1922">
        <v>0</v>
      </c>
      <c r="BO1922">
        <v>0</v>
      </c>
      <c r="BP1922">
        <v>0</v>
      </c>
    </row>
    <row r="1923" spans="1:68" x14ac:dyDescent="0.35">
      <c r="A1923" s="26" t="str">
        <f>Orders!A1923</f>
        <v>ORD-01922</v>
      </c>
      <c r="B1923" s="33">
        <f>Orders!B1923</f>
        <v>45553</v>
      </c>
      <c r="C1923" t="str">
        <f>Orders!C1923</f>
        <v>CUST-0093</v>
      </c>
      <c r="D1923" t="str">
        <f>Orders!D1923</f>
        <v>PROD-046</v>
      </c>
      <c r="E1923" t="str">
        <f>Orders!E1923</f>
        <v>R002</v>
      </c>
      <c r="F1923">
        <f>Orders!F1923</f>
        <v>9</v>
      </c>
      <c r="G1923" s="35">
        <f>Orders!G1923</f>
        <v>4880</v>
      </c>
      <c r="H1923" s="37">
        <f>Orders!H1923</f>
        <v>7.2</v>
      </c>
      <c r="I1923" s="39">
        <f>Orders!I1923</f>
        <v>40757.760000000002</v>
      </c>
      <c r="J1923" t="str">
        <f>Orders!J1923</f>
        <v>Completed</v>
      </c>
      <c r="K1923" t="str">
        <f>Orders!K1923</f>
        <v>Pune</v>
      </c>
      <c r="L1923" t="str">
        <f>IFERROR(VLOOKUP(D1923,Products!$A$2:$F$61,3,FALSE),"")</f>
        <v>Beauty</v>
      </c>
      <c r="M1923">
        <f>IFERROR(VLOOKUP(D1923,Products!$A$2:$F$61,4,FALSE),"")</f>
        <v>2768</v>
      </c>
      <c r="N1923" t="str">
        <f>IFERROR(VLOOKUP(E1923,Sales_Reps!$A$2:$E$31,3,FALSE),"")</f>
        <v>North</v>
      </c>
      <c r="O1923" t="str">
        <f>IFERROR(VLOOKUP(C1923,Customers!$A$2:$F$301,5,FALSE),"")</f>
        <v>Retail</v>
      </c>
      <c r="P1923">
        <f>IFERROR(VLOOKUP(C1923,Customers!$A$2:$F$301,3,FALSE),"")</f>
        <v>36</v>
      </c>
      <c r="Q1923" s="41">
        <f t="shared" si="39"/>
        <v>0.43278688524590164</v>
      </c>
      <c r="R1923" t="str">
        <f>IFERROR(VLOOKUP(C1923,Customers!$A$2:$F$301,1,FALSE),"")</f>
        <v>CUST-0093</v>
      </c>
      <c r="S1923" s="27" t="b">
        <f>IFERROR(VLOOKUP(D1923,Products!$A$2:$F$61,6,FALSE),"")</f>
        <v>1</v>
      </c>
      <c r="BL1923">
        <v>0</v>
      </c>
      <c r="BO1923">
        <v>0</v>
      </c>
      <c r="BP1923">
        <v>0</v>
      </c>
    </row>
    <row r="1924" spans="1:68" x14ac:dyDescent="0.35">
      <c r="A1924" s="26" t="str">
        <f>Orders!A1924</f>
        <v>ORD-01923</v>
      </c>
      <c r="B1924" s="33">
        <f>Orders!B1924</f>
        <v>45411</v>
      </c>
      <c r="C1924" t="str">
        <f>Orders!C1924</f>
        <v>CUST-0229</v>
      </c>
      <c r="D1924" t="str">
        <f>Orders!D1924</f>
        <v>PROD-031</v>
      </c>
      <c r="E1924" t="str">
        <f>Orders!E1924</f>
        <v>R014</v>
      </c>
      <c r="F1924">
        <f>Orders!F1924</f>
        <v>1</v>
      </c>
      <c r="G1924" s="35">
        <f>Orders!G1924</f>
        <v>3730</v>
      </c>
      <c r="H1924" s="37">
        <f>Orders!H1924</f>
        <v>15.3</v>
      </c>
      <c r="I1924" s="39">
        <f>Orders!I1924</f>
        <v>3159.31</v>
      </c>
      <c r="J1924" t="str">
        <f>Orders!J1924</f>
        <v>Completed</v>
      </c>
      <c r="K1924" t="str">
        <f>Orders!K1924</f>
        <v>Hyderabad</v>
      </c>
      <c r="L1924" t="str">
        <f>IFERROR(VLOOKUP(D1924,Products!$A$2:$F$61,3,FALSE),"")</f>
        <v>Home</v>
      </c>
      <c r="M1924">
        <f>IFERROR(VLOOKUP(D1924,Products!$A$2:$F$61,4,FALSE),"")</f>
        <v>2135</v>
      </c>
      <c r="N1924" t="str">
        <f>IFERROR(VLOOKUP(E1924,Sales_Reps!$A$2:$E$31,3,FALSE),"")</f>
        <v>South</v>
      </c>
      <c r="O1924" t="str">
        <f>IFERROR(VLOOKUP(C1924,Customers!$A$2:$F$301,5,FALSE),"")</f>
        <v>SMB</v>
      </c>
      <c r="P1924">
        <f>IFERROR(VLOOKUP(C1924,Customers!$A$2:$F$301,3,FALSE),"")</f>
        <v>25</v>
      </c>
      <c r="Q1924" s="41">
        <f t="shared" si="39"/>
        <v>0.42761394101876676</v>
      </c>
      <c r="R1924" t="str">
        <f>IFERROR(VLOOKUP(C1924,Customers!$A$2:$F$301,1,FALSE),"")</f>
        <v>CUST-0229</v>
      </c>
      <c r="S1924" s="27" t="b">
        <f>IFERROR(VLOOKUP(D1924,Products!$A$2:$F$61,6,FALSE),"")</f>
        <v>1</v>
      </c>
      <c r="BL1924">
        <v>0</v>
      </c>
      <c r="BO1924">
        <v>0</v>
      </c>
      <c r="BP1924">
        <v>0</v>
      </c>
    </row>
    <row r="1925" spans="1:68" x14ac:dyDescent="0.35">
      <c r="A1925" s="26" t="str">
        <f>Orders!A1925</f>
        <v>ORD-01924</v>
      </c>
      <c r="B1925" s="33">
        <f>Orders!B1925</f>
        <v>45442</v>
      </c>
      <c r="C1925" t="str">
        <f>Orders!C1925</f>
        <v>CUST-0293</v>
      </c>
      <c r="D1925" t="str">
        <f>Orders!D1925</f>
        <v>PROD-059</v>
      </c>
      <c r="E1925" t="str">
        <f>Orders!E1925</f>
        <v>R003</v>
      </c>
      <c r="F1925">
        <f>Orders!F1925</f>
        <v>10</v>
      </c>
      <c r="G1925" s="35">
        <f>Orders!G1925</f>
        <v>3780</v>
      </c>
      <c r="H1925" s="37">
        <f>Orders!H1925</f>
        <v>2.7</v>
      </c>
      <c r="I1925" s="39">
        <f>Orders!I1925</f>
        <v>36779.4</v>
      </c>
      <c r="J1925" t="str">
        <f>Orders!J1925</f>
        <v>Completed</v>
      </c>
      <c r="K1925" t="str">
        <f>Orders!K1925</f>
        <v>Bengaluru</v>
      </c>
      <c r="L1925" t="str">
        <f>IFERROR(VLOOKUP(D1925,Products!$A$2:$F$61,3,FALSE),"")</f>
        <v>Sports</v>
      </c>
      <c r="M1925">
        <f>IFERROR(VLOOKUP(D1925,Products!$A$2:$F$61,4,FALSE),"")</f>
        <v>1860</v>
      </c>
      <c r="N1925" t="str">
        <f>IFERROR(VLOOKUP(E1925,Sales_Reps!$A$2:$E$31,3,FALSE),"")</f>
        <v>North</v>
      </c>
      <c r="O1925" t="str">
        <f>IFERROR(VLOOKUP(C1925,Customers!$A$2:$F$301,5,FALSE),"")</f>
        <v>Retail</v>
      </c>
      <c r="P1925">
        <f>IFERROR(VLOOKUP(C1925,Customers!$A$2:$F$301,3,FALSE),"")</f>
        <v>27</v>
      </c>
      <c r="Q1925" s="41">
        <f t="shared" si="39"/>
        <v>0.50793650793650791</v>
      </c>
      <c r="R1925" t="str">
        <f>IFERROR(VLOOKUP(C1925,Customers!$A$2:$F$301,1,FALSE),"")</f>
        <v>CUST-0293</v>
      </c>
      <c r="S1925" s="27" t="b">
        <f>IFERROR(VLOOKUP(D1925,Products!$A$2:$F$61,6,FALSE),"")</f>
        <v>1</v>
      </c>
      <c r="BL1925">
        <v>0</v>
      </c>
      <c r="BO1925">
        <v>0</v>
      </c>
      <c r="BP1925">
        <v>0</v>
      </c>
    </row>
    <row r="1926" spans="1:68" x14ac:dyDescent="0.35">
      <c r="A1926" s="26" t="str">
        <f>Orders!A1926</f>
        <v>ORD-01925</v>
      </c>
      <c r="B1926" s="33">
        <f>Orders!B1926</f>
        <v>45381</v>
      </c>
      <c r="C1926" t="str">
        <f>Orders!C1926</f>
        <v>CUST-0105</v>
      </c>
      <c r="D1926" t="str">
        <f>Orders!D1926</f>
        <v>PROD-014</v>
      </c>
      <c r="E1926" t="str">
        <f>Orders!E1926</f>
        <v>R023</v>
      </c>
      <c r="F1926">
        <f>Orders!F1926</f>
        <v>2</v>
      </c>
      <c r="G1926" s="35">
        <f>Orders!G1926</f>
        <v>3620</v>
      </c>
      <c r="H1926" s="37">
        <f>Orders!H1926</f>
        <v>23</v>
      </c>
      <c r="I1926" s="39">
        <f>Orders!I1926</f>
        <v>5574.8</v>
      </c>
      <c r="J1926" t="str">
        <f>Orders!J1926</f>
        <v>Completed</v>
      </c>
      <c r="K1926" t="str">
        <f>Orders!K1926</f>
        <v>Chennai</v>
      </c>
      <c r="L1926" t="str">
        <f>IFERROR(VLOOKUP(D1926,Products!$A$2:$F$61,3,FALSE),"")</f>
        <v>Apparel</v>
      </c>
      <c r="M1926">
        <f>IFERROR(VLOOKUP(D1926,Products!$A$2:$F$61,4,FALSE),"")</f>
        <v>2509</v>
      </c>
      <c r="N1926" t="str">
        <f>IFERROR(VLOOKUP(E1926,Sales_Reps!$A$2:$E$31,3,FALSE),"")</f>
        <v>East</v>
      </c>
      <c r="O1926" t="str">
        <f>IFERROR(VLOOKUP(C1926,Customers!$A$2:$F$301,5,FALSE),"")</f>
        <v>SMB</v>
      </c>
      <c r="P1926">
        <f>IFERROR(VLOOKUP(C1926,Customers!$A$2:$F$301,3,FALSE),"")</f>
        <v>51</v>
      </c>
      <c r="Q1926" s="41">
        <f t="shared" si="39"/>
        <v>0.3069060773480663</v>
      </c>
      <c r="R1926" t="str">
        <f>IFERROR(VLOOKUP(C1926,Customers!$A$2:$F$301,1,FALSE),"")</f>
        <v>CUST-0105</v>
      </c>
      <c r="S1926" s="27" t="b">
        <f>IFERROR(VLOOKUP(D1926,Products!$A$2:$F$61,6,FALSE),"")</f>
        <v>1</v>
      </c>
      <c r="BL1926">
        <v>0</v>
      </c>
      <c r="BO1926">
        <v>0</v>
      </c>
      <c r="BP1926">
        <v>0</v>
      </c>
    </row>
    <row r="1927" spans="1:68" x14ac:dyDescent="0.35">
      <c r="A1927" s="26" t="str">
        <f>Orders!A1927</f>
        <v>ORD-01926</v>
      </c>
      <c r="B1927" s="33">
        <f>Orders!B1927</f>
        <v>45536</v>
      </c>
      <c r="C1927" t="str">
        <f>Orders!C1927</f>
        <v>CUST-0003</v>
      </c>
      <c r="D1927" t="str">
        <f>Orders!D1927</f>
        <v>PROD-034</v>
      </c>
      <c r="E1927" t="str">
        <f>Orders!E1927</f>
        <v>R021</v>
      </c>
      <c r="F1927">
        <f>Orders!F1927</f>
        <v>9</v>
      </c>
      <c r="G1927" s="35">
        <f>Orders!G1927</f>
        <v>5080</v>
      </c>
      <c r="H1927" s="37">
        <f>Orders!H1927</f>
        <v>19.899999999999999</v>
      </c>
      <c r="I1927" s="39">
        <f>Orders!I1927</f>
        <v>36621.72</v>
      </c>
      <c r="J1927" t="str">
        <f>Orders!J1927</f>
        <v>Completed</v>
      </c>
      <c r="K1927" t="str">
        <f>Orders!K1927</f>
        <v>Mumbai</v>
      </c>
      <c r="L1927" t="str">
        <f>IFERROR(VLOOKUP(D1927,Products!$A$2:$F$61,3,FALSE),"")</f>
        <v>Home</v>
      </c>
      <c r="M1927">
        <f>IFERROR(VLOOKUP(D1927,Products!$A$2:$F$61,4,FALSE),"")</f>
        <v>2459</v>
      </c>
      <c r="N1927" t="str">
        <f>IFERROR(VLOOKUP(E1927,Sales_Reps!$A$2:$E$31,3,FALSE),"")</f>
        <v>East</v>
      </c>
      <c r="O1927" t="str">
        <f>IFERROR(VLOOKUP(C1927,Customers!$A$2:$F$301,5,FALSE),"")</f>
        <v>Retail</v>
      </c>
      <c r="P1927">
        <f>IFERROR(VLOOKUP(C1927,Customers!$A$2:$F$301,3,FALSE),"")</f>
        <v>33</v>
      </c>
      <c r="Q1927" s="41">
        <f t="shared" si="39"/>
        <v>0.51594488188976373</v>
      </c>
      <c r="R1927" t="str">
        <f>IFERROR(VLOOKUP(C1927,Customers!$A$2:$F$301,1,FALSE),"")</f>
        <v>CUST-0003</v>
      </c>
      <c r="S1927" s="27" t="b">
        <f>IFERROR(VLOOKUP(D1927,Products!$A$2:$F$61,6,FALSE),"")</f>
        <v>1</v>
      </c>
      <c r="BL1927">
        <v>0</v>
      </c>
      <c r="BO1927">
        <v>0</v>
      </c>
      <c r="BP1927">
        <v>0</v>
      </c>
    </row>
    <row r="1928" spans="1:68" x14ac:dyDescent="0.35">
      <c r="A1928" s="26" t="str">
        <f>Orders!A1928</f>
        <v>ORD-01927</v>
      </c>
      <c r="B1928" s="33">
        <f>Orders!B1928</f>
        <v>45561</v>
      </c>
      <c r="C1928" t="str">
        <f>Orders!C1928</f>
        <v>CUST-0092</v>
      </c>
      <c r="D1928" t="str">
        <f>Orders!D1928</f>
        <v>PROD-018</v>
      </c>
      <c r="E1928" t="str">
        <f>Orders!E1928</f>
        <v>R024</v>
      </c>
      <c r="F1928">
        <f>Orders!F1928</f>
        <v>2</v>
      </c>
      <c r="G1928" s="35">
        <f>Orders!G1928</f>
        <v>3560</v>
      </c>
      <c r="H1928" s="37">
        <f>Orders!H1928</f>
        <v>5.5</v>
      </c>
      <c r="I1928" s="39">
        <f>Orders!I1928</f>
        <v>6728.4</v>
      </c>
      <c r="J1928" t="str">
        <f>Orders!J1928</f>
        <v>Completed</v>
      </c>
      <c r="K1928" t="str">
        <f>Orders!K1928</f>
        <v>Bengaluru</v>
      </c>
      <c r="L1928" t="str">
        <f>IFERROR(VLOOKUP(D1928,Products!$A$2:$F$61,3,FALSE),"")</f>
        <v>Apparel</v>
      </c>
      <c r="M1928">
        <f>IFERROR(VLOOKUP(D1928,Products!$A$2:$F$61,4,FALSE),"")</f>
        <v>2629</v>
      </c>
      <c r="N1928" t="str">
        <f>IFERROR(VLOOKUP(E1928,Sales_Reps!$A$2:$E$31,3,FALSE),"")</f>
        <v>West</v>
      </c>
      <c r="O1928" t="str">
        <f>IFERROR(VLOOKUP(C1928,Customers!$A$2:$F$301,5,FALSE),"")</f>
        <v>SMB</v>
      </c>
      <c r="P1928">
        <f>IFERROR(VLOOKUP(C1928,Customers!$A$2:$F$301,3,FALSE),"")</f>
        <v>28</v>
      </c>
      <c r="Q1928" s="41">
        <f t="shared" si="39"/>
        <v>0.26151685393258428</v>
      </c>
      <c r="R1928" t="str">
        <f>IFERROR(VLOOKUP(C1928,Customers!$A$2:$F$301,1,FALSE),"")</f>
        <v>CUST-0092</v>
      </c>
      <c r="S1928" s="27" t="b">
        <f>IFERROR(VLOOKUP(D1928,Products!$A$2:$F$61,6,FALSE),"")</f>
        <v>1</v>
      </c>
      <c r="BL1928">
        <v>0</v>
      </c>
      <c r="BO1928">
        <v>0</v>
      </c>
      <c r="BP1928">
        <v>0</v>
      </c>
    </row>
    <row r="1929" spans="1:68" x14ac:dyDescent="0.35">
      <c r="A1929" s="26" t="str">
        <f>Orders!A1929</f>
        <v>ORD-01928</v>
      </c>
      <c r="B1929" s="33">
        <f>Orders!B1929</f>
        <v>45349</v>
      </c>
      <c r="C1929" t="str">
        <f>Orders!C1929</f>
        <v>CUST-0050</v>
      </c>
      <c r="D1929" t="str">
        <f>Orders!D1929</f>
        <v>PROD-030</v>
      </c>
      <c r="E1929" t="str">
        <f>Orders!E1929</f>
        <v>R001</v>
      </c>
      <c r="F1929">
        <f>Orders!F1929</f>
        <v>6</v>
      </c>
      <c r="G1929" s="35">
        <f>Orders!G1929</f>
        <v>970</v>
      </c>
      <c r="H1929" s="37">
        <f>Orders!H1929</f>
        <v>22.5</v>
      </c>
      <c r="I1929" s="39">
        <f>Orders!I1929</f>
        <v>4510.5</v>
      </c>
      <c r="J1929" t="str">
        <f>Orders!J1929</f>
        <v>Refunded</v>
      </c>
      <c r="K1929" t="str">
        <f>Orders!K1929</f>
        <v>Mumbai</v>
      </c>
      <c r="L1929" t="str">
        <f>IFERROR(VLOOKUP(D1929,Products!$A$2:$F$61,3,FALSE),"")</f>
        <v>Grocery</v>
      </c>
      <c r="M1929">
        <f>IFERROR(VLOOKUP(D1929,Products!$A$2:$F$61,4,FALSE),"")</f>
        <v>434</v>
      </c>
      <c r="N1929" t="str">
        <f>IFERROR(VLOOKUP(E1929,Sales_Reps!$A$2:$E$31,3,FALSE),"")</f>
        <v>North</v>
      </c>
      <c r="O1929" t="str">
        <f>IFERROR(VLOOKUP(C1929,Customers!$A$2:$F$301,5,FALSE),"")</f>
        <v>Retail</v>
      </c>
      <c r="P1929">
        <f>IFERROR(VLOOKUP(C1929,Customers!$A$2:$F$301,3,FALSE),"")</f>
        <v>37</v>
      </c>
      <c r="Q1929" s="41">
        <f t="shared" si="39"/>
        <v>0.5525773195876289</v>
      </c>
      <c r="R1929" t="str">
        <f>IFERROR(VLOOKUP(C1929,Customers!$A$2:$F$301,1,FALSE),"")</f>
        <v>CUST-0050</v>
      </c>
      <c r="S1929" s="27" t="b">
        <f>IFERROR(VLOOKUP(D1929,Products!$A$2:$F$61,6,FALSE),"")</f>
        <v>1</v>
      </c>
      <c r="BL1929">
        <v>0</v>
      </c>
      <c r="BO1929">
        <v>0</v>
      </c>
      <c r="BP1929">
        <v>0</v>
      </c>
    </row>
    <row r="1930" spans="1:68" x14ac:dyDescent="0.35">
      <c r="A1930" s="26" t="str">
        <f>Orders!A1930</f>
        <v>ORD-01929</v>
      </c>
      <c r="B1930" s="33">
        <f>Orders!B1930</f>
        <v>45650</v>
      </c>
      <c r="C1930" t="str">
        <f>Orders!C1930</f>
        <v>CUST-0237</v>
      </c>
      <c r="D1930" t="str">
        <f>Orders!D1930</f>
        <v>PROD-043</v>
      </c>
      <c r="E1930" t="str">
        <f>Orders!E1930</f>
        <v>R014</v>
      </c>
      <c r="F1930">
        <f>Orders!F1930</f>
        <v>9</v>
      </c>
      <c r="G1930" s="35">
        <f>Orders!G1930</f>
        <v>3350</v>
      </c>
      <c r="H1930" s="37">
        <f>Orders!H1930</f>
        <v>5.0999999999999996</v>
      </c>
      <c r="I1930" s="39">
        <f>Orders!I1930</f>
        <v>28612.35</v>
      </c>
      <c r="J1930" t="str">
        <f>Orders!J1930</f>
        <v>Completed</v>
      </c>
      <c r="K1930" t="str">
        <f>Orders!K1930</f>
        <v>Mumbai</v>
      </c>
      <c r="L1930" t="str">
        <f>IFERROR(VLOOKUP(D1930,Products!$A$2:$F$61,3,FALSE),"")</f>
        <v>Beauty</v>
      </c>
      <c r="M1930">
        <f>IFERROR(VLOOKUP(D1930,Products!$A$2:$F$61,4,FALSE),"")</f>
        <v>1728</v>
      </c>
      <c r="N1930" t="str">
        <f>IFERROR(VLOOKUP(E1930,Sales_Reps!$A$2:$E$31,3,FALSE),"")</f>
        <v>South</v>
      </c>
      <c r="O1930" t="str">
        <f>IFERROR(VLOOKUP(C1930,Customers!$A$2:$F$301,5,FALSE),"")</f>
        <v>Retail</v>
      </c>
      <c r="P1930">
        <f>IFERROR(VLOOKUP(C1930,Customers!$A$2:$F$301,3,FALSE),"")</f>
        <v>49</v>
      </c>
      <c r="Q1930" s="41">
        <f t="shared" si="39"/>
        <v>0.48417910447761192</v>
      </c>
      <c r="R1930" t="str">
        <f>IFERROR(VLOOKUP(C1930,Customers!$A$2:$F$301,1,FALSE),"")</f>
        <v>CUST-0237</v>
      </c>
      <c r="S1930" s="27" t="b">
        <f>IFERROR(VLOOKUP(D1930,Products!$A$2:$F$61,6,FALSE),"")</f>
        <v>1</v>
      </c>
      <c r="BL1930">
        <v>0</v>
      </c>
      <c r="BO1930">
        <v>0</v>
      </c>
      <c r="BP1930">
        <v>0</v>
      </c>
    </row>
    <row r="1931" spans="1:68" x14ac:dyDescent="0.35">
      <c r="A1931" s="26" t="str">
        <f>Orders!A1931</f>
        <v>ORD-01930</v>
      </c>
      <c r="B1931" s="33">
        <f>Orders!B1931</f>
        <v>45525</v>
      </c>
      <c r="C1931" t="str">
        <f>Orders!C1931</f>
        <v>CUST-9905</v>
      </c>
      <c r="D1931" t="str">
        <f>Orders!D1931</f>
        <v>PROD-032</v>
      </c>
      <c r="E1931" t="str">
        <f>Orders!E1931</f>
        <v>R011</v>
      </c>
      <c r="F1931">
        <f>Orders!F1931</f>
        <v>6</v>
      </c>
      <c r="G1931" s="35">
        <f>Orders!G1931</f>
        <v>370</v>
      </c>
      <c r="H1931" s="37">
        <f>Orders!H1931</f>
        <v>17.8</v>
      </c>
      <c r="I1931" s="39">
        <f>Orders!I1931</f>
        <v>1824.84</v>
      </c>
      <c r="J1931" t="str">
        <f>Orders!J1931</f>
        <v>Completed</v>
      </c>
      <c r="K1931" t="str">
        <f>Orders!K1931</f>
        <v>Mumbai</v>
      </c>
      <c r="L1931" t="str">
        <f>IFERROR(VLOOKUP(D1931,Products!$A$2:$F$61,3,FALSE),"")</f>
        <v>Home</v>
      </c>
      <c r="M1931">
        <f>IFERROR(VLOOKUP(D1931,Products!$A$2:$F$61,4,FALSE),"")</f>
        <v>288</v>
      </c>
      <c r="N1931" t="str">
        <f>IFERROR(VLOOKUP(E1931,Sales_Reps!$A$2:$E$31,3,FALSE),"")</f>
        <v>South</v>
      </c>
      <c r="O1931" t="str">
        <f>IFERROR(VLOOKUP(C1931,Customers!$A$2:$F$301,5,FALSE),"")</f>
        <v/>
      </c>
      <c r="P1931" t="str">
        <f>IFERROR(VLOOKUP(C1931,Customers!$A$2:$F$301,3,FALSE),"")</f>
        <v/>
      </c>
      <c r="Q1931" s="41">
        <f t="shared" si="39"/>
        <v>0.22162162162162163</v>
      </c>
      <c r="R1931" t="str">
        <f>IFERROR(VLOOKUP(C1931,Customers!$A$2:$F$301,1,FALSE),"")</f>
        <v/>
      </c>
      <c r="S1931" s="27" t="b">
        <f>IFERROR(VLOOKUP(D1931,Products!$A$2:$F$61,6,FALSE),"")</f>
        <v>1</v>
      </c>
      <c r="BL1931">
        <v>0</v>
      </c>
      <c r="BO1931">
        <v>1</v>
      </c>
      <c r="BP1931">
        <v>0</v>
      </c>
    </row>
    <row r="1932" spans="1:68" x14ac:dyDescent="0.35">
      <c r="A1932" s="26" t="str">
        <f>Orders!A1932</f>
        <v>ORD-01931</v>
      </c>
      <c r="B1932" s="33">
        <f>Orders!B1932</f>
        <v>45365</v>
      </c>
      <c r="C1932" t="str">
        <f>Orders!C1932</f>
        <v>CUST-0175</v>
      </c>
      <c r="D1932" t="str">
        <f>Orders!D1932</f>
        <v>PROD-024</v>
      </c>
      <c r="E1932" t="str">
        <f>Orders!E1932</f>
        <v>R011</v>
      </c>
      <c r="F1932">
        <f>Orders!F1932</f>
        <v>3</v>
      </c>
      <c r="G1932" s="35">
        <f>Orders!G1932</f>
        <v>2270</v>
      </c>
      <c r="H1932" s="37">
        <f>Orders!H1932</f>
        <v>8.4</v>
      </c>
      <c r="I1932" s="39">
        <f>Orders!I1932</f>
        <v>6237.96</v>
      </c>
      <c r="J1932" t="str">
        <f>Orders!J1932</f>
        <v>Pending</v>
      </c>
      <c r="K1932" t="str">
        <f>Orders!K1932</f>
        <v>Delhi</v>
      </c>
      <c r="L1932" t="str">
        <f>IFERROR(VLOOKUP(D1932,Products!$A$2:$F$61,3,FALSE),"")</f>
        <v>Grocery</v>
      </c>
      <c r="M1932">
        <f>IFERROR(VLOOKUP(D1932,Products!$A$2:$F$61,4,FALSE),"")</f>
        <v>1203</v>
      </c>
      <c r="N1932" t="str">
        <f>IFERROR(VLOOKUP(E1932,Sales_Reps!$A$2:$E$31,3,FALSE),"")</f>
        <v>South</v>
      </c>
      <c r="O1932" t="str">
        <f>IFERROR(VLOOKUP(C1932,Customers!$A$2:$F$301,5,FALSE),"")</f>
        <v>Corporate</v>
      </c>
      <c r="P1932">
        <f>IFERROR(VLOOKUP(C1932,Customers!$A$2:$F$301,3,FALSE),"")</f>
        <v>55</v>
      </c>
      <c r="Q1932" s="41">
        <f t="shared" si="39"/>
        <v>0.47004405286343615</v>
      </c>
      <c r="R1932" t="str">
        <f>IFERROR(VLOOKUP(C1932,Customers!$A$2:$F$301,1,FALSE),"")</f>
        <v>CUST-0175</v>
      </c>
      <c r="S1932" s="27" t="b">
        <f>IFERROR(VLOOKUP(D1932,Products!$A$2:$F$61,6,FALSE),"")</f>
        <v>1</v>
      </c>
      <c r="BL1932">
        <v>0</v>
      </c>
      <c r="BO1932">
        <v>0</v>
      </c>
      <c r="BP1932">
        <v>0</v>
      </c>
    </row>
    <row r="1933" spans="1:68" x14ac:dyDescent="0.35">
      <c r="A1933" s="26" t="str">
        <f>Orders!A1933</f>
        <v>ORD-01932</v>
      </c>
      <c r="B1933" s="33">
        <f>Orders!B1933</f>
        <v>45464</v>
      </c>
      <c r="C1933" t="str">
        <f>Orders!C1933</f>
        <v>CUST-0271</v>
      </c>
      <c r="D1933" t="str">
        <f>Orders!D1933</f>
        <v>PROD-051</v>
      </c>
      <c r="E1933" t="str">
        <f>Orders!E1933</f>
        <v>R021</v>
      </c>
      <c r="F1933">
        <f>Orders!F1933</f>
        <v>3</v>
      </c>
      <c r="G1933" s="35">
        <f>Orders!G1933</f>
        <v>3450</v>
      </c>
      <c r="H1933" s="37">
        <f>Orders!H1933</f>
        <v>7.2</v>
      </c>
      <c r="I1933" s="39">
        <f>Orders!I1933</f>
        <v>9604.7999999999993</v>
      </c>
      <c r="J1933" t="str">
        <f>Orders!J1933</f>
        <v>Completed</v>
      </c>
      <c r="K1933" t="str">
        <f>Orders!K1933</f>
        <v>Bengaluru</v>
      </c>
      <c r="L1933" t="str">
        <f>IFERROR(VLOOKUP(D1933,Products!$A$2:$F$61,3,FALSE),"")</f>
        <v>Sports</v>
      </c>
      <c r="M1933">
        <f>IFERROR(VLOOKUP(D1933,Products!$A$2:$F$61,4,FALSE),"")</f>
        <v>2467</v>
      </c>
      <c r="N1933" t="str">
        <f>IFERROR(VLOOKUP(E1933,Sales_Reps!$A$2:$E$31,3,FALSE),"")</f>
        <v>East</v>
      </c>
      <c r="O1933" t="str">
        <f>IFERROR(VLOOKUP(C1933,Customers!$A$2:$F$301,5,FALSE),"")</f>
        <v>Corporate</v>
      </c>
      <c r="P1933">
        <f>IFERROR(VLOOKUP(C1933,Customers!$A$2:$F$301,3,FALSE),"")</f>
        <v>41</v>
      </c>
      <c r="Q1933" s="41">
        <f t="shared" si="39"/>
        <v>0.28492753623188405</v>
      </c>
      <c r="R1933" t="str">
        <f>IFERROR(VLOOKUP(C1933,Customers!$A$2:$F$301,1,FALSE),"")</f>
        <v>CUST-0271</v>
      </c>
      <c r="S1933" s="27" t="b">
        <f>IFERROR(VLOOKUP(D1933,Products!$A$2:$F$61,6,FALSE),"")</f>
        <v>1</v>
      </c>
      <c r="BL1933">
        <v>0</v>
      </c>
      <c r="BO1933">
        <v>0</v>
      </c>
      <c r="BP1933">
        <v>0</v>
      </c>
    </row>
    <row r="1934" spans="1:68" x14ac:dyDescent="0.35">
      <c r="A1934" s="26" t="str">
        <f>Orders!A1934</f>
        <v>ORD-01933</v>
      </c>
      <c r="B1934" s="33">
        <f>Orders!B1934</f>
        <v>45633</v>
      </c>
      <c r="C1934" t="str">
        <f>Orders!C1934</f>
        <v>CUST-0129</v>
      </c>
      <c r="D1934" t="str">
        <f>Orders!D1934</f>
        <v>PROD-054</v>
      </c>
      <c r="E1934" t="str">
        <f>Orders!E1934</f>
        <v>R008</v>
      </c>
      <c r="F1934">
        <f>Orders!F1934</f>
        <v>9</v>
      </c>
      <c r="G1934" s="35">
        <f>Orders!G1934</f>
        <v>1010</v>
      </c>
      <c r="H1934" s="37">
        <f>Orders!H1934</f>
        <v>17.8</v>
      </c>
      <c r="I1934" s="39">
        <f>Orders!I1934</f>
        <v>7471.98</v>
      </c>
      <c r="J1934" t="str">
        <f>Orders!J1934</f>
        <v>Completed</v>
      </c>
      <c r="K1934" t="str">
        <f>Orders!K1934</f>
        <v>Hyderabad</v>
      </c>
      <c r="L1934" t="str">
        <f>IFERROR(VLOOKUP(D1934,Products!$A$2:$F$61,3,FALSE),"")</f>
        <v>Sports</v>
      </c>
      <c r="M1934">
        <f>IFERROR(VLOOKUP(D1934,Products!$A$2:$F$61,4,FALSE),"")</f>
        <v>516</v>
      </c>
      <c r="N1934" t="str">
        <f>IFERROR(VLOOKUP(E1934,Sales_Reps!$A$2:$E$31,3,FALSE),"")</f>
        <v>North</v>
      </c>
      <c r="O1934" t="str">
        <f>IFERROR(VLOOKUP(C1934,Customers!$A$2:$F$301,5,FALSE),"")</f>
        <v>Retail</v>
      </c>
      <c r="P1934">
        <f>IFERROR(VLOOKUP(C1934,Customers!$A$2:$F$301,3,FALSE),"")</f>
        <v>29</v>
      </c>
      <c r="Q1934" s="41">
        <f t="shared" si="39"/>
        <v>0.4891089108910891</v>
      </c>
      <c r="R1934" t="str">
        <f>IFERROR(VLOOKUP(C1934,Customers!$A$2:$F$301,1,FALSE),"")</f>
        <v>CUST-0129</v>
      </c>
      <c r="S1934" s="27" t="b">
        <f>IFERROR(VLOOKUP(D1934,Products!$A$2:$F$61,6,FALSE),"")</f>
        <v>1</v>
      </c>
      <c r="BL1934">
        <v>0</v>
      </c>
      <c r="BO1934">
        <v>0</v>
      </c>
      <c r="BP1934">
        <v>0</v>
      </c>
    </row>
    <row r="1935" spans="1:68" x14ac:dyDescent="0.35">
      <c r="A1935" s="26" t="str">
        <f>Orders!A1935</f>
        <v>ORD-01934</v>
      </c>
      <c r="B1935" s="33">
        <f>Orders!B1935</f>
        <v>45373</v>
      </c>
      <c r="C1935" t="str">
        <f>Orders!C1935</f>
        <v>CUST-0156</v>
      </c>
      <c r="D1935" t="str">
        <f>Orders!D1935</f>
        <v>PROD-039</v>
      </c>
      <c r="E1935" t="str">
        <f>Orders!E1935</f>
        <v>R003</v>
      </c>
      <c r="F1935">
        <f>Orders!F1935</f>
        <v>5</v>
      </c>
      <c r="G1935" s="35">
        <f>Orders!G1935</f>
        <v>4610</v>
      </c>
      <c r="H1935" s="37">
        <f>Orders!H1935</f>
        <v>29.8</v>
      </c>
      <c r="I1935" s="39">
        <f>Orders!I1935</f>
        <v>16181.1</v>
      </c>
      <c r="J1935" t="str">
        <f>Orders!J1935</f>
        <v>Cancelled</v>
      </c>
      <c r="K1935" t="str">
        <f>Orders!K1935</f>
        <v>Mumbai</v>
      </c>
      <c r="L1935" t="str">
        <f>IFERROR(VLOOKUP(D1935,Products!$A$2:$F$61,3,FALSE),"")</f>
        <v>Home</v>
      </c>
      <c r="M1935">
        <f>IFERROR(VLOOKUP(D1935,Products!$A$2:$F$61,4,FALSE),"")</f>
        <v>1850</v>
      </c>
      <c r="N1935" t="str">
        <f>IFERROR(VLOOKUP(E1935,Sales_Reps!$A$2:$E$31,3,FALSE),"")</f>
        <v>North</v>
      </c>
      <c r="O1935" t="str">
        <f>IFERROR(VLOOKUP(C1935,Customers!$A$2:$F$301,5,FALSE),"")</f>
        <v>Retail</v>
      </c>
      <c r="P1935">
        <f>IFERROR(VLOOKUP(C1935,Customers!$A$2:$F$301,3,FALSE),"")</f>
        <v>33</v>
      </c>
      <c r="Q1935" s="41">
        <f t="shared" si="39"/>
        <v>0.59869848156182215</v>
      </c>
      <c r="R1935" t="str">
        <f>IFERROR(VLOOKUP(C1935,Customers!$A$2:$F$301,1,FALSE),"")</f>
        <v>CUST-0156</v>
      </c>
      <c r="S1935" s="27" t="b">
        <f>IFERROR(VLOOKUP(D1935,Products!$A$2:$F$61,6,FALSE),"")</f>
        <v>1</v>
      </c>
      <c r="BL1935">
        <v>0</v>
      </c>
      <c r="BO1935">
        <v>0</v>
      </c>
      <c r="BP1935">
        <v>0</v>
      </c>
    </row>
    <row r="1936" spans="1:68" x14ac:dyDescent="0.35">
      <c r="A1936" s="26" t="str">
        <f>Orders!A1936</f>
        <v>ORD-01935</v>
      </c>
      <c r="B1936" s="33">
        <f>Orders!B1936</f>
        <v>45497</v>
      </c>
      <c r="C1936" t="str">
        <f>Orders!C1936</f>
        <v>CUST-0048</v>
      </c>
      <c r="D1936" t="str">
        <f>Orders!D1936</f>
        <v>PROD-032</v>
      </c>
      <c r="E1936" t="str">
        <f>Orders!E1936</f>
        <v>R003</v>
      </c>
      <c r="F1936">
        <f>Orders!F1936</f>
        <v>6</v>
      </c>
      <c r="G1936" s="35">
        <f>Orders!G1936</f>
        <v>370</v>
      </c>
      <c r="H1936" s="37">
        <f>Orders!H1936</f>
        <v>17.899999999999999</v>
      </c>
      <c r="I1936" s="39">
        <f>Orders!I1936</f>
        <v>1822.62</v>
      </c>
      <c r="J1936" t="str">
        <f>Orders!J1936</f>
        <v>Completed</v>
      </c>
      <c r="K1936" t="str">
        <f>Orders!K1936</f>
        <v>Delhi</v>
      </c>
      <c r="L1936" t="str">
        <f>IFERROR(VLOOKUP(D1936,Products!$A$2:$F$61,3,FALSE),"")</f>
        <v>Home</v>
      </c>
      <c r="M1936">
        <f>IFERROR(VLOOKUP(D1936,Products!$A$2:$F$61,4,FALSE),"")</f>
        <v>288</v>
      </c>
      <c r="N1936" t="str">
        <f>IFERROR(VLOOKUP(E1936,Sales_Reps!$A$2:$E$31,3,FALSE),"")</f>
        <v>North</v>
      </c>
      <c r="O1936" t="str">
        <f>IFERROR(VLOOKUP(C1936,Customers!$A$2:$F$301,5,FALSE),"")</f>
        <v>Retail</v>
      </c>
      <c r="P1936">
        <f>IFERROR(VLOOKUP(C1936,Customers!$A$2:$F$301,3,FALSE),"")</f>
        <v>59</v>
      </c>
      <c r="Q1936" s="41">
        <f t="shared" si="39"/>
        <v>0.22162162162162163</v>
      </c>
      <c r="R1936" t="str">
        <f>IFERROR(VLOOKUP(C1936,Customers!$A$2:$F$301,1,FALSE),"")</f>
        <v>CUST-0048</v>
      </c>
      <c r="S1936" s="27" t="b">
        <f>IFERROR(VLOOKUP(D1936,Products!$A$2:$F$61,6,FALSE),"")</f>
        <v>1</v>
      </c>
      <c r="BL1936">
        <v>0</v>
      </c>
      <c r="BO1936">
        <v>0</v>
      </c>
      <c r="BP1936">
        <v>0</v>
      </c>
    </row>
    <row r="1937" spans="1:68" x14ac:dyDescent="0.35">
      <c r="A1937" s="26" t="str">
        <f>Orders!A1937</f>
        <v>ORD-01936</v>
      </c>
      <c r="B1937" s="33">
        <f>Orders!B1937</f>
        <v>45352</v>
      </c>
      <c r="C1937" t="str">
        <f>Orders!C1937</f>
        <v>CUST-0224</v>
      </c>
      <c r="D1937" t="str">
        <f>Orders!D1937</f>
        <v>PROD-023</v>
      </c>
      <c r="E1937" t="str">
        <f>Orders!E1937</f>
        <v>R026</v>
      </c>
      <c r="F1937">
        <f>Orders!F1937</f>
        <v>6</v>
      </c>
      <c r="G1937" s="35">
        <f>Orders!G1937</f>
        <v>2380</v>
      </c>
      <c r="H1937" s="37">
        <f>Orders!H1937</f>
        <v>13.6</v>
      </c>
      <c r="I1937" s="39">
        <f>Orders!I1937</f>
        <v>12337.92</v>
      </c>
      <c r="J1937" t="str">
        <f>Orders!J1937</f>
        <v>Cancelled</v>
      </c>
      <c r="K1937" t="str">
        <f>Orders!K1937</f>
        <v>Chennai</v>
      </c>
      <c r="L1937" t="str">
        <f>IFERROR(VLOOKUP(D1937,Products!$A$2:$F$61,3,FALSE),"")</f>
        <v>Grocery</v>
      </c>
      <c r="M1937">
        <f>IFERROR(VLOOKUP(D1937,Products!$A$2:$F$61,4,FALSE),"")</f>
        <v>1182</v>
      </c>
      <c r="N1937" t="str">
        <f>IFERROR(VLOOKUP(E1937,Sales_Reps!$A$2:$E$31,3,FALSE),"")</f>
        <v>West</v>
      </c>
      <c r="O1937" t="str">
        <f>IFERROR(VLOOKUP(C1937,Customers!$A$2:$F$301,5,FALSE),"")</f>
        <v>Corporate</v>
      </c>
      <c r="P1937">
        <f>IFERROR(VLOOKUP(C1937,Customers!$A$2:$F$301,3,FALSE),"")</f>
        <v>24</v>
      </c>
      <c r="Q1937" s="41">
        <f t="shared" si="39"/>
        <v>0.50336134453781511</v>
      </c>
      <c r="R1937" t="str">
        <f>IFERROR(VLOOKUP(C1937,Customers!$A$2:$F$301,1,FALSE),"")</f>
        <v>CUST-0224</v>
      </c>
      <c r="S1937" s="27" t="b">
        <f>IFERROR(VLOOKUP(D1937,Products!$A$2:$F$61,6,FALSE),"")</f>
        <v>1</v>
      </c>
      <c r="BL1937">
        <v>0</v>
      </c>
      <c r="BO1937">
        <v>0</v>
      </c>
      <c r="BP1937">
        <v>0</v>
      </c>
    </row>
    <row r="1938" spans="1:68" x14ac:dyDescent="0.35">
      <c r="A1938" s="26" t="str">
        <f>Orders!A1938</f>
        <v>ORD-01937</v>
      </c>
      <c r="B1938" s="33">
        <f>Orders!B1938</f>
        <v>45379</v>
      </c>
      <c r="C1938" t="str">
        <f>Orders!C1938</f>
        <v>CUST-0101</v>
      </c>
      <c r="D1938" t="str">
        <f>Orders!D1938</f>
        <v>PROD-049</v>
      </c>
      <c r="E1938" t="str">
        <f>Orders!E1938</f>
        <v>R023</v>
      </c>
      <c r="F1938">
        <f>Orders!F1938</f>
        <v>6</v>
      </c>
      <c r="G1938" s="35">
        <f>Orders!G1938</f>
        <v>960</v>
      </c>
      <c r="H1938" s="37">
        <f>Orders!H1938</f>
        <v>15</v>
      </c>
      <c r="I1938" s="39">
        <f>Orders!I1938</f>
        <v>4896</v>
      </c>
      <c r="J1938" t="str">
        <f>Orders!J1938</f>
        <v>Pending</v>
      </c>
      <c r="K1938" t="str">
        <f>Orders!K1938</f>
        <v>Hyderabad</v>
      </c>
      <c r="L1938" t="str">
        <f>IFERROR(VLOOKUP(D1938,Products!$A$2:$F$61,3,FALSE),"")</f>
        <v>Beauty</v>
      </c>
      <c r="M1938">
        <f>IFERROR(VLOOKUP(D1938,Products!$A$2:$F$61,4,FALSE),"")</f>
        <v>675</v>
      </c>
      <c r="N1938" t="str">
        <f>IFERROR(VLOOKUP(E1938,Sales_Reps!$A$2:$E$31,3,FALSE),"")</f>
        <v>East</v>
      </c>
      <c r="O1938" t="str">
        <f>IFERROR(VLOOKUP(C1938,Customers!$A$2:$F$301,5,FALSE),"")</f>
        <v>SMB</v>
      </c>
      <c r="P1938">
        <f>IFERROR(VLOOKUP(C1938,Customers!$A$2:$F$301,3,FALSE),"")</f>
        <v>40</v>
      </c>
      <c r="Q1938" s="41">
        <f t="shared" si="39"/>
        <v>0.296875</v>
      </c>
      <c r="R1938" t="str">
        <f>IFERROR(VLOOKUP(C1938,Customers!$A$2:$F$301,1,FALSE),"")</f>
        <v>CUST-0101</v>
      </c>
      <c r="S1938" s="27" t="b">
        <f>IFERROR(VLOOKUP(D1938,Products!$A$2:$F$61,6,FALSE),"")</f>
        <v>1</v>
      </c>
      <c r="BL1938">
        <v>0</v>
      </c>
      <c r="BO1938">
        <v>0</v>
      </c>
      <c r="BP1938">
        <v>0</v>
      </c>
    </row>
    <row r="1939" spans="1:68" x14ac:dyDescent="0.35">
      <c r="A1939" s="26" t="str">
        <f>Orders!A1939</f>
        <v>ORD-01938</v>
      </c>
      <c r="B1939" s="33">
        <f>Orders!B1939</f>
        <v>45422</v>
      </c>
      <c r="C1939" t="str">
        <f>Orders!C1939</f>
        <v>CUST-0269</v>
      </c>
      <c r="D1939" t="str">
        <f>Orders!D1939</f>
        <v>PROD-057</v>
      </c>
      <c r="E1939" t="str">
        <f>Orders!E1939</f>
        <v>R002</v>
      </c>
      <c r="F1939">
        <f>Orders!F1939</f>
        <v>3</v>
      </c>
      <c r="G1939" s="35">
        <f>Orders!G1939</f>
        <v>960</v>
      </c>
      <c r="H1939" s="37">
        <f>Orders!H1939</f>
        <v>12.3</v>
      </c>
      <c r="I1939" s="39">
        <f>Orders!I1939</f>
        <v>2525.7600000000002</v>
      </c>
      <c r="J1939" t="str">
        <f>Orders!J1939</f>
        <v>Completed</v>
      </c>
      <c r="K1939" t="str">
        <f>Orders!K1939</f>
        <v>Pune</v>
      </c>
      <c r="L1939" t="str">
        <f>IFERROR(VLOOKUP(D1939,Products!$A$2:$F$61,3,FALSE),"")</f>
        <v>Sports</v>
      </c>
      <c r="M1939">
        <f>IFERROR(VLOOKUP(D1939,Products!$A$2:$F$61,4,FALSE),"")</f>
        <v>705</v>
      </c>
      <c r="N1939" t="str">
        <f>IFERROR(VLOOKUP(E1939,Sales_Reps!$A$2:$E$31,3,FALSE),"")</f>
        <v>North</v>
      </c>
      <c r="O1939" t="str">
        <f>IFERROR(VLOOKUP(C1939,Customers!$A$2:$F$301,5,FALSE),"")</f>
        <v>Retail</v>
      </c>
      <c r="P1939">
        <f>IFERROR(VLOOKUP(C1939,Customers!$A$2:$F$301,3,FALSE),"")</f>
        <v>48</v>
      </c>
      <c r="Q1939" s="41">
        <f t="shared" si="39"/>
        <v>0.265625</v>
      </c>
      <c r="R1939" t="str">
        <f>IFERROR(VLOOKUP(C1939,Customers!$A$2:$F$301,1,FALSE),"")</f>
        <v>CUST-0269</v>
      </c>
      <c r="S1939" s="27" t="b">
        <f>IFERROR(VLOOKUP(D1939,Products!$A$2:$F$61,6,FALSE),"")</f>
        <v>1</v>
      </c>
      <c r="BL1939">
        <v>0</v>
      </c>
      <c r="BO1939">
        <v>0</v>
      </c>
      <c r="BP1939">
        <v>0</v>
      </c>
    </row>
    <row r="1940" spans="1:68" x14ac:dyDescent="0.35">
      <c r="A1940" s="26" t="str">
        <f>Orders!A1940</f>
        <v>ORD-01939</v>
      </c>
      <c r="B1940" s="33">
        <f>Orders!B1940</f>
        <v>45413</v>
      </c>
      <c r="C1940" t="str">
        <f>Orders!C1940</f>
        <v>CUST-0097</v>
      </c>
      <c r="D1940" t="str">
        <f>Orders!D1940</f>
        <v>PROD-016</v>
      </c>
      <c r="E1940" t="str">
        <f>Orders!E1940</f>
        <v>R029</v>
      </c>
      <c r="F1940">
        <f>Orders!F1940</f>
        <v>7</v>
      </c>
      <c r="G1940" s="35">
        <f>Orders!G1940</f>
        <v>620</v>
      </c>
      <c r="H1940" s="37">
        <f>Orders!H1940</f>
        <v>5.8</v>
      </c>
      <c r="I1940" s="39">
        <f>Orders!I1940</f>
        <v>4088.28</v>
      </c>
      <c r="J1940" t="str">
        <f>Orders!J1940</f>
        <v>Completed</v>
      </c>
      <c r="K1940" t="str">
        <f>Orders!K1940</f>
        <v>Mumbai</v>
      </c>
      <c r="L1940" t="str">
        <f>IFERROR(VLOOKUP(D1940,Products!$A$2:$F$61,3,FALSE),"")</f>
        <v>Apparel</v>
      </c>
      <c r="M1940">
        <f>IFERROR(VLOOKUP(D1940,Products!$A$2:$F$61,4,FALSE),"")</f>
        <v>396</v>
      </c>
      <c r="N1940" t="str">
        <f>IFERROR(VLOOKUP(E1940,Sales_Reps!$A$2:$E$31,3,FALSE),"")</f>
        <v>West</v>
      </c>
      <c r="O1940" t="str">
        <f>IFERROR(VLOOKUP(C1940,Customers!$A$2:$F$301,5,FALSE),"")</f>
        <v>Retail</v>
      </c>
      <c r="P1940">
        <f>IFERROR(VLOOKUP(C1940,Customers!$A$2:$F$301,3,FALSE),"")</f>
        <v>65</v>
      </c>
      <c r="Q1940" s="41">
        <f t="shared" si="39"/>
        <v>0.36129032258064514</v>
      </c>
      <c r="R1940" t="str">
        <f>IFERROR(VLOOKUP(C1940,Customers!$A$2:$F$301,1,FALSE),"")</f>
        <v>CUST-0097</v>
      </c>
      <c r="S1940" s="27" t="b">
        <f>IFERROR(VLOOKUP(D1940,Products!$A$2:$F$61,6,FALSE),"")</f>
        <v>1</v>
      </c>
      <c r="BL1940">
        <v>0</v>
      </c>
      <c r="BO1940">
        <v>0</v>
      </c>
      <c r="BP1940">
        <v>0</v>
      </c>
    </row>
    <row r="1941" spans="1:68" x14ac:dyDescent="0.35">
      <c r="A1941" s="26" t="str">
        <f>Orders!A1941</f>
        <v>ORD-01940</v>
      </c>
      <c r="B1941" s="33">
        <f>Orders!B1941</f>
        <v>45467</v>
      </c>
      <c r="C1941" t="str">
        <f>Orders!C1941</f>
        <v>CUST-0062</v>
      </c>
      <c r="D1941" t="str">
        <f>Orders!D1941</f>
        <v>PROD-057</v>
      </c>
      <c r="E1941" t="str">
        <f>Orders!E1941</f>
        <v>R020</v>
      </c>
      <c r="F1941">
        <f>Orders!F1941</f>
        <v>1</v>
      </c>
      <c r="G1941" s="35">
        <f>Orders!G1941</f>
        <v>960</v>
      </c>
      <c r="H1941" s="37">
        <f>Orders!H1941</f>
        <v>4.5999999999999996</v>
      </c>
      <c r="I1941" s="39">
        <f>Orders!I1941</f>
        <v>915.84</v>
      </c>
      <c r="J1941" t="str">
        <f>Orders!J1941</f>
        <v>Completed</v>
      </c>
      <c r="K1941" t="str">
        <f>Orders!K1941</f>
        <v>Pune</v>
      </c>
      <c r="L1941" t="str">
        <f>IFERROR(VLOOKUP(D1941,Products!$A$2:$F$61,3,FALSE),"")</f>
        <v>Sports</v>
      </c>
      <c r="M1941">
        <f>IFERROR(VLOOKUP(D1941,Products!$A$2:$F$61,4,FALSE),"")</f>
        <v>705</v>
      </c>
      <c r="N1941" t="str">
        <f>IFERROR(VLOOKUP(E1941,Sales_Reps!$A$2:$E$31,3,FALSE),"")</f>
        <v>East</v>
      </c>
      <c r="O1941" t="str">
        <f>IFERROR(VLOOKUP(C1941,Customers!$A$2:$F$301,5,FALSE),"")</f>
        <v>Retail</v>
      </c>
      <c r="P1941">
        <f>IFERROR(VLOOKUP(C1941,Customers!$A$2:$F$301,3,FALSE),"")</f>
        <v>54</v>
      </c>
      <c r="Q1941" s="41">
        <f t="shared" si="39"/>
        <v>0.265625</v>
      </c>
      <c r="R1941" t="str">
        <f>IFERROR(VLOOKUP(C1941,Customers!$A$2:$F$301,1,FALSE),"")</f>
        <v>CUST-0062</v>
      </c>
      <c r="S1941" s="27" t="b">
        <f>IFERROR(VLOOKUP(D1941,Products!$A$2:$F$61,6,FALSE),"")</f>
        <v>1</v>
      </c>
      <c r="BL1941">
        <v>0</v>
      </c>
      <c r="BO1941">
        <v>0</v>
      </c>
      <c r="BP1941">
        <v>0</v>
      </c>
    </row>
    <row r="1942" spans="1:68" x14ac:dyDescent="0.35">
      <c r="A1942" s="26" t="str">
        <f>Orders!A1942</f>
        <v>ORD-01941</v>
      </c>
      <c r="B1942" s="33">
        <f>Orders!B1942</f>
        <v>45520</v>
      </c>
      <c r="C1942" t="str">
        <f>Orders!C1942</f>
        <v>CUST-0124</v>
      </c>
      <c r="D1942" t="str">
        <f>Orders!D1942</f>
        <v>PROD-047</v>
      </c>
      <c r="E1942" t="str">
        <f>Orders!E1942</f>
        <v>R028</v>
      </c>
      <c r="F1942">
        <f>Orders!F1942</f>
        <v>4</v>
      </c>
      <c r="G1942" s="35">
        <f>Orders!G1942</f>
        <v>3450</v>
      </c>
      <c r="H1942" s="37">
        <f>Orders!H1942</f>
        <v>13.3</v>
      </c>
      <c r="I1942" s="39">
        <f>Orders!I1942</f>
        <v>11964.6</v>
      </c>
      <c r="J1942" t="str">
        <f>Orders!J1942</f>
        <v>Completed</v>
      </c>
      <c r="K1942" t="str">
        <f>Orders!K1942</f>
        <v>Pune</v>
      </c>
      <c r="L1942" t="str">
        <f>IFERROR(VLOOKUP(D1942,Products!$A$2:$F$61,3,FALSE),"")</f>
        <v>Beauty</v>
      </c>
      <c r="M1942">
        <f>IFERROR(VLOOKUP(D1942,Products!$A$2:$F$61,4,FALSE),"")</f>
        <v>2420</v>
      </c>
      <c r="N1942" t="str">
        <f>IFERROR(VLOOKUP(E1942,Sales_Reps!$A$2:$E$31,3,FALSE),"")</f>
        <v>West</v>
      </c>
      <c r="O1942" t="str">
        <f>IFERROR(VLOOKUP(C1942,Customers!$A$2:$F$301,5,FALSE),"")</f>
        <v>Retail</v>
      </c>
      <c r="P1942">
        <f>IFERROR(VLOOKUP(C1942,Customers!$A$2:$F$301,3,FALSE),"")</f>
        <v>57</v>
      </c>
      <c r="Q1942" s="41">
        <f t="shared" si="39"/>
        <v>0.29855072463768118</v>
      </c>
      <c r="R1942" t="str">
        <f>IFERROR(VLOOKUP(C1942,Customers!$A$2:$F$301,1,FALSE),"")</f>
        <v>CUST-0124</v>
      </c>
      <c r="S1942" s="27" t="b">
        <f>IFERROR(VLOOKUP(D1942,Products!$A$2:$F$61,6,FALSE),"")</f>
        <v>1</v>
      </c>
      <c r="BL1942">
        <v>0</v>
      </c>
      <c r="BO1942">
        <v>0</v>
      </c>
      <c r="BP1942">
        <v>0</v>
      </c>
    </row>
    <row r="1943" spans="1:68" x14ac:dyDescent="0.35">
      <c r="A1943" s="26" t="str">
        <f>Orders!A1943</f>
        <v>ORD-01942</v>
      </c>
      <c r="B1943" s="33">
        <f>Orders!B1943</f>
        <v>45626</v>
      </c>
      <c r="C1943" t="str">
        <f>Orders!C1943</f>
        <v>CUST-0185</v>
      </c>
      <c r="D1943" t="str">
        <f>Orders!D1943</f>
        <v>PROD-015</v>
      </c>
      <c r="E1943" t="str">
        <f>Orders!E1943</f>
        <v>R019</v>
      </c>
      <c r="F1943">
        <f>Orders!F1943</f>
        <v>10</v>
      </c>
      <c r="G1943" s="35">
        <f>Orders!G1943</f>
        <v>2720</v>
      </c>
      <c r="H1943" s="37">
        <f>Orders!H1943</f>
        <v>3.4</v>
      </c>
      <c r="I1943" s="39">
        <f>Orders!I1943</f>
        <v>26275.200000000001</v>
      </c>
      <c r="J1943" t="str">
        <f>Orders!J1943</f>
        <v>Completed</v>
      </c>
      <c r="K1943" t="str">
        <f>Orders!K1943</f>
        <v>Hyderabad</v>
      </c>
      <c r="L1943" t="str">
        <f>IFERROR(VLOOKUP(D1943,Products!$A$2:$F$61,3,FALSE),"")</f>
        <v>Apparel</v>
      </c>
      <c r="M1943">
        <f>IFERROR(VLOOKUP(D1943,Products!$A$2:$F$61,4,FALSE),"")</f>
        <v>1962</v>
      </c>
      <c r="N1943" t="str">
        <f>IFERROR(VLOOKUP(E1943,Sales_Reps!$A$2:$E$31,3,FALSE),"")</f>
        <v>East</v>
      </c>
      <c r="O1943" t="str">
        <f>IFERROR(VLOOKUP(C1943,Customers!$A$2:$F$301,5,FALSE),"")</f>
        <v>SMB</v>
      </c>
      <c r="P1943">
        <f>IFERROR(VLOOKUP(C1943,Customers!$A$2:$F$301,3,FALSE),"")</f>
        <v>43</v>
      </c>
      <c r="Q1943" s="41">
        <f t="shared" si="39"/>
        <v>0.2786764705882353</v>
      </c>
      <c r="R1943" t="str">
        <f>IFERROR(VLOOKUP(C1943,Customers!$A$2:$F$301,1,FALSE),"")</f>
        <v>CUST-0185</v>
      </c>
      <c r="S1943" s="27" t="b">
        <f>IFERROR(VLOOKUP(D1943,Products!$A$2:$F$61,6,FALSE),"")</f>
        <v>1</v>
      </c>
      <c r="BL1943">
        <v>0</v>
      </c>
      <c r="BO1943">
        <v>0</v>
      </c>
      <c r="BP1943">
        <v>0</v>
      </c>
    </row>
    <row r="1944" spans="1:68" x14ac:dyDescent="0.35">
      <c r="A1944" s="26" t="str">
        <f>Orders!A1944</f>
        <v>ORD-01943</v>
      </c>
      <c r="B1944" s="33">
        <f>Orders!B1944</f>
        <v>45452</v>
      </c>
      <c r="C1944" t="str">
        <f>Orders!C1944</f>
        <v>CUST-0115</v>
      </c>
      <c r="D1944" t="str">
        <f>Orders!D1944</f>
        <v>PROD-047</v>
      </c>
      <c r="E1944" t="str">
        <f>Orders!E1944</f>
        <v>R019</v>
      </c>
      <c r="F1944">
        <f>Orders!F1944</f>
        <v>1</v>
      </c>
      <c r="G1944" s="35">
        <f>Orders!G1944</f>
        <v>3450</v>
      </c>
      <c r="H1944" s="37">
        <f>Orders!H1944</f>
        <v>29.4</v>
      </c>
      <c r="I1944" s="39">
        <f>Orders!I1944</f>
        <v>2435.6999999999998</v>
      </c>
      <c r="J1944" t="str">
        <f>Orders!J1944</f>
        <v>Completed</v>
      </c>
      <c r="K1944" t="str">
        <f>Orders!K1944</f>
        <v>Mumbai</v>
      </c>
      <c r="L1944" t="str">
        <f>IFERROR(VLOOKUP(D1944,Products!$A$2:$F$61,3,FALSE),"")</f>
        <v>Beauty</v>
      </c>
      <c r="M1944">
        <f>IFERROR(VLOOKUP(D1944,Products!$A$2:$F$61,4,FALSE),"")</f>
        <v>2420</v>
      </c>
      <c r="N1944" t="str">
        <f>IFERROR(VLOOKUP(E1944,Sales_Reps!$A$2:$E$31,3,FALSE),"")</f>
        <v>East</v>
      </c>
      <c r="O1944" t="str">
        <f>IFERROR(VLOOKUP(C1944,Customers!$A$2:$F$301,5,FALSE),"")</f>
        <v>SMB</v>
      </c>
      <c r="P1944">
        <f>IFERROR(VLOOKUP(C1944,Customers!$A$2:$F$301,3,FALSE),"")</f>
        <v>65</v>
      </c>
      <c r="Q1944" s="41">
        <f t="shared" si="39"/>
        <v>0.29855072463768118</v>
      </c>
      <c r="R1944" t="str">
        <f>IFERROR(VLOOKUP(C1944,Customers!$A$2:$F$301,1,FALSE),"")</f>
        <v>CUST-0115</v>
      </c>
      <c r="S1944" s="27" t="b">
        <f>IFERROR(VLOOKUP(D1944,Products!$A$2:$F$61,6,FALSE),"")</f>
        <v>1</v>
      </c>
      <c r="BL1944">
        <v>0</v>
      </c>
      <c r="BO1944">
        <v>0</v>
      </c>
      <c r="BP1944">
        <v>0</v>
      </c>
    </row>
    <row r="1945" spans="1:68" x14ac:dyDescent="0.35">
      <c r="A1945" s="26" t="str">
        <f>Orders!A1945</f>
        <v>ORD-01944</v>
      </c>
      <c r="B1945" s="33">
        <f>Orders!B1945</f>
        <v>45529</v>
      </c>
      <c r="C1945" t="str">
        <f>Orders!C1945</f>
        <v>CUST-0097</v>
      </c>
      <c r="D1945" t="str">
        <f>Orders!D1945</f>
        <v>PROD-044</v>
      </c>
      <c r="E1945" t="str">
        <f>Orders!E1945</f>
        <v>R024</v>
      </c>
      <c r="F1945">
        <f>Orders!F1945</f>
        <v>5</v>
      </c>
      <c r="G1945" s="35">
        <f>Orders!G1945</f>
        <v>1650</v>
      </c>
      <c r="H1945" s="37">
        <f>Orders!H1945</f>
        <v>29.4</v>
      </c>
      <c r="I1945" s="39">
        <f>Orders!I1945</f>
        <v>5824.5</v>
      </c>
      <c r="J1945" t="str">
        <f>Orders!J1945</f>
        <v>Completed</v>
      </c>
      <c r="K1945" t="str">
        <f>Orders!K1945</f>
        <v>Mumbai</v>
      </c>
      <c r="L1945" t="str">
        <f>IFERROR(VLOOKUP(D1945,Products!$A$2:$F$61,3,FALSE),"")</f>
        <v>Beauty</v>
      </c>
      <c r="M1945">
        <f>IFERROR(VLOOKUP(D1945,Products!$A$2:$F$61,4,FALSE),"")</f>
        <v>1222</v>
      </c>
      <c r="N1945" t="str">
        <f>IFERROR(VLOOKUP(E1945,Sales_Reps!$A$2:$E$31,3,FALSE),"")</f>
        <v>West</v>
      </c>
      <c r="O1945" t="str">
        <f>IFERROR(VLOOKUP(C1945,Customers!$A$2:$F$301,5,FALSE),"")</f>
        <v>Retail</v>
      </c>
      <c r="P1945">
        <f>IFERROR(VLOOKUP(C1945,Customers!$A$2:$F$301,3,FALSE),"")</f>
        <v>65</v>
      </c>
      <c r="Q1945" s="41">
        <f t="shared" si="39"/>
        <v>0.2593939393939394</v>
      </c>
      <c r="R1945" t="str">
        <f>IFERROR(VLOOKUP(C1945,Customers!$A$2:$F$301,1,FALSE),"")</f>
        <v>CUST-0097</v>
      </c>
      <c r="S1945" s="27" t="b">
        <f>IFERROR(VLOOKUP(D1945,Products!$A$2:$F$61,6,FALSE),"")</f>
        <v>1</v>
      </c>
      <c r="BL1945">
        <v>0</v>
      </c>
      <c r="BO1945">
        <v>0</v>
      </c>
      <c r="BP1945">
        <v>0</v>
      </c>
    </row>
    <row r="1946" spans="1:68" x14ac:dyDescent="0.35">
      <c r="A1946" s="26" t="str">
        <f>Orders!A1946</f>
        <v>ORD-01945</v>
      </c>
      <c r="B1946" s="33">
        <f>Orders!B1946</f>
        <v>45639</v>
      </c>
      <c r="C1946" t="str">
        <f>Orders!C1946</f>
        <v>CUST-0221</v>
      </c>
      <c r="D1946" t="str">
        <f>Orders!D1946</f>
        <v>PROD-014</v>
      </c>
      <c r="E1946" t="str">
        <f>Orders!E1946</f>
        <v>R009</v>
      </c>
      <c r="F1946">
        <f>Orders!F1946</f>
        <v>2</v>
      </c>
      <c r="G1946" s="35">
        <f>Orders!G1946</f>
        <v>3620</v>
      </c>
      <c r="H1946" s="37">
        <f>Orders!H1946</f>
        <v>15.6</v>
      </c>
      <c r="I1946" s="39">
        <f>Orders!I1946</f>
        <v>6110.56</v>
      </c>
      <c r="J1946" t="str">
        <f>Orders!J1946</f>
        <v>Completed</v>
      </c>
      <c r="K1946" t="str">
        <f>Orders!K1946</f>
        <v>Delhi</v>
      </c>
      <c r="L1946" t="str">
        <f>IFERROR(VLOOKUP(D1946,Products!$A$2:$F$61,3,FALSE),"")</f>
        <v>Apparel</v>
      </c>
      <c r="M1946">
        <f>IFERROR(VLOOKUP(D1946,Products!$A$2:$F$61,4,FALSE),"")</f>
        <v>2509</v>
      </c>
      <c r="N1946" t="str">
        <f>IFERROR(VLOOKUP(E1946,Sales_Reps!$A$2:$E$31,3,FALSE),"")</f>
        <v>South</v>
      </c>
      <c r="O1946" t="str">
        <f>IFERROR(VLOOKUP(C1946,Customers!$A$2:$F$301,5,FALSE),"")</f>
        <v>SMB</v>
      </c>
      <c r="P1946">
        <f>IFERROR(VLOOKUP(C1946,Customers!$A$2:$F$301,3,FALSE),"")</f>
        <v>29</v>
      </c>
      <c r="Q1946" s="41">
        <f t="shared" si="39"/>
        <v>0.3069060773480663</v>
      </c>
      <c r="R1946" t="str">
        <f>IFERROR(VLOOKUP(C1946,Customers!$A$2:$F$301,1,FALSE),"")</f>
        <v>CUST-0221</v>
      </c>
      <c r="S1946" s="27" t="b">
        <f>IFERROR(VLOOKUP(D1946,Products!$A$2:$F$61,6,FALSE),"")</f>
        <v>1</v>
      </c>
      <c r="BL1946">
        <v>0</v>
      </c>
      <c r="BO1946">
        <v>0</v>
      </c>
      <c r="BP1946">
        <v>0</v>
      </c>
    </row>
    <row r="1947" spans="1:68" x14ac:dyDescent="0.35">
      <c r="A1947" s="26" t="str">
        <f>Orders!A1947</f>
        <v>ORD-01946</v>
      </c>
      <c r="B1947" s="33">
        <f>Orders!B1947</f>
        <v>45592</v>
      </c>
      <c r="C1947" t="str">
        <f>Orders!C1947</f>
        <v>CUST-0098</v>
      </c>
      <c r="D1947" t="str">
        <f>Orders!D1947</f>
        <v>PROD-005</v>
      </c>
      <c r="E1947" t="str">
        <f>Orders!E1947</f>
        <v>R012</v>
      </c>
      <c r="F1947">
        <f>Orders!F1947</f>
        <v>3</v>
      </c>
      <c r="G1947" s="35">
        <f>Orders!G1947</f>
        <v>300</v>
      </c>
      <c r="H1947" s="37">
        <f>Orders!H1947</f>
        <v>24.8</v>
      </c>
      <c r="I1947" s="39">
        <f>Orders!I1947</f>
        <v>676.8</v>
      </c>
      <c r="J1947" t="str">
        <f>Orders!J1947</f>
        <v>Completed</v>
      </c>
      <c r="K1947" t="str">
        <f>Orders!K1947</f>
        <v>Delhi</v>
      </c>
      <c r="L1947" t="str">
        <f>IFERROR(VLOOKUP(D1947,Products!$A$2:$F$61,3,FALSE),"")</f>
        <v>Electronics</v>
      </c>
      <c r="M1947">
        <f>IFERROR(VLOOKUP(D1947,Products!$A$2:$F$61,4,FALSE),"")</f>
        <v>128</v>
      </c>
      <c r="N1947" t="str">
        <f>IFERROR(VLOOKUP(E1947,Sales_Reps!$A$2:$E$31,3,FALSE),"")</f>
        <v>South</v>
      </c>
      <c r="O1947" t="str">
        <f>IFERROR(VLOOKUP(C1947,Customers!$A$2:$F$301,5,FALSE),"")</f>
        <v>Retail</v>
      </c>
      <c r="P1947">
        <f>IFERROR(VLOOKUP(C1947,Customers!$A$2:$F$301,3,FALSE),"")</f>
        <v>52</v>
      </c>
      <c r="Q1947" s="41">
        <f t="shared" si="39"/>
        <v>0.57333333333333336</v>
      </c>
      <c r="R1947" t="str">
        <f>IFERROR(VLOOKUP(C1947,Customers!$A$2:$F$301,1,FALSE),"")</f>
        <v>CUST-0098</v>
      </c>
      <c r="S1947" s="27" t="b">
        <f>IFERROR(VLOOKUP(D1947,Products!$A$2:$F$61,6,FALSE),"")</f>
        <v>1</v>
      </c>
      <c r="BL1947">
        <v>0</v>
      </c>
      <c r="BO1947">
        <v>0</v>
      </c>
      <c r="BP1947">
        <v>0</v>
      </c>
    </row>
    <row r="1948" spans="1:68" x14ac:dyDescent="0.35">
      <c r="A1948" s="26" t="str">
        <f>Orders!A1948</f>
        <v>ORD-01947</v>
      </c>
      <c r="B1948" s="33">
        <f>Orders!B1948</f>
        <v>45338</v>
      </c>
      <c r="C1948" t="str">
        <f>Orders!C1948</f>
        <v>CUST-0203</v>
      </c>
      <c r="D1948" t="str">
        <f>Orders!D1948</f>
        <v>PROD-041</v>
      </c>
      <c r="E1948" t="str">
        <f>Orders!E1948</f>
        <v>R001</v>
      </c>
      <c r="F1948">
        <f>Orders!F1948</f>
        <v>3</v>
      </c>
      <c r="G1948" s="35">
        <f>Orders!G1948</f>
        <v>1540</v>
      </c>
      <c r="H1948" s="37">
        <f>Orders!H1948</f>
        <v>29.5</v>
      </c>
      <c r="I1948" s="39">
        <f>Orders!I1948</f>
        <v>3257.1</v>
      </c>
      <c r="J1948" t="str">
        <f>Orders!J1948</f>
        <v>Completed</v>
      </c>
      <c r="K1948" t="str">
        <f>Orders!K1948</f>
        <v>Chennai</v>
      </c>
      <c r="L1948" t="str">
        <f>IFERROR(VLOOKUP(D1948,Products!$A$2:$F$61,3,FALSE),"")</f>
        <v>Beauty</v>
      </c>
      <c r="M1948">
        <f>IFERROR(VLOOKUP(D1948,Products!$A$2:$F$61,4,FALSE),"")</f>
        <v>647</v>
      </c>
      <c r="N1948" t="str">
        <f>IFERROR(VLOOKUP(E1948,Sales_Reps!$A$2:$E$31,3,FALSE),"")</f>
        <v>North</v>
      </c>
      <c r="O1948" t="str">
        <f>IFERROR(VLOOKUP(C1948,Customers!$A$2:$F$301,5,FALSE),"")</f>
        <v>SMB</v>
      </c>
      <c r="P1948">
        <f>IFERROR(VLOOKUP(C1948,Customers!$A$2:$F$301,3,FALSE),"")</f>
        <v>55</v>
      </c>
      <c r="Q1948" s="41">
        <f t="shared" si="39"/>
        <v>0.57987012987012987</v>
      </c>
      <c r="R1948" t="str">
        <f>IFERROR(VLOOKUP(C1948,Customers!$A$2:$F$301,1,FALSE),"")</f>
        <v>CUST-0203</v>
      </c>
      <c r="S1948" s="27" t="b">
        <f>IFERROR(VLOOKUP(D1948,Products!$A$2:$F$61,6,FALSE),"")</f>
        <v>0</v>
      </c>
      <c r="BL1948">
        <v>0</v>
      </c>
      <c r="BO1948">
        <v>0</v>
      </c>
      <c r="BP1948">
        <v>1</v>
      </c>
    </row>
    <row r="1949" spans="1:68" x14ac:dyDescent="0.35">
      <c r="A1949" s="26" t="str">
        <f>Orders!A1949</f>
        <v>ORD-01948</v>
      </c>
      <c r="B1949" s="33">
        <f>Orders!B1949</f>
        <v>45551</v>
      </c>
      <c r="C1949" t="str">
        <f>Orders!C1949</f>
        <v>CUST-0074</v>
      </c>
      <c r="D1949" t="str">
        <f>Orders!D1949</f>
        <v>PROD-024</v>
      </c>
      <c r="E1949" t="str">
        <f>Orders!E1949</f>
        <v>R019</v>
      </c>
      <c r="F1949">
        <f>Orders!F1949</f>
        <v>10</v>
      </c>
      <c r="G1949" s="35">
        <f>Orders!G1949</f>
        <v>2270</v>
      </c>
      <c r="H1949" s="37">
        <f>Orders!H1949</f>
        <v>5.5</v>
      </c>
      <c r="I1949" s="39">
        <f>Orders!I1949</f>
        <v>21451.5</v>
      </c>
      <c r="J1949" t="str">
        <f>Orders!J1949</f>
        <v>Cancelled</v>
      </c>
      <c r="K1949" t="str">
        <f>Orders!K1949</f>
        <v>Bengaluru</v>
      </c>
      <c r="L1949" t="str">
        <f>IFERROR(VLOOKUP(D1949,Products!$A$2:$F$61,3,FALSE),"")</f>
        <v>Grocery</v>
      </c>
      <c r="M1949">
        <f>IFERROR(VLOOKUP(D1949,Products!$A$2:$F$61,4,FALSE),"")</f>
        <v>1203</v>
      </c>
      <c r="N1949" t="str">
        <f>IFERROR(VLOOKUP(E1949,Sales_Reps!$A$2:$E$31,3,FALSE),"")</f>
        <v>East</v>
      </c>
      <c r="O1949" t="str">
        <f>IFERROR(VLOOKUP(C1949,Customers!$A$2:$F$301,5,FALSE),"")</f>
        <v>Retail</v>
      </c>
      <c r="P1949">
        <f>IFERROR(VLOOKUP(C1949,Customers!$A$2:$F$301,3,FALSE),"")</f>
        <v>27</v>
      </c>
      <c r="Q1949" s="41">
        <f t="shared" si="39"/>
        <v>0.47004405286343615</v>
      </c>
      <c r="R1949" t="str">
        <f>IFERROR(VLOOKUP(C1949,Customers!$A$2:$F$301,1,FALSE),"")</f>
        <v>CUST-0074</v>
      </c>
      <c r="S1949" s="27" t="b">
        <f>IFERROR(VLOOKUP(D1949,Products!$A$2:$F$61,6,FALSE),"")</f>
        <v>1</v>
      </c>
      <c r="BL1949">
        <v>0</v>
      </c>
      <c r="BO1949">
        <v>0</v>
      </c>
      <c r="BP1949">
        <v>0</v>
      </c>
    </row>
    <row r="1950" spans="1:68" x14ac:dyDescent="0.35">
      <c r="A1950" s="26" t="str">
        <f>Orders!A1950</f>
        <v>ORD-01949</v>
      </c>
      <c r="B1950" s="33">
        <f>Orders!B1950</f>
        <v>45350</v>
      </c>
      <c r="C1950" t="str">
        <f>Orders!C1950</f>
        <v>CUST-0217</v>
      </c>
      <c r="D1950" t="str">
        <f>Orders!D1950</f>
        <v>PROD-010</v>
      </c>
      <c r="E1950" t="str">
        <f>Orders!E1950</f>
        <v>R008</v>
      </c>
      <c r="F1950">
        <f>Orders!F1950</f>
        <v>3</v>
      </c>
      <c r="G1950" s="35">
        <f>Orders!G1950</f>
        <v>2640</v>
      </c>
      <c r="H1950" s="37">
        <f>Orders!H1950</f>
        <v>28.2</v>
      </c>
      <c r="I1950" s="39">
        <f>Orders!I1950</f>
        <v>5686.56</v>
      </c>
      <c r="J1950" t="str">
        <f>Orders!J1950</f>
        <v>Refunded</v>
      </c>
      <c r="K1950" t="str">
        <f>Orders!K1950</f>
        <v>Pune</v>
      </c>
      <c r="L1950" t="str">
        <f>IFERROR(VLOOKUP(D1950,Products!$A$2:$F$61,3,FALSE),"")</f>
        <v>Electronics</v>
      </c>
      <c r="M1950">
        <f>IFERROR(VLOOKUP(D1950,Products!$A$2:$F$61,4,FALSE),"")</f>
        <v>1149</v>
      </c>
      <c r="N1950" t="str">
        <f>IFERROR(VLOOKUP(E1950,Sales_Reps!$A$2:$E$31,3,FALSE),"")</f>
        <v>North</v>
      </c>
      <c r="O1950" t="str">
        <f>IFERROR(VLOOKUP(C1950,Customers!$A$2:$F$301,5,FALSE),"")</f>
        <v>SMB</v>
      </c>
      <c r="P1950">
        <f>IFERROR(VLOOKUP(C1950,Customers!$A$2:$F$301,3,FALSE),"")</f>
        <v>59</v>
      </c>
      <c r="Q1950" s="41">
        <f t="shared" si="39"/>
        <v>0.56477272727272732</v>
      </c>
      <c r="R1950" t="str">
        <f>IFERROR(VLOOKUP(C1950,Customers!$A$2:$F$301,1,FALSE),"")</f>
        <v>CUST-0217</v>
      </c>
      <c r="S1950" s="27" t="b">
        <f>IFERROR(VLOOKUP(D1950,Products!$A$2:$F$61,6,FALSE),"")</f>
        <v>1</v>
      </c>
      <c r="BL1950">
        <v>0</v>
      </c>
      <c r="BO1950">
        <v>0</v>
      </c>
      <c r="BP1950">
        <v>0</v>
      </c>
    </row>
    <row r="1951" spans="1:68" x14ac:dyDescent="0.35">
      <c r="A1951" s="26" t="str">
        <f>Orders!A1951</f>
        <v>ORD-01950</v>
      </c>
      <c r="B1951" s="33">
        <f>Orders!B1951</f>
        <v>45507</v>
      </c>
      <c r="C1951" t="str">
        <f>Orders!C1951</f>
        <v>CUST-0021</v>
      </c>
      <c r="D1951" t="str">
        <f>Orders!D1951</f>
        <v>PROD-010</v>
      </c>
      <c r="E1951" t="str">
        <f>Orders!E1951</f>
        <v>R015</v>
      </c>
      <c r="F1951">
        <f>Orders!F1951</f>
        <v>10</v>
      </c>
      <c r="G1951" s="35">
        <f>Orders!G1951</f>
        <v>2640</v>
      </c>
      <c r="H1951" s="37">
        <f>Orders!H1951</f>
        <v>25.9</v>
      </c>
      <c r="I1951" s="39">
        <f>Orders!I1951</f>
        <v>19562.400000000001</v>
      </c>
      <c r="J1951" t="str">
        <f>Orders!J1951</f>
        <v>Completed</v>
      </c>
      <c r="K1951" t="str">
        <f>Orders!K1951</f>
        <v>Pune</v>
      </c>
      <c r="L1951" t="str">
        <f>IFERROR(VLOOKUP(D1951,Products!$A$2:$F$61,3,FALSE),"")</f>
        <v>Electronics</v>
      </c>
      <c r="M1951">
        <f>IFERROR(VLOOKUP(D1951,Products!$A$2:$F$61,4,FALSE),"")</f>
        <v>1149</v>
      </c>
      <c r="N1951" t="str">
        <f>IFERROR(VLOOKUP(E1951,Sales_Reps!$A$2:$E$31,3,FALSE),"")</f>
        <v>South</v>
      </c>
      <c r="O1951" t="str">
        <f>IFERROR(VLOOKUP(C1951,Customers!$A$2:$F$301,5,FALSE),"")</f>
        <v>Retail</v>
      </c>
      <c r="P1951">
        <f>IFERROR(VLOOKUP(C1951,Customers!$A$2:$F$301,3,FALSE),"")</f>
        <v>44</v>
      </c>
      <c r="Q1951" s="41">
        <f t="shared" si="39"/>
        <v>0.56477272727272732</v>
      </c>
      <c r="R1951" t="str">
        <f>IFERROR(VLOOKUP(C1951,Customers!$A$2:$F$301,1,FALSE),"")</f>
        <v>CUST-0021</v>
      </c>
      <c r="S1951" s="27" t="b">
        <f>IFERROR(VLOOKUP(D1951,Products!$A$2:$F$61,6,FALSE),"")</f>
        <v>1</v>
      </c>
      <c r="BL1951">
        <v>0</v>
      </c>
      <c r="BO1951">
        <v>0</v>
      </c>
      <c r="BP1951">
        <v>0</v>
      </c>
    </row>
    <row r="1952" spans="1:68" x14ac:dyDescent="0.35">
      <c r="A1952" s="26" t="str">
        <f>Orders!A1952</f>
        <v>ORD-01951</v>
      </c>
      <c r="B1952" s="33">
        <f>Orders!B1952</f>
        <v>45538</v>
      </c>
      <c r="C1952" t="str">
        <f>Orders!C1952</f>
        <v>CUST-0004</v>
      </c>
      <c r="D1952" t="str">
        <f>Orders!D1952</f>
        <v>PROD-007</v>
      </c>
      <c r="E1952" t="str">
        <f>Orders!E1952</f>
        <v>R030</v>
      </c>
      <c r="F1952">
        <f>Orders!F1952</f>
        <v>2</v>
      </c>
      <c r="G1952" s="35">
        <f>Orders!G1952</f>
        <v>1430</v>
      </c>
      <c r="H1952" s="37">
        <f>Orders!H1952</f>
        <v>5</v>
      </c>
      <c r="I1952" s="39">
        <f>Orders!I1952</f>
        <v>2717</v>
      </c>
      <c r="J1952" t="str">
        <f>Orders!J1952</f>
        <v>Cancelled</v>
      </c>
      <c r="K1952" t="str">
        <f>Orders!K1952</f>
        <v>Delhi</v>
      </c>
      <c r="L1952" t="str">
        <f>IFERROR(VLOOKUP(D1952,Products!$A$2:$F$61,3,FALSE),"")</f>
        <v>Electronics</v>
      </c>
      <c r="M1952">
        <f>IFERROR(VLOOKUP(D1952,Products!$A$2:$F$61,4,FALSE),"")</f>
        <v>861</v>
      </c>
      <c r="N1952" t="str">
        <f>IFERROR(VLOOKUP(E1952,Sales_Reps!$A$2:$E$31,3,FALSE),"")</f>
        <v>West</v>
      </c>
      <c r="O1952" t="str">
        <f>IFERROR(VLOOKUP(C1952,Customers!$A$2:$F$301,5,FALSE),"")</f>
        <v>Retail</v>
      </c>
      <c r="P1952">
        <f>IFERROR(VLOOKUP(C1952,Customers!$A$2:$F$301,3,FALSE),"")</f>
        <v>53</v>
      </c>
      <c r="Q1952" s="41">
        <f t="shared" si="39"/>
        <v>0.39790209790209791</v>
      </c>
      <c r="R1952" t="str">
        <f>IFERROR(VLOOKUP(C1952,Customers!$A$2:$F$301,1,FALSE),"")</f>
        <v>CUST-0004</v>
      </c>
      <c r="S1952" s="27" t="b">
        <f>IFERROR(VLOOKUP(D1952,Products!$A$2:$F$61,6,FALSE),"")</f>
        <v>1</v>
      </c>
      <c r="BL1952">
        <v>0</v>
      </c>
      <c r="BO1952">
        <v>0</v>
      </c>
      <c r="BP1952">
        <v>0</v>
      </c>
    </row>
    <row r="1953" spans="1:68" x14ac:dyDescent="0.35">
      <c r="A1953" s="26" t="str">
        <f>Orders!A1953</f>
        <v>ORD-01952</v>
      </c>
      <c r="B1953" s="33">
        <f>Orders!B1953</f>
        <v>45618</v>
      </c>
      <c r="C1953" t="str">
        <f>Orders!C1953</f>
        <v>CUST-0080</v>
      </c>
      <c r="D1953" t="str">
        <f>Orders!D1953</f>
        <v>PROD-003</v>
      </c>
      <c r="E1953" t="str">
        <f>Orders!E1953</f>
        <v>R020</v>
      </c>
      <c r="F1953">
        <f>Orders!F1953</f>
        <v>6</v>
      </c>
      <c r="G1953" s="35">
        <f>Orders!G1953</f>
        <v>3570</v>
      </c>
      <c r="H1953" s="37">
        <f>Orders!H1953</f>
        <v>28.5</v>
      </c>
      <c r="I1953" s="39">
        <f>Orders!I1953</f>
        <v>15315.3</v>
      </c>
      <c r="J1953" t="str">
        <f>Orders!J1953</f>
        <v>Cancelled</v>
      </c>
      <c r="K1953" t="str">
        <f>Orders!K1953</f>
        <v>Pune</v>
      </c>
      <c r="L1953" t="str">
        <f>IFERROR(VLOOKUP(D1953,Products!$A$2:$F$61,3,FALSE),"")</f>
        <v>Electronics</v>
      </c>
      <c r="M1953">
        <f>IFERROR(VLOOKUP(D1953,Products!$A$2:$F$61,4,FALSE),"")</f>
        <v>1665</v>
      </c>
      <c r="N1953" t="str">
        <f>IFERROR(VLOOKUP(E1953,Sales_Reps!$A$2:$E$31,3,FALSE),"")</f>
        <v>East</v>
      </c>
      <c r="O1953" t="str">
        <f>IFERROR(VLOOKUP(C1953,Customers!$A$2:$F$301,5,FALSE),"")</f>
        <v>SMB</v>
      </c>
      <c r="P1953">
        <f>IFERROR(VLOOKUP(C1953,Customers!$A$2:$F$301,3,FALSE),"")</f>
        <v>30</v>
      </c>
      <c r="Q1953" s="41">
        <f t="shared" si="39"/>
        <v>0.53361344537815125</v>
      </c>
      <c r="R1953" t="str">
        <f>IFERROR(VLOOKUP(C1953,Customers!$A$2:$F$301,1,FALSE),"")</f>
        <v>CUST-0080</v>
      </c>
      <c r="S1953" s="27" t="b">
        <f>IFERROR(VLOOKUP(D1953,Products!$A$2:$F$61,6,FALSE),"")</f>
        <v>1</v>
      </c>
      <c r="BL1953">
        <v>0</v>
      </c>
      <c r="BO1953">
        <v>0</v>
      </c>
      <c r="BP1953">
        <v>0</v>
      </c>
    </row>
    <row r="1954" spans="1:68" x14ac:dyDescent="0.35">
      <c r="A1954" s="26" t="str">
        <f>Orders!A1954</f>
        <v>ORD-01953</v>
      </c>
      <c r="B1954" s="33">
        <f>Orders!B1954</f>
        <v>45444</v>
      </c>
      <c r="C1954" t="str">
        <f>Orders!C1954</f>
        <v>CUST-0113</v>
      </c>
      <c r="D1954" t="str">
        <f>Orders!D1954</f>
        <v>PROD-003</v>
      </c>
      <c r="E1954" t="str">
        <f>Orders!E1954</f>
        <v>R024</v>
      </c>
      <c r="F1954">
        <f>Orders!F1954</f>
        <v>1</v>
      </c>
      <c r="G1954" s="35">
        <f>Orders!G1954</f>
        <v>3570</v>
      </c>
      <c r="H1954" s="37">
        <f>Orders!H1954</f>
        <v>7.7</v>
      </c>
      <c r="I1954" s="39">
        <f>Orders!I1954</f>
        <v>3295.11</v>
      </c>
      <c r="J1954" t="str">
        <f>Orders!J1954</f>
        <v>Completed</v>
      </c>
      <c r="K1954" t="str">
        <f>Orders!K1954</f>
        <v>Delhi</v>
      </c>
      <c r="L1954" t="str">
        <f>IFERROR(VLOOKUP(D1954,Products!$A$2:$F$61,3,FALSE),"")</f>
        <v>Electronics</v>
      </c>
      <c r="M1954">
        <f>IFERROR(VLOOKUP(D1954,Products!$A$2:$F$61,4,FALSE),"")</f>
        <v>1665</v>
      </c>
      <c r="N1954" t="str">
        <f>IFERROR(VLOOKUP(E1954,Sales_Reps!$A$2:$E$31,3,FALSE),"")</f>
        <v>West</v>
      </c>
      <c r="O1954" t="str">
        <f>IFERROR(VLOOKUP(C1954,Customers!$A$2:$F$301,5,FALSE),"")</f>
        <v>Retail</v>
      </c>
      <c r="P1954">
        <f>IFERROR(VLOOKUP(C1954,Customers!$A$2:$F$301,3,FALSE),"")</f>
        <v>30</v>
      </c>
      <c r="Q1954" s="41">
        <f t="shared" si="39"/>
        <v>0.53361344537815125</v>
      </c>
      <c r="R1954" t="str">
        <f>IFERROR(VLOOKUP(C1954,Customers!$A$2:$F$301,1,FALSE),"")</f>
        <v>CUST-0113</v>
      </c>
      <c r="S1954" s="27" t="b">
        <f>IFERROR(VLOOKUP(D1954,Products!$A$2:$F$61,6,FALSE),"")</f>
        <v>1</v>
      </c>
      <c r="BL1954">
        <v>0</v>
      </c>
      <c r="BO1954">
        <v>0</v>
      </c>
      <c r="BP1954">
        <v>0</v>
      </c>
    </row>
    <row r="1955" spans="1:68" x14ac:dyDescent="0.35">
      <c r="A1955" s="26" t="str">
        <f>Orders!A1955</f>
        <v>ORD-01954</v>
      </c>
      <c r="B1955" s="33">
        <f>Orders!B1955</f>
        <v>45377</v>
      </c>
      <c r="C1955" t="str">
        <f>Orders!C1955</f>
        <v>CUST-0023</v>
      </c>
      <c r="D1955" t="str">
        <f>Orders!D1955</f>
        <v>PROD-004</v>
      </c>
      <c r="E1955" t="str">
        <f>Orders!E1955</f>
        <v>R030</v>
      </c>
      <c r="F1955">
        <f>Orders!F1955</f>
        <v>9</v>
      </c>
      <c r="G1955" s="35">
        <f>Orders!G1955</f>
        <v>3870</v>
      </c>
      <c r="H1955" s="37">
        <f>Orders!H1955</f>
        <v>11.9</v>
      </c>
      <c r="I1955" s="39">
        <f>Orders!I1955</f>
        <v>30685.23</v>
      </c>
      <c r="J1955" t="str">
        <f>Orders!J1955</f>
        <v>Cancelled</v>
      </c>
      <c r="K1955" t="str">
        <f>Orders!K1955</f>
        <v>Chennai</v>
      </c>
      <c r="L1955" t="str">
        <f>IFERROR(VLOOKUP(D1955,Products!$A$2:$F$61,3,FALSE),"")</f>
        <v>Electronics</v>
      </c>
      <c r="M1955">
        <f>IFERROR(VLOOKUP(D1955,Products!$A$2:$F$61,4,FALSE),"")</f>
        <v>1559</v>
      </c>
      <c r="N1955" t="str">
        <f>IFERROR(VLOOKUP(E1955,Sales_Reps!$A$2:$E$31,3,FALSE),"")</f>
        <v>West</v>
      </c>
      <c r="O1955" t="str">
        <f>IFERROR(VLOOKUP(C1955,Customers!$A$2:$F$301,5,FALSE),"")</f>
        <v>SMB</v>
      </c>
      <c r="P1955">
        <f>IFERROR(VLOOKUP(C1955,Customers!$A$2:$F$301,3,FALSE),"")</f>
        <v>43</v>
      </c>
      <c r="Q1955" s="41">
        <f t="shared" si="39"/>
        <v>0.59715762273901807</v>
      </c>
      <c r="R1955" t="str">
        <f>IFERROR(VLOOKUP(C1955,Customers!$A$2:$F$301,1,FALSE),"")</f>
        <v>CUST-0023</v>
      </c>
      <c r="S1955" s="27" t="b">
        <f>IFERROR(VLOOKUP(D1955,Products!$A$2:$F$61,6,FALSE),"")</f>
        <v>1</v>
      </c>
      <c r="BL1955">
        <v>0</v>
      </c>
      <c r="BO1955">
        <v>0</v>
      </c>
      <c r="BP1955">
        <v>0</v>
      </c>
    </row>
    <row r="1956" spans="1:68" x14ac:dyDescent="0.35">
      <c r="A1956" s="26" t="str">
        <f>Orders!A1956</f>
        <v>ORD-01955</v>
      </c>
      <c r="B1956" s="33">
        <f>Orders!B1956</f>
        <v>45515</v>
      </c>
      <c r="C1956" t="str">
        <f>Orders!C1956</f>
        <v>CUST-0136</v>
      </c>
      <c r="D1956" t="str">
        <f>Orders!D1956</f>
        <v>PROD-056</v>
      </c>
      <c r="E1956" t="str">
        <f>Orders!E1956</f>
        <v>R014</v>
      </c>
      <c r="F1956">
        <f>Orders!F1956</f>
        <v>5</v>
      </c>
      <c r="G1956" s="35">
        <f>Orders!G1956</f>
        <v>6940</v>
      </c>
      <c r="H1956" s="37">
        <f>Orders!H1956</f>
        <v>17.399999999999999</v>
      </c>
      <c r="I1956" s="39">
        <f>Orders!I1956</f>
        <v>28662.2</v>
      </c>
      <c r="J1956" t="str">
        <f>Orders!J1956</f>
        <v>Completed</v>
      </c>
      <c r="K1956" t="str">
        <f>Orders!K1956</f>
        <v>Chennai</v>
      </c>
      <c r="L1956" t="str">
        <f>IFERROR(VLOOKUP(D1956,Products!$A$2:$F$61,3,FALSE),"")</f>
        <v>Sports</v>
      </c>
      <c r="M1956">
        <f>IFERROR(VLOOKUP(D1956,Products!$A$2:$F$61,4,FALSE),"")</f>
        <v>2827</v>
      </c>
      <c r="N1956" t="str">
        <f>IFERROR(VLOOKUP(E1956,Sales_Reps!$A$2:$E$31,3,FALSE),"")</f>
        <v>South</v>
      </c>
      <c r="O1956" t="str">
        <f>IFERROR(VLOOKUP(C1956,Customers!$A$2:$F$301,5,FALSE),"")</f>
        <v>SMB</v>
      </c>
      <c r="P1956">
        <f>IFERROR(VLOOKUP(C1956,Customers!$A$2:$F$301,3,FALSE),"")</f>
        <v>26</v>
      </c>
      <c r="Q1956" s="41">
        <f t="shared" si="39"/>
        <v>0.5926512968299712</v>
      </c>
      <c r="R1956" t="str">
        <f>IFERROR(VLOOKUP(C1956,Customers!$A$2:$F$301,1,FALSE),"")</f>
        <v>CUST-0136</v>
      </c>
      <c r="S1956" s="27" t="b">
        <f>IFERROR(VLOOKUP(D1956,Products!$A$2:$F$61,6,FALSE),"")</f>
        <v>1</v>
      </c>
      <c r="BL1956">
        <v>0</v>
      </c>
      <c r="BO1956">
        <v>0</v>
      </c>
      <c r="BP1956">
        <v>0</v>
      </c>
    </row>
    <row r="1957" spans="1:68" x14ac:dyDescent="0.35">
      <c r="A1957" s="26" t="str">
        <f>Orders!A1957</f>
        <v>ORD-01956</v>
      </c>
      <c r="B1957" s="33">
        <f>Orders!B1957</f>
        <v>45312</v>
      </c>
      <c r="C1957" t="str">
        <f>Orders!C1957</f>
        <v>CUST-0031</v>
      </c>
      <c r="D1957" t="str">
        <f>Orders!D1957</f>
        <v>PROD-032</v>
      </c>
      <c r="E1957" t="str">
        <f>Orders!E1957</f>
        <v>R026</v>
      </c>
      <c r="F1957">
        <f>Orders!F1957</f>
        <v>6</v>
      </c>
      <c r="G1957" s="35">
        <f>Orders!G1957</f>
        <v>370</v>
      </c>
      <c r="H1957" s="37">
        <f>Orders!H1957</f>
        <v>8.1</v>
      </c>
      <c r="I1957" s="39">
        <f>Orders!I1957</f>
        <v>2040.18</v>
      </c>
      <c r="J1957" t="str">
        <f>Orders!J1957</f>
        <v>Cancelled</v>
      </c>
      <c r="K1957" t="str">
        <f>Orders!K1957</f>
        <v>Hyderabad</v>
      </c>
      <c r="L1957" t="str">
        <f>IFERROR(VLOOKUP(D1957,Products!$A$2:$F$61,3,FALSE),"")</f>
        <v>Home</v>
      </c>
      <c r="M1957">
        <f>IFERROR(VLOOKUP(D1957,Products!$A$2:$F$61,4,FALSE),"")</f>
        <v>288</v>
      </c>
      <c r="N1957" t="str">
        <f>IFERROR(VLOOKUP(E1957,Sales_Reps!$A$2:$E$31,3,FALSE),"")</f>
        <v>West</v>
      </c>
      <c r="O1957" t="str">
        <f>IFERROR(VLOOKUP(C1957,Customers!$A$2:$F$301,5,FALSE),"")</f>
        <v>Retail</v>
      </c>
      <c r="P1957">
        <f>IFERROR(VLOOKUP(C1957,Customers!$A$2:$F$301,3,FALSE),"")</f>
        <v>53</v>
      </c>
      <c r="Q1957" s="41">
        <f t="shared" si="39"/>
        <v>0.22162162162162163</v>
      </c>
      <c r="R1957" t="str">
        <f>IFERROR(VLOOKUP(C1957,Customers!$A$2:$F$301,1,FALSE),"")</f>
        <v>CUST-0031</v>
      </c>
      <c r="S1957" s="27" t="b">
        <f>IFERROR(VLOOKUP(D1957,Products!$A$2:$F$61,6,FALSE),"")</f>
        <v>1</v>
      </c>
      <c r="BL1957">
        <v>0</v>
      </c>
      <c r="BO1957">
        <v>0</v>
      </c>
      <c r="BP1957">
        <v>0</v>
      </c>
    </row>
    <row r="1958" spans="1:68" x14ac:dyDescent="0.35">
      <c r="A1958" s="26" t="str">
        <f>Orders!A1958</f>
        <v>ORD-01957</v>
      </c>
      <c r="B1958" s="33">
        <f>Orders!B1958</f>
        <v>45549</v>
      </c>
      <c r="C1958" t="str">
        <f>Orders!C1958</f>
        <v>CUST-0175</v>
      </c>
      <c r="D1958" t="str">
        <f>Orders!D1958</f>
        <v>PROD-018</v>
      </c>
      <c r="E1958" t="str">
        <f>Orders!E1958</f>
        <v>R027</v>
      </c>
      <c r="F1958">
        <f>Orders!F1958</f>
        <v>8</v>
      </c>
      <c r="G1958" s="35">
        <f>Orders!G1958</f>
        <v>3560</v>
      </c>
      <c r="H1958" s="37">
        <f>Orders!H1958</f>
        <v>23.3</v>
      </c>
      <c r="I1958" s="39">
        <f>Orders!I1958</f>
        <v>21844.16</v>
      </c>
      <c r="J1958" t="str">
        <f>Orders!J1958</f>
        <v>Completed</v>
      </c>
      <c r="K1958" t="str">
        <f>Orders!K1958</f>
        <v>Delhi</v>
      </c>
      <c r="L1958" t="str">
        <f>IFERROR(VLOOKUP(D1958,Products!$A$2:$F$61,3,FALSE),"")</f>
        <v>Apparel</v>
      </c>
      <c r="M1958">
        <f>IFERROR(VLOOKUP(D1958,Products!$A$2:$F$61,4,FALSE),"")</f>
        <v>2629</v>
      </c>
      <c r="N1958" t="str">
        <f>IFERROR(VLOOKUP(E1958,Sales_Reps!$A$2:$E$31,3,FALSE),"")</f>
        <v>West</v>
      </c>
      <c r="O1958" t="str">
        <f>IFERROR(VLOOKUP(C1958,Customers!$A$2:$F$301,5,FALSE),"")</f>
        <v>Corporate</v>
      </c>
      <c r="P1958">
        <f>IFERROR(VLOOKUP(C1958,Customers!$A$2:$F$301,3,FALSE),"")</f>
        <v>55</v>
      </c>
      <c r="Q1958" s="41">
        <f t="shared" si="39"/>
        <v>0.26151685393258428</v>
      </c>
      <c r="R1958" t="str">
        <f>IFERROR(VLOOKUP(C1958,Customers!$A$2:$F$301,1,FALSE),"")</f>
        <v>CUST-0175</v>
      </c>
      <c r="S1958" s="27" t="b">
        <f>IFERROR(VLOOKUP(D1958,Products!$A$2:$F$61,6,FALSE),"")</f>
        <v>1</v>
      </c>
      <c r="BL1958">
        <v>0</v>
      </c>
      <c r="BO1958">
        <v>0</v>
      </c>
      <c r="BP1958">
        <v>0</v>
      </c>
    </row>
    <row r="1959" spans="1:68" x14ac:dyDescent="0.35">
      <c r="A1959" s="26" t="str">
        <f>Orders!A1959</f>
        <v>ORD-01958</v>
      </c>
      <c r="B1959" s="33">
        <f>Orders!B1959</f>
        <v>45633</v>
      </c>
      <c r="C1959" t="str">
        <f>Orders!C1959</f>
        <v>CUST-0249</v>
      </c>
      <c r="D1959" t="str">
        <f>Orders!D1959</f>
        <v>PROD-009</v>
      </c>
      <c r="E1959" t="str">
        <f>Orders!E1959</f>
        <v>R028</v>
      </c>
      <c r="F1959">
        <f>Orders!F1959</f>
        <v>4</v>
      </c>
      <c r="G1959" s="35">
        <f>Orders!G1959</f>
        <v>1220</v>
      </c>
      <c r="H1959" s="37">
        <f>Orders!H1959</f>
        <v>2.7</v>
      </c>
      <c r="I1959" s="39">
        <f>Orders!I1959</f>
        <v>4748.24</v>
      </c>
      <c r="J1959" t="str">
        <f>Orders!J1959</f>
        <v>Completed</v>
      </c>
      <c r="K1959" t="str">
        <f>Orders!K1959</f>
        <v>Mumbai</v>
      </c>
      <c r="L1959" t="str">
        <f>IFERROR(VLOOKUP(D1959,Products!$A$2:$F$61,3,FALSE),"")</f>
        <v>Electronics</v>
      </c>
      <c r="M1959">
        <f>IFERROR(VLOOKUP(D1959,Products!$A$2:$F$61,4,FALSE),"")</f>
        <v>517</v>
      </c>
      <c r="N1959" t="str">
        <f>IFERROR(VLOOKUP(E1959,Sales_Reps!$A$2:$E$31,3,FALSE),"")</f>
        <v>West</v>
      </c>
      <c r="O1959" t="str">
        <f>IFERROR(VLOOKUP(C1959,Customers!$A$2:$F$301,5,FALSE),"")</f>
        <v>Retail</v>
      </c>
      <c r="P1959">
        <f>IFERROR(VLOOKUP(C1959,Customers!$A$2:$F$301,3,FALSE),"")</f>
        <v>44</v>
      </c>
      <c r="Q1959" s="41">
        <f t="shared" si="39"/>
        <v>0.57622950819672136</v>
      </c>
      <c r="R1959" t="str">
        <f>IFERROR(VLOOKUP(C1959,Customers!$A$2:$F$301,1,FALSE),"")</f>
        <v>CUST-0249</v>
      </c>
      <c r="S1959" s="27" t="b">
        <f>IFERROR(VLOOKUP(D1959,Products!$A$2:$F$61,6,FALSE),"")</f>
        <v>1</v>
      </c>
      <c r="BL1959">
        <v>0</v>
      </c>
      <c r="BO1959">
        <v>0</v>
      </c>
      <c r="BP1959">
        <v>0</v>
      </c>
    </row>
    <row r="1960" spans="1:68" x14ac:dyDescent="0.35">
      <c r="A1960" s="26" t="str">
        <f>Orders!A1960</f>
        <v>ORD-01959</v>
      </c>
      <c r="B1960" s="33">
        <f>Orders!B1960</f>
        <v>45598</v>
      </c>
      <c r="C1960" t="str">
        <f>Orders!C1960</f>
        <v>CUST-0138</v>
      </c>
      <c r="D1960" t="str">
        <f>Orders!D1960</f>
        <v>PROD-026</v>
      </c>
      <c r="E1960" t="str">
        <f>Orders!E1960</f>
        <v>R020</v>
      </c>
      <c r="F1960">
        <f>Orders!F1960</f>
        <v>10</v>
      </c>
      <c r="G1960" s="35">
        <f>Orders!G1960</f>
        <v>4070</v>
      </c>
      <c r="H1960" s="37">
        <f>Orders!H1960</f>
        <v>11.6</v>
      </c>
      <c r="I1960" s="39">
        <f>Orders!I1960</f>
        <v>35978.800000000003</v>
      </c>
      <c r="J1960" t="str">
        <f>Orders!J1960</f>
        <v>Completed</v>
      </c>
      <c r="K1960" t="str">
        <f>Orders!K1960</f>
        <v>Chennai</v>
      </c>
      <c r="L1960" t="str">
        <f>IFERROR(VLOOKUP(D1960,Products!$A$2:$F$61,3,FALSE),"")</f>
        <v>Grocery</v>
      </c>
      <c r="M1960">
        <f>IFERROR(VLOOKUP(D1960,Products!$A$2:$F$61,4,FALSE),"")</f>
        <v>2027</v>
      </c>
      <c r="N1960" t="str">
        <f>IFERROR(VLOOKUP(E1960,Sales_Reps!$A$2:$E$31,3,FALSE),"")</f>
        <v>East</v>
      </c>
      <c r="O1960" t="str">
        <f>IFERROR(VLOOKUP(C1960,Customers!$A$2:$F$301,5,FALSE),"")</f>
        <v>Retail</v>
      </c>
      <c r="P1960">
        <f>IFERROR(VLOOKUP(C1960,Customers!$A$2:$F$301,3,FALSE),"")</f>
        <v>24</v>
      </c>
      <c r="Q1960" s="41">
        <f t="shared" si="39"/>
        <v>0.50196560196560192</v>
      </c>
      <c r="R1960" t="str">
        <f>IFERROR(VLOOKUP(C1960,Customers!$A$2:$F$301,1,FALSE),"")</f>
        <v>CUST-0138</v>
      </c>
      <c r="S1960" s="27" t="b">
        <f>IFERROR(VLOOKUP(D1960,Products!$A$2:$F$61,6,FALSE),"")</f>
        <v>1</v>
      </c>
      <c r="BL1960">
        <v>0</v>
      </c>
      <c r="BO1960">
        <v>0</v>
      </c>
      <c r="BP1960">
        <v>0</v>
      </c>
    </row>
    <row r="1961" spans="1:68" x14ac:dyDescent="0.35">
      <c r="A1961" s="26" t="str">
        <f>Orders!A1961</f>
        <v>ORD-01960</v>
      </c>
      <c r="B1961" s="33">
        <f>Orders!B1961</f>
        <v>45336</v>
      </c>
      <c r="C1961" t="str">
        <f>Orders!C1961</f>
        <v>CUST-0290</v>
      </c>
      <c r="D1961" t="str">
        <f>Orders!D1961</f>
        <v>PROD-028</v>
      </c>
      <c r="E1961" t="str">
        <f>Orders!E1961</f>
        <v>R019</v>
      </c>
      <c r="F1961">
        <f>Orders!F1961</f>
        <v>10</v>
      </c>
      <c r="G1961" s="35">
        <f>Orders!G1961</f>
        <v>3660</v>
      </c>
      <c r="H1961" s="37">
        <f>Orders!H1961</f>
        <v>28.8</v>
      </c>
      <c r="I1961" s="39">
        <f>Orders!I1961</f>
        <v>26059.200000000001</v>
      </c>
      <c r="J1961" t="str">
        <f>Orders!J1961</f>
        <v>Completed</v>
      </c>
      <c r="K1961" t="str">
        <f>Orders!K1961</f>
        <v>Delhi</v>
      </c>
      <c r="L1961" t="str">
        <f>IFERROR(VLOOKUP(D1961,Products!$A$2:$F$61,3,FALSE),"")</f>
        <v>Grocery</v>
      </c>
      <c r="M1961">
        <f>IFERROR(VLOOKUP(D1961,Products!$A$2:$F$61,4,FALSE),"")</f>
        <v>2214</v>
      </c>
      <c r="N1961" t="str">
        <f>IFERROR(VLOOKUP(E1961,Sales_Reps!$A$2:$E$31,3,FALSE),"")</f>
        <v>East</v>
      </c>
      <c r="O1961" t="str">
        <f>IFERROR(VLOOKUP(C1961,Customers!$A$2:$F$301,5,FALSE),"")</f>
        <v>Retail</v>
      </c>
      <c r="P1961">
        <f>IFERROR(VLOOKUP(C1961,Customers!$A$2:$F$301,3,FALSE),"")</f>
        <v>63</v>
      </c>
      <c r="Q1961" s="41">
        <f t="shared" si="39"/>
        <v>0.39508196721311473</v>
      </c>
      <c r="R1961" t="str">
        <f>IFERROR(VLOOKUP(C1961,Customers!$A$2:$F$301,1,FALSE),"")</f>
        <v>CUST-0290</v>
      </c>
      <c r="S1961" s="27" t="b">
        <f>IFERROR(VLOOKUP(D1961,Products!$A$2:$F$61,6,FALSE),"")</f>
        <v>0</v>
      </c>
      <c r="BL1961">
        <v>0</v>
      </c>
      <c r="BO1961">
        <v>0</v>
      </c>
      <c r="BP1961">
        <v>1</v>
      </c>
    </row>
    <row r="1962" spans="1:68" x14ac:dyDescent="0.35">
      <c r="A1962" s="26" t="str">
        <f>Orders!A1962</f>
        <v>ORD-01961</v>
      </c>
      <c r="B1962" s="33">
        <f>Orders!B1962</f>
        <v>45449</v>
      </c>
      <c r="C1962" t="str">
        <f>Orders!C1962</f>
        <v>CUST-0151</v>
      </c>
      <c r="D1962" t="str">
        <f>Orders!D1962</f>
        <v>PROD-034</v>
      </c>
      <c r="E1962" t="str">
        <f>Orders!E1962</f>
        <v>R018</v>
      </c>
      <c r="F1962">
        <f>Orders!F1962</f>
        <v>5</v>
      </c>
      <c r="G1962" s="35">
        <f>Orders!G1962</f>
        <v>5080</v>
      </c>
      <c r="H1962" s="37">
        <f>Orders!H1962</f>
        <v>12.1</v>
      </c>
      <c r="I1962" s="39">
        <f>Orders!I1962</f>
        <v>22326.6</v>
      </c>
      <c r="J1962" t="str">
        <f>Orders!J1962</f>
        <v>Completed</v>
      </c>
      <c r="K1962" t="str">
        <f>Orders!K1962</f>
        <v>Mumbai</v>
      </c>
      <c r="L1962" t="str">
        <f>IFERROR(VLOOKUP(D1962,Products!$A$2:$F$61,3,FALSE),"")</f>
        <v>Home</v>
      </c>
      <c r="M1962">
        <f>IFERROR(VLOOKUP(D1962,Products!$A$2:$F$61,4,FALSE),"")</f>
        <v>2459</v>
      </c>
      <c r="N1962" t="str">
        <f>IFERROR(VLOOKUP(E1962,Sales_Reps!$A$2:$E$31,3,FALSE),"")</f>
        <v>East</v>
      </c>
      <c r="O1962" t="str">
        <f>IFERROR(VLOOKUP(C1962,Customers!$A$2:$F$301,5,FALSE),"")</f>
        <v>Retail</v>
      </c>
      <c r="P1962">
        <f>IFERROR(VLOOKUP(C1962,Customers!$A$2:$F$301,3,FALSE),"")</f>
        <v>53</v>
      </c>
      <c r="Q1962" s="41">
        <f t="shared" si="39"/>
        <v>0.51594488188976373</v>
      </c>
      <c r="R1962" t="str">
        <f>IFERROR(VLOOKUP(C1962,Customers!$A$2:$F$301,1,FALSE),"")</f>
        <v>CUST-0151</v>
      </c>
      <c r="S1962" s="27" t="b">
        <f>IFERROR(VLOOKUP(D1962,Products!$A$2:$F$61,6,FALSE),"")</f>
        <v>1</v>
      </c>
      <c r="BL1962">
        <v>0</v>
      </c>
      <c r="BO1962">
        <v>0</v>
      </c>
      <c r="BP1962">
        <v>0</v>
      </c>
    </row>
    <row r="1963" spans="1:68" x14ac:dyDescent="0.35">
      <c r="A1963" s="26" t="str">
        <f>Orders!A1963</f>
        <v>ORD-01962</v>
      </c>
      <c r="B1963" s="33">
        <f>Orders!B1963</f>
        <v>45338</v>
      </c>
      <c r="C1963" t="str">
        <f>Orders!C1963</f>
        <v>CUST-0290</v>
      </c>
      <c r="D1963" t="str">
        <f>Orders!D1963</f>
        <v>PROD-039</v>
      </c>
      <c r="E1963" t="str">
        <f>Orders!E1963</f>
        <v>R013</v>
      </c>
      <c r="F1963">
        <f>Orders!F1963</f>
        <v>10</v>
      </c>
      <c r="G1963" s="35">
        <f>Orders!G1963</f>
        <v>4610</v>
      </c>
      <c r="H1963" s="37">
        <f>Orders!H1963</f>
        <v>22.5</v>
      </c>
      <c r="I1963" s="39">
        <f>Orders!I1963</f>
        <v>35727.5</v>
      </c>
      <c r="J1963" t="str">
        <f>Orders!J1963</f>
        <v>Completed</v>
      </c>
      <c r="K1963" t="str">
        <f>Orders!K1963</f>
        <v>Delhi</v>
      </c>
      <c r="L1963" t="str">
        <f>IFERROR(VLOOKUP(D1963,Products!$A$2:$F$61,3,FALSE),"")</f>
        <v>Home</v>
      </c>
      <c r="M1963">
        <f>IFERROR(VLOOKUP(D1963,Products!$A$2:$F$61,4,FALSE),"")</f>
        <v>1850</v>
      </c>
      <c r="N1963" t="str">
        <f>IFERROR(VLOOKUP(E1963,Sales_Reps!$A$2:$E$31,3,FALSE),"")</f>
        <v>South</v>
      </c>
      <c r="O1963" t="str">
        <f>IFERROR(VLOOKUP(C1963,Customers!$A$2:$F$301,5,FALSE),"")</f>
        <v>Retail</v>
      </c>
      <c r="P1963">
        <f>IFERROR(VLOOKUP(C1963,Customers!$A$2:$F$301,3,FALSE),"")</f>
        <v>63</v>
      </c>
      <c r="Q1963" s="41">
        <f t="shared" si="39"/>
        <v>0.59869848156182215</v>
      </c>
      <c r="R1963" t="str">
        <f>IFERROR(VLOOKUP(C1963,Customers!$A$2:$F$301,1,FALSE),"")</f>
        <v>CUST-0290</v>
      </c>
      <c r="S1963" s="27" t="b">
        <f>IFERROR(VLOOKUP(D1963,Products!$A$2:$F$61,6,FALSE),"")</f>
        <v>1</v>
      </c>
      <c r="BL1963">
        <v>0</v>
      </c>
      <c r="BO1963">
        <v>0</v>
      </c>
      <c r="BP1963">
        <v>0</v>
      </c>
    </row>
    <row r="1964" spans="1:68" x14ac:dyDescent="0.35">
      <c r="A1964" s="26" t="str">
        <f>Orders!A1964</f>
        <v>ORD-01963</v>
      </c>
      <c r="B1964" s="33">
        <f>Orders!B1964</f>
        <v>45317</v>
      </c>
      <c r="C1964" t="str">
        <f>Orders!C1964</f>
        <v>CUST-0074</v>
      </c>
      <c r="D1964" t="str">
        <f>Orders!D1964</f>
        <v>PROD-008</v>
      </c>
      <c r="E1964" t="str">
        <f>Orders!E1964</f>
        <v>R007</v>
      </c>
      <c r="F1964">
        <f>Orders!F1964</f>
        <v>3</v>
      </c>
      <c r="G1964" s="35">
        <f>Orders!G1964</f>
        <v>2660</v>
      </c>
      <c r="H1964" s="37">
        <f>Orders!H1964</f>
        <v>15</v>
      </c>
      <c r="I1964" s="39">
        <f>Orders!I1964</f>
        <v>6783</v>
      </c>
      <c r="J1964" t="str">
        <f>Orders!J1964</f>
        <v>Completed</v>
      </c>
      <c r="K1964" t="str">
        <f>Orders!K1964</f>
        <v>Bengaluru</v>
      </c>
      <c r="L1964" t="str">
        <f>IFERROR(VLOOKUP(D1964,Products!$A$2:$F$61,3,FALSE),"")</f>
        <v>Electronics</v>
      </c>
      <c r="M1964">
        <f>IFERROR(VLOOKUP(D1964,Products!$A$2:$F$61,4,FALSE),"")</f>
        <v>1259</v>
      </c>
      <c r="N1964" t="str">
        <f>IFERROR(VLOOKUP(E1964,Sales_Reps!$A$2:$E$31,3,FALSE),"")</f>
        <v>North</v>
      </c>
      <c r="O1964" t="str">
        <f>IFERROR(VLOOKUP(C1964,Customers!$A$2:$F$301,5,FALSE),"")</f>
        <v>Retail</v>
      </c>
      <c r="P1964">
        <f>IFERROR(VLOOKUP(C1964,Customers!$A$2:$F$301,3,FALSE),"")</f>
        <v>27</v>
      </c>
      <c r="Q1964" s="41">
        <f t="shared" si="39"/>
        <v>0.52669172932330832</v>
      </c>
      <c r="R1964" t="str">
        <f>IFERROR(VLOOKUP(C1964,Customers!$A$2:$F$301,1,FALSE),"")</f>
        <v>CUST-0074</v>
      </c>
      <c r="S1964" s="27" t="b">
        <f>IFERROR(VLOOKUP(D1964,Products!$A$2:$F$61,6,FALSE),"")</f>
        <v>0</v>
      </c>
      <c r="BL1964">
        <v>0</v>
      </c>
      <c r="BO1964">
        <v>0</v>
      </c>
      <c r="BP1964">
        <v>1</v>
      </c>
    </row>
    <row r="1965" spans="1:68" x14ac:dyDescent="0.35">
      <c r="A1965" s="26" t="str">
        <f>Orders!A1965</f>
        <v>ORD-01964</v>
      </c>
      <c r="B1965" s="33">
        <f>Orders!B1965</f>
        <v>45384</v>
      </c>
      <c r="C1965" t="str">
        <f>Orders!C1965</f>
        <v>CUST-0295</v>
      </c>
      <c r="D1965" t="str">
        <f>Orders!D1965</f>
        <v>PROD-012</v>
      </c>
      <c r="E1965" t="str">
        <f>Orders!E1965</f>
        <v>R006</v>
      </c>
      <c r="F1965">
        <f>Orders!F1965</f>
        <v>5</v>
      </c>
      <c r="G1965" s="35">
        <f>Orders!G1965</f>
        <v>3160</v>
      </c>
      <c r="H1965" s="37">
        <f>Orders!H1965</f>
        <v>1.3</v>
      </c>
      <c r="I1965" s="39">
        <f>Orders!I1965</f>
        <v>15594.6</v>
      </c>
      <c r="J1965" t="str">
        <f>Orders!J1965</f>
        <v>Completed</v>
      </c>
      <c r="K1965" t="str">
        <f>Orders!K1965</f>
        <v>Delhi</v>
      </c>
      <c r="L1965" t="str">
        <f>IFERROR(VLOOKUP(D1965,Products!$A$2:$F$61,3,FALSE),"")</f>
        <v>Apparel</v>
      </c>
      <c r="M1965">
        <f>IFERROR(VLOOKUP(D1965,Products!$A$2:$F$61,4,FALSE),"")</f>
        <v>1886</v>
      </c>
      <c r="N1965" t="str">
        <f>IFERROR(VLOOKUP(E1965,Sales_Reps!$A$2:$E$31,3,FALSE),"")</f>
        <v>North</v>
      </c>
      <c r="O1965" t="str">
        <f>IFERROR(VLOOKUP(C1965,Customers!$A$2:$F$301,5,FALSE),"")</f>
        <v>SMB</v>
      </c>
      <c r="P1965">
        <f>IFERROR(VLOOKUP(C1965,Customers!$A$2:$F$301,3,FALSE),"")</f>
        <v>48</v>
      </c>
      <c r="Q1965" s="41">
        <f t="shared" si="39"/>
        <v>0.4031645569620253</v>
      </c>
      <c r="R1965" t="str">
        <f>IFERROR(VLOOKUP(C1965,Customers!$A$2:$F$301,1,FALSE),"")</f>
        <v>CUST-0295</v>
      </c>
      <c r="S1965" s="27" t="b">
        <f>IFERROR(VLOOKUP(D1965,Products!$A$2:$F$61,6,FALSE),"")</f>
        <v>1</v>
      </c>
      <c r="BL1965">
        <v>0</v>
      </c>
      <c r="BO1965">
        <v>0</v>
      </c>
      <c r="BP1965">
        <v>0</v>
      </c>
    </row>
    <row r="1966" spans="1:68" x14ac:dyDescent="0.35">
      <c r="A1966" s="26" t="str">
        <f>Orders!A1966</f>
        <v>ORD-01965</v>
      </c>
      <c r="B1966" s="33">
        <f>Orders!B1966</f>
        <v>45325</v>
      </c>
      <c r="C1966" t="str">
        <f>Orders!C1966</f>
        <v>CUST-0132</v>
      </c>
      <c r="D1966" t="str">
        <f>Orders!D1966</f>
        <v>PROD-032</v>
      </c>
      <c r="E1966" t="str">
        <f>Orders!E1966</f>
        <v>R004</v>
      </c>
      <c r="F1966">
        <f>Orders!F1966</f>
        <v>10</v>
      </c>
      <c r="G1966" s="35">
        <f>Orders!G1966</f>
        <v>370</v>
      </c>
      <c r="H1966" s="37">
        <f>Orders!H1966</f>
        <v>29</v>
      </c>
      <c r="I1966" s="39">
        <f>Orders!I1966</f>
        <v>2627</v>
      </c>
      <c r="J1966" t="str">
        <f>Orders!J1966</f>
        <v>Completed</v>
      </c>
      <c r="K1966" t="str">
        <f>Orders!K1966</f>
        <v>Delhi</v>
      </c>
      <c r="L1966" t="str">
        <f>IFERROR(VLOOKUP(D1966,Products!$A$2:$F$61,3,FALSE),"")</f>
        <v>Home</v>
      </c>
      <c r="M1966">
        <f>IFERROR(VLOOKUP(D1966,Products!$A$2:$F$61,4,FALSE),"")</f>
        <v>288</v>
      </c>
      <c r="N1966" t="str">
        <f>IFERROR(VLOOKUP(E1966,Sales_Reps!$A$2:$E$31,3,FALSE),"")</f>
        <v>North</v>
      </c>
      <c r="O1966" t="str">
        <f>IFERROR(VLOOKUP(C1966,Customers!$A$2:$F$301,5,FALSE),"")</f>
        <v>Retail</v>
      </c>
      <c r="P1966">
        <f>IFERROR(VLOOKUP(C1966,Customers!$A$2:$F$301,3,FALSE),"")</f>
        <v>41</v>
      </c>
      <c r="Q1966" s="41">
        <f t="shared" si="39"/>
        <v>0.22162162162162163</v>
      </c>
      <c r="R1966" t="str">
        <f>IFERROR(VLOOKUP(C1966,Customers!$A$2:$F$301,1,FALSE),"")</f>
        <v>CUST-0132</v>
      </c>
      <c r="S1966" s="27" t="b">
        <f>IFERROR(VLOOKUP(D1966,Products!$A$2:$F$61,6,FALSE),"")</f>
        <v>1</v>
      </c>
      <c r="BL1966">
        <v>0</v>
      </c>
      <c r="BO1966">
        <v>0</v>
      </c>
      <c r="BP1966">
        <v>0</v>
      </c>
    </row>
    <row r="1967" spans="1:68" x14ac:dyDescent="0.35">
      <c r="A1967" s="26" t="str">
        <f>Orders!A1967</f>
        <v>ORD-01966</v>
      </c>
      <c r="B1967" s="33">
        <f>Orders!B1967</f>
        <v>45358</v>
      </c>
      <c r="C1967" t="str">
        <f>Orders!C1967</f>
        <v>CUST-0289</v>
      </c>
      <c r="D1967" t="str">
        <f>Orders!D1967</f>
        <v>PROD-054</v>
      </c>
      <c r="E1967" t="str">
        <f>Orders!E1967</f>
        <v>R008</v>
      </c>
      <c r="F1967">
        <f>Orders!F1967</f>
        <v>10</v>
      </c>
      <c r="G1967" s="35">
        <f>Orders!G1967</f>
        <v>1010</v>
      </c>
      <c r="H1967" s="37">
        <f>Orders!H1967</f>
        <v>14.1</v>
      </c>
      <c r="I1967" s="39">
        <f>Orders!I1967</f>
        <v>8675.9</v>
      </c>
      <c r="J1967" t="str">
        <f>Orders!J1967</f>
        <v>Refunded</v>
      </c>
      <c r="K1967" t="str">
        <f>Orders!K1967</f>
        <v>Mumbai</v>
      </c>
      <c r="L1967" t="str">
        <f>IFERROR(VLOOKUP(D1967,Products!$A$2:$F$61,3,FALSE),"")</f>
        <v>Sports</v>
      </c>
      <c r="M1967">
        <f>IFERROR(VLOOKUP(D1967,Products!$A$2:$F$61,4,FALSE),"")</f>
        <v>516</v>
      </c>
      <c r="N1967" t="str">
        <f>IFERROR(VLOOKUP(E1967,Sales_Reps!$A$2:$E$31,3,FALSE),"")</f>
        <v>North</v>
      </c>
      <c r="O1967" t="str">
        <f>IFERROR(VLOOKUP(C1967,Customers!$A$2:$F$301,5,FALSE),"")</f>
        <v>Retail</v>
      </c>
      <c r="P1967">
        <f>IFERROR(VLOOKUP(C1967,Customers!$A$2:$F$301,3,FALSE),"")</f>
        <v>54</v>
      </c>
      <c r="Q1967" s="41">
        <f t="shared" si="39"/>
        <v>0.4891089108910891</v>
      </c>
      <c r="R1967" t="str">
        <f>IFERROR(VLOOKUP(C1967,Customers!$A$2:$F$301,1,FALSE),"")</f>
        <v>CUST-0289</v>
      </c>
      <c r="S1967" s="27" t="b">
        <f>IFERROR(VLOOKUP(D1967,Products!$A$2:$F$61,6,FALSE),"")</f>
        <v>1</v>
      </c>
      <c r="BL1967">
        <v>0</v>
      </c>
      <c r="BO1967">
        <v>0</v>
      </c>
      <c r="BP1967">
        <v>0</v>
      </c>
    </row>
    <row r="1968" spans="1:68" x14ac:dyDescent="0.35">
      <c r="A1968" s="26" t="str">
        <f>Orders!A1968</f>
        <v>ORD-01967</v>
      </c>
      <c r="B1968" s="33">
        <f>Orders!B1968</f>
        <v>45586</v>
      </c>
      <c r="C1968" t="str">
        <f>Orders!C1968</f>
        <v>CUST-0139</v>
      </c>
      <c r="D1968" t="str">
        <f>Orders!D1968</f>
        <v>PROD-018</v>
      </c>
      <c r="E1968" t="str">
        <f>Orders!E1968</f>
        <v>R030</v>
      </c>
      <c r="F1968">
        <f>Orders!F1968</f>
        <v>3</v>
      </c>
      <c r="G1968" s="35">
        <f>Orders!G1968</f>
        <v>3560</v>
      </c>
      <c r="H1968" s="37">
        <f>Orders!H1968</f>
        <v>23.6</v>
      </c>
      <c r="I1968" s="39">
        <f>Orders!I1968</f>
        <v>8159.52</v>
      </c>
      <c r="J1968" t="str">
        <f>Orders!J1968</f>
        <v>Completed</v>
      </c>
      <c r="K1968" t="str">
        <f>Orders!K1968</f>
        <v>Hyderabad</v>
      </c>
      <c r="L1968" t="str">
        <f>IFERROR(VLOOKUP(D1968,Products!$A$2:$F$61,3,FALSE),"")</f>
        <v>Apparel</v>
      </c>
      <c r="M1968">
        <f>IFERROR(VLOOKUP(D1968,Products!$A$2:$F$61,4,FALSE),"")</f>
        <v>2629</v>
      </c>
      <c r="N1968" t="str">
        <f>IFERROR(VLOOKUP(E1968,Sales_Reps!$A$2:$E$31,3,FALSE),"")</f>
        <v>West</v>
      </c>
      <c r="O1968" t="str">
        <f>IFERROR(VLOOKUP(C1968,Customers!$A$2:$F$301,5,FALSE),"")</f>
        <v>SMB</v>
      </c>
      <c r="P1968">
        <f>IFERROR(VLOOKUP(C1968,Customers!$A$2:$F$301,3,FALSE),"")</f>
        <v>65</v>
      </c>
      <c r="Q1968" s="41">
        <f t="shared" si="39"/>
        <v>0.26151685393258428</v>
      </c>
      <c r="R1968" t="str">
        <f>IFERROR(VLOOKUP(C1968,Customers!$A$2:$F$301,1,FALSE),"")</f>
        <v>CUST-0139</v>
      </c>
      <c r="S1968" s="27" t="b">
        <f>IFERROR(VLOOKUP(D1968,Products!$A$2:$F$61,6,FALSE),"")</f>
        <v>1</v>
      </c>
      <c r="BL1968">
        <v>0</v>
      </c>
      <c r="BO1968">
        <v>0</v>
      </c>
      <c r="BP1968">
        <v>0</v>
      </c>
    </row>
    <row r="1969" spans="1:68" x14ac:dyDescent="0.35">
      <c r="A1969" s="26" t="str">
        <f>Orders!A1969</f>
        <v>ORD-01968</v>
      </c>
      <c r="B1969" s="33">
        <f>Orders!B1969</f>
        <v>45340</v>
      </c>
      <c r="C1969" t="str">
        <f>Orders!C1969</f>
        <v>CUST-0032</v>
      </c>
      <c r="D1969" t="str">
        <f>Orders!D1969</f>
        <v>PROD-009</v>
      </c>
      <c r="E1969" t="str">
        <f>Orders!E1969</f>
        <v>R028</v>
      </c>
      <c r="F1969">
        <f>Orders!F1969</f>
        <v>9</v>
      </c>
      <c r="G1969" s="35">
        <f>Orders!G1969</f>
        <v>1220</v>
      </c>
      <c r="H1969" s="37">
        <f>Orders!H1969</f>
        <v>16.600000000000001</v>
      </c>
      <c r="I1969" s="39">
        <f>Orders!I1969</f>
        <v>9157.32</v>
      </c>
      <c r="J1969" t="str">
        <f>Orders!J1969</f>
        <v>Completed</v>
      </c>
      <c r="K1969" t="str">
        <f>Orders!K1969</f>
        <v>Hyderabad</v>
      </c>
      <c r="L1969" t="str">
        <f>IFERROR(VLOOKUP(D1969,Products!$A$2:$F$61,3,FALSE),"")</f>
        <v>Electronics</v>
      </c>
      <c r="M1969">
        <f>IFERROR(VLOOKUP(D1969,Products!$A$2:$F$61,4,FALSE),"")</f>
        <v>517</v>
      </c>
      <c r="N1969" t="str">
        <f>IFERROR(VLOOKUP(E1969,Sales_Reps!$A$2:$E$31,3,FALSE),"")</f>
        <v>West</v>
      </c>
      <c r="O1969" t="str">
        <f>IFERROR(VLOOKUP(C1969,Customers!$A$2:$F$301,5,FALSE),"")</f>
        <v>Retail</v>
      </c>
      <c r="P1969">
        <f>IFERROR(VLOOKUP(C1969,Customers!$A$2:$F$301,3,FALSE),"")</f>
        <v>28</v>
      </c>
      <c r="Q1969" s="41">
        <f t="shared" si="39"/>
        <v>0.57622950819672136</v>
      </c>
      <c r="R1969" t="str">
        <f>IFERROR(VLOOKUP(C1969,Customers!$A$2:$F$301,1,FALSE),"")</f>
        <v>CUST-0032</v>
      </c>
      <c r="S1969" s="27" t="b">
        <f>IFERROR(VLOOKUP(D1969,Products!$A$2:$F$61,6,FALSE),"")</f>
        <v>1</v>
      </c>
      <c r="BL1969">
        <v>0</v>
      </c>
      <c r="BO1969">
        <v>0</v>
      </c>
      <c r="BP1969">
        <v>0</v>
      </c>
    </row>
    <row r="1970" spans="1:68" x14ac:dyDescent="0.35">
      <c r="A1970" s="26" t="str">
        <f>Orders!A1970</f>
        <v>ORD-01969</v>
      </c>
      <c r="B1970" s="33">
        <f>Orders!B1970</f>
        <v>45343</v>
      </c>
      <c r="C1970" t="str">
        <f>Orders!C1970</f>
        <v>CUST-0109</v>
      </c>
      <c r="D1970" t="str">
        <f>Orders!D1970</f>
        <v>PROD-060</v>
      </c>
      <c r="E1970" t="str">
        <f>Orders!E1970</f>
        <v>R008</v>
      </c>
      <c r="F1970">
        <f>Orders!F1970</f>
        <v>8</v>
      </c>
      <c r="G1970" s="35">
        <f>Orders!G1970</f>
        <v>190</v>
      </c>
      <c r="H1970" s="37">
        <f>Orders!H1970</f>
        <v>22.3</v>
      </c>
      <c r="I1970" s="39">
        <f>Orders!I1970</f>
        <v>1181.04</v>
      </c>
      <c r="J1970" t="str">
        <f>Orders!J1970</f>
        <v>Completed</v>
      </c>
      <c r="K1970" t="str">
        <f>Orders!K1970</f>
        <v>Pune</v>
      </c>
      <c r="L1970" t="str">
        <f>IFERROR(VLOOKUP(D1970,Products!$A$2:$F$61,3,FALSE),"")</f>
        <v>Sports</v>
      </c>
      <c r="M1970">
        <f>IFERROR(VLOOKUP(D1970,Products!$A$2:$F$61,4,FALSE),"")</f>
        <v>147</v>
      </c>
      <c r="N1970" t="str">
        <f>IFERROR(VLOOKUP(E1970,Sales_Reps!$A$2:$E$31,3,FALSE),"")</f>
        <v>North</v>
      </c>
      <c r="O1970" t="str">
        <f>IFERROR(VLOOKUP(C1970,Customers!$A$2:$F$301,5,FALSE),"")</f>
        <v>Retail</v>
      </c>
      <c r="P1970">
        <f>IFERROR(VLOOKUP(C1970,Customers!$A$2:$F$301,3,FALSE),"")</f>
        <v>42</v>
      </c>
      <c r="Q1970" s="41">
        <f t="shared" si="39"/>
        <v>0.22631578947368422</v>
      </c>
      <c r="R1970" t="str">
        <f>IFERROR(VLOOKUP(C1970,Customers!$A$2:$F$301,1,FALSE),"")</f>
        <v>CUST-0109</v>
      </c>
      <c r="S1970" s="27" t="b">
        <f>IFERROR(VLOOKUP(D1970,Products!$A$2:$F$61,6,FALSE),"")</f>
        <v>1</v>
      </c>
      <c r="BL1970">
        <v>0</v>
      </c>
      <c r="BO1970">
        <v>0</v>
      </c>
      <c r="BP1970">
        <v>0</v>
      </c>
    </row>
    <row r="1971" spans="1:68" x14ac:dyDescent="0.35">
      <c r="A1971" s="26" t="str">
        <f>Orders!A1971</f>
        <v>ORD-01970</v>
      </c>
      <c r="B1971" s="33">
        <f>Orders!B1971</f>
        <v>45468</v>
      </c>
      <c r="C1971" t="str">
        <f>Orders!C1971</f>
        <v>CUST-0224</v>
      </c>
      <c r="D1971" t="str">
        <f>Orders!D1971</f>
        <v>PROD-054</v>
      </c>
      <c r="E1971" t="str">
        <f>Orders!E1971</f>
        <v>R002</v>
      </c>
      <c r="F1971">
        <f>Orders!F1971</f>
        <v>2</v>
      </c>
      <c r="G1971" s="35">
        <f>Orders!G1971</f>
        <v>1010</v>
      </c>
      <c r="H1971" s="37">
        <f>Orders!H1971</f>
        <v>3.8</v>
      </c>
      <c r="I1971" s="39">
        <f>Orders!I1971</f>
        <v>1943.24</v>
      </c>
      <c r="J1971" t="str">
        <f>Orders!J1971</f>
        <v>Completed</v>
      </c>
      <c r="K1971" t="str">
        <f>Orders!K1971</f>
        <v>Chennai</v>
      </c>
      <c r="L1971" t="str">
        <f>IFERROR(VLOOKUP(D1971,Products!$A$2:$F$61,3,FALSE),"")</f>
        <v>Sports</v>
      </c>
      <c r="M1971">
        <f>IFERROR(VLOOKUP(D1971,Products!$A$2:$F$61,4,FALSE),"")</f>
        <v>516</v>
      </c>
      <c r="N1971" t="str">
        <f>IFERROR(VLOOKUP(E1971,Sales_Reps!$A$2:$E$31,3,FALSE),"")</f>
        <v>North</v>
      </c>
      <c r="O1971" t="str">
        <f>IFERROR(VLOOKUP(C1971,Customers!$A$2:$F$301,5,FALSE),"")</f>
        <v>Corporate</v>
      </c>
      <c r="P1971">
        <f>IFERROR(VLOOKUP(C1971,Customers!$A$2:$F$301,3,FALSE),"")</f>
        <v>24</v>
      </c>
      <c r="Q1971" s="41">
        <f t="shared" si="39"/>
        <v>0.4891089108910891</v>
      </c>
      <c r="R1971" t="str">
        <f>IFERROR(VLOOKUP(C1971,Customers!$A$2:$F$301,1,FALSE),"")</f>
        <v>CUST-0224</v>
      </c>
      <c r="S1971" s="27" t="b">
        <f>IFERROR(VLOOKUP(D1971,Products!$A$2:$F$61,6,FALSE),"")</f>
        <v>1</v>
      </c>
      <c r="BL1971">
        <v>0</v>
      </c>
      <c r="BO1971">
        <v>0</v>
      </c>
      <c r="BP1971">
        <v>0</v>
      </c>
    </row>
    <row r="1972" spans="1:68" x14ac:dyDescent="0.35">
      <c r="A1972" s="26" t="str">
        <f>Orders!A1972</f>
        <v>ORD-01971</v>
      </c>
      <c r="B1972" s="33">
        <f>Orders!B1972</f>
        <v>45439</v>
      </c>
      <c r="C1972" t="str">
        <f>Orders!C1972</f>
        <v>CUST-0038</v>
      </c>
      <c r="D1972" t="str">
        <f>Orders!D1972</f>
        <v>PROD-002</v>
      </c>
      <c r="E1972" t="str">
        <f>Orders!E1972</f>
        <v>R009</v>
      </c>
      <c r="F1972">
        <f>Orders!F1972</f>
        <v>4</v>
      </c>
      <c r="G1972" s="35">
        <f>Orders!G1972</f>
        <v>2600</v>
      </c>
      <c r="H1972" s="37">
        <f>Orders!H1972</f>
        <v>29.1</v>
      </c>
      <c r="I1972" s="39">
        <f>Orders!I1972</f>
        <v>7373.6</v>
      </c>
      <c r="J1972" t="str">
        <f>Orders!J1972</f>
        <v>Completed</v>
      </c>
      <c r="K1972" t="str">
        <f>Orders!K1972</f>
        <v>Mumbai</v>
      </c>
      <c r="L1972" t="str">
        <f>IFERROR(VLOOKUP(D1972,Products!$A$2:$F$61,3,FALSE),"")</f>
        <v>Electronics</v>
      </c>
      <c r="M1972">
        <f>IFERROR(VLOOKUP(D1972,Products!$A$2:$F$61,4,FALSE),"")</f>
        <v>1052</v>
      </c>
      <c r="N1972" t="str">
        <f>IFERROR(VLOOKUP(E1972,Sales_Reps!$A$2:$E$31,3,FALSE),"")</f>
        <v>South</v>
      </c>
      <c r="O1972" t="str">
        <f>IFERROR(VLOOKUP(C1972,Customers!$A$2:$F$301,5,FALSE),"")</f>
        <v>Retail</v>
      </c>
      <c r="P1972">
        <f>IFERROR(VLOOKUP(C1972,Customers!$A$2:$F$301,3,FALSE),"")</f>
        <v>57</v>
      </c>
      <c r="Q1972" s="41">
        <f t="shared" si="39"/>
        <v>0.5953846153846154</v>
      </c>
      <c r="R1972" t="str">
        <f>IFERROR(VLOOKUP(C1972,Customers!$A$2:$F$301,1,FALSE),"")</f>
        <v>CUST-0038</v>
      </c>
      <c r="S1972" s="27" t="b">
        <f>IFERROR(VLOOKUP(D1972,Products!$A$2:$F$61,6,FALSE),"")</f>
        <v>1</v>
      </c>
      <c r="BL1972">
        <v>0</v>
      </c>
      <c r="BO1972">
        <v>0</v>
      </c>
      <c r="BP1972">
        <v>0</v>
      </c>
    </row>
    <row r="1973" spans="1:68" x14ac:dyDescent="0.35">
      <c r="A1973" s="26" t="str">
        <f>Orders!A1973</f>
        <v>ORD-01972</v>
      </c>
      <c r="B1973" s="33">
        <f>Orders!B1973</f>
        <v>45517</v>
      </c>
      <c r="C1973" t="str">
        <f>Orders!C1973</f>
        <v>CUST-0132</v>
      </c>
      <c r="D1973" t="str">
        <f>Orders!D1973</f>
        <v>PROD-011</v>
      </c>
      <c r="E1973" t="str">
        <f>Orders!E1973</f>
        <v>R029</v>
      </c>
      <c r="F1973">
        <f>Orders!F1973</f>
        <v>7</v>
      </c>
      <c r="G1973" s="35">
        <f>Orders!G1973</f>
        <v>3450</v>
      </c>
      <c r="H1973" s="37">
        <f>Orders!H1973</f>
        <v>4</v>
      </c>
      <c r="I1973" s="39">
        <f>Orders!I1973</f>
        <v>23184</v>
      </c>
      <c r="J1973" t="str">
        <f>Orders!J1973</f>
        <v>Completed</v>
      </c>
      <c r="K1973" t="str">
        <f>Orders!K1973</f>
        <v>Delhi</v>
      </c>
      <c r="L1973" t="str">
        <f>IFERROR(VLOOKUP(D1973,Products!$A$2:$F$61,3,FALSE),"")</f>
        <v>Apparel</v>
      </c>
      <c r="M1973">
        <f>IFERROR(VLOOKUP(D1973,Products!$A$2:$F$61,4,FALSE),"")</f>
        <v>1748</v>
      </c>
      <c r="N1973" t="str">
        <f>IFERROR(VLOOKUP(E1973,Sales_Reps!$A$2:$E$31,3,FALSE),"")</f>
        <v>West</v>
      </c>
      <c r="O1973" t="str">
        <f>IFERROR(VLOOKUP(C1973,Customers!$A$2:$F$301,5,FALSE),"")</f>
        <v>Retail</v>
      </c>
      <c r="P1973">
        <f>IFERROR(VLOOKUP(C1973,Customers!$A$2:$F$301,3,FALSE),"")</f>
        <v>41</v>
      </c>
      <c r="Q1973" s="41">
        <f t="shared" si="39"/>
        <v>0.49333333333333335</v>
      </c>
      <c r="R1973" t="str">
        <f>IFERROR(VLOOKUP(C1973,Customers!$A$2:$F$301,1,FALSE),"")</f>
        <v>CUST-0132</v>
      </c>
      <c r="S1973" s="27" t="b">
        <f>IFERROR(VLOOKUP(D1973,Products!$A$2:$F$61,6,FALSE),"")</f>
        <v>1</v>
      </c>
      <c r="BL1973">
        <v>0</v>
      </c>
      <c r="BO1973">
        <v>0</v>
      </c>
      <c r="BP1973">
        <v>0</v>
      </c>
    </row>
    <row r="1974" spans="1:68" x14ac:dyDescent="0.35">
      <c r="A1974" s="26" t="str">
        <f>Orders!A1974</f>
        <v>ORD-01973</v>
      </c>
      <c r="B1974" s="33">
        <f>Orders!B1974</f>
        <v>45311</v>
      </c>
      <c r="C1974" t="str">
        <f>Orders!C1974</f>
        <v>CUST-0226</v>
      </c>
      <c r="D1974" t="str">
        <f>Orders!D1974</f>
        <v>PROD-017</v>
      </c>
      <c r="E1974" t="str">
        <f>Orders!E1974</f>
        <v>R019</v>
      </c>
      <c r="F1974">
        <f>Orders!F1974</f>
        <v>6</v>
      </c>
      <c r="G1974" s="35">
        <f>Orders!G1974</f>
        <v>2510</v>
      </c>
      <c r="H1974" s="37">
        <f>Orders!H1974</f>
        <v>12.7</v>
      </c>
      <c r="I1974" s="39">
        <f>Orders!I1974</f>
        <v>13147.38</v>
      </c>
      <c r="J1974" t="str">
        <f>Orders!J1974</f>
        <v>Completed</v>
      </c>
      <c r="K1974" t="str">
        <f>Orders!K1974</f>
        <v>Chennai</v>
      </c>
      <c r="L1974" t="str">
        <f>IFERROR(VLOOKUP(D1974,Products!$A$2:$F$61,3,FALSE),"")</f>
        <v>Apparel</v>
      </c>
      <c r="M1974">
        <f>IFERROR(VLOOKUP(D1974,Products!$A$2:$F$61,4,FALSE),"")</f>
        <v>1075</v>
      </c>
      <c r="N1974" t="str">
        <f>IFERROR(VLOOKUP(E1974,Sales_Reps!$A$2:$E$31,3,FALSE),"")</f>
        <v>East</v>
      </c>
      <c r="O1974" t="str">
        <f>IFERROR(VLOOKUP(C1974,Customers!$A$2:$F$301,5,FALSE),"")</f>
        <v>Corporate</v>
      </c>
      <c r="P1974">
        <f>IFERROR(VLOOKUP(C1974,Customers!$A$2:$F$301,3,FALSE),"")</f>
        <v>52</v>
      </c>
      <c r="Q1974" s="41">
        <f t="shared" si="39"/>
        <v>0.57171314741035861</v>
      </c>
      <c r="R1974" t="str">
        <f>IFERROR(VLOOKUP(C1974,Customers!$A$2:$F$301,1,FALSE),"")</f>
        <v>CUST-0226</v>
      </c>
      <c r="S1974" s="27" t="b">
        <f>IFERROR(VLOOKUP(D1974,Products!$A$2:$F$61,6,FALSE),"")</f>
        <v>0</v>
      </c>
      <c r="BL1974">
        <v>0</v>
      </c>
      <c r="BO1974">
        <v>0</v>
      </c>
      <c r="BP1974">
        <v>1</v>
      </c>
    </row>
    <row r="1975" spans="1:68" x14ac:dyDescent="0.35">
      <c r="A1975" s="26" t="str">
        <f>Orders!A1975</f>
        <v>ORD-01974</v>
      </c>
      <c r="B1975" s="33">
        <f>Orders!B1975</f>
        <v>45560</v>
      </c>
      <c r="C1975" t="str">
        <f>Orders!C1975</f>
        <v>CUST-0275</v>
      </c>
      <c r="D1975" t="str">
        <f>Orders!D1975</f>
        <v>PROD-060</v>
      </c>
      <c r="E1975" t="str">
        <f>Orders!E1975</f>
        <v>R027</v>
      </c>
      <c r="F1975">
        <f>Orders!F1975</f>
        <v>6</v>
      </c>
      <c r="G1975" s="35">
        <f>Orders!G1975</f>
        <v>190</v>
      </c>
      <c r="H1975" s="37">
        <f>Orders!H1975</f>
        <v>20</v>
      </c>
      <c r="I1975" s="39">
        <f>Orders!I1975</f>
        <v>912</v>
      </c>
      <c r="J1975" t="str">
        <f>Orders!J1975</f>
        <v>Cancelled</v>
      </c>
      <c r="K1975" t="str">
        <f>Orders!K1975</f>
        <v>Mumbai</v>
      </c>
      <c r="L1975" t="str">
        <f>IFERROR(VLOOKUP(D1975,Products!$A$2:$F$61,3,FALSE),"")</f>
        <v>Sports</v>
      </c>
      <c r="M1975">
        <f>IFERROR(VLOOKUP(D1975,Products!$A$2:$F$61,4,FALSE),"")</f>
        <v>147</v>
      </c>
      <c r="N1975" t="str">
        <f>IFERROR(VLOOKUP(E1975,Sales_Reps!$A$2:$E$31,3,FALSE),"")</f>
        <v>West</v>
      </c>
      <c r="O1975" t="str">
        <f>IFERROR(VLOOKUP(C1975,Customers!$A$2:$F$301,5,FALSE),"")</f>
        <v>Retail</v>
      </c>
      <c r="P1975">
        <f>IFERROR(VLOOKUP(C1975,Customers!$A$2:$F$301,3,FALSE),"")</f>
        <v>36</v>
      </c>
      <c r="Q1975" s="41">
        <f t="shared" si="39"/>
        <v>0.22631578947368422</v>
      </c>
      <c r="R1975" t="str">
        <f>IFERROR(VLOOKUP(C1975,Customers!$A$2:$F$301,1,FALSE),"")</f>
        <v>CUST-0275</v>
      </c>
      <c r="S1975" s="27" t="b">
        <f>IFERROR(VLOOKUP(D1975,Products!$A$2:$F$61,6,FALSE),"")</f>
        <v>1</v>
      </c>
      <c r="BL1975">
        <v>0</v>
      </c>
      <c r="BO1975">
        <v>0</v>
      </c>
      <c r="BP1975">
        <v>0</v>
      </c>
    </row>
    <row r="1976" spans="1:68" x14ac:dyDescent="0.35">
      <c r="A1976" s="26" t="str">
        <f>Orders!A1976</f>
        <v>ORD-01975</v>
      </c>
      <c r="B1976" s="33">
        <f>Orders!B1976</f>
        <v>45529</v>
      </c>
      <c r="C1976" t="str">
        <f>Orders!C1976</f>
        <v>CUST-0109</v>
      </c>
      <c r="D1976" t="str">
        <f>Orders!D1976</f>
        <v>PROD-044</v>
      </c>
      <c r="E1976" t="str">
        <f>Orders!E1976</f>
        <v>R029</v>
      </c>
      <c r="F1976">
        <f>Orders!F1976</f>
        <v>10</v>
      </c>
      <c r="G1976" s="35">
        <f>Orders!G1976</f>
        <v>1650</v>
      </c>
      <c r="H1976" s="37">
        <f>Orders!H1976</f>
        <v>21.5</v>
      </c>
      <c r="I1976" s="39">
        <f>Orders!I1976</f>
        <v>12952.5</v>
      </c>
      <c r="J1976" t="str">
        <f>Orders!J1976</f>
        <v>Completed</v>
      </c>
      <c r="K1976" t="str">
        <f>Orders!K1976</f>
        <v>Pune</v>
      </c>
      <c r="L1976" t="str">
        <f>IFERROR(VLOOKUP(D1976,Products!$A$2:$F$61,3,FALSE),"")</f>
        <v>Beauty</v>
      </c>
      <c r="M1976">
        <f>IFERROR(VLOOKUP(D1976,Products!$A$2:$F$61,4,FALSE),"")</f>
        <v>1222</v>
      </c>
      <c r="N1976" t="str">
        <f>IFERROR(VLOOKUP(E1976,Sales_Reps!$A$2:$E$31,3,FALSE),"")</f>
        <v>West</v>
      </c>
      <c r="O1976" t="str">
        <f>IFERROR(VLOOKUP(C1976,Customers!$A$2:$F$301,5,FALSE),"")</f>
        <v>Retail</v>
      </c>
      <c r="P1976">
        <f>IFERROR(VLOOKUP(C1976,Customers!$A$2:$F$301,3,FALSE),"")</f>
        <v>42</v>
      </c>
      <c r="Q1976" s="41">
        <f t="shared" si="39"/>
        <v>0.2593939393939394</v>
      </c>
      <c r="R1976" t="str">
        <f>IFERROR(VLOOKUP(C1976,Customers!$A$2:$F$301,1,FALSE),"")</f>
        <v>CUST-0109</v>
      </c>
      <c r="S1976" s="27" t="b">
        <f>IFERROR(VLOOKUP(D1976,Products!$A$2:$F$61,6,FALSE),"")</f>
        <v>1</v>
      </c>
      <c r="BL1976">
        <v>0</v>
      </c>
      <c r="BO1976">
        <v>0</v>
      </c>
      <c r="BP1976">
        <v>0</v>
      </c>
    </row>
    <row r="1977" spans="1:68" x14ac:dyDescent="0.35">
      <c r="A1977" s="26" t="str">
        <f>Orders!A1977</f>
        <v>ORD-01976</v>
      </c>
      <c r="B1977" s="33">
        <f>Orders!B1977</f>
        <v>45344</v>
      </c>
      <c r="C1977" t="str">
        <f>Orders!C1977</f>
        <v>CUST-0281</v>
      </c>
      <c r="D1977" t="str">
        <f>Orders!D1977</f>
        <v>PROD-055</v>
      </c>
      <c r="E1977" t="str">
        <f>Orders!E1977</f>
        <v>R009</v>
      </c>
      <c r="F1977">
        <f>Orders!F1977</f>
        <v>4</v>
      </c>
      <c r="G1977" s="35">
        <f>Orders!G1977</f>
        <v>2860</v>
      </c>
      <c r="H1977" s="37">
        <f>Orders!H1977</f>
        <v>15.2</v>
      </c>
      <c r="I1977" s="39">
        <f>Orders!I1977</f>
        <v>9701.1200000000008</v>
      </c>
      <c r="J1977" t="str">
        <f>Orders!J1977</f>
        <v>Completed</v>
      </c>
      <c r="K1977" t="str">
        <f>Orders!K1977</f>
        <v>Bengaluru</v>
      </c>
      <c r="L1977" t="str">
        <f>IFERROR(VLOOKUP(D1977,Products!$A$2:$F$61,3,FALSE),"")</f>
        <v>Sports</v>
      </c>
      <c r="M1977">
        <f>IFERROR(VLOOKUP(D1977,Products!$A$2:$F$61,4,FALSE),"")</f>
        <v>2028</v>
      </c>
      <c r="N1977" t="str">
        <f>IFERROR(VLOOKUP(E1977,Sales_Reps!$A$2:$E$31,3,FALSE),"")</f>
        <v>South</v>
      </c>
      <c r="O1977" t="str">
        <f>IFERROR(VLOOKUP(C1977,Customers!$A$2:$F$301,5,FALSE),"")</f>
        <v>Corporate</v>
      </c>
      <c r="P1977">
        <f>IFERROR(VLOOKUP(C1977,Customers!$A$2:$F$301,3,FALSE),"")</f>
        <v>57</v>
      </c>
      <c r="Q1977" s="41">
        <f t="shared" si="39"/>
        <v>0.29090909090909089</v>
      </c>
      <c r="R1977" t="str">
        <f>IFERROR(VLOOKUP(C1977,Customers!$A$2:$F$301,1,FALSE),"")</f>
        <v>CUST-0281</v>
      </c>
      <c r="S1977" s="27" t="b">
        <f>IFERROR(VLOOKUP(D1977,Products!$A$2:$F$61,6,FALSE),"")</f>
        <v>1</v>
      </c>
      <c r="BL1977">
        <v>0</v>
      </c>
      <c r="BO1977">
        <v>0</v>
      </c>
      <c r="BP1977">
        <v>0</v>
      </c>
    </row>
    <row r="1978" spans="1:68" x14ac:dyDescent="0.35">
      <c r="A1978" s="26" t="str">
        <f>Orders!A1978</f>
        <v>ORD-01977</v>
      </c>
      <c r="B1978" s="33">
        <f>Orders!B1978</f>
        <v>45589</v>
      </c>
      <c r="C1978" t="str">
        <f>Orders!C1978</f>
        <v>CUST-0174</v>
      </c>
      <c r="D1978" t="str">
        <f>Orders!D1978</f>
        <v>PROD-053</v>
      </c>
      <c r="E1978" t="str">
        <f>Orders!E1978</f>
        <v>R028</v>
      </c>
      <c r="F1978">
        <f>Orders!F1978</f>
        <v>3</v>
      </c>
      <c r="G1978" s="35">
        <f>Orders!G1978</f>
        <v>470</v>
      </c>
      <c r="H1978" s="37">
        <f>Orders!H1978</f>
        <v>14.2</v>
      </c>
      <c r="I1978" s="39">
        <f>Orders!I1978</f>
        <v>1209.78</v>
      </c>
      <c r="J1978" t="str">
        <f>Orders!J1978</f>
        <v>Completed</v>
      </c>
      <c r="K1978" t="str">
        <f>Orders!K1978</f>
        <v>Pune</v>
      </c>
      <c r="L1978" t="str">
        <f>IFERROR(VLOOKUP(D1978,Products!$A$2:$F$61,3,FALSE),"")</f>
        <v>Sports</v>
      </c>
      <c r="M1978">
        <f>IFERROR(VLOOKUP(D1978,Products!$A$2:$F$61,4,FALSE),"")</f>
        <v>302</v>
      </c>
      <c r="N1978" t="str">
        <f>IFERROR(VLOOKUP(E1978,Sales_Reps!$A$2:$E$31,3,FALSE),"")</f>
        <v>West</v>
      </c>
      <c r="O1978" t="str">
        <f>IFERROR(VLOOKUP(C1978,Customers!$A$2:$F$301,5,FALSE),"")</f>
        <v>Retail</v>
      </c>
      <c r="P1978">
        <f>IFERROR(VLOOKUP(C1978,Customers!$A$2:$F$301,3,FALSE),"")</f>
        <v>54</v>
      </c>
      <c r="Q1978" s="41">
        <f t="shared" si="39"/>
        <v>0.35744680851063831</v>
      </c>
      <c r="R1978" t="str">
        <f>IFERROR(VLOOKUP(C1978,Customers!$A$2:$F$301,1,FALSE),"")</f>
        <v>CUST-0174</v>
      </c>
      <c r="S1978" s="27" t="b">
        <f>IFERROR(VLOOKUP(D1978,Products!$A$2:$F$61,6,FALSE),"")</f>
        <v>0</v>
      </c>
      <c r="BL1978">
        <v>0</v>
      </c>
      <c r="BO1978">
        <v>0</v>
      </c>
      <c r="BP1978">
        <v>1</v>
      </c>
    </row>
    <row r="1979" spans="1:68" x14ac:dyDescent="0.35">
      <c r="A1979" s="26" t="str">
        <f>Orders!A1979</f>
        <v>ORD-01978</v>
      </c>
      <c r="B1979" s="33">
        <f>Orders!B1979</f>
        <v>45469</v>
      </c>
      <c r="C1979" t="str">
        <f>Orders!C1979</f>
        <v>CUST-0103</v>
      </c>
      <c r="D1979" t="str">
        <f>Orders!D1979</f>
        <v>PROD-055</v>
      </c>
      <c r="E1979" t="str">
        <f>Orders!E1979</f>
        <v>R030</v>
      </c>
      <c r="F1979">
        <f>Orders!F1979</f>
        <v>2</v>
      </c>
      <c r="G1979" s="35">
        <f>Orders!G1979</f>
        <v>2860</v>
      </c>
      <c r="H1979" s="37">
        <f>Orders!H1979</f>
        <v>17.899999999999999</v>
      </c>
      <c r="I1979" s="39">
        <f>Orders!I1979</f>
        <v>4696.12</v>
      </c>
      <c r="J1979" t="str">
        <f>Orders!J1979</f>
        <v>Completed</v>
      </c>
      <c r="K1979" t="str">
        <f>Orders!K1979</f>
        <v>Hyderabad</v>
      </c>
      <c r="L1979" t="str">
        <f>IFERROR(VLOOKUP(D1979,Products!$A$2:$F$61,3,FALSE),"")</f>
        <v>Sports</v>
      </c>
      <c r="M1979">
        <f>IFERROR(VLOOKUP(D1979,Products!$A$2:$F$61,4,FALSE),"")</f>
        <v>2028</v>
      </c>
      <c r="N1979" t="str">
        <f>IFERROR(VLOOKUP(E1979,Sales_Reps!$A$2:$E$31,3,FALSE),"")</f>
        <v>West</v>
      </c>
      <c r="O1979" t="str">
        <f>IFERROR(VLOOKUP(C1979,Customers!$A$2:$F$301,5,FALSE),"")</f>
        <v>Corporate</v>
      </c>
      <c r="P1979">
        <f>IFERROR(VLOOKUP(C1979,Customers!$A$2:$F$301,3,FALSE),"")</f>
        <v>54</v>
      </c>
      <c r="Q1979" s="41">
        <f t="shared" si="39"/>
        <v>0.29090909090909089</v>
      </c>
      <c r="R1979" t="str">
        <f>IFERROR(VLOOKUP(C1979,Customers!$A$2:$F$301,1,FALSE),"")</f>
        <v>CUST-0103</v>
      </c>
      <c r="S1979" s="27" t="b">
        <f>IFERROR(VLOOKUP(D1979,Products!$A$2:$F$61,6,FALSE),"")</f>
        <v>1</v>
      </c>
      <c r="BL1979">
        <v>0</v>
      </c>
      <c r="BO1979">
        <v>0</v>
      </c>
      <c r="BP1979">
        <v>0</v>
      </c>
    </row>
    <row r="1980" spans="1:68" x14ac:dyDescent="0.35">
      <c r="A1980" s="26" t="str">
        <f>Orders!A1980</f>
        <v>ORD-01979</v>
      </c>
      <c r="B1980" s="33">
        <f>Orders!B1980</f>
        <v>45407</v>
      </c>
      <c r="C1980" t="str">
        <f>Orders!C1980</f>
        <v>CUST-0076</v>
      </c>
      <c r="D1980" t="str">
        <f>Orders!D1980</f>
        <v>PROD-019</v>
      </c>
      <c r="E1980" t="str">
        <f>Orders!E1980</f>
        <v>R018</v>
      </c>
      <c r="F1980">
        <f>Orders!F1980</f>
        <v>2</v>
      </c>
      <c r="G1980" s="35">
        <f>Orders!G1980</f>
        <v>2480</v>
      </c>
      <c r="H1980" s="37">
        <f>Orders!H1980</f>
        <v>11.5</v>
      </c>
      <c r="I1980" s="39">
        <f>Orders!I1980</f>
        <v>4389.6000000000004</v>
      </c>
      <c r="J1980" t="str">
        <f>Orders!J1980</f>
        <v>Cancelled</v>
      </c>
      <c r="K1980" t="str">
        <f>Orders!K1980</f>
        <v>Mumbai</v>
      </c>
      <c r="L1980" t="str">
        <f>IFERROR(VLOOKUP(D1980,Products!$A$2:$F$61,3,FALSE),"")</f>
        <v>Apparel</v>
      </c>
      <c r="M1980">
        <f>IFERROR(VLOOKUP(D1980,Products!$A$2:$F$61,4,FALSE),"")</f>
        <v>1173</v>
      </c>
      <c r="N1980" t="str">
        <f>IFERROR(VLOOKUP(E1980,Sales_Reps!$A$2:$E$31,3,FALSE),"")</f>
        <v>East</v>
      </c>
      <c r="O1980" t="str">
        <f>IFERROR(VLOOKUP(C1980,Customers!$A$2:$F$301,5,FALSE),"")</f>
        <v>Retail</v>
      </c>
      <c r="P1980">
        <f>IFERROR(VLOOKUP(C1980,Customers!$A$2:$F$301,3,FALSE),"")</f>
        <v>38</v>
      </c>
      <c r="Q1980" s="41">
        <f t="shared" si="39"/>
        <v>0.52701612903225803</v>
      </c>
      <c r="R1980" t="str">
        <f>IFERROR(VLOOKUP(C1980,Customers!$A$2:$F$301,1,FALSE),"")</f>
        <v>CUST-0076</v>
      </c>
      <c r="S1980" s="27" t="b">
        <f>IFERROR(VLOOKUP(D1980,Products!$A$2:$F$61,6,FALSE),"")</f>
        <v>1</v>
      </c>
      <c r="BL1980">
        <v>0</v>
      </c>
      <c r="BO1980">
        <v>0</v>
      </c>
      <c r="BP1980">
        <v>0</v>
      </c>
    </row>
    <row r="1981" spans="1:68" x14ac:dyDescent="0.35">
      <c r="A1981" s="26" t="str">
        <f>Orders!A1981</f>
        <v>ORD-01980</v>
      </c>
      <c r="B1981" s="33">
        <f>Orders!B1981</f>
        <v>45635</v>
      </c>
      <c r="C1981" t="str">
        <f>Orders!C1981</f>
        <v>CUST-0227</v>
      </c>
      <c r="D1981" t="str">
        <f>Orders!D1981</f>
        <v>PROD-033</v>
      </c>
      <c r="E1981" t="str">
        <f>Orders!E1981</f>
        <v>R006</v>
      </c>
      <c r="F1981">
        <f>Orders!F1981</f>
        <v>10</v>
      </c>
      <c r="G1981" s="35">
        <f>Orders!G1981</f>
        <v>2030</v>
      </c>
      <c r="H1981" s="37">
        <f>Orders!H1981</f>
        <v>29.2</v>
      </c>
      <c r="I1981" s="39">
        <f>Orders!I1981</f>
        <v>14372.4</v>
      </c>
      <c r="J1981" t="str">
        <f>Orders!J1981</f>
        <v>Completed</v>
      </c>
      <c r="K1981" t="str">
        <f>Orders!K1981</f>
        <v>Bengaluru</v>
      </c>
      <c r="L1981" t="str">
        <f>IFERROR(VLOOKUP(D1981,Products!$A$2:$F$61,3,FALSE),"")</f>
        <v>Home</v>
      </c>
      <c r="M1981">
        <f>IFERROR(VLOOKUP(D1981,Products!$A$2:$F$61,4,FALSE),"")</f>
        <v>1143</v>
      </c>
      <c r="N1981" t="str">
        <f>IFERROR(VLOOKUP(E1981,Sales_Reps!$A$2:$E$31,3,FALSE),"")</f>
        <v>North</v>
      </c>
      <c r="O1981" t="str">
        <f>IFERROR(VLOOKUP(C1981,Customers!$A$2:$F$301,5,FALSE),"")</f>
        <v>SMB</v>
      </c>
      <c r="P1981">
        <f>IFERROR(VLOOKUP(C1981,Customers!$A$2:$F$301,3,FALSE),"")</f>
        <v>44</v>
      </c>
      <c r="Q1981" s="41">
        <f t="shared" si="39"/>
        <v>0.43694581280788175</v>
      </c>
      <c r="R1981" t="str">
        <f>IFERROR(VLOOKUP(C1981,Customers!$A$2:$F$301,1,FALSE),"")</f>
        <v>CUST-0227</v>
      </c>
      <c r="S1981" s="27" t="b">
        <f>IFERROR(VLOOKUP(D1981,Products!$A$2:$F$61,6,FALSE),"")</f>
        <v>1</v>
      </c>
      <c r="BL1981">
        <v>0</v>
      </c>
      <c r="BO1981">
        <v>0</v>
      </c>
      <c r="BP1981">
        <v>0</v>
      </c>
    </row>
    <row r="1982" spans="1:68" x14ac:dyDescent="0.35">
      <c r="A1982" s="26" t="str">
        <f>Orders!A1982</f>
        <v>ORD-01981</v>
      </c>
      <c r="B1982" s="33">
        <f>Orders!B1982</f>
        <v>45489</v>
      </c>
      <c r="C1982" t="str">
        <f>Orders!C1982</f>
        <v>CUST-0006</v>
      </c>
      <c r="D1982" t="str">
        <f>Orders!D1982</f>
        <v>PROD-047</v>
      </c>
      <c r="E1982" t="str">
        <f>Orders!E1982</f>
        <v>R012</v>
      </c>
      <c r="F1982">
        <f>Orders!F1982</f>
        <v>6</v>
      </c>
      <c r="G1982" s="35">
        <f>Orders!G1982</f>
        <v>3450</v>
      </c>
      <c r="H1982" s="37">
        <f>Orders!H1982</f>
        <v>3.5</v>
      </c>
      <c r="I1982" s="39">
        <f>Orders!I1982</f>
        <v>19975.5</v>
      </c>
      <c r="J1982" t="str">
        <f>Orders!J1982</f>
        <v>Refunded</v>
      </c>
      <c r="K1982" t="str">
        <f>Orders!K1982</f>
        <v>Pune</v>
      </c>
      <c r="L1982" t="str">
        <f>IFERROR(VLOOKUP(D1982,Products!$A$2:$F$61,3,FALSE),"")</f>
        <v>Beauty</v>
      </c>
      <c r="M1982">
        <f>IFERROR(VLOOKUP(D1982,Products!$A$2:$F$61,4,FALSE),"")</f>
        <v>2420</v>
      </c>
      <c r="N1982" t="str">
        <f>IFERROR(VLOOKUP(E1982,Sales_Reps!$A$2:$E$31,3,FALSE),"")</f>
        <v>South</v>
      </c>
      <c r="O1982" t="str">
        <f>IFERROR(VLOOKUP(C1982,Customers!$A$2:$F$301,5,FALSE),"")</f>
        <v>SMB</v>
      </c>
      <c r="P1982">
        <f>IFERROR(VLOOKUP(C1982,Customers!$A$2:$F$301,3,FALSE),"")</f>
        <v>44</v>
      </c>
      <c r="Q1982" s="41">
        <f t="shared" si="39"/>
        <v>0.29855072463768118</v>
      </c>
      <c r="R1982" t="str">
        <f>IFERROR(VLOOKUP(C1982,Customers!$A$2:$F$301,1,FALSE),"")</f>
        <v>CUST-0006</v>
      </c>
      <c r="S1982" s="27" t="b">
        <f>IFERROR(VLOOKUP(D1982,Products!$A$2:$F$61,6,FALSE),"")</f>
        <v>1</v>
      </c>
      <c r="BL1982">
        <v>0</v>
      </c>
      <c r="BO1982">
        <v>0</v>
      </c>
      <c r="BP1982">
        <v>0</v>
      </c>
    </row>
    <row r="1983" spans="1:68" x14ac:dyDescent="0.35">
      <c r="A1983" s="26" t="str">
        <f>Orders!A1983</f>
        <v>ORD-01982</v>
      </c>
      <c r="B1983" s="33">
        <f>Orders!B1983</f>
        <v>45356</v>
      </c>
      <c r="C1983" t="str">
        <f>Orders!C1983</f>
        <v>CUST-0231</v>
      </c>
      <c r="D1983" t="str">
        <f>Orders!D1983</f>
        <v>PROD-007</v>
      </c>
      <c r="E1983" t="str">
        <f>Orders!E1983</f>
        <v>R011</v>
      </c>
      <c r="F1983">
        <f>Orders!F1983</f>
        <v>10</v>
      </c>
      <c r="G1983" s="35">
        <f>Orders!G1983</f>
        <v>1430</v>
      </c>
      <c r="H1983" s="37">
        <f>Orders!H1983</f>
        <v>3.5</v>
      </c>
      <c r="I1983" s="39">
        <f>Orders!I1983</f>
        <v>13799.5</v>
      </c>
      <c r="J1983" t="str">
        <f>Orders!J1983</f>
        <v>Completed</v>
      </c>
      <c r="K1983" t="str">
        <f>Orders!K1983</f>
        <v>Chennai</v>
      </c>
      <c r="L1983" t="str">
        <f>IFERROR(VLOOKUP(D1983,Products!$A$2:$F$61,3,FALSE),"")</f>
        <v>Electronics</v>
      </c>
      <c r="M1983">
        <f>IFERROR(VLOOKUP(D1983,Products!$A$2:$F$61,4,FALSE),"")</f>
        <v>861</v>
      </c>
      <c r="N1983" t="str">
        <f>IFERROR(VLOOKUP(E1983,Sales_Reps!$A$2:$E$31,3,FALSE),"")</f>
        <v>South</v>
      </c>
      <c r="O1983" t="str">
        <f>IFERROR(VLOOKUP(C1983,Customers!$A$2:$F$301,5,FALSE),"")</f>
        <v>Retail</v>
      </c>
      <c r="P1983">
        <f>IFERROR(VLOOKUP(C1983,Customers!$A$2:$F$301,3,FALSE),"")</f>
        <v>61</v>
      </c>
      <c r="Q1983" s="41">
        <f t="shared" si="39"/>
        <v>0.39790209790209791</v>
      </c>
      <c r="R1983" t="str">
        <f>IFERROR(VLOOKUP(C1983,Customers!$A$2:$F$301,1,FALSE),"")</f>
        <v>CUST-0231</v>
      </c>
      <c r="S1983" s="27" t="b">
        <f>IFERROR(VLOOKUP(D1983,Products!$A$2:$F$61,6,FALSE),"")</f>
        <v>1</v>
      </c>
      <c r="BL1983">
        <v>0</v>
      </c>
      <c r="BO1983">
        <v>0</v>
      </c>
      <c r="BP1983">
        <v>0</v>
      </c>
    </row>
    <row r="1984" spans="1:68" x14ac:dyDescent="0.35">
      <c r="A1984" s="26" t="str">
        <f>Orders!A1984</f>
        <v>ORD-01983</v>
      </c>
      <c r="B1984" s="33">
        <f>Orders!B1984</f>
        <v>45422</v>
      </c>
      <c r="C1984" t="str">
        <f>Orders!C1984</f>
        <v>CUST-0085</v>
      </c>
      <c r="D1984" t="str">
        <f>Orders!D1984</f>
        <v>PROD-020</v>
      </c>
      <c r="E1984" t="str">
        <f>Orders!E1984</f>
        <v>R017</v>
      </c>
      <c r="F1984">
        <f>Orders!F1984</f>
        <v>1</v>
      </c>
      <c r="G1984" s="35">
        <f>Orders!G1984</f>
        <v>820</v>
      </c>
      <c r="H1984" s="37">
        <f>Orders!H1984</f>
        <v>14.5</v>
      </c>
      <c r="I1984" s="39">
        <f>Orders!I1984</f>
        <v>701.1</v>
      </c>
      <c r="J1984" t="str">
        <f>Orders!J1984</f>
        <v>Cancelled</v>
      </c>
      <c r="K1984" t="str">
        <f>Orders!K1984</f>
        <v>Chennai</v>
      </c>
      <c r="L1984" t="str">
        <f>IFERROR(VLOOKUP(D1984,Products!$A$2:$F$61,3,FALSE),"")</f>
        <v>Apparel</v>
      </c>
      <c r="M1984">
        <f>IFERROR(VLOOKUP(D1984,Products!$A$2:$F$61,4,FALSE),"")</f>
        <v>391</v>
      </c>
      <c r="N1984" t="str">
        <f>IFERROR(VLOOKUP(E1984,Sales_Reps!$A$2:$E$31,3,FALSE),"")</f>
        <v>East</v>
      </c>
      <c r="O1984" t="str">
        <f>IFERROR(VLOOKUP(C1984,Customers!$A$2:$F$301,5,FALSE),"")</f>
        <v>Retail</v>
      </c>
      <c r="P1984">
        <f>IFERROR(VLOOKUP(C1984,Customers!$A$2:$F$301,3,FALSE),"")</f>
        <v>26</v>
      </c>
      <c r="Q1984" s="41">
        <f t="shared" si="39"/>
        <v>0.52317073170731709</v>
      </c>
      <c r="R1984" t="str">
        <f>IFERROR(VLOOKUP(C1984,Customers!$A$2:$F$301,1,FALSE),"")</f>
        <v>CUST-0085</v>
      </c>
      <c r="S1984" s="27" t="b">
        <f>IFERROR(VLOOKUP(D1984,Products!$A$2:$F$61,6,FALSE),"")</f>
        <v>1</v>
      </c>
      <c r="BL1984">
        <v>0</v>
      </c>
      <c r="BO1984">
        <v>0</v>
      </c>
      <c r="BP1984">
        <v>0</v>
      </c>
    </row>
    <row r="1985" spans="1:68" x14ac:dyDescent="0.35">
      <c r="A1985" s="26" t="str">
        <f>Orders!A1985</f>
        <v>ORD-01984</v>
      </c>
      <c r="B1985" s="33">
        <f>Orders!B1985</f>
        <v>45333</v>
      </c>
      <c r="C1985" t="str">
        <f>Orders!C1985</f>
        <v>CUST-0022</v>
      </c>
      <c r="D1985" t="str">
        <f>Orders!D1985</f>
        <v>PROD-046</v>
      </c>
      <c r="E1985" t="str">
        <f>Orders!E1985</f>
        <v>R023</v>
      </c>
      <c r="F1985">
        <f>Orders!F1985</f>
        <v>5</v>
      </c>
      <c r="G1985" s="35">
        <f>Orders!G1985</f>
        <v>4880</v>
      </c>
      <c r="H1985" s="37">
        <f>Orders!H1985</f>
        <v>1.8</v>
      </c>
      <c r="I1985" s="39">
        <f>Orders!I1985</f>
        <v>23960.799999999999</v>
      </c>
      <c r="J1985" t="str">
        <f>Orders!J1985</f>
        <v>Completed</v>
      </c>
      <c r="K1985" t="str">
        <f>Orders!K1985</f>
        <v>Bengaluru</v>
      </c>
      <c r="L1985" t="str">
        <f>IFERROR(VLOOKUP(D1985,Products!$A$2:$F$61,3,FALSE),"")</f>
        <v>Beauty</v>
      </c>
      <c r="M1985">
        <f>IFERROR(VLOOKUP(D1985,Products!$A$2:$F$61,4,FALSE),"")</f>
        <v>2768</v>
      </c>
      <c r="N1985" t="str">
        <f>IFERROR(VLOOKUP(E1985,Sales_Reps!$A$2:$E$31,3,FALSE),"")</f>
        <v>East</v>
      </c>
      <c r="O1985" t="str">
        <f>IFERROR(VLOOKUP(C1985,Customers!$A$2:$F$301,5,FALSE),"")</f>
        <v>Corporate</v>
      </c>
      <c r="P1985">
        <f>IFERROR(VLOOKUP(C1985,Customers!$A$2:$F$301,3,FALSE),"")</f>
        <v>55</v>
      </c>
      <c r="Q1985" s="41">
        <f t="shared" si="39"/>
        <v>0.43278688524590164</v>
      </c>
      <c r="R1985" t="str">
        <f>IFERROR(VLOOKUP(C1985,Customers!$A$2:$F$301,1,FALSE),"")</f>
        <v>CUST-0022</v>
      </c>
      <c r="S1985" s="27" t="b">
        <f>IFERROR(VLOOKUP(D1985,Products!$A$2:$F$61,6,FALSE),"")</f>
        <v>1</v>
      </c>
      <c r="BL1985">
        <v>0</v>
      </c>
      <c r="BO1985">
        <v>0</v>
      </c>
      <c r="BP1985">
        <v>0</v>
      </c>
    </row>
    <row r="1986" spans="1:68" x14ac:dyDescent="0.35">
      <c r="A1986" s="26" t="str">
        <f>Orders!A1986</f>
        <v>ORD-01985</v>
      </c>
      <c r="B1986" s="33">
        <f>Orders!B1986</f>
        <v>45385</v>
      </c>
      <c r="C1986" t="str">
        <f>Orders!C1986</f>
        <v>CUST-0275</v>
      </c>
      <c r="D1986" t="str">
        <f>Orders!D1986</f>
        <v>PROD-043</v>
      </c>
      <c r="E1986" t="str">
        <f>Orders!E1986</f>
        <v>R016</v>
      </c>
      <c r="F1986">
        <f>Orders!F1986</f>
        <v>8</v>
      </c>
      <c r="G1986" s="35">
        <f>Orders!G1986</f>
        <v>3350</v>
      </c>
      <c r="H1986" s="37">
        <f>Orders!H1986</f>
        <v>26.3</v>
      </c>
      <c r="I1986" s="39">
        <f>Orders!I1986</f>
        <v>19751.599999999999</v>
      </c>
      <c r="J1986" t="str">
        <f>Orders!J1986</f>
        <v>Cancelled</v>
      </c>
      <c r="K1986" t="str">
        <f>Orders!K1986</f>
        <v>Mumbai</v>
      </c>
      <c r="L1986" t="str">
        <f>IFERROR(VLOOKUP(D1986,Products!$A$2:$F$61,3,FALSE),"")</f>
        <v>Beauty</v>
      </c>
      <c r="M1986">
        <f>IFERROR(VLOOKUP(D1986,Products!$A$2:$F$61,4,FALSE),"")</f>
        <v>1728</v>
      </c>
      <c r="N1986" t="str">
        <f>IFERROR(VLOOKUP(E1986,Sales_Reps!$A$2:$E$31,3,FALSE),"")</f>
        <v>South</v>
      </c>
      <c r="O1986" t="str">
        <f>IFERROR(VLOOKUP(C1986,Customers!$A$2:$F$301,5,FALSE),"")</f>
        <v>Retail</v>
      </c>
      <c r="P1986">
        <f>IFERROR(VLOOKUP(C1986,Customers!$A$2:$F$301,3,FALSE),"")</f>
        <v>36</v>
      </c>
      <c r="Q1986" s="41">
        <f t="shared" ref="Q1986:Q2001" si="40">IFERROR((G1986-M1986)/G1986,0)</f>
        <v>0.48417910447761192</v>
      </c>
      <c r="R1986" t="str">
        <f>IFERROR(VLOOKUP(C1986,Customers!$A$2:$F$301,1,FALSE),"")</f>
        <v>CUST-0275</v>
      </c>
      <c r="S1986" s="27" t="b">
        <f>IFERROR(VLOOKUP(D1986,Products!$A$2:$F$61,6,FALSE),"")</f>
        <v>1</v>
      </c>
      <c r="BL1986">
        <v>0</v>
      </c>
      <c r="BO1986">
        <v>0</v>
      </c>
      <c r="BP1986">
        <v>0</v>
      </c>
    </row>
    <row r="1987" spans="1:68" x14ac:dyDescent="0.35">
      <c r="A1987" s="26" t="str">
        <f>Orders!A1987</f>
        <v>ORD-01986</v>
      </c>
      <c r="B1987" s="33">
        <f>Orders!B1987</f>
        <v>45298</v>
      </c>
      <c r="C1987" t="str">
        <f>Orders!C1987</f>
        <v>CUST-0159</v>
      </c>
      <c r="D1987" t="str">
        <f>Orders!D1987</f>
        <v>PROD-019</v>
      </c>
      <c r="E1987" t="str">
        <f>Orders!E1987</f>
        <v>R022</v>
      </c>
      <c r="F1987">
        <f>Orders!F1987</f>
        <v>9</v>
      </c>
      <c r="G1987" s="35">
        <f>Orders!G1987</f>
        <v>2480</v>
      </c>
      <c r="H1987" s="37">
        <f>Orders!H1987</f>
        <v>24.3</v>
      </c>
      <c r="I1987" s="39">
        <f>Orders!I1987</f>
        <v>16896.240000000002</v>
      </c>
      <c r="J1987" t="str">
        <f>Orders!J1987</f>
        <v>Completed</v>
      </c>
      <c r="K1987" t="str">
        <f>Orders!K1987</f>
        <v>Hyderabad</v>
      </c>
      <c r="L1987" t="str">
        <f>IFERROR(VLOOKUP(D1987,Products!$A$2:$F$61,3,FALSE),"")</f>
        <v>Apparel</v>
      </c>
      <c r="M1987">
        <f>IFERROR(VLOOKUP(D1987,Products!$A$2:$F$61,4,FALSE),"")</f>
        <v>1173</v>
      </c>
      <c r="N1987" t="str">
        <f>IFERROR(VLOOKUP(E1987,Sales_Reps!$A$2:$E$31,3,FALSE),"")</f>
        <v>East</v>
      </c>
      <c r="O1987" t="str">
        <f>IFERROR(VLOOKUP(C1987,Customers!$A$2:$F$301,5,FALSE),"")</f>
        <v>Retail</v>
      </c>
      <c r="P1987">
        <f>IFERROR(VLOOKUP(C1987,Customers!$A$2:$F$301,3,FALSE),"")</f>
        <v>32</v>
      </c>
      <c r="Q1987" s="41">
        <f t="shared" si="40"/>
        <v>0.52701612903225803</v>
      </c>
      <c r="R1987" t="str">
        <f>IFERROR(VLOOKUP(C1987,Customers!$A$2:$F$301,1,FALSE),"")</f>
        <v>CUST-0159</v>
      </c>
      <c r="S1987" s="27" t="b">
        <f>IFERROR(VLOOKUP(D1987,Products!$A$2:$F$61,6,FALSE),"")</f>
        <v>1</v>
      </c>
      <c r="BL1987">
        <v>0</v>
      </c>
      <c r="BO1987">
        <v>0</v>
      </c>
      <c r="BP1987">
        <v>0</v>
      </c>
    </row>
    <row r="1988" spans="1:68" x14ac:dyDescent="0.35">
      <c r="A1988" s="26" t="str">
        <f>Orders!A1988</f>
        <v>ORD-01987</v>
      </c>
      <c r="B1988" s="33">
        <f>Orders!B1988</f>
        <v>45500</v>
      </c>
      <c r="C1988" t="str">
        <f>Orders!C1988</f>
        <v>CUST-0152</v>
      </c>
      <c r="D1988" t="str">
        <f>Orders!D1988</f>
        <v>PROD-039</v>
      </c>
      <c r="E1988" t="str">
        <f>Orders!E1988</f>
        <v>R024</v>
      </c>
      <c r="F1988">
        <f>Orders!F1988</f>
        <v>9</v>
      </c>
      <c r="G1988" s="35">
        <f>Orders!G1988</f>
        <v>4610</v>
      </c>
      <c r="H1988" s="37">
        <f>Orders!H1988</f>
        <v>10</v>
      </c>
      <c r="I1988" s="39">
        <f>Orders!I1988</f>
        <v>37341</v>
      </c>
      <c r="J1988" t="str">
        <f>Orders!J1988</f>
        <v>Completed</v>
      </c>
      <c r="K1988" t="str">
        <f>Orders!K1988</f>
        <v>Bengaluru</v>
      </c>
      <c r="L1988" t="str">
        <f>IFERROR(VLOOKUP(D1988,Products!$A$2:$F$61,3,FALSE),"")</f>
        <v>Home</v>
      </c>
      <c r="M1988">
        <f>IFERROR(VLOOKUP(D1988,Products!$A$2:$F$61,4,FALSE),"")</f>
        <v>1850</v>
      </c>
      <c r="N1988" t="str">
        <f>IFERROR(VLOOKUP(E1988,Sales_Reps!$A$2:$E$31,3,FALSE),"")</f>
        <v>West</v>
      </c>
      <c r="O1988" t="str">
        <f>IFERROR(VLOOKUP(C1988,Customers!$A$2:$F$301,5,FALSE),"")</f>
        <v>SMB</v>
      </c>
      <c r="P1988">
        <f>IFERROR(VLOOKUP(C1988,Customers!$A$2:$F$301,3,FALSE),"")</f>
        <v>64</v>
      </c>
      <c r="Q1988" s="41">
        <f t="shared" si="40"/>
        <v>0.59869848156182215</v>
      </c>
      <c r="R1988" t="str">
        <f>IFERROR(VLOOKUP(C1988,Customers!$A$2:$F$301,1,FALSE),"")</f>
        <v>CUST-0152</v>
      </c>
      <c r="S1988" s="27" t="b">
        <f>IFERROR(VLOOKUP(D1988,Products!$A$2:$F$61,6,FALSE),"")</f>
        <v>1</v>
      </c>
      <c r="BL1988">
        <v>0</v>
      </c>
      <c r="BO1988">
        <v>0</v>
      </c>
      <c r="BP1988">
        <v>0</v>
      </c>
    </row>
    <row r="1989" spans="1:68" x14ac:dyDescent="0.35">
      <c r="A1989" s="26" t="str">
        <f>Orders!A1989</f>
        <v>ORD-01988</v>
      </c>
      <c r="B1989" s="33">
        <f>Orders!B1989</f>
        <v>45409</v>
      </c>
      <c r="C1989" t="str">
        <f>Orders!C1989</f>
        <v>CUST-0289</v>
      </c>
      <c r="D1989" t="str">
        <f>Orders!D1989</f>
        <v>PROD-027</v>
      </c>
      <c r="E1989" t="str">
        <f>Orders!E1989</f>
        <v>R004</v>
      </c>
      <c r="F1989">
        <f>Orders!F1989</f>
        <v>1</v>
      </c>
      <c r="G1989" s="35">
        <f>Orders!G1989</f>
        <v>3780</v>
      </c>
      <c r="H1989" s="37">
        <f>Orders!H1989</f>
        <v>2.2000000000000002</v>
      </c>
      <c r="I1989" s="39">
        <f>Orders!I1989</f>
        <v>3696.84</v>
      </c>
      <c r="J1989" t="str">
        <f>Orders!J1989</f>
        <v>Completed</v>
      </c>
      <c r="K1989" t="str">
        <f>Orders!K1989</f>
        <v>Mumbai</v>
      </c>
      <c r="L1989" t="str">
        <f>IFERROR(VLOOKUP(D1989,Products!$A$2:$F$61,3,FALSE),"")</f>
        <v>Grocery</v>
      </c>
      <c r="M1989">
        <f>IFERROR(VLOOKUP(D1989,Products!$A$2:$F$61,4,FALSE),"")</f>
        <v>2436</v>
      </c>
      <c r="N1989" t="str">
        <f>IFERROR(VLOOKUP(E1989,Sales_Reps!$A$2:$E$31,3,FALSE),"")</f>
        <v>North</v>
      </c>
      <c r="O1989" t="str">
        <f>IFERROR(VLOOKUP(C1989,Customers!$A$2:$F$301,5,FALSE),"")</f>
        <v>Retail</v>
      </c>
      <c r="P1989">
        <f>IFERROR(VLOOKUP(C1989,Customers!$A$2:$F$301,3,FALSE),"")</f>
        <v>54</v>
      </c>
      <c r="Q1989" s="41">
        <f t="shared" si="40"/>
        <v>0.35555555555555557</v>
      </c>
      <c r="R1989" t="str">
        <f>IFERROR(VLOOKUP(C1989,Customers!$A$2:$F$301,1,FALSE),"")</f>
        <v>CUST-0289</v>
      </c>
      <c r="S1989" s="27" t="b">
        <f>IFERROR(VLOOKUP(D1989,Products!$A$2:$F$61,6,FALSE),"")</f>
        <v>1</v>
      </c>
      <c r="BL1989">
        <v>0</v>
      </c>
      <c r="BO1989">
        <v>0</v>
      </c>
      <c r="BP1989">
        <v>0</v>
      </c>
    </row>
    <row r="1990" spans="1:68" x14ac:dyDescent="0.35">
      <c r="A1990" s="26" t="str">
        <f>Orders!A1990</f>
        <v>ORD-01989</v>
      </c>
      <c r="B1990" s="33">
        <f>Orders!B1990</f>
        <v>45401</v>
      </c>
      <c r="C1990" t="str">
        <f>Orders!C1990</f>
        <v>CUST-0004</v>
      </c>
      <c r="D1990" t="str">
        <f>Orders!D1990</f>
        <v>PROD-045</v>
      </c>
      <c r="E1990" t="str">
        <f>Orders!E1990</f>
        <v>R026</v>
      </c>
      <c r="F1990">
        <f>Orders!F1990</f>
        <v>3</v>
      </c>
      <c r="G1990" s="35">
        <f>Orders!G1990</f>
        <v>3020</v>
      </c>
      <c r="H1990" s="37">
        <f>Orders!H1990</f>
        <v>21.4</v>
      </c>
      <c r="I1990" s="39">
        <f>Orders!I1990</f>
        <v>7121.16</v>
      </c>
      <c r="J1990" t="str">
        <f>Orders!J1990</f>
        <v>Cancelled</v>
      </c>
      <c r="K1990" t="str">
        <f>Orders!K1990</f>
        <v>Delhi</v>
      </c>
      <c r="L1990" t="str">
        <f>IFERROR(VLOOKUP(D1990,Products!$A$2:$F$61,3,FALSE),"")</f>
        <v>Beauty</v>
      </c>
      <c r="M1990">
        <f>IFERROR(VLOOKUP(D1990,Products!$A$2:$F$61,4,FALSE),"")</f>
        <v>1626</v>
      </c>
      <c r="N1990" t="str">
        <f>IFERROR(VLOOKUP(E1990,Sales_Reps!$A$2:$E$31,3,FALSE),"")</f>
        <v>West</v>
      </c>
      <c r="O1990" t="str">
        <f>IFERROR(VLOOKUP(C1990,Customers!$A$2:$F$301,5,FALSE),"")</f>
        <v>Retail</v>
      </c>
      <c r="P1990">
        <f>IFERROR(VLOOKUP(C1990,Customers!$A$2:$F$301,3,FALSE),"")</f>
        <v>53</v>
      </c>
      <c r="Q1990" s="41">
        <f t="shared" si="40"/>
        <v>0.46158940397350995</v>
      </c>
      <c r="R1990" t="str">
        <f>IFERROR(VLOOKUP(C1990,Customers!$A$2:$F$301,1,FALSE),"")</f>
        <v>CUST-0004</v>
      </c>
      <c r="S1990" s="27" t="b">
        <f>IFERROR(VLOOKUP(D1990,Products!$A$2:$F$61,6,FALSE),"")</f>
        <v>1</v>
      </c>
      <c r="BL1990">
        <v>0</v>
      </c>
      <c r="BO1990">
        <v>0</v>
      </c>
      <c r="BP1990">
        <v>0</v>
      </c>
    </row>
    <row r="1991" spans="1:68" x14ac:dyDescent="0.35">
      <c r="A1991" s="26" t="str">
        <f>Orders!A1991</f>
        <v>ORD-01990</v>
      </c>
      <c r="B1991" s="33">
        <f>Orders!B1991</f>
        <v>45645</v>
      </c>
      <c r="C1991" t="str">
        <f>Orders!C1991</f>
        <v>CUST-0159</v>
      </c>
      <c r="D1991" t="str">
        <f>Orders!D1991</f>
        <v>PROD-035</v>
      </c>
      <c r="E1991" t="str">
        <f>Orders!E1991</f>
        <v>R006</v>
      </c>
      <c r="F1991">
        <f>Orders!F1991</f>
        <v>10</v>
      </c>
      <c r="G1991" s="35">
        <f>Orders!G1991</f>
        <v>1090</v>
      </c>
      <c r="H1991" s="37">
        <f>Orders!H1991</f>
        <v>29.2</v>
      </c>
      <c r="I1991" s="39">
        <f>Orders!I1991</f>
        <v>7717.2</v>
      </c>
      <c r="J1991" t="str">
        <f>Orders!J1991</f>
        <v>Cancelled</v>
      </c>
      <c r="K1991" t="str">
        <f>Orders!K1991</f>
        <v>Hyderabad</v>
      </c>
      <c r="L1991" t="str">
        <f>IFERROR(VLOOKUP(D1991,Products!$A$2:$F$61,3,FALSE),"")</f>
        <v>Home</v>
      </c>
      <c r="M1991">
        <f>IFERROR(VLOOKUP(D1991,Products!$A$2:$F$61,4,FALSE),"")</f>
        <v>464</v>
      </c>
      <c r="N1991" t="str">
        <f>IFERROR(VLOOKUP(E1991,Sales_Reps!$A$2:$E$31,3,FALSE),"")</f>
        <v>North</v>
      </c>
      <c r="O1991" t="str">
        <f>IFERROR(VLOOKUP(C1991,Customers!$A$2:$F$301,5,FALSE),"")</f>
        <v>Retail</v>
      </c>
      <c r="P1991">
        <f>IFERROR(VLOOKUP(C1991,Customers!$A$2:$F$301,3,FALSE),"")</f>
        <v>32</v>
      </c>
      <c r="Q1991" s="41">
        <f t="shared" si="40"/>
        <v>0.57431192660550456</v>
      </c>
      <c r="R1991" t="str">
        <f>IFERROR(VLOOKUP(C1991,Customers!$A$2:$F$301,1,FALSE),"")</f>
        <v>CUST-0159</v>
      </c>
      <c r="S1991" s="27" t="b">
        <f>IFERROR(VLOOKUP(D1991,Products!$A$2:$F$61,6,FALSE),"")</f>
        <v>1</v>
      </c>
      <c r="BL1991">
        <v>0</v>
      </c>
      <c r="BO1991">
        <v>0</v>
      </c>
      <c r="BP1991">
        <v>0</v>
      </c>
    </row>
    <row r="1992" spans="1:68" x14ac:dyDescent="0.35">
      <c r="A1992" s="26" t="str">
        <f>Orders!A1992</f>
        <v>ORD-01991</v>
      </c>
      <c r="B1992" s="33">
        <f>Orders!B1992</f>
        <v>45616</v>
      </c>
      <c r="C1992" t="str">
        <f>Orders!C1992</f>
        <v>CUST-0083</v>
      </c>
      <c r="D1992" t="str">
        <f>Orders!D1992</f>
        <v>PROD-048</v>
      </c>
      <c r="E1992" t="str">
        <f>Orders!E1992</f>
        <v>R013</v>
      </c>
      <c r="F1992">
        <f>Orders!F1992</f>
        <v>5</v>
      </c>
      <c r="G1992" s="35">
        <f>Orders!G1992</f>
        <v>5100</v>
      </c>
      <c r="H1992" s="37">
        <f>Orders!H1992</f>
        <v>28.4</v>
      </c>
      <c r="I1992" s="39">
        <f>Orders!I1992</f>
        <v>18258</v>
      </c>
      <c r="J1992" t="str">
        <f>Orders!J1992</f>
        <v>Completed</v>
      </c>
      <c r="K1992" t="str">
        <f>Orders!K1992</f>
        <v>Bengaluru</v>
      </c>
      <c r="L1992" t="str">
        <f>IFERROR(VLOOKUP(D1992,Products!$A$2:$F$61,3,FALSE),"")</f>
        <v>Beauty</v>
      </c>
      <c r="M1992">
        <f>IFERROR(VLOOKUP(D1992,Products!$A$2:$F$61,4,FALSE),"")</f>
        <v>2237</v>
      </c>
      <c r="N1992" t="str">
        <f>IFERROR(VLOOKUP(E1992,Sales_Reps!$A$2:$E$31,3,FALSE),"")</f>
        <v>South</v>
      </c>
      <c r="O1992" t="str">
        <f>IFERROR(VLOOKUP(C1992,Customers!$A$2:$F$301,5,FALSE),"")</f>
        <v>Corporate</v>
      </c>
      <c r="P1992">
        <f>IFERROR(VLOOKUP(C1992,Customers!$A$2:$F$301,3,FALSE),"")</f>
        <v>31</v>
      </c>
      <c r="Q1992" s="41">
        <f t="shared" si="40"/>
        <v>0.56137254901960787</v>
      </c>
      <c r="R1992" t="str">
        <f>IFERROR(VLOOKUP(C1992,Customers!$A$2:$F$301,1,FALSE),"")</f>
        <v>CUST-0083</v>
      </c>
      <c r="S1992" s="27" t="b">
        <f>IFERROR(VLOOKUP(D1992,Products!$A$2:$F$61,6,FALSE),"")</f>
        <v>1</v>
      </c>
      <c r="BL1992">
        <v>0</v>
      </c>
      <c r="BO1992">
        <v>0</v>
      </c>
      <c r="BP1992">
        <v>0</v>
      </c>
    </row>
    <row r="1993" spans="1:68" x14ac:dyDescent="0.35">
      <c r="A1993" s="26" t="str">
        <f>Orders!A1993</f>
        <v>ORD-01992</v>
      </c>
      <c r="B1993" s="33">
        <f>Orders!B1993</f>
        <v>45352</v>
      </c>
      <c r="C1993" t="str">
        <f>Orders!C1993</f>
        <v>CUST-0242</v>
      </c>
      <c r="D1993" t="str">
        <f>Orders!D1993</f>
        <v>PROD-046</v>
      </c>
      <c r="E1993" t="str">
        <f>Orders!E1993</f>
        <v>R008</v>
      </c>
      <c r="F1993">
        <f>Orders!F1993</f>
        <v>6</v>
      </c>
      <c r="G1993" s="35">
        <f>Orders!G1993</f>
        <v>4880</v>
      </c>
      <c r="H1993" s="37">
        <f>Orders!H1993</f>
        <v>16.8</v>
      </c>
      <c r="I1993" s="39">
        <f>Orders!I1993</f>
        <v>24360.959999999999</v>
      </c>
      <c r="J1993" t="str">
        <f>Orders!J1993</f>
        <v>Completed</v>
      </c>
      <c r="K1993" t="str">
        <f>Orders!K1993</f>
        <v>Chennai</v>
      </c>
      <c r="L1993" t="str">
        <f>IFERROR(VLOOKUP(D1993,Products!$A$2:$F$61,3,FALSE),"")</f>
        <v>Beauty</v>
      </c>
      <c r="M1993">
        <f>IFERROR(VLOOKUP(D1993,Products!$A$2:$F$61,4,FALSE),"")</f>
        <v>2768</v>
      </c>
      <c r="N1993" t="str">
        <f>IFERROR(VLOOKUP(E1993,Sales_Reps!$A$2:$E$31,3,FALSE),"")</f>
        <v>North</v>
      </c>
      <c r="O1993" t="str">
        <f>IFERROR(VLOOKUP(C1993,Customers!$A$2:$F$301,5,FALSE),"")</f>
        <v>SMB</v>
      </c>
      <c r="P1993">
        <f>IFERROR(VLOOKUP(C1993,Customers!$A$2:$F$301,3,FALSE),"")</f>
        <v>59</v>
      </c>
      <c r="Q1993" s="41">
        <f t="shared" si="40"/>
        <v>0.43278688524590164</v>
      </c>
      <c r="R1993" t="str">
        <f>IFERROR(VLOOKUP(C1993,Customers!$A$2:$F$301,1,FALSE),"")</f>
        <v>CUST-0242</v>
      </c>
      <c r="S1993" s="27" t="b">
        <f>IFERROR(VLOOKUP(D1993,Products!$A$2:$F$61,6,FALSE),"")</f>
        <v>1</v>
      </c>
      <c r="BL1993">
        <v>0</v>
      </c>
      <c r="BO1993">
        <v>0</v>
      </c>
      <c r="BP1993">
        <v>0</v>
      </c>
    </row>
    <row r="1994" spans="1:68" x14ac:dyDescent="0.35">
      <c r="A1994" s="26" t="str">
        <f>Orders!A1994</f>
        <v>ORD-01993</v>
      </c>
      <c r="B1994" s="33">
        <f>Orders!B1994</f>
        <v>45451</v>
      </c>
      <c r="C1994" t="str">
        <f>Orders!C1994</f>
        <v>CUST-0245</v>
      </c>
      <c r="D1994" t="str">
        <f>Orders!D1994</f>
        <v>PROD-001</v>
      </c>
      <c r="E1994" t="str">
        <f>Orders!E1994</f>
        <v>R027</v>
      </c>
      <c r="F1994">
        <f>Orders!F1994</f>
        <v>1</v>
      </c>
      <c r="G1994" s="35">
        <f>Orders!G1994</f>
        <v>5330</v>
      </c>
      <c r="H1994" s="37">
        <f>Orders!H1994</f>
        <v>27.5</v>
      </c>
      <c r="I1994" s="39">
        <f>Orders!I1994</f>
        <v>3864.25</v>
      </c>
      <c r="J1994" t="str">
        <f>Orders!J1994</f>
        <v>Completed</v>
      </c>
      <c r="K1994" t="str">
        <f>Orders!K1994</f>
        <v>Hyderabad</v>
      </c>
      <c r="L1994" t="str">
        <f>IFERROR(VLOOKUP(D1994,Products!$A$2:$F$61,3,FALSE),"")</f>
        <v>Electronics</v>
      </c>
      <c r="M1994">
        <f>IFERROR(VLOOKUP(D1994,Products!$A$2:$F$61,4,FALSE),"")</f>
        <v>2405</v>
      </c>
      <c r="N1994" t="str">
        <f>IFERROR(VLOOKUP(E1994,Sales_Reps!$A$2:$E$31,3,FALSE),"")</f>
        <v>West</v>
      </c>
      <c r="O1994" t="str">
        <f>IFERROR(VLOOKUP(C1994,Customers!$A$2:$F$301,5,FALSE),"")</f>
        <v>Retail</v>
      </c>
      <c r="P1994">
        <f>IFERROR(VLOOKUP(C1994,Customers!$A$2:$F$301,3,FALSE),"")</f>
        <v>65</v>
      </c>
      <c r="Q1994" s="41">
        <f t="shared" si="40"/>
        <v>0.54878048780487809</v>
      </c>
      <c r="R1994" t="str">
        <f>IFERROR(VLOOKUP(C1994,Customers!$A$2:$F$301,1,FALSE),"")</f>
        <v>CUST-0245</v>
      </c>
      <c r="S1994" s="27" t="b">
        <f>IFERROR(VLOOKUP(D1994,Products!$A$2:$F$61,6,FALSE),"")</f>
        <v>1</v>
      </c>
      <c r="BL1994">
        <v>0</v>
      </c>
      <c r="BO1994">
        <v>0</v>
      </c>
      <c r="BP1994">
        <v>0</v>
      </c>
    </row>
    <row r="1995" spans="1:68" x14ac:dyDescent="0.35">
      <c r="A1995" s="26" t="str">
        <f>Orders!A1995</f>
        <v>ORD-01994</v>
      </c>
      <c r="B1995" s="33">
        <f>Orders!B1995</f>
        <v>45477</v>
      </c>
      <c r="C1995" t="str">
        <f>Orders!C1995</f>
        <v>CUST-0008</v>
      </c>
      <c r="D1995" t="str">
        <f>Orders!D1995</f>
        <v>PROD-033</v>
      </c>
      <c r="E1995" t="str">
        <f>Orders!E1995</f>
        <v>R029</v>
      </c>
      <c r="F1995">
        <f>Orders!F1995</f>
        <v>7</v>
      </c>
      <c r="G1995" s="35">
        <f>Orders!G1995</f>
        <v>2030</v>
      </c>
      <c r="H1995" s="37">
        <f>Orders!H1995</f>
        <v>5.3</v>
      </c>
      <c r="I1995" s="39">
        <f>Orders!I1995</f>
        <v>13456.87</v>
      </c>
      <c r="J1995" t="str">
        <f>Orders!J1995</f>
        <v>Cancelled</v>
      </c>
      <c r="K1995" t="str">
        <f>Orders!K1995</f>
        <v>Pune</v>
      </c>
      <c r="L1995" t="str">
        <f>IFERROR(VLOOKUP(D1995,Products!$A$2:$F$61,3,FALSE),"")</f>
        <v>Home</v>
      </c>
      <c r="M1995">
        <f>IFERROR(VLOOKUP(D1995,Products!$A$2:$F$61,4,FALSE),"")</f>
        <v>1143</v>
      </c>
      <c r="N1995" t="str">
        <f>IFERROR(VLOOKUP(E1995,Sales_Reps!$A$2:$E$31,3,FALSE),"")</f>
        <v>West</v>
      </c>
      <c r="O1995" t="str">
        <f>IFERROR(VLOOKUP(C1995,Customers!$A$2:$F$301,5,FALSE),"")</f>
        <v>SMB</v>
      </c>
      <c r="P1995">
        <f>IFERROR(VLOOKUP(C1995,Customers!$A$2:$F$301,3,FALSE),"")</f>
        <v>39</v>
      </c>
      <c r="Q1995" s="41">
        <f t="shared" si="40"/>
        <v>0.43694581280788175</v>
      </c>
      <c r="R1995" t="str">
        <f>IFERROR(VLOOKUP(C1995,Customers!$A$2:$F$301,1,FALSE),"")</f>
        <v>CUST-0008</v>
      </c>
      <c r="S1995" s="27" t="b">
        <f>IFERROR(VLOOKUP(D1995,Products!$A$2:$F$61,6,FALSE),"")</f>
        <v>1</v>
      </c>
      <c r="BL1995">
        <v>0</v>
      </c>
      <c r="BO1995">
        <v>0</v>
      </c>
      <c r="BP1995">
        <v>0</v>
      </c>
    </row>
    <row r="1996" spans="1:68" x14ac:dyDescent="0.35">
      <c r="A1996" s="26" t="str">
        <f>Orders!A1996</f>
        <v>ORD-01995</v>
      </c>
      <c r="B1996" s="33">
        <f>Orders!B1996</f>
        <v>45360</v>
      </c>
      <c r="C1996" t="str">
        <f>Orders!C1996</f>
        <v>CUST-0260</v>
      </c>
      <c r="D1996" t="str">
        <f>Orders!D1996</f>
        <v>PROD-043</v>
      </c>
      <c r="E1996" t="str">
        <f>Orders!E1996</f>
        <v>R024</v>
      </c>
      <c r="F1996">
        <f>Orders!F1996</f>
        <v>7</v>
      </c>
      <c r="G1996" s="35">
        <f>Orders!G1996</f>
        <v>3350</v>
      </c>
      <c r="H1996" s="37">
        <f>Orders!H1996</f>
        <v>0.4</v>
      </c>
      <c r="I1996" s="39">
        <f>Orders!I1996</f>
        <v>23356.2</v>
      </c>
      <c r="J1996" t="str">
        <f>Orders!J1996</f>
        <v>Completed</v>
      </c>
      <c r="K1996" t="str">
        <f>Orders!K1996</f>
        <v>Bengaluru</v>
      </c>
      <c r="L1996" t="str">
        <f>IFERROR(VLOOKUP(D1996,Products!$A$2:$F$61,3,FALSE),"")</f>
        <v>Beauty</v>
      </c>
      <c r="M1996">
        <f>IFERROR(VLOOKUP(D1996,Products!$A$2:$F$61,4,FALSE),"")</f>
        <v>1728</v>
      </c>
      <c r="N1996" t="str">
        <f>IFERROR(VLOOKUP(E1996,Sales_Reps!$A$2:$E$31,3,FALSE),"")</f>
        <v>West</v>
      </c>
      <c r="O1996" t="str">
        <f>IFERROR(VLOOKUP(C1996,Customers!$A$2:$F$301,5,FALSE),"")</f>
        <v>Retail</v>
      </c>
      <c r="P1996">
        <f>IFERROR(VLOOKUP(C1996,Customers!$A$2:$F$301,3,FALSE),"")</f>
        <v>42</v>
      </c>
      <c r="Q1996" s="41">
        <f t="shared" si="40"/>
        <v>0.48417910447761192</v>
      </c>
      <c r="R1996" t="str">
        <f>IFERROR(VLOOKUP(C1996,Customers!$A$2:$F$301,1,FALSE),"")</f>
        <v>CUST-0260</v>
      </c>
      <c r="S1996" s="27" t="b">
        <f>IFERROR(VLOOKUP(D1996,Products!$A$2:$F$61,6,FALSE),"")</f>
        <v>1</v>
      </c>
      <c r="BL1996">
        <v>0</v>
      </c>
      <c r="BO1996">
        <v>0</v>
      </c>
      <c r="BP1996">
        <v>0</v>
      </c>
    </row>
    <row r="1997" spans="1:68" x14ac:dyDescent="0.35">
      <c r="A1997" s="26" t="str">
        <f>Orders!A1997</f>
        <v>ORD-01996</v>
      </c>
      <c r="B1997" s="33">
        <f>Orders!B1997</f>
        <v>45292</v>
      </c>
      <c r="C1997" t="str">
        <f>Orders!C1997</f>
        <v>CUST-0265</v>
      </c>
      <c r="D1997" t="str">
        <f>Orders!D1997</f>
        <v>PROD-031</v>
      </c>
      <c r="E1997" t="str">
        <f>Orders!E1997</f>
        <v>R015</v>
      </c>
      <c r="F1997">
        <f>Orders!F1997</f>
        <v>6</v>
      </c>
      <c r="G1997" s="35">
        <f>Orders!G1997</f>
        <v>3730</v>
      </c>
      <c r="H1997" s="37">
        <f>Orders!H1997</f>
        <v>13.8</v>
      </c>
      <c r="I1997" s="39">
        <f>Orders!I1997</f>
        <v>19291.560000000001</v>
      </c>
      <c r="J1997" t="str">
        <f>Orders!J1997</f>
        <v>Completed</v>
      </c>
      <c r="K1997" t="str">
        <f>Orders!K1997</f>
        <v>Chennai</v>
      </c>
      <c r="L1997" t="str">
        <f>IFERROR(VLOOKUP(D1997,Products!$A$2:$F$61,3,FALSE),"")</f>
        <v>Home</v>
      </c>
      <c r="M1997">
        <f>IFERROR(VLOOKUP(D1997,Products!$A$2:$F$61,4,FALSE),"")</f>
        <v>2135</v>
      </c>
      <c r="N1997" t="str">
        <f>IFERROR(VLOOKUP(E1997,Sales_Reps!$A$2:$E$31,3,FALSE),"")</f>
        <v>South</v>
      </c>
      <c r="O1997" t="str">
        <f>IFERROR(VLOOKUP(C1997,Customers!$A$2:$F$301,5,FALSE),"")</f>
        <v>Retail</v>
      </c>
      <c r="P1997">
        <f>IFERROR(VLOOKUP(C1997,Customers!$A$2:$F$301,3,FALSE),"")</f>
        <v>49</v>
      </c>
      <c r="Q1997" s="41">
        <f t="shared" si="40"/>
        <v>0.42761394101876676</v>
      </c>
      <c r="R1997" t="str">
        <f>IFERROR(VLOOKUP(C1997,Customers!$A$2:$F$301,1,FALSE),"")</f>
        <v>CUST-0265</v>
      </c>
      <c r="S1997" s="27" t="b">
        <f>IFERROR(VLOOKUP(D1997,Products!$A$2:$F$61,6,FALSE),"")</f>
        <v>1</v>
      </c>
      <c r="BL1997">
        <v>0</v>
      </c>
      <c r="BO1997">
        <v>0</v>
      </c>
      <c r="BP1997">
        <v>0</v>
      </c>
    </row>
    <row r="1998" spans="1:68" x14ac:dyDescent="0.35">
      <c r="A1998" s="26" t="str">
        <f>Orders!A1998</f>
        <v>ORD-01997</v>
      </c>
      <c r="B1998" s="33">
        <f>Orders!B1998</f>
        <v>45585</v>
      </c>
      <c r="C1998" t="str">
        <f>Orders!C1998</f>
        <v>CUST-0135</v>
      </c>
      <c r="D1998" t="str">
        <f>Orders!D1998</f>
        <v>PROD-006</v>
      </c>
      <c r="E1998" t="str">
        <f>Orders!E1998</f>
        <v>R017</v>
      </c>
      <c r="F1998">
        <f>Orders!F1998</f>
        <v>6</v>
      </c>
      <c r="G1998" s="35">
        <f>Orders!G1998</f>
        <v>3970</v>
      </c>
      <c r="H1998" s="37">
        <f>Orders!H1998</f>
        <v>5.8</v>
      </c>
      <c r="I1998" s="39">
        <f>Orders!I1998</f>
        <v>22438.44</v>
      </c>
      <c r="J1998" t="str">
        <f>Orders!J1998</f>
        <v>Pending</v>
      </c>
      <c r="K1998" t="str">
        <f>Orders!K1998</f>
        <v>Pune</v>
      </c>
      <c r="L1998" t="str">
        <f>IFERROR(VLOOKUP(D1998,Products!$A$2:$F$61,3,FALSE),"")</f>
        <v>Electronics</v>
      </c>
      <c r="M1998">
        <f>IFERROR(VLOOKUP(D1998,Products!$A$2:$F$61,4,FALSE),"")</f>
        <v>2865</v>
      </c>
      <c r="N1998" t="str">
        <f>IFERROR(VLOOKUP(E1998,Sales_Reps!$A$2:$E$31,3,FALSE),"")</f>
        <v>East</v>
      </c>
      <c r="O1998" t="str">
        <f>IFERROR(VLOOKUP(C1998,Customers!$A$2:$F$301,5,FALSE),"")</f>
        <v>SMB</v>
      </c>
      <c r="P1998">
        <f>IFERROR(VLOOKUP(C1998,Customers!$A$2:$F$301,3,FALSE),"")</f>
        <v>24</v>
      </c>
      <c r="Q1998" s="41">
        <f t="shared" si="40"/>
        <v>0.27833753148614609</v>
      </c>
      <c r="R1998" t="str">
        <f>IFERROR(VLOOKUP(C1998,Customers!$A$2:$F$301,1,FALSE),"")</f>
        <v>CUST-0135</v>
      </c>
      <c r="S1998" s="27" t="b">
        <f>IFERROR(VLOOKUP(D1998,Products!$A$2:$F$61,6,FALSE),"")</f>
        <v>1</v>
      </c>
      <c r="BL1998">
        <v>0</v>
      </c>
      <c r="BO1998">
        <v>0</v>
      </c>
      <c r="BP1998">
        <v>0</v>
      </c>
    </row>
    <row r="1999" spans="1:68" x14ac:dyDescent="0.35">
      <c r="A1999" s="26" t="str">
        <f>Orders!A1999</f>
        <v>ORD-01998</v>
      </c>
      <c r="B1999" s="33">
        <f>Orders!B1999</f>
        <v>45592</v>
      </c>
      <c r="C1999" t="str">
        <f>Orders!C1999</f>
        <v>CUST-0030</v>
      </c>
      <c r="D1999" t="str">
        <f>Orders!D1999</f>
        <v>PROD-029</v>
      </c>
      <c r="E1999" t="str">
        <f>Orders!E1999</f>
        <v>R011</v>
      </c>
      <c r="F1999">
        <f>Orders!F1999</f>
        <v>4</v>
      </c>
      <c r="G1999" s="35">
        <f>Orders!G1999</f>
        <v>2210</v>
      </c>
      <c r="H1999" s="37">
        <f>Orders!H1999</f>
        <v>18.2</v>
      </c>
      <c r="I1999" s="39">
        <f>Orders!I1999</f>
        <v>7231.12</v>
      </c>
      <c r="J1999" t="str">
        <f>Orders!J1999</f>
        <v>Pending</v>
      </c>
      <c r="K1999" t="str">
        <f>Orders!K1999</f>
        <v>Bengaluru</v>
      </c>
      <c r="L1999" t="str">
        <f>IFERROR(VLOOKUP(D1999,Products!$A$2:$F$61,3,FALSE),"")</f>
        <v>Grocery</v>
      </c>
      <c r="M1999">
        <f>IFERROR(VLOOKUP(D1999,Products!$A$2:$F$61,4,FALSE),"")</f>
        <v>1010</v>
      </c>
      <c r="N1999" t="str">
        <f>IFERROR(VLOOKUP(E1999,Sales_Reps!$A$2:$E$31,3,FALSE),"")</f>
        <v>South</v>
      </c>
      <c r="O1999" t="str">
        <f>IFERROR(VLOOKUP(C1999,Customers!$A$2:$F$301,5,FALSE),"")</f>
        <v>Corporate</v>
      </c>
      <c r="P1999">
        <f>IFERROR(VLOOKUP(C1999,Customers!$A$2:$F$301,3,FALSE),"")</f>
        <v>43</v>
      </c>
      <c r="Q1999" s="41">
        <f t="shared" si="40"/>
        <v>0.54298642533936647</v>
      </c>
      <c r="R1999" t="str">
        <f>IFERROR(VLOOKUP(C1999,Customers!$A$2:$F$301,1,FALSE),"")</f>
        <v>CUST-0030</v>
      </c>
      <c r="S1999" s="27" t="b">
        <f>IFERROR(VLOOKUP(D1999,Products!$A$2:$F$61,6,FALSE),"")</f>
        <v>1</v>
      </c>
      <c r="BL1999">
        <v>0</v>
      </c>
      <c r="BO1999">
        <v>0</v>
      </c>
      <c r="BP1999">
        <v>0</v>
      </c>
    </row>
    <row r="2000" spans="1:68" x14ac:dyDescent="0.35">
      <c r="A2000" s="26" t="str">
        <f>Orders!A2000</f>
        <v>ORD-01999</v>
      </c>
      <c r="B2000" s="33">
        <f>Orders!B2000</f>
        <v>45370</v>
      </c>
      <c r="C2000" t="str">
        <f>Orders!C2000</f>
        <v>CUST-0167</v>
      </c>
      <c r="D2000" t="str">
        <f>Orders!D2000</f>
        <v>PROD-052</v>
      </c>
      <c r="E2000" t="str">
        <f>Orders!E2000</f>
        <v>R008</v>
      </c>
      <c r="F2000">
        <f>Orders!F2000</f>
        <v>6</v>
      </c>
      <c r="G2000" s="35">
        <f>Orders!G2000</f>
        <v>5410</v>
      </c>
      <c r="H2000" s="37">
        <f>Orders!H2000</f>
        <v>15.5</v>
      </c>
      <c r="I2000" s="39">
        <f>Orders!I2000</f>
        <v>27428.7</v>
      </c>
      <c r="J2000" t="str">
        <f>Orders!J2000</f>
        <v>Completed</v>
      </c>
      <c r="K2000" t="str">
        <f>Orders!K2000</f>
        <v>Delhi</v>
      </c>
      <c r="L2000" t="str">
        <f>IFERROR(VLOOKUP(D2000,Products!$A$2:$F$61,3,FALSE),"")</f>
        <v>Sports</v>
      </c>
      <c r="M2000">
        <f>IFERROR(VLOOKUP(D2000,Products!$A$2:$F$61,4,FALSE),"")</f>
        <v>2265</v>
      </c>
      <c r="N2000" t="str">
        <f>IFERROR(VLOOKUP(E2000,Sales_Reps!$A$2:$E$31,3,FALSE),"")</f>
        <v>North</v>
      </c>
      <c r="O2000" t="str">
        <f>IFERROR(VLOOKUP(C2000,Customers!$A$2:$F$301,5,FALSE),"")</f>
        <v>Retail</v>
      </c>
      <c r="P2000">
        <f>IFERROR(VLOOKUP(C2000,Customers!$A$2:$F$301,3,FALSE),"")</f>
        <v>43</v>
      </c>
      <c r="Q2000" s="41">
        <f t="shared" si="40"/>
        <v>0.58133086876155271</v>
      </c>
      <c r="R2000" t="str">
        <f>IFERROR(VLOOKUP(C2000,Customers!$A$2:$F$301,1,FALSE),"")</f>
        <v>CUST-0167</v>
      </c>
      <c r="S2000" s="27" t="b">
        <f>IFERROR(VLOOKUP(D2000,Products!$A$2:$F$61,6,FALSE),"")</f>
        <v>1</v>
      </c>
      <c r="BL2000">
        <v>0</v>
      </c>
      <c r="BO2000">
        <v>0</v>
      </c>
      <c r="BP2000">
        <v>0</v>
      </c>
    </row>
    <row r="2001" spans="1:68" x14ac:dyDescent="0.35">
      <c r="A2001" s="28" t="str">
        <f>Orders!A2001</f>
        <v>ORD-02000</v>
      </c>
      <c r="B2001" s="34">
        <f>Orders!B2001</f>
        <v>45325</v>
      </c>
      <c r="C2001" s="29" t="str">
        <f>Orders!C2001</f>
        <v>CUST-0238</v>
      </c>
      <c r="D2001" s="29" t="str">
        <f>Orders!D2001</f>
        <v>PROD-034</v>
      </c>
      <c r="E2001" s="29" t="str">
        <f>Orders!E2001</f>
        <v>R023</v>
      </c>
      <c r="F2001" s="29">
        <f>Orders!F2001</f>
        <v>6</v>
      </c>
      <c r="G2001" s="36">
        <f>Orders!G2001</f>
        <v>5080</v>
      </c>
      <c r="H2001" s="38">
        <f>Orders!H2001</f>
        <v>28.1</v>
      </c>
      <c r="I2001" s="40">
        <f>Orders!I2001</f>
        <v>21915.119999999999</v>
      </c>
      <c r="J2001" s="29" t="str">
        <f>Orders!J2001</f>
        <v>Completed</v>
      </c>
      <c r="K2001" s="29" t="str">
        <f>Orders!K2001</f>
        <v>Delhi</v>
      </c>
      <c r="L2001" s="29" t="str">
        <f>IFERROR(VLOOKUP(D2001,Products!$A$2:$F$61,3,FALSE),"")</f>
        <v>Home</v>
      </c>
      <c r="M2001" s="29">
        <f>IFERROR(VLOOKUP(D2001,Products!$A$2:$F$61,4,FALSE),"")</f>
        <v>2459</v>
      </c>
      <c r="N2001" s="29" t="str">
        <f>IFERROR(VLOOKUP(E2001,Sales_Reps!$A$2:$E$31,3,FALSE),"")</f>
        <v>East</v>
      </c>
      <c r="O2001" s="29" t="str">
        <f>IFERROR(VLOOKUP(C2001,Customers!$A$2:$F$301,5,FALSE),"")</f>
        <v>Retail</v>
      </c>
      <c r="P2001" s="29">
        <f>IFERROR(VLOOKUP(C2001,Customers!$A$2:$F$301,3,FALSE),"")</f>
        <v>49</v>
      </c>
      <c r="Q2001" s="42">
        <f t="shared" si="40"/>
        <v>0.51594488188976373</v>
      </c>
      <c r="R2001" s="29" t="str">
        <f>IFERROR(VLOOKUP(C2001,Customers!$A$2:$F$301,1,FALSE),"")</f>
        <v>CUST-0238</v>
      </c>
      <c r="S2001" s="30" t="b">
        <f>IFERROR(VLOOKUP(D2001,Products!$A$2:$F$61,6,FALSE),"")</f>
        <v>1</v>
      </c>
      <c r="BL2001">
        <v>0</v>
      </c>
      <c r="BO2001">
        <v>0</v>
      </c>
      <c r="BP2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Orders</vt:lpstr>
      <vt:lpstr>Customers</vt:lpstr>
      <vt:lpstr>Products</vt:lpstr>
      <vt:lpstr>Sales_Reps</vt:lpstr>
      <vt:lpstr>Targets</vt:lpstr>
      <vt:lpstr>Q1_Lookups</vt:lpstr>
      <vt:lpstr>Q2_Cleaning</vt:lpstr>
      <vt:lpstr>Q3_Aggregation</vt:lpstr>
      <vt:lpstr>Q4_Pivot</vt:lpstr>
      <vt:lpstr>Q5_Advanced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Nishant Desai</cp:lastModifiedBy>
  <dcterms:modified xsi:type="dcterms:W3CDTF">2026-09-04T10:55:31Z</dcterms:modified>
</cp:coreProperties>
</file>